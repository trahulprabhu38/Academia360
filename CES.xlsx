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4"/>
  </bookViews>
  <sheets>
    <sheet name="Theory" sheetId="2" r:id="rId1"/>
    <sheet name="Lab" sheetId="3" r:id="rId2"/>
    <sheet name="CIA MARKS" sheetId="12" r:id="rId3"/>
    <sheet name="CSV" sheetId="13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  <sheet name="Sheet1" sheetId="14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U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<sst xmlns="http://schemas.openxmlformats.org/spreadsheetml/2006/main" count="1375" uniqueCount="463">
  <si>
    <t>DAYANANDA SAGAR COLLEGE OF ENGINEERING, BANGALORE-560 111</t>
  </si>
  <si>
    <t>DEPARTMENT OF ARTIFICIAL INTELLEGENCE &amp; MACHINE LEARNING</t>
  </si>
  <si>
    <t>Academic Year : 2024 -25</t>
  </si>
  <si>
    <t>Scheme :2022-26</t>
  </si>
  <si>
    <t>Semester  : 3rd</t>
  </si>
  <si>
    <t>COURSE  CODE : 22AI33</t>
  </si>
  <si>
    <t>COURSE TITLE :DBMS</t>
  </si>
  <si>
    <t>STAND ALONE THEORY</t>
  </si>
  <si>
    <t>NO</t>
  </si>
  <si>
    <t>STAND ALONE LAB</t>
  </si>
  <si>
    <t>IPCC</t>
  </si>
  <si>
    <t>Yes</t>
  </si>
  <si>
    <t>Faculty : Anupama V P</t>
  </si>
  <si>
    <t>Course Outcome Attainment Calculation</t>
  </si>
  <si>
    <t xml:space="preserve">COs mapped </t>
  </si>
  <si>
    <t>0,1</t>
  </si>
  <si>
    <t>0,4</t>
  </si>
  <si>
    <t>0,2</t>
  </si>
  <si>
    <t>0,3</t>
  </si>
  <si>
    <t>0,5</t>
  </si>
  <si>
    <t>0,1,2,3,4,5,6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</si>
  <si>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</si>
  <si>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</si>
  <si>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</si>
  <si>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</si>
  <si>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</si>
  <si>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</si>
  <si>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</si>
  <si>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</si>
  <si>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</si>
  <si>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</si>
  <si>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</si>
  <si>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</si>
  <si>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</si>
  <si>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</si>
  <si>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</si>
  <si>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</si>
  <si>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</si>
  <si>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</si>
  <si>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</si>
  <si>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</si>
  <si>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</si>
  <si>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</si>
  <si>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</si>
  <si>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</si>
  <si>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</si>
  <si>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</si>
  <si>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</si>
  <si>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</si>
  <si>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</si>
  <si>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</si>
  <si>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</si>
  <si>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</si>
  <si>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</si>
  <si>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</si>
  <si>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</si>
  <si>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</si>
  <si>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</si>
  <si>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</si>
  <si>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</si>
  <si>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</si>
  <si>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</si>
  <si>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</si>
  <si>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</si>
  <si>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</si>
  <si>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</si>
  <si>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</si>
  <si>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</si>
  <si>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</si>
  <si>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</si>
  <si>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</si>
  <si>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</si>
  <si>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</si>
  <si>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</si>
  <si>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</si>
  <si>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</si>
  <si>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</si>
  <si>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</si>
  <si>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</si>
  <si>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</si>
  <si>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</si>
  <si>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</si>
  <si>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</si>
  <si>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</si>
  <si>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</si>
  <si>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</si>
  <si>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</si>
  <si>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</si>
  <si>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1DS23AI001</t>
  </si>
  <si>
    <t>AAYUSH PANDEY</t>
  </si>
  <si>
    <t>A</t>
  </si>
  <si>
    <t>1DS23AI002</t>
  </si>
  <si>
    <t>ABHINAND PRAMEESH</t>
  </si>
  <si>
    <t>A+</t>
  </si>
  <si>
    <t>1DS23AI003</t>
  </si>
  <si>
    <t>ABHISHEK SINGH</t>
  </si>
  <si>
    <t>B+</t>
  </si>
  <si>
    <t>1DS23AI004</t>
  </si>
  <si>
    <t>ABHISHEK V</t>
  </si>
  <si>
    <t>1DS23AI005</t>
  </si>
  <si>
    <t>ADITYA B RAWANAWAR</t>
  </si>
  <si>
    <t>1DS23AI006</t>
  </si>
  <si>
    <t>ADITYA MUTHUSAMY A</t>
  </si>
  <si>
    <t>B</t>
  </si>
  <si>
    <t>1DS23AI007</t>
  </si>
  <si>
    <t>ADNAN SAMEER ANEKATTI</t>
  </si>
  <si>
    <t>1DS23AI008</t>
  </si>
  <si>
    <t>AKSHADHA SINGH</t>
  </si>
  <si>
    <t>1DS23AI010</t>
  </si>
  <si>
    <t>ANIMESH UPADHYAY</t>
  </si>
  <si>
    <t>P</t>
  </si>
  <si>
    <t>1DS23AI011</t>
  </si>
  <si>
    <t>ASHWINI GANESH RATOD</t>
  </si>
  <si>
    <t>1DS23AI012</t>
  </si>
  <si>
    <t>AVIDUTT PUROHIT</t>
  </si>
  <si>
    <t>1DS23AI013</t>
  </si>
  <si>
    <t>B N SHARATH</t>
  </si>
  <si>
    <t>1DS23AI014</t>
  </si>
  <si>
    <t>BANNURU NIKHIL TEJ</t>
  </si>
  <si>
    <t>1DS23AI015</t>
  </si>
  <si>
    <t>BHOOMIKA RAJESH HEGDE</t>
  </si>
  <si>
    <t>O</t>
  </si>
  <si>
    <t>1DS23AI016</t>
  </si>
  <si>
    <t>BRIJESH NIRANJAN K</t>
  </si>
  <si>
    <t>1DS23AI017</t>
  </si>
  <si>
    <t>CHAITRA R</t>
  </si>
  <si>
    <t>1DS23AI018</t>
  </si>
  <si>
    <t>CHIRANTHAN REDDY H M</t>
  </si>
  <si>
    <t>1DS23AI019</t>
  </si>
  <si>
    <t>DEVANSH GOYAL</t>
  </si>
  <si>
    <t>1DS23AI020</t>
  </si>
  <si>
    <t>DEVARAJA KATTI</t>
  </si>
  <si>
    <t>1DS23AI021</t>
  </si>
  <si>
    <t>DILEEP KARABASAPPA HONNATTER</t>
  </si>
  <si>
    <t>1DS23AI022</t>
  </si>
  <si>
    <t>DRUTHI U S</t>
  </si>
  <si>
    <t>1DS23AI023</t>
  </si>
  <si>
    <t>E JAYA SIDDARTHA</t>
  </si>
  <si>
    <t>1DS23AI024</t>
  </si>
  <si>
    <t>FARIA AHMED</t>
  </si>
  <si>
    <t>1DS23AI025</t>
  </si>
  <si>
    <t>G M VARSHINI</t>
  </si>
  <si>
    <t>1DS23AI026</t>
  </si>
  <si>
    <t>GANGEDDULA JOSHITH REDDY</t>
  </si>
  <si>
    <t>1DS23AI027</t>
  </si>
  <si>
    <t>HARSHIT GOSWAMI</t>
  </si>
  <si>
    <t>1DS23AI028</t>
  </si>
  <si>
    <t>HITESH JAIN</t>
  </si>
  <si>
    <t>1DS23AI029</t>
  </si>
  <si>
    <t>JAYASHREEDEVI K T</t>
  </si>
  <si>
    <t>1DS23AI030</t>
  </si>
  <si>
    <t>JIYA PATEL</t>
  </si>
  <si>
    <t>C</t>
  </si>
  <si>
    <t>1DS23AI031</t>
  </si>
  <si>
    <t>K SPOORTHI REDDY</t>
  </si>
  <si>
    <t>1DS23AI032</t>
  </si>
  <si>
    <t>KARTHIK B</t>
  </si>
  <si>
    <t>1DS23AI033</t>
  </si>
  <si>
    <t>KARTHIKESH HATHWAR B S</t>
  </si>
  <si>
    <t>1DS23AI034</t>
  </si>
  <si>
    <t>KHUSHBU R HAJARI</t>
  </si>
  <si>
    <t>1DS23AI035</t>
  </si>
  <si>
    <t>MADHAN KUMAR R</t>
  </si>
  <si>
    <t>1DS23AI036</t>
  </si>
  <si>
    <t>MANASA M</t>
  </si>
  <si>
    <t>1DS23AI037</t>
  </si>
  <si>
    <t>MUNAGALA CHANDU</t>
  </si>
  <si>
    <t>1DS23AI038</t>
  </si>
  <si>
    <t>NEHA P N</t>
  </si>
  <si>
    <t>1DS23AI039</t>
  </si>
  <si>
    <t>NENAD MATADA</t>
  </si>
  <si>
    <t>1DS23AI040</t>
  </si>
  <si>
    <t>NIHARIKA G</t>
  </si>
  <si>
    <t>F</t>
  </si>
  <si>
    <t>1DS23AI041</t>
  </si>
  <si>
    <t>NISHA S</t>
  </si>
  <si>
    <t>1DS23AI042</t>
  </si>
  <si>
    <t>PONUGOTI SAI GANESH</t>
  </si>
  <si>
    <t>1DS23AI043</t>
  </si>
  <si>
    <t>PRAJWAL L</t>
  </si>
  <si>
    <t>1DS23AI044</t>
  </si>
  <si>
    <t>PRATHIK B</t>
  </si>
  <si>
    <t>1DS23AI045</t>
  </si>
  <si>
    <t>RITVIK K</t>
  </si>
  <si>
    <t>1DS23AI046</t>
  </si>
  <si>
    <t>SAI KRISHNA</t>
  </si>
  <si>
    <t>1DS23AI047</t>
  </si>
  <si>
    <t>SAINANDAN G A</t>
  </si>
  <si>
    <t>1DS23AI048</t>
  </si>
  <si>
    <t>SARANSH NEEMA</t>
  </si>
  <si>
    <t>1DS23AI049</t>
  </si>
  <si>
    <t>SATHVIK R SAMANTH</t>
  </si>
  <si>
    <t>1DS23AI050</t>
  </si>
  <si>
    <t>SATHWIK KUMAR SHETTY</t>
  </si>
  <si>
    <t>1DS23AI051</t>
  </si>
  <si>
    <t>SHAIK ABDULLAH</t>
  </si>
  <si>
    <t>1DS23AI052</t>
  </si>
  <si>
    <t>SHETTY SAURABH SHRIKANT</t>
  </si>
  <si>
    <t>1DS23AI053</t>
  </si>
  <si>
    <t>SHIV NARAYAN S P</t>
  </si>
  <si>
    <t>1DS23AI054</t>
  </si>
  <si>
    <t>SHRADDHA J A</t>
  </si>
  <si>
    <t>1DS23AI055</t>
  </si>
  <si>
    <t>SHREYA VIJAY KRISHNAN</t>
  </si>
  <si>
    <t>1DS23AI056</t>
  </si>
  <si>
    <t>SHREYANSH PATHAK</t>
  </si>
  <si>
    <t>1DS23AI057</t>
  </si>
  <si>
    <t>SHREYAS KULKARNI</t>
  </si>
  <si>
    <t>1DS23AI058</t>
  </si>
  <si>
    <t>SURAJ T</t>
  </si>
  <si>
    <t>1DS23AI059</t>
  </si>
  <si>
    <t>TALLAM SAI SAKETH</t>
  </si>
  <si>
    <t>1DS23AI060</t>
  </si>
  <si>
    <t>TANVI VIVEK THAKRE</t>
  </si>
  <si>
    <t>1DS23AI061</t>
  </si>
  <si>
    <t>UMME RUMANA</t>
  </si>
  <si>
    <t>1DS23AI062</t>
  </si>
  <si>
    <t>USMANAGANI DAVALASAB ATTAR</t>
  </si>
  <si>
    <t>1DS23AI063</t>
  </si>
  <si>
    <t>VISHUNU RAJAGOPALAN</t>
  </si>
  <si>
    <t>1DS24AI401</t>
  </si>
  <si>
    <t>KEERTHI T NAIK</t>
  </si>
  <si>
    <t>1DS24AI402</t>
  </si>
  <si>
    <t xml:space="preserve">MANJUNATH </t>
  </si>
  <si>
    <t>1DS24AI403</t>
  </si>
  <si>
    <t>NANDAKISHOR C</t>
  </si>
  <si>
    <t>1DS24AI404</t>
  </si>
  <si>
    <t>P CHARAN</t>
  </si>
  <si>
    <t>1DS24AI405</t>
  </si>
  <si>
    <t>SHASHANK S</t>
  </si>
  <si>
    <t>1DS24AI406</t>
  </si>
  <si>
    <t>QALIM INDIKAR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</si>
  <si>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</si>
  <si>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</si>
  <si>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</si>
  <si>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</si>
  <si>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</si>
  <si>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</si>
  <si>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</si>
  <si>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</si>
  <si>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Enter the Cell Range of CO Attainment :</t>
  </si>
  <si>
    <t>Cell number of Co Attainment of 1st Question)</t>
  </si>
  <si>
    <t>D89</t>
  </si>
  <si>
    <t>Cell number of Co Attainment of Last Question)</t>
  </si>
  <si>
    <t>DD89</t>
  </si>
  <si>
    <t>Continuous Internal  Evaluation-(CIE)</t>
  </si>
  <si>
    <t>Test</t>
  </si>
  <si>
    <t>FINAL LAB MARKS</t>
  </si>
  <si>
    <t>POs Mapped</t>
  </si>
  <si>
    <t>0,5,9</t>
  </si>
  <si>
    <t>0,5,9,10,11</t>
  </si>
  <si>
    <t>5,6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</si>
  <si>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</si>
  <si>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</si>
  <si>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</si>
  <si>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</si>
  <si>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</si>
  <si>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</si>
  <si>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</si>
  <si>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</si>
  <si>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</si>
  <si>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</si>
  <si>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</si>
  <si>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</si>
  <si>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</si>
  <si>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</si>
  <si>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</si>
  <si>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</si>
  <si>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</si>
  <si>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</si>
  <si>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</si>
  <si>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</si>
  <si>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</si>
  <si>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</si>
  <si>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</si>
  <si>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</si>
  <si>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</si>
  <si>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</si>
  <si>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</si>
  <si>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</si>
  <si>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</si>
  <si>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</si>
  <si>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</si>
  <si>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</si>
  <si>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</si>
  <si>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</si>
  <si>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</si>
  <si>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</si>
  <si>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</si>
  <si>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</si>
  <si>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</si>
  <si>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</si>
  <si>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</si>
  <si>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</si>
  <si>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</si>
  <si>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</si>
  <si>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</si>
  <si>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</si>
  <si>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</si>
  <si>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</si>
  <si>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</si>
  <si>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</si>
  <si>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</si>
  <si>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</si>
  <si>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</si>
  <si>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</si>
  <si>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</si>
  <si>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</si>
  <si>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</si>
  <si>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0,1,2,3,4</t>
  </si>
  <si>
    <t>0,5,6</t>
  </si>
  <si>
    <t>0,1,2,3,4,5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</si>
  <si>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</si>
  <si>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</si>
  <si>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</si>
  <si>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</si>
  <si>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</si>
  <si>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</si>
  <si>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</si>
  <si>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</si>
  <si>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</si>
  <si>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</si>
  <si>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</si>
  <si>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</si>
  <si>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</si>
  <si>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</si>
  <si>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</si>
  <si>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</si>
  <si>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</si>
  <si>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</si>
  <si>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</si>
  <si>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</si>
  <si>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</si>
  <si>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</si>
  <si>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</si>
  <si>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</si>
  <si>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</si>
  <si>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</si>
  <si>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</si>
  <si>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>Q1</t>
  </si>
  <si>
    <t>Q2</t>
  </si>
  <si>
    <t>Q3</t>
  </si>
  <si>
    <t>Q4</t>
  </si>
  <si>
    <t>Q5</t>
  </si>
  <si>
    <t>Q6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</si>
  <si>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</si>
  <si>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</si>
  <si>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</si>
  <si>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</si>
  <si>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</si>
  <si>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</si>
  <si>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</si>
  <si>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</si>
  <si>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</si>
  <si>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</si>
  <si>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</si>
  <si>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</si>
  <si>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</si>
  <si>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</si>
  <si>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</si>
  <si>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</si>
  <si>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</si>
  <si>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</si>
  <si>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</si>
  <si>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</si>
  <si>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</si>
  <si>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</si>
  <si>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</si>
  <si>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</si>
  <si>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</si>
  <si>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</si>
  <si>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</si>
  <si>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</si>
  <si>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</si>
  <si>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</si>
  <si>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</si>
  <si>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</si>
  <si>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</si>
  <si>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</si>
  <si>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</si>
  <si>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CO1:Understand the basics of databases and database management systems</t>
  </si>
  <si>
    <t>TEST-1</t>
  </si>
  <si>
    <t>Question</t>
  </si>
  <si>
    <t>CO2:Apply DBMS concepts to design and create databases that address specific real-worlds scenarios</t>
  </si>
  <si>
    <t>CO3:Analyze a given scenario and use suitable database technique</t>
  </si>
  <si>
    <t>CO4: Demonstrate the various SQL &amp; Relational algebra query processing</t>
  </si>
  <si>
    <t>CO5: Ability to conduct experiments as individual or team to using modern tools like Mysql and MongoDB</t>
  </si>
  <si>
    <t>2,4</t>
  </si>
  <si>
    <t>CO6:Write clear and concise experiment reports that detail the methods, results, and conclusions of DBMS experiments</t>
  </si>
  <si>
    <t>3,4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</si>
  <si>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</si>
  <si>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</si>
  <si>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</si>
  <si>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</si>
  <si>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</si>
  <si>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</si>
  <si>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</si>
  <si>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</si>
  <si>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</si>
  <si>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</si>
  <si>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2,5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</si>
  <si>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</si>
  <si>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</si>
  <si>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</si>
  <si>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</si>
  <si>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</si>
  <si>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TEST-2</t>
  </si>
  <si>
    <t>TEST-3</t>
  </si>
  <si>
    <t>1,6,8,11</t>
  </si>
  <si>
    <t>2,4,12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</si>
  <si>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</si>
  <si>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</si>
  <si>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</si>
  <si>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</si>
  <si>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</si>
  <si>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</si>
  <si>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</si>
  <si>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</si>
  <si>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</si>
  <si>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</si>
  <si>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</si>
  <si>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</si>
  <si>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</si>
  <si>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</si>
  <si>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CIE-70% + SEE-20%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</si>
  <si>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</si>
  <si>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</si>
  <si>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</si>
  <si>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</si>
  <si>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</si>
  <si>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</si>
  <si>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</si>
  <si>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</si>
  <si>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</si>
  <si>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</si>
  <si>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</si>
  <si>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</si>
  <si>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S</t>
  </si>
  <si>
    <t>D</t>
  </si>
  <si>
    <t>E</t>
  </si>
  <si>
    <t>X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</si>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</sst>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0.0"/>
    <numFmt numFmtId="179" formatCode="000"/>
  </numFmts>
  <fonts count="115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 Light"/>
      <charset val="134"/>
      <scheme val="maj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0"/>
      <color theme="1"/>
      <name val="Times New Roman"/>
      <charset val="134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2"/>
      <color theme="1"/>
      <name val="Calibri Light"/>
      <charset val="134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indexed="8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Calibri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name val="Calibri"/>
      <charset val="134"/>
      <scheme val="minor"/>
    </font>
    <font>
      <b/>
      <sz val="12"/>
      <color rgb="FF000000"/>
      <name val="Arial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sz val="9"/>
      <name val="Calibri"/>
      <charset val="134"/>
    </font>
    <font>
      <sz val="10"/>
      <color theme="1"/>
      <name val="Arial"/>
      <charset val="134"/>
    </font>
    <font>
      <sz val="12"/>
      <name val="Cambria"/>
      <charset val="134"/>
    </font>
    <font>
      <sz val="11"/>
      <color rgb="FF9C0006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theme="5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theme="5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0" fillId="51" borderId="75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76" applyNumberFormat="0" applyFill="0" applyAlignment="0" applyProtection="0">
      <alignment vertical="center"/>
    </xf>
    <xf numFmtId="0" fontId="97" fillId="0" borderId="76" applyNumberFormat="0" applyFill="0" applyAlignment="0" applyProtection="0">
      <alignment vertical="center"/>
    </xf>
    <xf numFmtId="0" fontId="98" fillId="0" borderId="77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0" borderId="78" applyNumberFormat="0" applyAlignment="0" applyProtection="0">
      <alignment vertical="center"/>
    </xf>
    <xf numFmtId="0" fontId="100" fillId="52" borderId="79" applyNumberFormat="0" applyAlignment="0" applyProtection="0">
      <alignment vertical="center"/>
    </xf>
    <xf numFmtId="0" fontId="101" fillId="52" borderId="78" applyNumberFormat="0" applyAlignment="0" applyProtection="0">
      <alignment vertical="center"/>
    </xf>
    <xf numFmtId="0" fontId="102" fillId="53" borderId="80" applyNumberFormat="0" applyAlignment="0" applyProtection="0">
      <alignment vertical="center"/>
    </xf>
    <xf numFmtId="0" fontId="103" fillId="0" borderId="81" applyNumberFormat="0" applyFill="0" applyAlignment="0" applyProtection="0">
      <alignment vertical="center"/>
    </xf>
    <xf numFmtId="0" fontId="104" fillId="0" borderId="8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60" borderId="0" applyNumberFormat="0" applyBorder="0" applyAlignment="0" applyProtection="0">
      <alignment vertical="center"/>
    </xf>
    <xf numFmtId="0" fontId="109" fillId="9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0" fillId="0" borderId="0"/>
    <xf numFmtId="0" fontId="41" fillId="0" borderId="0"/>
    <xf numFmtId="0" fontId="41" fillId="0" borderId="0"/>
    <xf numFmtId="0" fontId="0" fillId="0" borderId="0"/>
  </cellStyleXfs>
  <cellXfs count="616">
    <xf numFmtId="0" fontId="0" fillId="0" borderId="0" xfId="0"/>
    <xf numFmtId="0" fontId="1" fillId="0" borderId="1" xfId="5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8" fillId="4" borderId="5" xfId="0" applyFont="1" applyFill="1" applyBorder="1"/>
    <xf numFmtId="0" fontId="0" fillId="4" borderId="6" xfId="0" applyFill="1" applyBorder="1"/>
    <xf numFmtId="0" fontId="8" fillId="0" borderId="7" xfId="0" applyFont="1" applyBorder="1" applyAlignment="1">
      <alignment horizontal="center"/>
    </xf>
    <xf numFmtId="0" fontId="8" fillId="4" borderId="7" xfId="0" applyFont="1" applyFill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0" fillId="0" borderId="9" xfId="0" applyBorder="1"/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11" fillId="6" borderId="13" xfId="0" applyFont="1" applyFill="1" applyBorder="1" applyProtection="1">
      <protection hidden="1"/>
    </xf>
    <xf numFmtId="0" fontId="0" fillId="6" borderId="0" xfId="0" applyFill="1" applyProtection="1"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Alignment="1" applyProtection="1">
      <alignment horizontal="left" vertical="center" wrapText="1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12" fillId="8" borderId="12" xfId="0" applyFont="1" applyFill="1" applyBorder="1" applyProtection="1">
      <protection hidden="1"/>
    </xf>
    <xf numFmtId="0" fontId="2" fillId="0" borderId="1" xfId="0" applyFont="1" applyBorder="1" applyProtection="1">
      <protection hidden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2" fillId="9" borderId="14" xfId="0" applyFont="1" applyFill="1" applyBorder="1" applyAlignment="1" applyProtection="1">
      <alignment horizontal="center"/>
      <protection hidden="1"/>
    </xf>
    <xf numFmtId="0" fontId="12" fillId="8" borderId="1" xfId="0" applyFont="1" applyFill="1" applyBorder="1" applyProtection="1">
      <protection hidden="1"/>
    </xf>
    <xf numFmtId="0" fontId="12" fillId="0" borderId="13" xfId="0" applyFont="1" applyBorder="1" applyProtection="1"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2" fillId="8" borderId="12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0" fillId="0" borderId="16" xfId="0" applyBorder="1"/>
    <xf numFmtId="0" fontId="0" fillId="0" borderId="17" xfId="0" applyBorder="1"/>
    <xf numFmtId="0" fontId="0" fillId="10" borderId="0" xfId="0" applyFill="1"/>
    <xf numFmtId="177" fontId="0" fillId="0" borderId="1" xfId="0" applyNumberFormat="1" applyBorder="1"/>
    <xf numFmtId="0" fontId="13" fillId="7" borderId="0" xfId="0" applyFont="1" applyFill="1"/>
    <xf numFmtId="0" fontId="14" fillId="7" borderId="0" xfId="0" applyFont="1" applyFill="1"/>
    <xf numFmtId="0" fontId="0" fillId="11" borderId="1" xfId="0" applyFill="1" applyBorder="1"/>
    <xf numFmtId="0" fontId="15" fillId="0" borderId="0" xfId="0" applyFont="1"/>
    <xf numFmtId="0" fontId="8" fillId="0" borderId="0" xfId="0" applyFont="1"/>
    <xf numFmtId="0" fontId="8" fillId="0" borderId="1" xfId="0" applyFont="1" applyBorder="1"/>
    <xf numFmtId="0" fontId="0" fillId="0" borderId="1" xfId="0" applyBorder="1" applyProtection="1">
      <protection hidden="1"/>
    </xf>
    <xf numFmtId="0" fontId="8" fillId="6" borderId="1" xfId="0" applyFont="1" applyFill="1" applyBorder="1"/>
    <xf numFmtId="0" fontId="0" fillId="6" borderId="1" xfId="0" applyFill="1" applyBorder="1" applyProtection="1">
      <protection hidden="1"/>
    </xf>
    <xf numFmtId="0" fontId="8" fillId="12" borderId="1" xfId="0" applyFont="1" applyFill="1" applyBorder="1"/>
    <xf numFmtId="0" fontId="0" fillId="12" borderId="1" xfId="0" applyFill="1" applyBorder="1" applyProtection="1">
      <protection hidden="1"/>
    </xf>
    <xf numFmtId="0" fontId="8" fillId="9" borderId="10" xfId="0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16" fillId="0" borderId="1" xfId="0" applyFont="1" applyBorder="1" applyAlignment="1">
      <alignment horizontal="justify" vertical="center" wrapText="1"/>
    </xf>
    <xf numFmtId="1" fontId="17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/>
    <xf numFmtId="0" fontId="0" fillId="14" borderId="18" xfId="0" applyFill="1" applyBorder="1"/>
    <xf numFmtId="0" fontId="18" fillId="0" borderId="0" xfId="0" applyFont="1"/>
    <xf numFmtId="0" fontId="0" fillId="14" borderId="19" xfId="0" applyFill="1" applyBorder="1"/>
    <xf numFmtId="0" fontId="18" fillId="0" borderId="9" xfId="0" applyFont="1" applyBorder="1"/>
    <xf numFmtId="0" fontId="2" fillId="3" borderId="14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4" borderId="20" xfId="0" applyFill="1" applyBorder="1"/>
    <xf numFmtId="0" fontId="8" fillId="0" borderId="0" xfId="0" applyFont="1" applyAlignment="1">
      <alignment horizontal="center"/>
    </xf>
    <xf numFmtId="0" fontId="0" fillId="0" borderId="21" xfId="0" applyBorder="1"/>
    <xf numFmtId="0" fontId="0" fillId="14" borderId="22" xfId="0" applyFill="1" applyBorder="1"/>
    <xf numFmtId="0" fontId="0" fillId="0" borderId="23" xfId="0" applyBorder="1"/>
    <xf numFmtId="0" fontId="0" fillId="3" borderId="1" xfId="0" applyFill="1" applyBorder="1" applyAlignment="1" applyProtection="1">
      <alignment horizontal="center" vertical="center"/>
      <protection hidden="1"/>
    </xf>
    <xf numFmtId="0" fontId="18" fillId="7" borderId="1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18" fillId="9" borderId="1" xfId="0" applyFont="1" applyFill="1" applyBorder="1" applyAlignment="1" applyProtection="1">
      <alignment horizontal="center"/>
      <protection hidden="1"/>
    </xf>
    <xf numFmtId="0" fontId="19" fillId="15" borderId="0" xfId="0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8" fillId="0" borderId="1" xfId="0" applyFont="1" applyBorder="1" applyAlignment="1">
      <alignment wrapText="1"/>
    </xf>
    <xf numFmtId="0" fontId="0" fillId="16" borderId="1" xfId="0" applyFill="1" applyBorder="1" applyProtection="1">
      <protection hidden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3" borderId="29" xfId="0" applyFill="1" applyBorder="1" applyAlignment="1">
      <alignment horizontal="center" vertical="center"/>
    </xf>
    <xf numFmtId="0" fontId="14" fillId="0" borderId="0" xfId="0" applyFont="1"/>
    <xf numFmtId="0" fontId="20" fillId="17" borderId="12" xfId="0" applyFont="1" applyFill="1" applyBorder="1" applyAlignment="1">
      <alignment wrapText="1"/>
    </xf>
    <xf numFmtId="0" fontId="20" fillId="18" borderId="12" xfId="0" applyFont="1" applyFill="1" applyBorder="1" applyAlignment="1">
      <alignment wrapText="1"/>
    </xf>
    <xf numFmtId="0" fontId="5" fillId="17" borderId="1" xfId="0" applyFont="1" applyFill="1" applyBorder="1" applyAlignment="1" applyProtection="1">
      <alignment horizontal="center"/>
      <protection hidden="1"/>
    </xf>
    <xf numFmtId="0" fontId="18" fillId="19" borderId="13" xfId="0" applyFont="1" applyFill="1" applyBorder="1" applyAlignment="1">
      <alignment horizontal="left"/>
    </xf>
    <xf numFmtId="0" fontId="18" fillId="19" borderId="0" xfId="0" applyFont="1" applyFill="1" applyAlignment="1">
      <alignment horizontal="left"/>
    </xf>
    <xf numFmtId="0" fontId="6" fillId="6" borderId="1" xfId="0" applyFont="1" applyFill="1" applyBorder="1"/>
    <xf numFmtId="0" fontId="6" fillId="3" borderId="14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0" fontId="18" fillId="5" borderId="0" xfId="0" applyFont="1" applyFill="1"/>
    <xf numFmtId="0" fontId="0" fillId="5" borderId="0" xfId="0" applyFill="1"/>
    <xf numFmtId="0" fontId="0" fillId="20" borderId="4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  <protection hidden="1"/>
    </xf>
    <xf numFmtId="0" fontId="22" fillId="11" borderId="2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wrapText="1"/>
    </xf>
    <xf numFmtId="0" fontId="23" fillId="20" borderId="32" xfId="0" applyFont="1" applyFill="1" applyBorder="1" applyAlignment="1">
      <alignment horizontal="center" vertical="center"/>
    </xf>
    <xf numFmtId="0" fontId="0" fillId="11" borderId="1" xfId="0" applyFill="1" applyBorder="1" applyProtection="1">
      <protection hidden="1"/>
    </xf>
    <xf numFmtId="0" fontId="23" fillId="20" borderId="33" xfId="0" applyFont="1" applyFill="1" applyBorder="1" applyAlignment="1">
      <alignment horizontal="center" vertical="center"/>
    </xf>
    <xf numFmtId="0" fontId="0" fillId="22" borderId="1" xfId="0" applyFill="1" applyBorder="1" applyAlignment="1" applyProtection="1">
      <alignment horizontal="left" vertical="center" wrapText="1"/>
      <protection hidden="1"/>
    </xf>
    <xf numFmtId="0" fontId="0" fillId="17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2" borderId="1" xfId="0" applyFill="1" applyBorder="1" applyProtection="1">
      <protection hidden="1"/>
    </xf>
    <xf numFmtId="0" fontId="0" fillId="22" borderId="2" xfId="0" applyFill="1" applyBorder="1" applyProtection="1">
      <protection hidden="1"/>
    </xf>
    <xf numFmtId="0" fontId="0" fillId="0" borderId="1" xfId="0" applyBorder="1" applyAlignment="1" applyProtection="1">
      <alignment wrapText="1"/>
      <protection hidden="1"/>
    </xf>
    <xf numFmtId="0" fontId="0" fillId="20" borderId="1" xfId="0" applyFill="1" applyBorder="1" applyAlignment="1">
      <alignment horizontal="center" vertical="center" wrapText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17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8" fillId="19" borderId="27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0" fillId="20" borderId="31" xfId="0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0" fontId="22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24" fillId="3" borderId="1" xfId="0" applyFont="1" applyFill="1" applyBorder="1" applyAlignment="1">
      <alignment horizontal="center" vertical="center"/>
    </xf>
    <xf numFmtId="0" fontId="5" fillId="8" borderId="34" xfId="0" applyFont="1" applyFill="1" applyBorder="1"/>
    <xf numFmtId="0" fontId="25" fillId="8" borderId="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wrapText="1"/>
    </xf>
    <xf numFmtId="0" fontId="25" fillId="3" borderId="14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wrapText="1"/>
    </xf>
    <xf numFmtId="0" fontId="25" fillId="24" borderId="1" xfId="0" applyFont="1" applyFill="1" applyBorder="1" applyAlignment="1">
      <alignment horizontal="center" vertical="center"/>
    </xf>
    <xf numFmtId="1" fontId="25" fillId="3" borderId="14" xfId="0" applyNumberFormat="1" applyFont="1" applyFill="1" applyBorder="1" applyAlignment="1">
      <alignment horizontal="center" vertical="center"/>
    </xf>
    <xf numFmtId="178" fontId="25" fillId="24" borderId="1" xfId="0" applyNumberFormat="1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1" fillId="2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3" borderId="1" xfId="0" applyFont="1" applyFill="1" applyBorder="1" applyAlignment="1">
      <alignment vertical="center" wrapText="1"/>
    </xf>
    <xf numFmtId="0" fontId="29" fillId="17" borderId="1" xfId="0" applyFont="1" applyFill="1" applyBorder="1" applyAlignment="1">
      <alignment horizontal="center"/>
    </xf>
    <xf numFmtId="0" fontId="30" fillId="6" borderId="41" xfId="0" applyFont="1" applyFill="1" applyBorder="1" applyAlignment="1">
      <alignment horizontal="center"/>
    </xf>
    <xf numFmtId="0" fontId="30" fillId="6" borderId="42" xfId="0" applyFont="1" applyFill="1" applyBorder="1" applyAlignment="1">
      <alignment horizontal="center"/>
    </xf>
    <xf numFmtId="0" fontId="8" fillId="0" borderId="3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32" fillId="0" borderId="0" xfId="6" applyFont="1" applyBorder="1" applyAlignment="1" applyProtection="1">
      <alignment wrapText="1"/>
    </xf>
    <xf numFmtId="0" fontId="14" fillId="0" borderId="0" xfId="0" applyFont="1" applyAlignment="1">
      <alignment wrapText="1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22" borderId="1" xfId="0" applyFill="1" applyBorder="1" applyAlignment="1">
      <alignment wrapText="1"/>
    </xf>
    <xf numFmtId="177" fontId="34" fillId="0" borderId="1" xfId="0" applyNumberFormat="1" applyFont="1" applyBorder="1" applyAlignment="1">
      <alignment horizontal="center" vertical="center"/>
    </xf>
    <xf numFmtId="0" fontId="8" fillId="27" borderId="30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12" fillId="27" borderId="30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 vertical="top"/>
    </xf>
    <xf numFmtId="0" fontId="8" fillId="21" borderId="2" xfId="0" applyFont="1" applyFill="1" applyBorder="1" applyAlignment="1">
      <alignment horizontal="center" vertical="top"/>
    </xf>
    <xf numFmtId="0" fontId="8" fillId="21" borderId="33" xfId="0" applyFont="1" applyFill="1" applyBorder="1" applyAlignment="1">
      <alignment horizontal="center" vertical="top"/>
    </xf>
    <xf numFmtId="0" fontId="8" fillId="14" borderId="14" xfId="0" applyFont="1" applyFill="1" applyBorder="1" applyAlignment="1">
      <alignment horizontal="center" vertical="top"/>
    </xf>
    <xf numFmtId="0" fontId="8" fillId="14" borderId="2" xfId="0" applyFont="1" applyFill="1" applyBorder="1" applyAlignment="1">
      <alignment horizontal="center" vertical="top"/>
    </xf>
    <xf numFmtId="0" fontId="0" fillId="17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13" borderId="4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4" xfId="0" applyFill="1" applyBorder="1"/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1" borderId="15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9" borderId="15" xfId="0" applyFill="1" applyBorder="1"/>
    <xf numFmtId="0" fontId="0" fillId="0" borderId="1" xfId="0" applyBorder="1" applyAlignment="1">
      <alignment horizontal="center" vertical="center"/>
    </xf>
    <xf numFmtId="0" fontId="0" fillId="17" borderId="14" xfId="0" applyFill="1" applyBorder="1"/>
    <xf numFmtId="0" fontId="0" fillId="17" borderId="1" xfId="0" applyFill="1" applyBorder="1"/>
    <xf numFmtId="0" fontId="0" fillId="17" borderId="2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7" borderId="2" xfId="0" applyFill="1" applyBorder="1"/>
    <xf numFmtId="0" fontId="0" fillId="17" borderId="15" xfId="0" applyFill="1" applyBorder="1"/>
    <xf numFmtId="0" fontId="0" fillId="0" borderId="30" xfId="0" applyBorder="1"/>
    <xf numFmtId="0" fontId="18" fillId="2" borderId="2" xfId="0" applyFont="1" applyFill="1" applyBorder="1"/>
    <xf numFmtId="0" fontId="0" fillId="9" borderId="3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8" fillId="2" borderId="0" xfId="0" applyFont="1" applyFill="1"/>
    <xf numFmtId="0" fontId="0" fillId="13" borderId="43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top"/>
    </xf>
    <xf numFmtId="0" fontId="0" fillId="6" borderId="1" xfId="0" applyFill="1" applyBorder="1"/>
    <xf numFmtId="0" fontId="28" fillId="28" borderId="1" xfId="0" applyFont="1" applyFill="1" applyBorder="1" applyAlignment="1">
      <alignment horizontal="center" wrapText="1"/>
    </xf>
    <xf numFmtId="0" fontId="37" fillId="28" borderId="1" xfId="50" applyFont="1" applyFill="1" applyBorder="1" applyAlignment="1">
      <alignment horizontal="center" vertical="center" wrapText="1"/>
    </xf>
    <xf numFmtId="0" fontId="38" fillId="28" borderId="1" xfId="50" applyFont="1" applyFill="1" applyBorder="1" applyAlignment="1">
      <alignment horizontal="center" vertical="center" wrapText="1"/>
    </xf>
    <xf numFmtId="0" fontId="38" fillId="0" borderId="41" xfId="5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9" fillId="0" borderId="1" xfId="50" applyFont="1" applyBorder="1" applyAlignment="1">
      <alignment horizontal="center"/>
    </xf>
    <xf numFmtId="0" fontId="39" fillId="0" borderId="41" xfId="50" applyFont="1" applyBorder="1" applyAlignment="1">
      <alignment horizontal="center"/>
    </xf>
    <xf numFmtId="0" fontId="40" fillId="0" borderId="1" xfId="50" applyFont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0" fontId="41" fillId="0" borderId="45" xfId="0" applyFont="1" applyBorder="1"/>
    <xf numFmtId="0" fontId="42" fillId="0" borderId="45" xfId="0" applyFont="1" applyBorder="1"/>
    <xf numFmtId="0" fontId="43" fillId="0" borderId="45" xfId="0" applyFont="1" applyBorder="1"/>
    <xf numFmtId="0" fontId="41" fillId="0" borderId="46" xfId="0" applyFont="1" applyBorder="1" applyAlignment="1">
      <alignment horizontal="center"/>
    </xf>
    <xf numFmtId="0" fontId="44" fillId="0" borderId="47" xfId="0" applyFont="1" applyBorder="1"/>
    <xf numFmtId="0" fontId="41" fillId="0" borderId="1" xfId="0" applyFont="1" applyBorder="1" applyAlignment="1">
      <alignment horizontal="center"/>
    </xf>
    <xf numFmtId="0" fontId="44" fillId="0" borderId="1" xfId="0" applyFont="1" applyBorder="1"/>
    <xf numFmtId="0" fontId="29" fillId="0" borderId="0" xfId="0" applyFont="1"/>
    <xf numFmtId="0" fontId="0" fillId="14" borderId="1" xfId="0" applyFill="1" applyBorder="1" applyAlignment="1">
      <alignment horizontal="center"/>
    </xf>
    <xf numFmtId="0" fontId="45" fillId="0" borderId="15" xfId="51" applyFont="1" applyBorder="1" applyAlignment="1">
      <alignment horizontal="left" wrapText="1"/>
    </xf>
    <xf numFmtId="1" fontId="34" fillId="11" borderId="1" xfId="0" applyNumberFormat="1" applyFont="1" applyFill="1" applyBorder="1"/>
    <xf numFmtId="0" fontId="8" fillId="0" borderId="4" xfId="0" applyFont="1" applyBorder="1"/>
    <xf numFmtId="0" fontId="31" fillId="29" borderId="1" xfId="0" applyFont="1" applyFill="1" applyBorder="1" applyAlignment="1">
      <alignment horizontal="left" vertical="center" wrapText="1"/>
    </xf>
    <xf numFmtId="1" fontId="34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27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179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52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9" fillId="0" borderId="1" xfId="49" applyFont="1" applyBorder="1" applyAlignment="1">
      <alignment horizontal="center" vertical="center" wrapText="1" readingOrder="1"/>
    </xf>
    <xf numFmtId="0" fontId="49" fillId="0" borderId="1" xfId="49" applyFont="1" applyBorder="1" applyAlignment="1">
      <alignment vertical="center" wrapText="1" readingOrder="1"/>
    </xf>
    <xf numFmtId="0" fontId="50" fillId="0" borderId="48" xfId="50" applyFont="1" applyFill="1" applyBorder="1" applyAlignment="1" applyProtection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0" fillId="3" borderId="1" xfId="50" applyFont="1" applyFill="1" applyBorder="1" applyAlignment="1">
      <alignment horizontal="center" wrapText="1"/>
    </xf>
    <xf numFmtId="0" fontId="20" fillId="3" borderId="1" xfId="5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0" fillId="0" borderId="1" xfId="0" applyFont="1" applyBorder="1" applyAlignment="1">
      <alignment horizontal="center" wrapText="1"/>
    </xf>
    <xf numFmtId="0" fontId="50" fillId="0" borderId="49" xfId="50" applyFont="1" applyFill="1" applyBorder="1" applyAlignment="1" applyProtection="1">
      <alignment horizontal="center" wrapText="1"/>
    </xf>
    <xf numFmtId="0" fontId="0" fillId="30" borderId="4" xfId="0" applyFill="1" applyBorder="1" applyAlignment="1">
      <alignment horizontal="center"/>
    </xf>
    <xf numFmtId="9" fontId="0" fillId="30" borderId="1" xfId="3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9" fontId="0" fillId="31" borderId="4" xfId="3" applyFont="1" applyFill="1" applyBorder="1" applyAlignment="1">
      <alignment horizontal="center"/>
    </xf>
    <xf numFmtId="0" fontId="51" fillId="0" borderId="1" xfId="0" applyFont="1" applyBorder="1"/>
    <xf numFmtId="0" fontId="52" fillId="32" borderId="1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0" fillId="31" borderId="30" xfId="3" applyFont="1" applyFill="1" applyBorder="1" applyAlignment="1">
      <alignment horizontal="center"/>
    </xf>
    <xf numFmtId="0" fontId="53" fillId="31" borderId="1" xfId="0" applyFont="1" applyFill="1" applyBorder="1" applyAlignment="1">
      <alignment horizontal="center"/>
    </xf>
    <xf numFmtId="9" fontId="53" fillId="31" borderId="1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12" fillId="0" borderId="0" xfId="0" applyFont="1" applyAlignment="1">
      <alignment vertical="center"/>
    </xf>
    <xf numFmtId="0" fontId="55" fillId="33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6" fillId="2" borderId="42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4" fillId="33" borderId="1" xfId="0" applyFont="1" applyFill="1" applyBorder="1" applyAlignment="1">
      <alignment horizontal="center" wrapText="1"/>
    </xf>
    <xf numFmtId="0" fontId="8" fillId="0" borderId="33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8" fillId="0" borderId="50" xfId="0" applyFont="1" applyBorder="1" applyAlignment="1">
      <alignment vertical="center"/>
    </xf>
    <xf numFmtId="0" fontId="55" fillId="33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2" borderId="50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 wrapText="1"/>
    </xf>
    <xf numFmtId="0" fontId="34" fillId="28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55" fillId="28" borderId="1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 vertical="center"/>
    </xf>
    <xf numFmtId="0" fontId="56" fillId="20" borderId="5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57" fillId="3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2" fillId="33" borderId="52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2" fillId="33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8" fillId="3" borderId="4" xfId="0" applyFont="1" applyFill="1" applyBorder="1" applyAlignment="1">
      <alignment horizontal="center"/>
    </xf>
    <xf numFmtId="0" fontId="58" fillId="3" borderId="30" xfId="0" applyFont="1" applyFill="1" applyBorder="1" applyAlignment="1">
      <alignment horizontal="center"/>
    </xf>
    <xf numFmtId="0" fontId="25" fillId="3" borderId="1" xfId="0" applyFont="1" applyFill="1" applyBorder="1"/>
    <xf numFmtId="0" fontId="59" fillId="35" borderId="1" xfId="0" applyFont="1" applyFill="1" applyBorder="1" applyAlignment="1">
      <alignment horizontal="center"/>
    </xf>
    <xf numFmtId="0" fontId="59" fillId="36" borderId="1" xfId="0" applyFont="1" applyFill="1" applyBorder="1" applyAlignment="1">
      <alignment horizontal="center"/>
    </xf>
    <xf numFmtId="0" fontId="60" fillId="35" borderId="1" xfId="0" applyFont="1" applyFill="1" applyBorder="1" applyAlignment="1">
      <alignment horizontal="center" wrapText="1"/>
    </xf>
    <xf numFmtId="0" fontId="61" fillId="0" borderId="51" xfId="0" applyFont="1" applyBorder="1" applyAlignment="1">
      <alignment horizontal="center"/>
    </xf>
    <xf numFmtId="0" fontId="59" fillId="36" borderId="1" xfId="0" applyFont="1" applyFill="1" applyBorder="1" applyAlignment="1">
      <alignment horizontal="center" wrapText="1"/>
    </xf>
    <xf numFmtId="0" fontId="61" fillId="0" borderId="41" xfId="0" applyFont="1" applyBorder="1" applyAlignment="1">
      <alignment horizontal="center"/>
    </xf>
    <xf numFmtId="0" fontId="59" fillId="35" borderId="1" xfId="0" applyFont="1" applyFill="1" applyBorder="1" applyAlignment="1">
      <alignment horizontal="center" wrapText="1"/>
    </xf>
    <xf numFmtId="0" fontId="62" fillId="21" borderId="30" xfId="0" applyFont="1" applyFill="1" applyBorder="1" applyAlignment="1">
      <alignment horizontal="center" vertical="center"/>
    </xf>
    <xf numFmtId="0" fontId="63" fillId="37" borderId="4" xfId="0" applyFont="1" applyFill="1" applyBorder="1" applyAlignment="1">
      <alignment horizontal="center"/>
    </xf>
    <xf numFmtId="0" fontId="63" fillId="37" borderId="52" xfId="0" applyFont="1" applyFill="1" applyBorder="1" applyAlignment="1">
      <alignment horizontal="center"/>
    </xf>
    <xf numFmtId="0" fontId="63" fillId="37" borderId="30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28" fillId="38" borderId="1" xfId="0" applyFont="1" applyFill="1" applyBorder="1" applyAlignment="1">
      <alignment horizontal="center" vertical="center"/>
    </xf>
    <xf numFmtId="0" fontId="63" fillId="39" borderId="53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/>
    </xf>
    <xf numFmtId="0" fontId="65" fillId="39" borderId="1" xfId="0" applyFont="1" applyFill="1" applyBorder="1"/>
    <xf numFmtId="0" fontId="63" fillId="39" borderId="1" xfId="0" applyFont="1" applyFill="1" applyBorder="1"/>
    <xf numFmtId="0" fontId="63" fillId="39" borderId="54" xfId="0" applyFont="1" applyFill="1" applyBorder="1" applyAlignment="1">
      <alignment horizontal="center"/>
    </xf>
    <xf numFmtId="0" fontId="66" fillId="34" borderId="55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/>
    </xf>
    <xf numFmtId="0" fontId="4" fillId="0" borderId="4" xfId="0" applyFont="1" applyBorder="1"/>
    <xf numFmtId="0" fontId="6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42" xfId="0" applyFont="1" applyBorder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2" fontId="20" fillId="39" borderId="1" xfId="0" applyNumberFormat="1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wrapText="1"/>
    </xf>
    <xf numFmtId="0" fontId="68" fillId="3" borderId="1" xfId="0" applyFont="1" applyFill="1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41" fillId="0" borderId="1" xfId="0" applyFont="1" applyBorder="1" applyAlignment="1">
      <alignment wrapText="1"/>
    </xf>
    <xf numFmtId="0" fontId="61" fillId="0" borderId="33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63" fillId="4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44" fillId="3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 textRotation="255"/>
    </xf>
    <xf numFmtId="0" fontId="20" fillId="40" borderId="0" xfId="0" applyFont="1" applyFill="1" applyAlignment="1">
      <alignment vertical="center"/>
    </xf>
    <xf numFmtId="0" fontId="62" fillId="42" borderId="1" xfId="0" applyFont="1" applyFill="1" applyBorder="1" applyAlignment="1">
      <alignment horizontal="center" vertical="center"/>
    </xf>
    <xf numFmtId="2" fontId="20" fillId="39" borderId="30" xfId="0" applyNumberFormat="1" applyFont="1" applyFill="1" applyBorder="1" applyAlignment="1">
      <alignment horizontal="center" vertical="center"/>
    </xf>
    <xf numFmtId="0" fontId="67" fillId="34" borderId="30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70" fillId="43" borderId="1" xfId="0" applyFont="1" applyFill="1" applyBorder="1" applyAlignment="1">
      <alignment horizontal="center" wrapText="1"/>
    </xf>
    <xf numFmtId="2" fontId="20" fillId="39" borderId="1" xfId="0" applyNumberFormat="1" applyFont="1" applyFill="1" applyBorder="1"/>
    <xf numFmtId="0" fontId="71" fillId="39" borderId="1" xfId="0" applyFont="1" applyFill="1" applyBorder="1"/>
    <xf numFmtId="0" fontId="2" fillId="41" borderId="4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2" fillId="26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0" fillId="43" borderId="4" xfId="0" applyFont="1" applyFill="1" applyBorder="1" applyAlignment="1">
      <alignment horizontal="center" wrapText="1"/>
    </xf>
    <xf numFmtId="0" fontId="63" fillId="39" borderId="4" xfId="0" applyFont="1" applyFill="1" applyBorder="1"/>
    <xf numFmtId="0" fontId="63" fillId="39" borderId="14" xfId="0" applyFont="1" applyFill="1" applyBorder="1"/>
    <xf numFmtId="0" fontId="0" fillId="0" borderId="2" xfId="0" applyBorder="1" applyAlignment="1">
      <alignment vertical="center"/>
    </xf>
    <xf numFmtId="0" fontId="70" fillId="26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13" fillId="0" borderId="1" xfId="0" applyFont="1" applyBorder="1"/>
    <xf numFmtId="0" fontId="70" fillId="0" borderId="1" xfId="0" applyFont="1" applyBorder="1" applyAlignment="1">
      <alignment horizontal="center" wrapText="1"/>
    </xf>
    <xf numFmtId="0" fontId="0" fillId="0" borderId="51" xfId="0" applyBorder="1" applyAlignment="1">
      <alignment vertical="center"/>
    </xf>
    <xf numFmtId="0" fontId="70" fillId="26" borderId="4" xfId="0" applyFont="1" applyFill="1" applyBorder="1" applyAlignment="1">
      <alignment horizontal="center" wrapText="1"/>
    </xf>
    <xf numFmtId="0" fontId="63" fillId="39" borderId="56" xfId="0" applyFont="1" applyFill="1" applyBorder="1"/>
    <xf numFmtId="0" fontId="72" fillId="39" borderId="0" xfId="0" applyFont="1" applyFill="1" applyAlignment="1">
      <alignment horizontal="center" textRotation="255"/>
    </xf>
    <xf numFmtId="0" fontId="62" fillId="3" borderId="1" xfId="0" applyFont="1" applyFill="1" applyBorder="1" applyAlignment="1">
      <alignment horizontal="center" vertical="center" wrapText="1"/>
    </xf>
    <xf numFmtId="0" fontId="72" fillId="39" borderId="30" xfId="0" applyFont="1" applyFill="1" applyBorder="1" applyAlignment="1">
      <alignment textRotation="255"/>
    </xf>
    <xf numFmtId="0" fontId="72" fillId="39" borderId="1" xfId="0" applyFont="1" applyFill="1" applyBorder="1" applyAlignment="1">
      <alignment textRotation="255"/>
    </xf>
    <xf numFmtId="0" fontId="72" fillId="39" borderId="30" xfId="0" applyFont="1" applyFill="1" applyBorder="1" applyAlignment="1">
      <alignment horizontal="center" textRotation="255"/>
    </xf>
    <xf numFmtId="0" fontId="72" fillId="39" borderId="1" xfId="0" applyFont="1" applyFill="1" applyBorder="1" applyAlignment="1">
      <alignment horizontal="center" textRotation="255"/>
    </xf>
    <xf numFmtId="0" fontId="73" fillId="34" borderId="1" xfId="0" applyFont="1" applyFill="1" applyBorder="1" applyAlignment="1">
      <alignment horizontal="center" wrapText="1"/>
    </xf>
    <xf numFmtId="0" fontId="74" fillId="44" borderId="1" xfId="0" applyFont="1" applyFill="1" applyBorder="1" applyAlignment="1">
      <alignment horizontal="center" wrapText="1"/>
    </xf>
    <xf numFmtId="0" fontId="73" fillId="22" borderId="1" xfId="0" applyFont="1" applyFill="1" applyBorder="1" applyAlignment="1">
      <alignment horizontal="center" wrapText="1"/>
    </xf>
    <xf numFmtId="0" fontId="62" fillId="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4" fillId="45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 vertical="center" wrapText="1"/>
    </xf>
    <xf numFmtId="0" fontId="76" fillId="1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62" fillId="46" borderId="14" xfId="0" applyFont="1" applyFill="1" applyBorder="1" applyAlignment="1">
      <alignment horizontal="center" vertical="center" wrapText="1"/>
    </xf>
    <xf numFmtId="0" fontId="62" fillId="46" borderId="15" xfId="0" applyFont="1" applyFill="1" applyBorder="1" applyAlignment="1">
      <alignment horizontal="center" vertical="center" wrapText="1"/>
    </xf>
    <xf numFmtId="0" fontId="75" fillId="46" borderId="1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67" fillId="34" borderId="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2" fillId="6" borderId="1" xfId="0" applyFont="1" applyFill="1" applyBorder="1" applyAlignment="1">
      <alignment horizontal="center" vertical="center" wrapText="1"/>
    </xf>
    <xf numFmtId="0" fontId="62" fillId="46" borderId="3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62" fillId="46" borderId="50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44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5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 vertical="center"/>
    </xf>
    <xf numFmtId="0" fontId="13" fillId="0" borderId="0" xfId="0" applyFont="1"/>
    <xf numFmtId="0" fontId="13" fillId="3" borderId="0" xfId="0" applyFont="1" applyFill="1"/>
    <xf numFmtId="0" fontId="75" fillId="3" borderId="0" xfId="0" applyFont="1" applyFill="1" applyAlignment="1">
      <alignment horizontal="center"/>
    </xf>
    <xf numFmtId="0" fontId="56" fillId="6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7" fillId="0" borderId="1" xfId="5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8" fillId="0" borderId="1" xfId="5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9" fillId="2" borderId="1" xfId="50" applyFont="1" applyFill="1" applyBorder="1" applyAlignment="1">
      <alignment horizontal="center"/>
    </xf>
    <xf numFmtId="0" fontId="39" fillId="2" borderId="41" xfId="50" applyFont="1" applyFill="1" applyBorder="1" applyAlignment="1">
      <alignment horizontal="center"/>
    </xf>
    <xf numFmtId="0" fontId="39" fillId="2" borderId="58" xfId="50" applyFont="1" applyFill="1" applyBorder="1" applyAlignment="1">
      <alignment horizontal="center"/>
    </xf>
    <xf numFmtId="0" fontId="80" fillId="47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81" fillId="0" borderId="24" xfId="0" applyFont="1" applyBorder="1" applyAlignment="1">
      <alignment horizontal="center" vertical="center"/>
    </xf>
    <xf numFmtId="0" fontId="81" fillId="0" borderId="59" xfId="0" applyFont="1" applyBorder="1" applyAlignment="1">
      <alignment horizontal="center" vertical="center"/>
    </xf>
    <xf numFmtId="0" fontId="56" fillId="23" borderId="1" xfId="0" applyFont="1" applyFill="1" applyBorder="1" applyAlignment="1">
      <alignment horizontal="center" wrapText="1"/>
    </xf>
    <xf numFmtId="0" fontId="39" fillId="2" borderId="60" xfId="50" applyFont="1" applyFill="1" applyBorder="1" applyAlignment="1">
      <alignment horizontal="center"/>
    </xf>
    <xf numFmtId="0" fontId="39" fillId="2" borderId="61" xfId="50" applyFont="1" applyFill="1" applyBorder="1" applyAlignment="1">
      <alignment horizontal="center"/>
    </xf>
    <xf numFmtId="0" fontId="81" fillId="0" borderId="57" xfId="0" applyFont="1" applyBorder="1" applyAlignment="1">
      <alignment horizontal="center" vertical="center"/>
    </xf>
    <xf numFmtId="0" fontId="81" fillId="0" borderId="2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9" fillId="2" borderId="4" xfId="5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1" fillId="0" borderId="17" xfId="0" applyFont="1" applyBorder="1" applyAlignment="1">
      <alignment horizontal="center" vertical="center"/>
    </xf>
    <xf numFmtId="0" fontId="80" fillId="47" borderId="0" xfId="0" applyFont="1" applyFill="1" applyAlignment="1">
      <alignment horizontal="right" wrapText="1"/>
    </xf>
    <xf numFmtId="0" fontId="0" fillId="0" borderId="15" xfId="0" applyBorder="1" applyAlignment="1">
      <alignment horizontal="left"/>
    </xf>
    <xf numFmtId="0" fontId="45" fillId="6" borderId="15" xfId="51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0" fontId="8" fillId="6" borderId="4" xfId="0" applyFont="1" applyFill="1" applyBorder="1"/>
    <xf numFmtId="2" fontId="12" fillId="11" borderId="1" xfId="0" applyNumberFormat="1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2" fillId="11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82" fillId="49" borderId="56" xfId="50" applyFont="1" applyFill="1" applyBorder="1" applyAlignment="1">
      <alignment horizontal="center" vertical="center"/>
    </xf>
    <xf numFmtId="0" fontId="82" fillId="49" borderId="62" xfId="50" applyFont="1" applyFill="1" applyBorder="1" applyAlignment="1">
      <alignment horizontal="center" vertical="center"/>
    </xf>
    <xf numFmtId="0" fontId="82" fillId="38" borderId="41" xfId="50" applyFont="1" applyFill="1" applyBorder="1" applyAlignment="1">
      <alignment horizontal="center" vertical="center"/>
    </xf>
    <xf numFmtId="0" fontId="82" fillId="38" borderId="42" xfId="50" applyFont="1" applyFill="1" applyBorder="1" applyAlignment="1">
      <alignment horizontal="center" vertical="center"/>
    </xf>
    <xf numFmtId="0" fontId="83" fillId="38" borderId="15" xfId="50" applyFont="1" applyFill="1" applyBorder="1" applyAlignment="1">
      <alignment horizontal="center" vertical="center"/>
    </xf>
    <xf numFmtId="0" fontId="83" fillId="38" borderId="4" xfId="50" applyFont="1" applyFill="1" applyBorder="1" applyAlignment="1">
      <alignment horizontal="center" vertical="center"/>
    </xf>
    <xf numFmtId="0" fontId="83" fillId="38" borderId="52" xfId="50" applyFont="1" applyFill="1" applyBorder="1" applyAlignment="1">
      <alignment horizontal="center" vertical="center"/>
    </xf>
    <xf numFmtId="0" fontId="83" fillId="38" borderId="30" xfId="5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left"/>
    </xf>
    <xf numFmtId="0" fontId="2" fillId="38" borderId="52" xfId="0" applyFont="1" applyFill="1" applyBorder="1" applyAlignment="1">
      <alignment horizontal="left"/>
    </xf>
    <xf numFmtId="0" fontId="5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1" fillId="6" borderId="1" xfId="50" applyFont="1" applyFill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center" vertical="center"/>
    </xf>
    <xf numFmtId="0" fontId="83" fillId="0" borderId="0" xfId="50" applyFont="1" applyAlignment="1">
      <alignment horizontal="center" vertical="center" wrapText="1"/>
    </xf>
    <xf numFmtId="0" fontId="83" fillId="0" borderId="1" xfId="50" applyFont="1" applyBorder="1" applyAlignment="1">
      <alignment horizontal="center" vertical="center"/>
    </xf>
    <xf numFmtId="0" fontId="17" fillId="34" borderId="64" xfId="0" applyFont="1" applyFill="1" applyBorder="1" applyAlignment="1">
      <alignment horizontal="center"/>
    </xf>
    <xf numFmtId="0" fontId="83" fillId="6" borderId="1" xfId="5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5" xfId="50" applyFont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38" borderId="1" xfId="0" applyFont="1" applyFill="1" applyBorder="1" applyAlignment="1">
      <alignment horizontal="center"/>
    </xf>
    <xf numFmtId="0" fontId="28" fillId="38" borderId="15" xfId="0" applyFont="1" applyFill="1" applyBorder="1" applyAlignment="1">
      <alignment horizontal="center"/>
    </xf>
    <xf numFmtId="0" fontId="2" fillId="3" borderId="0" xfId="0" applyFont="1" applyFill="1"/>
    <xf numFmtId="0" fontId="28" fillId="3" borderId="65" xfId="0" applyFont="1" applyFill="1" applyBorder="1" applyAlignment="1">
      <alignment horizontal="center" vertical="center"/>
    </xf>
    <xf numFmtId="0" fontId="28" fillId="3" borderId="66" xfId="0" applyFont="1" applyFill="1" applyBorder="1" applyAlignment="1">
      <alignment horizontal="center" vertical="center"/>
    </xf>
    <xf numFmtId="0" fontId="28" fillId="34" borderId="67" xfId="0" applyFont="1" applyFill="1" applyBorder="1" applyAlignment="1">
      <alignment horizontal="center"/>
    </xf>
    <xf numFmtId="0" fontId="82" fillId="49" borderId="32" xfId="50" applyFont="1" applyFill="1" applyBorder="1" applyAlignment="1">
      <alignment horizontal="center" vertical="center"/>
    </xf>
    <xf numFmtId="0" fontId="82" fillId="38" borderId="50" xfId="5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left"/>
    </xf>
    <xf numFmtId="0" fontId="28" fillId="3" borderId="4" xfId="0" applyFont="1" applyFill="1" applyBorder="1" applyAlignment="1">
      <alignment horizontal="center" vertical="center"/>
    </xf>
    <xf numFmtId="0" fontId="28" fillId="34" borderId="56" xfId="0" applyFont="1" applyFill="1" applyBorder="1" applyAlignment="1">
      <alignment horizontal="center" vertical="center"/>
    </xf>
    <xf numFmtId="0" fontId="28" fillId="34" borderId="68" xfId="0" applyFont="1" applyFill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wrapText="1"/>
    </xf>
    <xf numFmtId="0" fontId="17" fillId="2" borderId="67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2" borderId="1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17" fillId="2" borderId="68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/>
    </xf>
    <xf numFmtId="0" fontId="17" fillId="34" borderId="67" xfId="0" applyFont="1" applyFill="1" applyBorder="1" applyAlignment="1">
      <alignment horizontal="center"/>
    </xf>
    <xf numFmtId="0" fontId="28" fillId="34" borderId="14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34" borderId="68" xfId="0" applyFont="1" applyFill="1" applyBorder="1" applyAlignment="1">
      <alignment horizontal="center"/>
    </xf>
    <xf numFmtId="0" fontId="3" fillId="0" borderId="2" xfId="50" applyFont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/>
    </xf>
    <xf numFmtId="0" fontId="3" fillId="0" borderId="14" xfId="5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" fillId="0" borderId="2" xfId="5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86" fillId="0" borderId="1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top"/>
    </xf>
    <xf numFmtId="0" fontId="0" fillId="0" borderId="3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7" fillId="50" borderId="70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34" borderId="1" xfId="0" applyFont="1" applyFill="1" applyBorder="1" applyAlignment="1">
      <alignment horizontal="center" wrapText="1"/>
    </xf>
    <xf numFmtId="0" fontId="88" fillId="34" borderId="4" xfId="0" applyFont="1" applyFill="1" applyBorder="1" applyAlignment="1">
      <alignment horizontal="center"/>
    </xf>
    <xf numFmtId="0" fontId="88" fillId="34" borderId="5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44" fillId="3" borderId="1" xfId="0" applyFont="1" applyFill="1" applyBorder="1" applyAlignment="1" applyProtection="1">
      <alignment horizontal="center" vertical="center" wrapText="1" readingOrder="1"/>
      <protection locked="0"/>
    </xf>
    <xf numFmtId="0" fontId="88" fillId="34" borderId="30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89" fillId="0" borderId="1" xfId="0" applyFont="1" applyBorder="1" applyAlignment="1">
      <alignment horizontal="left" vertical="center" wrapText="1"/>
    </xf>
    <xf numFmtId="0" fontId="2" fillId="3" borderId="15" xfId="0" applyFont="1" applyFill="1" applyBorder="1"/>
    <xf numFmtId="0" fontId="2" fillId="48" borderId="24" xfId="0" applyFont="1" applyFill="1" applyBorder="1" applyAlignment="1">
      <alignment horizontal="center"/>
    </xf>
    <xf numFmtId="0" fontId="2" fillId="6" borderId="4" xfId="0" applyFont="1" applyFill="1" applyBorder="1"/>
    <xf numFmtId="0" fontId="2" fillId="3" borderId="14" xfId="0" applyFont="1" applyFill="1" applyBorder="1"/>
    <xf numFmtId="0" fontId="2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48" borderId="7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 wrapText="1"/>
    </xf>
    <xf numFmtId="0" fontId="2" fillId="48" borderId="72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wrapText="1"/>
    </xf>
    <xf numFmtId="0" fontId="71" fillId="28" borderId="1" xfId="0" applyFont="1" applyFill="1" applyBorder="1" applyAlignment="1">
      <alignment horizontal="center" wrapText="1"/>
    </xf>
    <xf numFmtId="0" fontId="85" fillId="0" borderId="1" xfId="0" applyFont="1" applyBorder="1" applyAlignment="1">
      <alignment wrapText="1"/>
    </xf>
    <xf numFmtId="0" fontId="28" fillId="3" borderId="15" xfId="0" applyFont="1" applyFill="1" applyBorder="1" applyAlignment="1">
      <alignment horizontal="center"/>
    </xf>
    <xf numFmtId="0" fontId="28" fillId="11" borderId="15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4" xfId="0" applyFont="1" applyFill="1" applyBorder="1"/>
    <xf numFmtId="49" fontId="28" fillId="11" borderId="1" xfId="0" applyNumberFormat="1" applyFont="1" applyFill="1" applyBorder="1" applyAlignment="1">
      <alignment horizontal="center"/>
    </xf>
    <xf numFmtId="0" fontId="28" fillId="11" borderId="5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8" borderId="73" xfId="0" applyFont="1" applyFill="1" applyBorder="1" applyAlignment="1">
      <alignment horizontal="center" vertical="center"/>
    </xf>
    <xf numFmtId="0" fontId="2" fillId="48" borderId="74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3" fillId="0" borderId="0" xfId="0" applyFont="1"/>
    <xf numFmtId="177" fontId="34" fillId="0" borderId="1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7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colors>
    <mruColors>
      <color rgb="000033CC"/>
      <color rgb="0066FFFF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472341406959373"/>
          <c:w val="0.776315789473684"/>
          <c:h val="0.2553196794374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[2]CO_PO_ASESSEMENT!$C$27:$J$27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36896"/>
        <c:axId val="209547264"/>
      </c:barChart>
      <c:catAx>
        <c:axId val="2095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47264"/>
        <c:crosses val="autoZero"/>
        <c:auto val="1"/>
        <c:lblAlgn val="ctr"/>
        <c:lblOffset val="100"/>
        <c:noMultiLvlLbl val="0"/>
      </c:catAx>
      <c:valAx>
        <c:axId val="2095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368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b159ea-3e17-4105-910f-c79fdfb2124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478634476138806"/>
          <c:w val="0.388101983002833"/>
          <c:h val="0.1623938401185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'C:\Users\Admin\Downloads\[22AI34-Data Structures with Applications-Attainment-2022 Scheme-Reshma S - 14-09-2024 new.xls]Theory'!$DB$13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[2]Theory!$DA$14:$DA$68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[2]Theory!$DB$14:$DB$68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43008"/>
        <c:axId val="218832896"/>
      </c:scatterChart>
      <c:valAx>
        <c:axId val="209643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8832896"/>
        <c:crosses val="autoZero"/>
        <c:crossBetween val="midCat"/>
      </c:valAx>
      <c:valAx>
        <c:axId val="2188328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6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555240793201"/>
          <c:y val="0.350428844699497"/>
          <c:w val="0.308781869688385"/>
          <c:h val="0.35042884469949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2e947-71aa-4a72-9126-420221979e6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455320094996873"/>
          <c:w val="0.813521665395691"/>
          <c:h val="0.1489364796718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[2]CO_PO_ASESSEMENT!$C$23:$L$23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3104"/>
        <c:axId val="212157184"/>
      </c:barChart>
      <c:catAx>
        <c:axId val="2121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57184"/>
        <c:crosses val="autoZero"/>
        <c:auto val="1"/>
        <c:lblAlgn val="ctr"/>
        <c:lblOffset val="100"/>
        <c:noMultiLvlLbl val="0"/>
      </c:catAx>
      <c:valAx>
        <c:axId val="2121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43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a47f82-bfbf-4854-a951-6059d51b1e5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74.4323936026023</c:v>
                </c:pt>
                <c:pt idx="1">
                  <c:v>62.9044117647059</c:v>
                </c:pt>
                <c:pt idx="2">
                  <c:v>68.774910253627</c:v>
                </c:pt>
                <c:pt idx="3">
                  <c:v>50.5869995096514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34.4117647058824</c:v>
                </c:pt>
                <c:pt idx="1">
                  <c:v>34.4117647058824</c:v>
                </c:pt>
                <c:pt idx="2">
                  <c:v>34.4117647058824</c:v>
                </c:pt>
                <c:pt idx="3">
                  <c:v>34.4117647058824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91104"/>
        <c:axId val="212201472"/>
      </c:barChart>
      <c:catAx>
        <c:axId val="2121911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201472"/>
        <c:crosses val="autoZero"/>
        <c:auto val="1"/>
        <c:lblAlgn val="ctr"/>
        <c:lblOffset val="100"/>
        <c:noMultiLvlLbl val="0"/>
      </c:catAx>
      <c:valAx>
        <c:axId val="2122014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91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877dd-61ba-421e-9a0d-07f71f8044f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5815" y="2656840"/>
          <a:ext cx="557149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6260" y="10160"/>
          <a:ext cx="10441940" cy="2042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29</xdr:row>
      <xdr:rowOff>114300</xdr:rowOff>
    </xdr:from>
    <xdr:to>
      <xdr:col>6</xdr:col>
      <xdr:colOff>171450</xdr:colOff>
      <xdr:row>40</xdr:row>
      <xdr:rowOff>161925</xdr:rowOff>
    </xdr:to>
    <xdr:graphicFrame>
      <xdr:nvGraphicFramePr>
        <xdr:cNvPr id="2" name="Chart 5"/>
        <xdr:cNvGraphicFramePr/>
      </xdr:nvGraphicFramePr>
      <xdr:xfrm>
        <a:off x="428625" y="8203565"/>
        <a:ext cx="6289040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29</xdr:row>
      <xdr:rowOff>104775</xdr:rowOff>
    </xdr:from>
    <xdr:to>
      <xdr:col>13</xdr:col>
      <xdr:colOff>314325</xdr:colOff>
      <xdr:row>40</xdr:row>
      <xdr:rowOff>142875</xdr:rowOff>
    </xdr:to>
    <xdr:graphicFrame>
      <xdr:nvGraphicFramePr>
        <xdr:cNvPr id="3" name="Chart 7"/>
        <xdr:cNvGraphicFramePr/>
      </xdr:nvGraphicFramePr>
      <xdr:xfrm>
        <a:off x="6860540" y="8194040"/>
        <a:ext cx="409384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29</xdr:row>
      <xdr:rowOff>114300</xdr:rowOff>
    </xdr:from>
    <xdr:to>
      <xdr:col>19</xdr:col>
      <xdr:colOff>523875</xdr:colOff>
      <xdr:row>40</xdr:row>
      <xdr:rowOff>161925</xdr:rowOff>
    </xdr:to>
    <xdr:graphicFrame>
      <xdr:nvGraphicFramePr>
        <xdr:cNvPr id="4" name="Chart 8"/>
        <xdr:cNvGraphicFramePr/>
      </xdr:nvGraphicFramePr>
      <xdr:xfrm>
        <a:off x="11169015" y="8203565"/>
        <a:ext cx="485711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5895" y="1813560"/>
        <a:ext cx="44634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trahulprabhu38/Desktop/C:\Users\Admin\Downloads\22AI34-Data Structures with Applications-Attainment-2022 Scheme-Reshma S - 14-09-2024 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4"/>
  <sheetViews>
    <sheetView zoomScale="37" zoomScaleNormal="37" topLeftCell="T1" workbookViewId="0">
      <selection activeCell="DA17" sqref="DA17"/>
    </sheetView>
  </sheetViews>
  <sheetFormatPr defaultColWidth="9" defaultRowHeight="17.6"/>
  <cols>
    <col min="1" max="1" width="5.546875" style="500" customWidth="1"/>
    <col min="2" max="2" width="13.8203125" style="500" customWidth="1"/>
    <col min="3" max="3" width="31.1796875" style="500" customWidth="1"/>
    <col min="4" max="4" width="8.2734375" style="500" customWidth="1"/>
    <col min="5" max="5" width="6.1796875" style="500" customWidth="1"/>
    <col min="6" max="6" width="1" style="500" customWidth="1"/>
    <col min="7" max="7" width="1.2734375" style="500" customWidth="1"/>
    <col min="8" max="8" width="5.1796875" style="500" customWidth="1"/>
    <col min="9" max="9" width="6.1796875" style="500" customWidth="1"/>
    <col min="10" max="10" width="0.7265625" style="500" customWidth="1"/>
    <col min="11" max="11" width="1" style="500" customWidth="1"/>
    <col min="12" max="12" width="4.7265625" style="500" customWidth="1"/>
    <col min="13" max="13" width="6.2734375" style="500" customWidth="1"/>
    <col min="14" max="14" width="0.8203125" style="500" customWidth="1"/>
    <col min="15" max="15" width="1.1796875" style="500" customWidth="1"/>
    <col min="16" max="16" width="6.546875" style="500" customWidth="1"/>
    <col min="17" max="17" width="7.1796875" style="500" customWidth="1"/>
    <col min="18" max="19" width="1.546875" style="500" customWidth="1"/>
    <col min="20" max="20" width="6.8203125" style="500" customWidth="1"/>
    <col min="21" max="21" width="2" style="500" customWidth="1"/>
    <col min="22" max="22" width="1.2734375" style="500" customWidth="1"/>
    <col min="23" max="23" width="2.1796875" style="500" customWidth="1"/>
    <col min="24" max="24" width="6.453125" style="500" customWidth="1"/>
    <col min="25" max="27" width="2" style="500" customWidth="1"/>
    <col min="28" max="28" width="6.7265625" style="500" customWidth="1"/>
    <col min="29" max="29" width="1.2734375" style="500" customWidth="1"/>
    <col min="30" max="30" width="1.546875" style="500" customWidth="1"/>
    <col min="31" max="31" width="1.453125" style="500" customWidth="1"/>
    <col min="32" max="32" width="6.1796875" style="500" customWidth="1"/>
    <col min="33" max="35" width="1" style="500" customWidth="1"/>
    <col min="36" max="36" width="6.453125" style="500" customWidth="1"/>
    <col min="37" max="37" width="5.8203125" style="500" customWidth="1"/>
    <col min="38" max="38" width="1.453125" style="500" customWidth="1"/>
    <col min="39" max="39" width="1.546875" style="500" customWidth="1"/>
    <col min="40" max="40" width="6.1796875" style="500" customWidth="1"/>
    <col min="41" max="41" width="7" style="500" customWidth="1"/>
    <col min="42" max="42" width="1.1796875" style="500" customWidth="1"/>
    <col min="43" max="43" width="1.8203125" style="500" customWidth="1"/>
    <col min="44" max="44" width="5.8203125" style="500" customWidth="1"/>
    <col min="45" max="45" width="1.7265625" style="500" customWidth="1"/>
    <col min="46" max="46" width="2.1796875" style="500" customWidth="1"/>
    <col min="47" max="47" width="1.1796875" style="500" customWidth="1"/>
    <col min="48" max="48" width="7.2734375" style="500" customWidth="1"/>
    <col min="49" max="50" width="2.1796875" style="500" customWidth="1"/>
    <col min="51" max="51" width="1.7265625" style="500" customWidth="1"/>
    <col min="52" max="52" width="5.546875" style="500" customWidth="1"/>
    <col min="53" max="53" width="2" style="500" customWidth="1"/>
    <col min="54" max="54" width="1.453125" style="500" customWidth="1"/>
    <col min="55" max="55" width="2" style="500" customWidth="1"/>
    <col min="56" max="56" width="6.8203125" style="500" customWidth="1"/>
    <col min="57" max="57" width="1.7265625" style="500" customWidth="1"/>
    <col min="58" max="58" width="2" style="500" customWidth="1"/>
    <col min="59" max="59" width="1.8203125" style="500" customWidth="1"/>
    <col min="60" max="60" width="6.8203125" style="500" customWidth="1"/>
    <col min="61" max="61" width="1.1796875" style="500" customWidth="1"/>
    <col min="62" max="62" width="1.2734375" style="500" customWidth="1"/>
    <col min="63" max="63" width="1.8203125" style="500" customWidth="1"/>
    <col min="64" max="64" width="5.453125" style="500" customWidth="1"/>
    <col min="65" max="65" width="1.453125" style="500" customWidth="1"/>
    <col min="66" max="66" width="1.2734375" style="500" customWidth="1"/>
    <col min="67" max="67" width="2.1796875" style="500" customWidth="1"/>
    <col min="68" max="68" width="5.1796875" style="500" customWidth="1"/>
    <col min="69" max="69" width="5.546875" style="500" customWidth="1"/>
    <col min="70" max="70" width="1.1796875" style="500" customWidth="1"/>
    <col min="71" max="71" width="1.453125" style="500" customWidth="1"/>
    <col min="72" max="72" width="6" style="500" customWidth="1"/>
    <col min="73" max="73" width="5.8203125" style="500" customWidth="1"/>
    <col min="74" max="74" width="1.7265625" style="500" customWidth="1"/>
    <col min="75" max="75" width="2.1796875" style="500" customWidth="1"/>
    <col min="76" max="76" width="5.8203125" style="500" customWidth="1"/>
    <col min="77" max="77" width="1.8203125" style="500" customWidth="1"/>
    <col min="78" max="78" width="1.546875" style="500" customWidth="1"/>
    <col min="79" max="79" width="1.2734375" style="500" customWidth="1"/>
    <col min="80" max="80" width="5" style="500" customWidth="1"/>
    <col min="81" max="81" width="1.546875" style="500" customWidth="1"/>
    <col min="82" max="82" width="2.2734375" style="500" customWidth="1"/>
    <col min="83" max="83" width="1.546875" style="500" customWidth="1"/>
    <col min="84" max="84" width="6.2734375" style="500" customWidth="1"/>
    <col min="85" max="86" width="1.8203125" style="500" customWidth="1"/>
    <col min="87" max="87" width="1.546875" style="500" customWidth="1"/>
    <col min="88" max="88" width="6.1796875" style="500" customWidth="1"/>
    <col min="89" max="90" width="1.1796875" style="500" customWidth="1"/>
    <col min="91" max="91" width="1.2734375" style="500" customWidth="1"/>
    <col min="92" max="92" width="5.8203125" style="500" customWidth="1"/>
    <col min="93" max="93" width="1.546875" style="500" customWidth="1"/>
    <col min="94" max="94" width="1.8203125" style="500" customWidth="1"/>
    <col min="95" max="95" width="1.1796875" style="500" customWidth="1"/>
    <col min="96" max="96" width="6.8203125" style="500" customWidth="1"/>
    <col min="97" max="97" width="1.2734375" style="500" customWidth="1"/>
    <col min="98" max="99" width="1.7265625" style="500" customWidth="1"/>
    <col min="100" max="100" width="13.3671875" style="501" customWidth="1"/>
    <col min="101" max="101" width="12.2734375" style="500" customWidth="1"/>
    <col min="102" max="103" width="8.2734375" style="500" customWidth="1"/>
    <col min="104" max="104" width="8.7265625" style="500" customWidth="1"/>
    <col min="105" max="105" width="8.1796875" style="500" customWidth="1"/>
    <col min="106" max="106" width="11.453125" style="501" customWidth="1"/>
    <col min="107" max="107" width="12.1796875" style="501" customWidth="1"/>
    <col min="108" max="108" width="13.546875" style="501" customWidth="1"/>
    <col min="109" max="109" width="9.1796875" style="500"/>
    <col min="110" max="110" width="16.453125" style="501" customWidth="1"/>
    <col min="111" max="111" width="13.546875" style="501" customWidth="1"/>
    <col min="112" max="113" width="9.1796875" style="501"/>
    <col min="114" max="114" width="9.1796875" style="500"/>
    <col min="115" max="115" width="12.546875" style="500" customWidth="1"/>
    <col min="116" max="116" width="11.8203125" style="500" customWidth="1"/>
    <col min="117" max="119" width="12.453125" style="500" customWidth="1"/>
    <col min="120" max="120" width="12.2734375" style="500" customWidth="1"/>
    <col min="121" max="121" width="11.7265625" style="500" customWidth="1"/>
    <col min="122" max="122" width="13.546875" style="500" customWidth="1"/>
    <col min="123" max="256" width="9.1796875" style="500"/>
    <col min="257" max="257" width="5.546875" style="500" customWidth="1"/>
    <col min="258" max="258" width="21.2734375" style="500" customWidth="1"/>
    <col min="259" max="259" width="38.8203125" style="500" customWidth="1"/>
    <col min="260" max="260" width="8.2734375" style="500" customWidth="1"/>
    <col min="261" max="261" width="6.1796875" style="500" customWidth="1"/>
    <col min="262" max="262" width="1" style="500" customWidth="1"/>
    <col min="263" max="263" width="1.2734375" style="500" customWidth="1"/>
    <col min="264" max="264" width="5.1796875" style="500" customWidth="1"/>
    <col min="265" max="265" width="6.1796875" style="500" customWidth="1"/>
    <col min="266" max="266" width="0.7265625" style="500" customWidth="1"/>
    <col min="267" max="267" width="1" style="500" customWidth="1"/>
    <col min="268" max="268" width="4.7265625" style="500" customWidth="1"/>
    <col min="269" max="269" width="6.2734375" style="500" customWidth="1"/>
    <col min="270" max="270" width="0.8203125" style="500" customWidth="1"/>
    <col min="271" max="271" width="1.1796875" style="500" customWidth="1"/>
    <col min="272" max="272" width="6.546875" style="500" customWidth="1"/>
    <col min="273" max="273" width="7.1796875" style="500" customWidth="1"/>
    <col min="274" max="275" width="1.546875" style="500" customWidth="1"/>
    <col min="276" max="276" width="6.8203125" style="500" customWidth="1"/>
    <col min="277" max="277" width="2" style="500" customWidth="1"/>
    <col min="278" max="278" width="1.2734375" style="500" customWidth="1"/>
    <col min="279" max="279" width="2.1796875" style="500" customWidth="1"/>
    <col min="280" max="280" width="6.453125" style="500" customWidth="1"/>
    <col min="281" max="283" width="2" style="500" customWidth="1"/>
    <col min="284" max="284" width="7.7265625" style="500" customWidth="1"/>
    <col min="285" max="285" width="1.2734375" style="500" customWidth="1"/>
    <col min="286" max="286" width="1.546875" style="500" customWidth="1"/>
    <col min="287" max="287" width="1.453125" style="500" customWidth="1"/>
    <col min="288" max="288" width="6.1796875" style="500" customWidth="1"/>
    <col min="289" max="291" width="1" style="500" customWidth="1"/>
    <col min="292" max="292" width="6.453125" style="500" customWidth="1"/>
    <col min="293" max="293" width="5.8203125" style="500" customWidth="1"/>
    <col min="294" max="294" width="1.453125" style="500" customWidth="1"/>
    <col min="295" max="295" width="1.546875" style="500" customWidth="1"/>
    <col min="296" max="296" width="6.1796875" style="500" customWidth="1"/>
    <col min="297" max="297" width="7" style="500" customWidth="1"/>
    <col min="298" max="298" width="1.1796875" style="500" customWidth="1"/>
    <col min="299" max="299" width="1.8203125" style="500" customWidth="1"/>
    <col min="300" max="300" width="5.8203125" style="500" customWidth="1"/>
    <col min="301" max="301" width="1.7265625" style="500" customWidth="1"/>
    <col min="302" max="302" width="2.1796875" style="500" customWidth="1"/>
    <col min="303" max="303" width="1.1796875" style="500" customWidth="1"/>
    <col min="304" max="304" width="7.2734375" style="500" customWidth="1"/>
    <col min="305" max="306" width="2.1796875" style="500" customWidth="1"/>
    <col min="307" max="307" width="1.7265625" style="500" customWidth="1"/>
    <col min="308" max="308" width="5.546875" style="500" customWidth="1"/>
    <col min="309" max="309" width="2" style="500" customWidth="1"/>
    <col min="310" max="310" width="1.453125" style="500" customWidth="1"/>
    <col min="311" max="311" width="2" style="500" customWidth="1"/>
    <col min="312" max="312" width="6.8203125" style="500" customWidth="1"/>
    <col min="313" max="313" width="1.7265625" style="500" customWidth="1"/>
    <col min="314" max="314" width="2" style="500" customWidth="1"/>
    <col min="315" max="315" width="1.8203125" style="500" customWidth="1"/>
    <col min="316" max="316" width="6.8203125" style="500" customWidth="1"/>
    <col min="317" max="317" width="1.1796875" style="500" customWidth="1"/>
    <col min="318" max="318" width="1.2734375" style="500" customWidth="1"/>
    <col min="319" max="319" width="1.8203125" style="500" customWidth="1"/>
    <col min="320" max="320" width="6.8203125" style="500" customWidth="1"/>
    <col min="321" max="321" width="1.453125" style="500" customWidth="1"/>
    <col min="322" max="322" width="1.2734375" style="500" customWidth="1"/>
    <col min="323" max="323" width="2.1796875" style="500" customWidth="1"/>
    <col min="324" max="324" width="5.1796875" style="500" customWidth="1"/>
    <col min="325" max="325" width="5.546875" style="500" customWidth="1"/>
    <col min="326" max="326" width="1.1796875" style="500" customWidth="1"/>
    <col min="327" max="327" width="1.453125" style="500" customWidth="1"/>
    <col min="328" max="328" width="6" style="500" customWidth="1"/>
    <col min="329" max="329" width="5.8203125" style="500" customWidth="1"/>
    <col min="330" max="330" width="1.7265625" style="500" customWidth="1"/>
    <col min="331" max="331" width="2.1796875" style="500" customWidth="1"/>
    <col min="332" max="335" width="5.8203125" style="500" customWidth="1"/>
    <col min="336" max="336" width="6" style="500" customWidth="1"/>
    <col min="337" max="337" width="1.546875" style="500" customWidth="1"/>
    <col min="338" max="338" width="2.2734375" style="500" customWidth="1"/>
    <col min="339" max="339" width="1.546875" style="500" customWidth="1"/>
    <col min="340" max="343" width="6.2734375" style="500" customWidth="1"/>
    <col min="344" max="344" width="6.1796875" style="500" customWidth="1"/>
    <col min="345" max="346" width="1.1796875" style="500" customWidth="1"/>
    <col min="347" max="347" width="1.2734375" style="500" customWidth="1"/>
    <col min="348" max="351" width="5.8203125" style="500" customWidth="1"/>
    <col min="352" max="352" width="6.8203125" style="500" customWidth="1"/>
    <col min="353" max="353" width="1.2734375" style="500" customWidth="1"/>
    <col min="354" max="355" width="1.7265625" style="500" customWidth="1"/>
    <col min="356" max="357" width="10.7265625" style="500" customWidth="1"/>
    <col min="358" max="359" width="8.2734375" style="500" customWidth="1"/>
    <col min="360" max="360" width="8.7265625" style="500" customWidth="1"/>
    <col min="361" max="361" width="8.1796875" style="500" customWidth="1"/>
    <col min="362" max="363" width="11.2734375" style="500" customWidth="1"/>
    <col min="364" max="364" width="10" style="500" customWidth="1"/>
    <col min="365" max="512" width="9.1796875" style="500"/>
    <col min="513" max="513" width="5.546875" style="500" customWidth="1"/>
    <col min="514" max="514" width="21.2734375" style="500" customWidth="1"/>
    <col min="515" max="515" width="38.8203125" style="500" customWidth="1"/>
    <col min="516" max="516" width="8.2734375" style="500" customWidth="1"/>
    <col min="517" max="517" width="6.1796875" style="500" customWidth="1"/>
    <col min="518" max="518" width="1" style="500" customWidth="1"/>
    <col min="519" max="519" width="1.2734375" style="500" customWidth="1"/>
    <col min="520" max="520" width="5.1796875" style="500" customWidth="1"/>
    <col min="521" max="521" width="6.1796875" style="500" customWidth="1"/>
    <col min="522" max="522" width="0.7265625" style="500" customWidth="1"/>
    <col min="523" max="523" width="1" style="500" customWidth="1"/>
    <col min="524" max="524" width="4.7265625" style="500" customWidth="1"/>
    <col min="525" max="525" width="6.2734375" style="500" customWidth="1"/>
    <col min="526" max="526" width="0.8203125" style="500" customWidth="1"/>
    <col min="527" max="527" width="1.1796875" style="500" customWidth="1"/>
    <col min="528" max="528" width="6.546875" style="500" customWidth="1"/>
    <col min="529" max="529" width="7.1796875" style="500" customWidth="1"/>
    <col min="530" max="531" width="1.546875" style="500" customWidth="1"/>
    <col min="532" max="532" width="6.8203125" style="500" customWidth="1"/>
    <col min="533" max="533" width="2" style="500" customWidth="1"/>
    <col min="534" max="534" width="1.2734375" style="500" customWidth="1"/>
    <col min="535" max="535" width="2.1796875" style="500" customWidth="1"/>
    <col min="536" max="536" width="6.453125" style="500" customWidth="1"/>
    <col min="537" max="539" width="2" style="500" customWidth="1"/>
    <col min="540" max="540" width="7.7265625" style="500" customWidth="1"/>
    <col min="541" max="541" width="1.2734375" style="500" customWidth="1"/>
    <col min="542" max="542" width="1.546875" style="500" customWidth="1"/>
    <col min="543" max="543" width="1.453125" style="500" customWidth="1"/>
    <col min="544" max="544" width="6.1796875" style="500" customWidth="1"/>
    <col min="545" max="547" width="1" style="500" customWidth="1"/>
    <col min="548" max="548" width="6.453125" style="500" customWidth="1"/>
    <col min="549" max="549" width="5.8203125" style="500" customWidth="1"/>
    <col min="550" max="550" width="1.453125" style="500" customWidth="1"/>
    <col min="551" max="551" width="1.546875" style="500" customWidth="1"/>
    <col min="552" max="552" width="6.1796875" style="500" customWidth="1"/>
    <col min="553" max="553" width="7" style="500" customWidth="1"/>
    <col min="554" max="554" width="1.1796875" style="500" customWidth="1"/>
    <col min="555" max="555" width="1.8203125" style="500" customWidth="1"/>
    <col min="556" max="556" width="5.8203125" style="500" customWidth="1"/>
    <col min="557" max="557" width="1.7265625" style="500" customWidth="1"/>
    <col min="558" max="558" width="2.1796875" style="500" customWidth="1"/>
    <col min="559" max="559" width="1.1796875" style="500" customWidth="1"/>
    <col min="560" max="560" width="7.2734375" style="500" customWidth="1"/>
    <col min="561" max="562" width="2.1796875" style="500" customWidth="1"/>
    <col min="563" max="563" width="1.7265625" style="500" customWidth="1"/>
    <col min="564" max="564" width="5.546875" style="500" customWidth="1"/>
    <col min="565" max="565" width="2" style="500" customWidth="1"/>
    <col min="566" max="566" width="1.453125" style="500" customWidth="1"/>
    <col min="567" max="567" width="2" style="500" customWidth="1"/>
    <col min="568" max="568" width="6.8203125" style="500" customWidth="1"/>
    <col min="569" max="569" width="1.7265625" style="500" customWidth="1"/>
    <col min="570" max="570" width="2" style="500" customWidth="1"/>
    <col min="571" max="571" width="1.8203125" style="500" customWidth="1"/>
    <col min="572" max="572" width="6.8203125" style="500" customWidth="1"/>
    <col min="573" max="573" width="1.1796875" style="500" customWidth="1"/>
    <col min="574" max="574" width="1.2734375" style="500" customWidth="1"/>
    <col min="575" max="575" width="1.8203125" style="500" customWidth="1"/>
    <col min="576" max="576" width="6.8203125" style="500" customWidth="1"/>
    <col min="577" max="577" width="1.453125" style="500" customWidth="1"/>
    <col min="578" max="578" width="1.2734375" style="500" customWidth="1"/>
    <col min="579" max="579" width="2.1796875" style="500" customWidth="1"/>
    <col min="580" max="580" width="5.1796875" style="500" customWidth="1"/>
    <col min="581" max="581" width="5.546875" style="500" customWidth="1"/>
    <col min="582" max="582" width="1.1796875" style="500" customWidth="1"/>
    <col min="583" max="583" width="1.453125" style="500" customWidth="1"/>
    <col min="584" max="584" width="6" style="500" customWidth="1"/>
    <col min="585" max="585" width="5.8203125" style="500" customWidth="1"/>
    <col min="586" max="586" width="1.7265625" style="500" customWidth="1"/>
    <col min="587" max="587" width="2.1796875" style="500" customWidth="1"/>
    <col min="588" max="591" width="5.8203125" style="500" customWidth="1"/>
    <col min="592" max="592" width="6" style="500" customWidth="1"/>
    <col min="593" max="593" width="1.546875" style="500" customWidth="1"/>
    <col min="594" max="594" width="2.2734375" style="500" customWidth="1"/>
    <col min="595" max="595" width="1.546875" style="500" customWidth="1"/>
    <col min="596" max="599" width="6.2734375" style="500" customWidth="1"/>
    <col min="600" max="600" width="6.1796875" style="500" customWidth="1"/>
    <col min="601" max="602" width="1.1796875" style="500" customWidth="1"/>
    <col min="603" max="603" width="1.2734375" style="500" customWidth="1"/>
    <col min="604" max="607" width="5.8203125" style="500" customWidth="1"/>
    <col min="608" max="608" width="6.8203125" style="500" customWidth="1"/>
    <col min="609" max="609" width="1.2734375" style="500" customWidth="1"/>
    <col min="610" max="611" width="1.7265625" style="500" customWidth="1"/>
    <col min="612" max="613" width="10.7265625" style="500" customWidth="1"/>
    <col min="614" max="615" width="8.2734375" style="500" customWidth="1"/>
    <col min="616" max="616" width="8.7265625" style="500" customWidth="1"/>
    <col min="617" max="617" width="8.1796875" style="500" customWidth="1"/>
    <col min="618" max="619" width="11.2734375" style="500" customWidth="1"/>
    <col min="620" max="620" width="10" style="500" customWidth="1"/>
    <col min="621" max="768" width="9.1796875" style="500"/>
    <col min="769" max="769" width="5.546875" style="500" customWidth="1"/>
    <col min="770" max="770" width="21.2734375" style="500" customWidth="1"/>
    <col min="771" max="771" width="38.8203125" style="500" customWidth="1"/>
    <col min="772" max="772" width="8.2734375" style="500" customWidth="1"/>
    <col min="773" max="773" width="6.1796875" style="500" customWidth="1"/>
    <col min="774" max="774" width="1" style="500" customWidth="1"/>
    <col min="775" max="775" width="1.2734375" style="500" customWidth="1"/>
    <col min="776" max="776" width="5.1796875" style="500" customWidth="1"/>
    <col min="777" max="777" width="6.1796875" style="500" customWidth="1"/>
    <col min="778" max="778" width="0.7265625" style="500" customWidth="1"/>
    <col min="779" max="779" width="1" style="500" customWidth="1"/>
    <col min="780" max="780" width="4.7265625" style="500" customWidth="1"/>
    <col min="781" max="781" width="6.2734375" style="500" customWidth="1"/>
    <col min="782" max="782" width="0.8203125" style="500" customWidth="1"/>
    <col min="783" max="783" width="1.1796875" style="500" customWidth="1"/>
    <col min="784" max="784" width="6.546875" style="500" customWidth="1"/>
    <col min="785" max="785" width="7.1796875" style="500" customWidth="1"/>
    <col min="786" max="787" width="1.546875" style="500" customWidth="1"/>
    <col min="788" max="788" width="6.8203125" style="500" customWidth="1"/>
    <col min="789" max="789" width="2" style="500" customWidth="1"/>
    <col min="790" max="790" width="1.2734375" style="500" customWidth="1"/>
    <col min="791" max="791" width="2.1796875" style="500" customWidth="1"/>
    <col min="792" max="792" width="6.453125" style="500" customWidth="1"/>
    <col min="793" max="795" width="2" style="500" customWidth="1"/>
    <col min="796" max="796" width="7.7265625" style="500" customWidth="1"/>
    <col min="797" max="797" width="1.2734375" style="500" customWidth="1"/>
    <col min="798" max="798" width="1.546875" style="500" customWidth="1"/>
    <col min="799" max="799" width="1.453125" style="500" customWidth="1"/>
    <col min="800" max="800" width="6.1796875" style="500" customWidth="1"/>
    <col min="801" max="803" width="1" style="500" customWidth="1"/>
    <col min="804" max="804" width="6.453125" style="500" customWidth="1"/>
    <col min="805" max="805" width="5.8203125" style="500" customWidth="1"/>
    <col min="806" max="806" width="1.453125" style="500" customWidth="1"/>
    <col min="807" max="807" width="1.546875" style="500" customWidth="1"/>
    <col min="808" max="808" width="6.1796875" style="500" customWidth="1"/>
    <col min="809" max="809" width="7" style="500" customWidth="1"/>
    <col min="810" max="810" width="1.1796875" style="500" customWidth="1"/>
    <col min="811" max="811" width="1.8203125" style="500" customWidth="1"/>
    <col min="812" max="812" width="5.8203125" style="500" customWidth="1"/>
    <col min="813" max="813" width="1.7265625" style="500" customWidth="1"/>
    <col min="814" max="814" width="2.1796875" style="500" customWidth="1"/>
    <col min="815" max="815" width="1.1796875" style="500" customWidth="1"/>
    <col min="816" max="816" width="7.2734375" style="500" customWidth="1"/>
    <col min="817" max="818" width="2.1796875" style="500" customWidth="1"/>
    <col min="819" max="819" width="1.7265625" style="500" customWidth="1"/>
    <col min="820" max="820" width="5.546875" style="500" customWidth="1"/>
    <col min="821" max="821" width="2" style="500" customWidth="1"/>
    <col min="822" max="822" width="1.453125" style="500" customWidth="1"/>
    <col min="823" max="823" width="2" style="500" customWidth="1"/>
    <col min="824" max="824" width="6.8203125" style="500" customWidth="1"/>
    <col min="825" max="825" width="1.7265625" style="500" customWidth="1"/>
    <col min="826" max="826" width="2" style="500" customWidth="1"/>
    <col min="827" max="827" width="1.8203125" style="500" customWidth="1"/>
    <col min="828" max="828" width="6.8203125" style="500" customWidth="1"/>
    <col min="829" max="829" width="1.1796875" style="500" customWidth="1"/>
    <col min="830" max="830" width="1.2734375" style="500" customWidth="1"/>
    <col min="831" max="831" width="1.8203125" style="500" customWidth="1"/>
    <col min="832" max="832" width="6.8203125" style="500" customWidth="1"/>
    <col min="833" max="833" width="1.453125" style="500" customWidth="1"/>
    <col min="834" max="834" width="1.2734375" style="500" customWidth="1"/>
    <col min="835" max="835" width="2.1796875" style="500" customWidth="1"/>
    <col min="836" max="836" width="5.1796875" style="500" customWidth="1"/>
    <col min="837" max="837" width="5.546875" style="500" customWidth="1"/>
    <col min="838" max="838" width="1.1796875" style="500" customWidth="1"/>
    <col min="839" max="839" width="1.453125" style="500" customWidth="1"/>
    <col min="840" max="840" width="6" style="500" customWidth="1"/>
    <col min="841" max="841" width="5.8203125" style="500" customWidth="1"/>
    <col min="842" max="842" width="1.7265625" style="500" customWidth="1"/>
    <col min="843" max="843" width="2.1796875" style="500" customWidth="1"/>
    <col min="844" max="847" width="5.8203125" style="500" customWidth="1"/>
    <col min="848" max="848" width="6" style="500" customWidth="1"/>
    <col min="849" max="849" width="1.546875" style="500" customWidth="1"/>
    <col min="850" max="850" width="2.2734375" style="500" customWidth="1"/>
    <col min="851" max="851" width="1.546875" style="500" customWidth="1"/>
    <col min="852" max="855" width="6.2734375" style="500" customWidth="1"/>
    <col min="856" max="856" width="6.1796875" style="500" customWidth="1"/>
    <col min="857" max="858" width="1.1796875" style="500" customWidth="1"/>
    <col min="859" max="859" width="1.2734375" style="500" customWidth="1"/>
    <col min="860" max="863" width="5.8203125" style="500" customWidth="1"/>
    <col min="864" max="864" width="6.8203125" style="500" customWidth="1"/>
    <col min="865" max="865" width="1.2734375" style="500" customWidth="1"/>
    <col min="866" max="867" width="1.7265625" style="500" customWidth="1"/>
    <col min="868" max="869" width="10.7265625" style="500" customWidth="1"/>
    <col min="870" max="871" width="8.2734375" style="500" customWidth="1"/>
    <col min="872" max="872" width="8.7265625" style="500" customWidth="1"/>
    <col min="873" max="873" width="8.1796875" style="500" customWidth="1"/>
    <col min="874" max="875" width="11.2734375" style="500" customWidth="1"/>
    <col min="876" max="876" width="10" style="500" customWidth="1"/>
    <col min="877" max="1024" width="9.1796875" style="500"/>
    <col min="1025" max="1025" width="5.546875" style="500" customWidth="1"/>
    <col min="1026" max="1026" width="21.2734375" style="500" customWidth="1"/>
    <col min="1027" max="1027" width="38.8203125" style="500" customWidth="1"/>
    <col min="1028" max="1028" width="8.2734375" style="500" customWidth="1"/>
    <col min="1029" max="1029" width="6.1796875" style="500" customWidth="1"/>
    <col min="1030" max="1030" width="1" style="500" customWidth="1"/>
    <col min="1031" max="1031" width="1.2734375" style="500" customWidth="1"/>
    <col min="1032" max="1032" width="5.1796875" style="500" customWidth="1"/>
    <col min="1033" max="1033" width="6.1796875" style="500" customWidth="1"/>
    <col min="1034" max="1034" width="0.7265625" style="500" customWidth="1"/>
    <col min="1035" max="1035" width="1" style="500" customWidth="1"/>
    <col min="1036" max="1036" width="4.7265625" style="500" customWidth="1"/>
    <col min="1037" max="1037" width="6.2734375" style="500" customWidth="1"/>
    <col min="1038" max="1038" width="0.8203125" style="500" customWidth="1"/>
    <col min="1039" max="1039" width="1.1796875" style="500" customWidth="1"/>
    <col min="1040" max="1040" width="6.546875" style="500" customWidth="1"/>
    <col min="1041" max="1041" width="7.1796875" style="500" customWidth="1"/>
    <col min="1042" max="1043" width="1.546875" style="500" customWidth="1"/>
    <col min="1044" max="1044" width="6.8203125" style="500" customWidth="1"/>
    <col min="1045" max="1045" width="2" style="500" customWidth="1"/>
    <col min="1046" max="1046" width="1.2734375" style="500" customWidth="1"/>
    <col min="1047" max="1047" width="2.1796875" style="500" customWidth="1"/>
    <col min="1048" max="1048" width="6.453125" style="500" customWidth="1"/>
    <col min="1049" max="1051" width="2" style="500" customWidth="1"/>
    <col min="1052" max="1052" width="7.7265625" style="500" customWidth="1"/>
    <col min="1053" max="1053" width="1.2734375" style="500" customWidth="1"/>
    <col min="1054" max="1054" width="1.546875" style="500" customWidth="1"/>
    <col min="1055" max="1055" width="1.453125" style="500" customWidth="1"/>
    <col min="1056" max="1056" width="6.1796875" style="500" customWidth="1"/>
    <col min="1057" max="1059" width="1" style="500" customWidth="1"/>
    <col min="1060" max="1060" width="6.453125" style="500" customWidth="1"/>
    <col min="1061" max="1061" width="5.8203125" style="500" customWidth="1"/>
    <col min="1062" max="1062" width="1.453125" style="500" customWidth="1"/>
    <col min="1063" max="1063" width="1.546875" style="500" customWidth="1"/>
    <col min="1064" max="1064" width="6.1796875" style="500" customWidth="1"/>
    <col min="1065" max="1065" width="7" style="500" customWidth="1"/>
    <col min="1066" max="1066" width="1.1796875" style="500" customWidth="1"/>
    <col min="1067" max="1067" width="1.8203125" style="500" customWidth="1"/>
    <col min="1068" max="1068" width="5.8203125" style="500" customWidth="1"/>
    <col min="1069" max="1069" width="1.7265625" style="500" customWidth="1"/>
    <col min="1070" max="1070" width="2.1796875" style="500" customWidth="1"/>
    <col min="1071" max="1071" width="1.1796875" style="500" customWidth="1"/>
    <col min="1072" max="1072" width="7.2734375" style="500" customWidth="1"/>
    <col min="1073" max="1074" width="2.1796875" style="500" customWidth="1"/>
    <col min="1075" max="1075" width="1.7265625" style="500" customWidth="1"/>
    <col min="1076" max="1076" width="5.546875" style="500" customWidth="1"/>
    <col min="1077" max="1077" width="2" style="500" customWidth="1"/>
    <col min="1078" max="1078" width="1.453125" style="500" customWidth="1"/>
    <col min="1079" max="1079" width="2" style="500" customWidth="1"/>
    <col min="1080" max="1080" width="6.8203125" style="500" customWidth="1"/>
    <col min="1081" max="1081" width="1.7265625" style="500" customWidth="1"/>
    <col min="1082" max="1082" width="2" style="500" customWidth="1"/>
    <col min="1083" max="1083" width="1.8203125" style="500" customWidth="1"/>
    <col min="1084" max="1084" width="6.8203125" style="500" customWidth="1"/>
    <col min="1085" max="1085" width="1.1796875" style="500" customWidth="1"/>
    <col min="1086" max="1086" width="1.2734375" style="500" customWidth="1"/>
    <col min="1087" max="1087" width="1.8203125" style="500" customWidth="1"/>
    <col min="1088" max="1088" width="6.8203125" style="500" customWidth="1"/>
    <col min="1089" max="1089" width="1.453125" style="500" customWidth="1"/>
    <col min="1090" max="1090" width="1.2734375" style="500" customWidth="1"/>
    <col min="1091" max="1091" width="2.1796875" style="500" customWidth="1"/>
    <col min="1092" max="1092" width="5.1796875" style="500" customWidth="1"/>
    <col min="1093" max="1093" width="5.546875" style="500" customWidth="1"/>
    <col min="1094" max="1094" width="1.1796875" style="500" customWidth="1"/>
    <col min="1095" max="1095" width="1.453125" style="500" customWidth="1"/>
    <col min="1096" max="1096" width="6" style="500" customWidth="1"/>
    <col min="1097" max="1097" width="5.8203125" style="500" customWidth="1"/>
    <col min="1098" max="1098" width="1.7265625" style="500" customWidth="1"/>
    <col min="1099" max="1099" width="2.1796875" style="500" customWidth="1"/>
    <col min="1100" max="1103" width="5.8203125" style="500" customWidth="1"/>
    <col min="1104" max="1104" width="6" style="500" customWidth="1"/>
    <col min="1105" max="1105" width="1.546875" style="500" customWidth="1"/>
    <col min="1106" max="1106" width="2.2734375" style="500" customWidth="1"/>
    <col min="1107" max="1107" width="1.546875" style="500" customWidth="1"/>
    <col min="1108" max="1111" width="6.2734375" style="500" customWidth="1"/>
    <col min="1112" max="1112" width="6.1796875" style="500" customWidth="1"/>
    <col min="1113" max="1114" width="1.1796875" style="500" customWidth="1"/>
    <col min="1115" max="1115" width="1.2734375" style="500" customWidth="1"/>
    <col min="1116" max="1119" width="5.8203125" style="500" customWidth="1"/>
    <col min="1120" max="1120" width="6.8203125" style="500" customWidth="1"/>
    <col min="1121" max="1121" width="1.2734375" style="500" customWidth="1"/>
    <col min="1122" max="1123" width="1.7265625" style="500" customWidth="1"/>
    <col min="1124" max="1125" width="10.7265625" style="500" customWidth="1"/>
    <col min="1126" max="1127" width="8.2734375" style="500" customWidth="1"/>
    <col min="1128" max="1128" width="8.7265625" style="500" customWidth="1"/>
    <col min="1129" max="1129" width="8.1796875" style="500" customWidth="1"/>
    <col min="1130" max="1131" width="11.2734375" style="500" customWidth="1"/>
    <col min="1132" max="1132" width="10" style="500" customWidth="1"/>
    <col min="1133" max="1280" width="9.1796875" style="500"/>
    <col min="1281" max="1281" width="5.546875" style="500" customWidth="1"/>
    <col min="1282" max="1282" width="21.2734375" style="500" customWidth="1"/>
    <col min="1283" max="1283" width="38.8203125" style="500" customWidth="1"/>
    <col min="1284" max="1284" width="8.2734375" style="500" customWidth="1"/>
    <col min="1285" max="1285" width="6.1796875" style="500" customWidth="1"/>
    <col min="1286" max="1286" width="1" style="500" customWidth="1"/>
    <col min="1287" max="1287" width="1.2734375" style="500" customWidth="1"/>
    <col min="1288" max="1288" width="5.1796875" style="500" customWidth="1"/>
    <col min="1289" max="1289" width="6.1796875" style="500" customWidth="1"/>
    <col min="1290" max="1290" width="0.7265625" style="500" customWidth="1"/>
    <col min="1291" max="1291" width="1" style="500" customWidth="1"/>
    <col min="1292" max="1292" width="4.7265625" style="500" customWidth="1"/>
    <col min="1293" max="1293" width="6.2734375" style="500" customWidth="1"/>
    <col min="1294" max="1294" width="0.8203125" style="500" customWidth="1"/>
    <col min="1295" max="1295" width="1.1796875" style="500" customWidth="1"/>
    <col min="1296" max="1296" width="6.546875" style="500" customWidth="1"/>
    <col min="1297" max="1297" width="7.1796875" style="500" customWidth="1"/>
    <col min="1298" max="1299" width="1.546875" style="500" customWidth="1"/>
    <col min="1300" max="1300" width="6.8203125" style="500" customWidth="1"/>
    <col min="1301" max="1301" width="2" style="500" customWidth="1"/>
    <col min="1302" max="1302" width="1.2734375" style="500" customWidth="1"/>
    <col min="1303" max="1303" width="2.1796875" style="500" customWidth="1"/>
    <col min="1304" max="1304" width="6.453125" style="500" customWidth="1"/>
    <col min="1305" max="1307" width="2" style="500" customWidth="1"/>
    <col min="1308" max="1308" width="7.7265625" style="500" customWidth="1"/>
    <col min="1309" max="1309" width="1.2734375" style="500" customWidth="1"/>
    <col min="1310" max="1310" width="1.546875" style="500" customWidth="1"/>
    <col min="1311" max="1311" width="1.453125" style="500" customWidth="1"/>
    <col min="1312" max="1312" width="6.1796875" style="500" customWidth="1"/>
    <col min="1313" max="1315" width="1" style="500" customWidth="1"/>
    <col min="1316" max="1316" width="6.453125" style="500" customWidth="1"/>
    <col min="1317" max="1317" width="5.8203125" style="500" customWidth="1"/>
    <col min="1318" max="1318" width="1.453125" style="500" customWidth="1"/>
    <col min="1319" max="1319" width="1.546875" style="500" customWidth="1"/>
    <col min="1320" max="1320" width="6.1796875" style="500" customWidth="1"/>
    <col min="1321" max="1321" width="7" style="500" customWidth="1"/>
    <col min="1322" max="1322" width="1.1796875" style="500" customWidth="1"/>
    <col min="1323" max="1323" width="1.8203125" style="500" customWidth="1"/>
    <col min="1324" max="1324" width="5.8203125" style="500" customWidth="1"/>
    <col min="1325" max="1325" width="1.7265625" style="500" customWidth="1"/>
    <col min="1326" max="1326" width="2.1796875" style="500" customWidth="1"/>
    <col min="1327" max="1327" width="1.1796875" style="500" customWidth="1"/>
    <col min="1328" max="1328" width="7.2734375" style="500" customWidth="1"/>
    <col min="1329" max="1330" width="2.1796875" style="500" customWidth="1"/>
    <col min="1331" max="1331" width="1.7265625" style="500" customWidth="1"/>
    <col min="1332" max="1332" width="5.546875" style="500" customWidth="1"/>
    <col min="1333" max="1333" width="2" style="500" customWidth="1"/>
    <col min="1334" max="1334" width="1.453125" style="500" customWidth="1"/>
    <col min="1335" max="1335" width="2" style="500" customWidth="1"/>
    <col min="1336" max="1336" width="6.8203125" style="500" customWidth="1"/>
    <col min="1337" max="1337" width="1.7265625" style="500" customWidth="1"/>
    <col min="1338" max="1338" width="2" style="500" customWidth="1"/>
    <col min="1339" max="1339" width="1.8203125" style="500" customWidth="1"/>
    <col min="1340" max="1340" width="6.8203125" style="500" customWidth="1"/>
    <col min="1341" max="1341" width="1.1796875" style="500" customWidth="1"/>
    <col min="1342" max="1342" width="1.2734375" style="500" customWidth="1"/>
    <col min="1343" max="1343" width="1.8203125" style="500" customWidth="1"/>
    <col min="1344" max="1344" width="6.8203125" style="500" customWidth="1"/>
    <col min="1345" max="1345" width="1.453125" style="500" customWidth="1"/>
    <col min="1346" max="1346" width="1.2734375" style="500" customWidth="1"/>
    <col min="1347" max="1347" width="2.1796875" style="500" customWidth="1"/>
    <col min="1348" max="1348" width="5.1796875" style="500" customWidth="1"/>
    <col min="1349" max="1349" width="5.546875" style="500" customWidth="1"/>
    <col min="1350" max="1350" width="1.1796875" style="500" customWidth="1"/>
    <col min="1351" max="1351" width="1.453125" style="500" customWidth="1"/>
    <col min="1352" max="1352" width="6" style="500" customWidth="1"/>
    <col min="1353" max="1353" width="5.8203125" style="500" customWidth="1"/>
    <col min="1354" max="1354" width="1.7265625" style="500" customWidth="1"/>
    <col min="1355" max="1355" width="2.1796875" style="500" customWidth="1"/>
    <col min="1356" max="1359" width="5.8203125" style="500" customWidth="1"/>
    <col min="1360" max="1360" width="6" style="500" customWidth="1"/>
    <col min="1361" max="1361" width="1.546875" style="500" customWidth="1"/>
    <col min="1362" max="1362" width="2.2734375" style="500" customWidth="1"/>
    <col min="1363" max="1363" width="1.546875" style="500" customWidth="1"/>
    <col min="1364" max="1367" width="6.2734375" style="500" customWidth="1"/>
    <col min="1368" max="1368" width="6.1796875" style="500" customWidth="1"/>
    <col min="1369" max="1370" width="1.1796875" style="500" customWidth="1"/>
    <col min="1371" max="1371" width="1.2734375" style="500" customWidth="1"/>
    <col min="1372" max="1375" width="5.8203125" style="500" customWidth="1"/>
    <col min="1376" max="1376" width="6.8203125" style="500" customWidth="1"/>
    <col min="1377" max="1377" width="1.2734375" style="500" customWidth="1"/>
    <col min="1378" max="1379" width="1.7265625" style="500" customWidth="1"/>
    <col min="1380" max="1381" width="10.7265625" style="500" customWidth="1"/>
    <col min="1382" max="1383" width="8.2734375" style="500" customWidth="1"/>
    <col min="1384" max="1384" width="8.7265625" style="500" customWidth="1"/>
    <col min="1385" max="1385" width="8.1796875" style="500" customWidth="1"/>
    <col min="1386" max="1387" width="11.2734375" style="500" customWidth="1"/>
    <col min="1388" max="1388" width="10" style="500" customWidth="1"/>
    <col min="1389" max="1536" width="9.1796875" style="500"/>
    <col min="1537" max="1537" width="5.546875" style="500" customWidth="1"/>
    <col min="1538" max="1538" width="21.2734375" style="500" customWidth="1"/>
    <col min="1539" max="1539" width="38.8203125" style="500" customWidth="1"/>
    <col min="1540" max="1540" width="8.2734375" style="500" customWidth="1"/>
    <col min="1541" max="1541" width="6.1796875" style="500" customWidth="1"/>
    <col min="1542" max="1542" width="1" style="500" customWidth="1"/>
    <col min="1543" max="1543" width="1.2734375" style="500" customWidth="1"/>
    <col min="1544" max="1544" width="5.1796875" style="500" customWidth="1"/>
    <col min="1545" max="1545" width="6.1796875" style="500" customWidth="1"/>
    <col min="1546" max="1546" width="0.7265625" style="500" customWidth="1"/>
    <col min="1547" max="1547" width="1" style="500" customWidth="1"/>
    <col min="1548" max="1548" width="4.7265625" style="500" customWidth="1"/>
    <col min="1549" max="1549" width="6.2734375" style="500" customWidth="1"/>
    <col min="1550" max="1550" width="0.8203125" style="500" customWidth="1"/>
    <col min="1551" max="1551" width="1.1796875" style="500" customWidth="1"/>
    <col min="1552" max="1552" width="6.546875" style="500" customWidth="1"/>
    <col min="1553" max="1553" width="7.1796875" style="500" customWidth="1"/>
    <col min="1554" max="1555" width="1.546875" style="500" customWidth="1"/>
    <col min="1556" max="1556" width="6.8203125" style="500" customWidth="1"/>
    <col min="1557" max="1557" width="2" style="500" customWidth="1"/>
    <col min="1558" max="1558" width="1.2734375" style="500" customWidth="1"/>
    <col min="1559" max="1559" width="2.1796875" style="500" customWidth="1"/>
    <col min="1560" max="1560" width="6.453125" style="500" customWidth="1"/>
    <col min="1561" max="1563" width="2" style="500" customWidth="1"/>
    <col min="1564" max="1564" width="7.7265625" style="500" customWidth="1"/>
    <col min="1565" max="1565" width="1.2734375" style="500" customWidth="1"/>
    <col min="1566" max="1566" width="1.546875" style="500" customWidth="1"/>
    <col min="1567" max="1567" width="1.453125" style="500" customWidth="1"/>
    <col min="1568" max="1568" width="6.1796875" style="500" customWidth="1"/>
    <col min="1569" max="1571" width="1" style="500" customWidth="1"/>
    <col min="1572" max="1572" width="6.453125" style="500" customWidth="1"/>
    <col min="1573" max="1573" width="5.8203125" style="500" customWidth="1"/>
    <col min="1574" max="1574" width="1.453125" style="500" customWidth="1"/>
    <col min="1575" max="1575" width="1.546875" style="500" customWidth="1"/>
    <col min="1576" max="1576" width="6.1796875" style="500" customWidth="1"/>
    <col min="1577" max="1577" width="7" style="500" customWidth="1"/>
    <col min="1578" max="1578" width="1.1796875" style="500" customWidth="1"/>
    <col min="1579" max="1579" width="1.8203125" style="500" customWidth="1"/>
    <col min="1580" max="1580" width="5.8203125" style="500" customWidth="1"/>
    <col min="1581" max="1581" width="1.7265625" style="500" customWidth="1"/>
    <col min="1582" max="1582" width="2.1796875" style="500" customWidth="1"/>
    <col min="1583" max="1583" width="1.1796875" style="500" customWidth="1"/>
    <col min="1584" max="1584" width="7.2734375" style="500" customWidth="1"/>
    <col min="1585" max="1586" width="2.1796875" style="500" customWidth="1"/>
    <col min="1587" max="1587" width="1.7265625" style="500" customWidth="1"/>
    <col min="1588" max="1588" width="5.546875" style="500" customWidth="1"/>
    <col min="1589" max="1589" width="2" style="500" customWidth="1"/>
    <col min="1590" max="1590" width="1.453125" style="500" customWidth="1"/>
    <col min="1591" max="1591" width="2" style="500" customWidth="1"/>
    <col min="1592" max="1592" width="6.8203125" style="500" customWidth="1"/>
    <col min="1593" max="1593" width="1.7265625" style="500" customWidth="1"/>
    <col min="1594" max="1594" width="2" style="500" customWidth="1"/>
    <col min="1595" max="1595" width="1.8203125" style="500" customWidth="1"/>
    <col min="1596" max="1596" width="6.8203125" style="500" customWidth="1"/>
    <col min="1597" max="1597" width="1.1796875" style="500" customWidth="1"/>
    <col min="1598" max="1598" width="1.2734375" style="500" customWidth="1"/>
    <col min="1599" max="1599" width="1.8203125" style="500" customWidth="1"/>
    <col min="1600" max="1600" width="6.8203125" style="500" customWidth="1"/>
    <col min="1601" max="1601" width="1.453125" style="500" customWidth="1"/>
    <col min="1602" max="1602" width="1.2734375" style="500" customWidth="1"/>
    <col min="1603" max="1603" width="2.1796875" style="500" customWidth="1"/>
    <col min="1604" max="1604" width="5.1796875" style="500" customWidth="1"/>
    <col min="1605" max="1605" width="5.546875" style="500" customWidth="1"/>
    <col min="1606" max="1606" width="1.1796875" style="500" customWidth="1"/>
    <col min="1607" max="1607" width="1.453125" style="500" customWidth="1"/>
    <col min="1608" max="1608" width="6" style="500" customWidth="1"/>
    <col min="1609" max="1609" width="5.8203125" style="500" customWidth="1"/>
    <col min="1610" max="1610" width="1.7265625" style="500" customWidth="1"/>
    <col min="1611" max="1611" width="2.1796875" style="500" customWidth="1"/>
    <col min="1612" max="1615" width="5.8203125" style="500" customWidth="1"/>
    <col min="1616" max="1616" width="6" style="500" customWidth="1"/>
    <col min="1617" max="1617" width="1.546875" style="500" customWidth="1"/>
    <col min="1618" max="1618" width="2.2734375" style="500" customWidth="1"/>
    <col min="1619" max="1619" width="1.546875" style="500" customWidth="1"/>
    <col min="1620" max="1623" width="6.2734375" style="500" customWidth="1"/>
    <col min="1624" max="1624" width="6.1796875" style="500" customWidth="1"/>
    <col min="1625" max="1626" width="1.1796875" style="500" customWidth="1"/>
    <col min="1627" max="1627" width="1.2734375" style="500" customWidth="1"/>
    <col min="1628" max="1631" width="5.8203125" style="500" customWidth="1"/>
    <col min="1632" max="1632" width="6.8203125" style="500" customWidth="1"/>
    <col min="1633" max="1633" width="1.2734375" style="500" customWidth="1"/>
    <col min="1634" max="1635" width="1.7265625" style="500" customWidth="1"/>
    <col min="1636" max="1637" width="10.7265625" style="500" customWidth="1"/>
    <col min="1638" max="1639" width="8.2734375" style="500" customWidth="1"/>
    <col min="1640" max="1640" width="8.7265625" style="500" customWidth="1"/>
    <col min="1641" max="1641" width="8.1796875" style="500" customWidth="1"/>
    <col min="1642" max="1643" width="11.2734375" style="500" customWidth="1"/>
    <col min="1644" max="1644" width="10" style="500" customWidth="1"/>
    <col min="1645" max="1792" width="9.1796875" style="500"/>
    <col min="1793" max="1793" width="5.546875" style="500" customWidth="1"/>
    <col min="1794" max="1794" width="21.2734375" style="500" customWidth="1"/>
    <col min="1795" max="1795" width="38.8203125" style="500" customWidth="1"/>
    <col min="1796" max="1796" width="8.2734375" style="500" customWidth="1"/>
    <col min="1797" max="1797" width="6.1796875" style="500" customWidth="1"/>
    <col min="1798" max="1798" width="1" style="500" customWidth="1"/>
    <col min="1799" max="1799" width="1.2734375" style="500" customWidth="1"/>
    <col min="1800" max="1800" width="5.1796875" style="500" customWidth="1"/>
    <col min="1801" max="1801" width="6.1796875" style="500" customWidth="1"/>
    <col min="1802" max="1802" width="0.7265625" style="500" customWidth="1"/>
    <col min="1803" max="1803" width="1" style="500" customWidth="1"/>
    <col min="1804" max="1804" width="4.7265625" style="500" customWidth="1"/>
    <col min="1805" max="1805" width="6.2734375" style="500" customWidth="1"/>
    <col min="1806" max="1806" width="0.8203125" style="500" customWidth="1"/>
    <col min="1807" max="1807" width="1.1796875" style="500" customWidth="1"/>
    <col min="1808" max="1808" width="6.546875" style="500" customWidth="1"/>
    <col min="1809" max="1809" width="7.1796875" style="500" customWidth="1"/>
    <col min="1810" max="1811" width="1.546875" style="500" customWidth="1"/>
    <col min="1812" max="1812" width="6.8203125" style="500" customWidth="1"/>
    <col min="1813" max="1813" width="2" style="500" customWidth="1"/>
    <col min="1814" max="1814" width="1.2734375" style="500" customWidth="1"/>
    <col min="1815" max="1815" width="2.1796875" style="500" customWidth="1"/>
    <col min="1816" max="1816" width="6.453125" style="500" customWidth="1"/>
    <col min="1817" max="1819" width="2" style="500" customWidth="1"/>
    <col min="1820" max="1820" width="7.7265625" style="500" customWidth="1"/>
    <col min="1821" max="1821" width="1.2734375" style="500" customWidth="1"/>
    <col min="1822" max="1822" width="1.546875" style="500" customWidth="1"/>
    <col min="1823" max="1823" width="1.453125" style="500" customWidth="1"/>
    <col min="1824" max="1824" width="6.1796875" style="500" customWidth="1"/>
    <col min="1825" max="1827" width="1" style="500" customWidth="1"/>
    <col min="1828" max="1828" width="6.453125" style="500" customWidth="1"/>
    <col min="1829" max="1829" width="5.8203125" style="500" customWidth="1"/>
    <col min="1830" max="1830" width="1.453125" style="500" customWidth="1"/>
    <col min="1831" max="1831" width="1.546875" style="500" customWidth="1"/>
    <col min="1832" max="1832" width="6.1796875" style="500" customWidth="1"/>
    <col min="1833" max="1833" width="7" style="500" customWidth="1"/>
    <col min="1834" max="1834" width="1.1796875" style="500" customWidth="1"/>
    <col min="1835" max="1835" width="1.8203125" style="500" customWidth="1"/>
    <col min="1836" max="1836" width="5.8203125" style="500" customWidth="1"/>
    <col min="1837" max="1837" width="1.7265625" style="500" customWidth="1"/>
    <col min="1838" max="1838" width="2.1796875" style="500" customWidth="1"/>
    <col min="1839" max="1839" width="1.1796875" style="500" customWidth="1"/>
    <col min="1840" max="1840" width="7.2734375" style="500" customWidth="1"/>
    <col min="1841" max="1842" width="2.1796875" style="500" customWidth="1"/>
    <col min="1843" max="1843" width="1.7265625" style="500" customWidth="1"/>
    <col min="1844" max="1844" width="5.546875" style="500" customWidth="1"/>
    <col min="1845" max="1845" width="2" style="500" customWidth="1"/>
    <col min="1846" max="1846" width="1.453125" style="500" customWidth="1"/>
    <col min="1847" max="1847" width="2" style="500" customWidth="1"/>
    <col min="1848" max="1848" width="6.8203125" style="500" customWidth="1"/>
    <col min="1849" max="1849" width="1.7265625" style="500" customWidth="1"/>
    <col min="1850" max="1850" width="2" style="500" customWidth="1"/>
    <col min="1851" max="1851" width="1.8203125" style="500" customWidth="1"/>
    <col min="1852" max="1852" width="6.8203125" style="500" customWidth="1"/>
    <col min="1853" max="1853" width="1.1796875" style="500" customWidth="1"/>
    <col min="1854" max="1854" width="1.2734375" style="500" customWidth="1"/>
    <col min="1855" max="1855" width="1.8203125" style="500" customWidth="1"/>
    <col min="1856" max="1856" width="6.8203125" style="500" customWidth="1"/>
    <col min="1857" max="1857" width="1.453125" style="500" customWidth="1"/>
    <col min="1858" max="1858" width="1.2734375" style="500" customWidth="1"/>
    <col min="1859" max="1859" width="2.1796875" style="500" customWidth="1"/>
    <col min="1860" max="1860" width="5.1796875" style="500" customWidth="1"/>
    <col min="1861" max="1861" width="5.546875" style="500" customWidth="1"/>
    <col min="1862" max="1862" width="1.1796875" style="500" customWidth="1"/>
    <col min="1863" max="1863" width="1.453125" style="500" customWidth="1"/>
    <col min="1864" max="1864" width="6" style="500" customWidth="1"/>
    <col min="1865" max="1865" width="5.8203125" style="500" customWidth="1"/>
    <col min="1866" max="1866" width="1.7265625" style="500" customWidth="1"/>
    <col min="1867" max="1867" width="2.1796875" style="500" customWidth="1"/>
    <col min="1868" max="1871" width="5.8203125" style="500" customWidth="1"/>
    <col min="1872" max="1872" width="6" style="500" customWidth="1"/>
    <col min="1873" max="1873" width="1.546875" style="500" customWidth="1"/>
    <col min="1874" max="1874" width="2.2734375" style="500" customWidth="1"/>
    <col min="1875" max="1875" width="1.546875" style="500" customWidth="1"/>
    <col min="1876" max="1879" width="6.2734375" style="500" customWidth="1"/>
    <col min="1880" max="1880" width="6.1796875" style="500" customWidth="1"/>
    <col min="1881" max="1882" width="1.1796875" style="500" customWidth="1"/>
    <col min="1883" max="1883" width="1.2734375" style="500" customWidth="1"/>
    <col min="1884" max="1887" width="5.8203125" style="500" customWidth="1"/>
    <col min="1888" max="1888" width="6.8203125" style="500" customWidth="1"/>
    <col min="1889" max="1889" width="1.2734375" style="500" customWidth="1"/>
    <col min="1890" max="1891" width="1.7265625" style="500" customWidth="1"/>
    <col min="1892" max="1893" width="10.7265625" style="500" customWidth="1"/>
    <col min="1894" max="1895" width="8.2734375" style="500" customWidth="1"/>
    <col min="1896" max="1896" width="8.7265625" style="500" customWidth="1"/>
    <col min="1897" max="1897" width="8.1796875" style="500" customWidth="1"/>
    <col min="1898" max="1899" width="11.2734375" style="500" customWidth="1"/>
    <col min="1900" max="1900" width="10" style="500" customWidth="1"/>
    <col min="1901" max="2048" width="9.1796875" style="500"/>
    <col min="2049" max="2049" width="5.546875" style="500" customWidth="1"/>
    <col min="2050" max="2050" width="21.2734375" style="500" customWidth="1"/>
    <col min="2051" max="2051" width="38.8203125" style="500" customWidth="1"/>
    <col min="2052" max="2052" width="8.2734375" style="500" customWidth="1"/>
    <col min="2053" max="2053" width="6.1796875" style="500" customWidth="1"/>
    <col min="2054" max="2054" width="1" style="500" customWidth="1"/>
    <col min="2055" max="2055" width="1.2734375" style="500" customWidth="1"/>
    <col min="2056" max="2056" width="5.1796875" style="500" customWidth="1"/>
    <col min="2057" max="2057" width="6.1796875" style="500" customWidth="1"/>
    <col min="2058" max="2058" width="0.7265625" style="500" customWidth="1"/>
    <col min="2059" max="2059" width="1" style="500" customWidth="1"/>
    <col min="2060" max="2060" width="4.7265625" style="500" customWidth="1"/>
    <col min="2061" max="2061" width="6.2734375" style="500" customWidth="1"/>
    <col min="2062" max="2062" width="0.8203125" style="500" customWidth="1"/>
    <col min="2063" max="2063" width="1.1796875" style="500" customWidth="1"/>
    <col min="2064" max="2064" width="6.546875" style="500" customWidth="1"/>
    <col min="2065" max="2065" width="7.1796875" style="500" customWidth="1"/>
    <col min="2066" max="2067" width="1.546875" style="500" customWidth="1"/>
    <col min="2068" max="2068" width="6.8203125" style="500" customWidth="1"/>
    <col min="2069" max="2069" width="2" style="500" customWidth="1"/>
    <col min="2070" max="2070" width="1.2734375" style="500" customWidth="1"/>
    <col min="2071" max="2071" width="2.1796875" style="500" customWidth="1"/>
    <col min="2072" max="2072" width="6.453125" style="500" customWidth="1"/>
    <col min="2073" max="2075" width="2" style="500" customWidth="1"/>
    <col min="2076" max="2076" width="7.7265625" style="500" customWidth="1"/>
    <col min="2077" max="2077" width="1.2734375" style="500" customWidth="1"/>
    <col min="2078" max="2078" width="1.546875" style="500" customWidth="1"/>
    <col min="2079" max="2079" width="1.453125" style="500" customWidth="1"/>
    <col min="2080" max="2080" width="6.1796875" style="500" customWidth="1"/>
    <col min="2081" max="2083" width="1" style="500" customWidth="1"/>
    <col min="2084" max="2084" width="6.453125" style="500" customWidth="1"/>
    <col min="2085" max="2085" width="5.8203125" style="500" customWidth="1"/>
    <col min="2086" max="2086" width="1.453125" style="500" customWidth="1"/>
    <col min="2087" max="2087" width="1.546875" style="500" customWidth="1"/>
    <col min="2088" max="2088" width="6.1796875" style="500" customWidth="1"/>
    <col min="2089" max="2089" width="7" style="500" customWidth="1"/>
    <col min="2090" max="2090" width="1.1796875" style="500" customWidth="1"/>
    <col min="2091" max="2091" width="1.8203125" style="500" customWidth="1"/>
    <col min="2092" max="2092" width="5.8203125" style="500" customWidth="1"/>
    <col min="2093" max="2093" width="1.7265625" style="500" customWidth="1"/>
    <col min="2094" max="2094" width="2.1796875" style="500" customWidth="1"/>
    <col min="2095" max="2095" width="1.1796875" style="500" customWidth="1"/>
    <col min="2096" max="2096" width="7.2734375" style="500" customWidth="1"/>
    <col min="2097" max="2098" width="2.1796875" style="500" customWidth="1"/>
    <col min="2099" max="2099" width="1.7265625" style="500" customWidth="1"/>
    <col min="2100" max="2100" width="5.546875" style="500" customWidth="1"/>
    <col min="2101" max="2101" width="2" style="500" customWidth="1"/>
    <col min="2102" max="2102" width="1.453125" style="500" customWidth="1"/>
    <col min="2103" max="2103" width="2" style="500" customWidth="1"/>
    <col min="2104" max="2104" width="6.8203125" style="500" customWidth="1"/>
    <col min="2105" max="2105" width="1.7265625" style="500" customWidth="1"/>
    <col min="2106" max="2106" width="2" style="500" customWidth="1"/>
    <col min="2107" max="2107" width="1.8203125" style="500" customWidth="1"/>
    <col min="2108" max="2108" width="6.8203125" style="500" customWidth="1"/>
    <col min="2109" max="2109" width="1.1796875" style="500" customWidth="1"/>
    <col min="2110" max="2110" width="1.2734375" style="500" customWidth="1"/>
    <col min="2111" max="2111" width="1.8203125" style="500" customWidth="1"/>
    <col min="2112" max="2112" width="6.8203125" style="500" customWidth="1"/>
    <col min="2113" max="2113" width="1.453125" style="500" customWidth="1"/>
    <col min="2114" max="2114" width="1.2734375" style="500" customWidth="1"/>
    <col min="2115" max="2115" width="2.1796875" style="500" customWidth="1"/>
    <col min="2116" max="2116" width="5.1796875" style="500" customWidth="1"/>
    <col min="2117" max="2117" width="5.546875" style="500" customWidth="1"/>
    <col min="2118" max="2118" width="1.1796875" style="500" customWidth="1"/>
    <col min="2119" max="2119" width="1.453125" style="500" customWidth="1"/>
    <col min="2120" max="2120" width="6" style="500" customWidth="1"/>
    <col min="2121" max="2121" width="5.8203125" style="500" customWidth="1"/>
    <col min="2122" max="2122" width="1.7265625" style="500" customWidth="1"/>
    <col min="2123" max="2123" width="2.1796875" style="500" customWidth="1"/>
    <col min="2124" max="2127" width="5.8203125" style="500" customWidth="1"/>
    <col min="2128" max="2128" width="6" style="500" customWidth="1"/>
    <col min="2129" max="2129" width="1.546875" style="500" customWidth="1"/>
    <col min="2130" max="2130" width="2.2734375" style="500" customWidth="1"/>
    <col min="2131" max="2131" width="1.546875" style="500" customWidth="1"/>
    <col min="2132" max="2135" width="6.2734375" style="500" customWidth="1"/>
    <col min="2136" max="2136" width="6.1796875" style="500" customWidth="1"/>
    <col min="2137" max="2138" width="1.1796875" style="500" customWidth="1"/>
    <col min="2139" max="2139" width="1.2734375" style="500" customWidth="1"/>
    <col min="2140" max="2143" width="5.8203125" style="500" customWidth="1"/>
    <col min="2144" max="2144" width="6.8203125" style="500" customWidth="1"/>
    <col min="2145" max="2145" width="1.2734375" style="500" customWidth="1"/>
    <col min="2146" max="2147" width="1.7265625" style="500" customWidth="1"/>
    <col min="2148" max="2149" width="10.7265625" style="500" customWidth="1"/>
    <col min="2150" max="2151" width="8.2734375" style="500" customWidth="1"/>
    <col min="2152" max="2152" width="8.7265625" style="500" customWidth="1"/>
    <col min="2153" max="2153" width="8.1796875" style="500" customWidth="1"/>
    <col min="2154" max="2155" width="11.2734375" style="500" customWidth="1"/>
    <col min="2156" max="2156" width="10" style="500" customWidth="1"/>
    <col min="2157" max="2304" width="9.1796875" style="500"/>
    <col min="2305" max="2305" width="5.546875" style="500" customWidth="1"/>
    <col min="2306" max="2306" width="21.2734375" style="500" customWidth="1"/>
    <col min="2307" max="2307" width="38.8203125" style="500" customWidth="1"/>
    <col min="2308" max="2308" width="8.2734375" style="500" customWidth="1"/>
    <col min="2309" max="2309" width="6.1796875" style="500" customWidth="1"/>
    <col min="2310" max="2310" width="1" style="500" customWidth="1"/>
    <col min="2311" max="2311" width="1.2734375" style="500" customWidth="1"/>
    <col min="2312" max="2312" width="5.1796875" style="500" customWidth="1"/>
    <col min="2313" max="2313" width="6.1796875" style="500" customWidth="1"/>
    <col min="2314" max="2314" width="0.7265625" style="500" customWidth="1"/>
    <col min="2315" max="2315" width="1" style="500" customWidth="1"/>
    <col min="2316" max="2316" width="4.7265625" style="500" customWidth="1"/>
    <col min="2317" max="2317" width="6.2734375" style="500" customWidth="1"/>
    <col min="2318" max="2318" width="0.8203125" style="500" customWidth="1"/>
    <col min="2319" max="2319" width="1.1796875" style="500" customWidth="1"/>
    <col min="2320" max="2320" width="6.546875" style="500" customWidth="1"/>
    <col min="2321" max="2321" width="7.1796875" style="500" customWidth="1"/>
    <col min="2322" max="2323" width="1.546875" style="500" customWidth="1"/>
    <col min="2324" max="2324" width="6.8203125" style="500" customWidth="1"/>
    <col min="2325" max="2325" width="2" style="500" customWidth="1"/>
    <col min="2326" max="2326" width="1.2734375" style="500" customWidth="1"/>
    <col min="2327" max="2327" width="2.1796875" style="500" customWidth="1"/>
    <col min="2328" max="2328" width="6.453125" style="500" customWidth="1"/>
    <col min="2329" max="2331" width="2" style="500" customWidth="1"/>
    <col min="2332" max="2332" width="7.7265625" style="500" customWidth="1"/>
    <col min="2333" max="2333" width="1.2734375" style="500" customWidth="1"/>
    <col min="2334" max="2334" width="1.546875" style="500" customWidth="1"/>
    <col min="2335" max="2335" width="1.453125" style="500" customWidth="1"/>
    <col min="2336" max="2336" width="6.1796875" style="500" customWidth="1"/>
    <col min="2337" max="2339" width="1" style="500" customWidth="1"/>
    <col min="2340" max="2340" width="6.453125" style="500" customWidth="1"/>
    <col min="2341" max="2341" width="5.8203125" style="500" customWidth="1"/>
    <col min="2342" max="2342" width="1.453125" style="500" customWidth="1"/>
    <col min="2343" max="2343" width="1.546875" style="500" customWidth="1"/>
    <col min="2344" max="2344" width="6.1796875" style="500" customWidth="1"/>
    <col min="2345" max="2345" width="7" style="500" customWidth="1"/>
    <col min="2346" max="2346" width="1.1796875" style="500" customWidth="1"/>
    <col min="2347" max="2347" width="1.8203125" style="500" customWidth="1"/>
    <col min="2348" max="2348" width="5.8203125" style="500" customWidth="1"/>
    <col min="2349" max="2349" width="1.7265625" style="500" customWidth="1"/>
    <col min="2350" max="2350" width="2.1796875" style="500" customWidth="1"/>
    <col min="2351" max="2351" width="1.1796875" style="500" customWidth="1"/>
    <col min="2352" max="2352" width="7.2734375" style="500" customWidth="1"/>
    <col min="2353" max="2354" width="2.1796875" style="500" customWidth="1"/>
    <col min="2355" max="2355" width="1.7265625" style="500" customWidth="1"/>
    <col min="2356" max="2356" width="5.546875" style="500" customWidth="1"/>
    <col min="2357" max="2357" width="2" style="500" customWidth="1"/>
    <col min="2358" max="2358" width="1.453125" style="500" customWidth="1"/>
    <col min="2359" max="2359" width="2" style="500" customWidth="1"/>
    <col min="2360" max="2360" width="6.8203125" style="500" customWidth="1"/>
    <col min="2361" max="2361" width="1.7265625" style="500" customWidth="1"/>
    <col min="2362" max="2362" width="2" style="500" customWidth="1"/>
    <col min="2363" max="2363" width="1.8203125" style="500" customWidth="1"/>
    <col min="2364" max="2364" width="6.8203125" style="500" customWidth="1"/>
    <col min="2365" max="2365" width="1.1796875" style="500" customWidth="1"/>
    <col min="2366" max="2366" width="1.2734375" style="500" customWidth="1"/>
    <col min="2367" max="2367" width="1.8203125" style="500" customWidth="1"/>
    <col min="2368" max="2368" width="6.8203125" style="500" customWidth="1"/>
    <col min="2369" max="2369" width="1.453125" style="500" customWidth="1"/>
    <col min="2370" max="2370" width="1.2734375" style="500" customWidth="1"/>
    <col min="2371" max="2371" width="2.1796875" style="500" customWidth="1"/>
    <col min="2372" max="2372" width="5.1796875" style="500" customWidth="1"/>
    <col min="2373" max="2373" width="5.546875" style="500" customWidth="1"/>
    <col min="2374" max="2374" width="1.1796875" style="500" customWidth="1"/>
    <col min="2375" max="2375" width="1.453125" style="500" customWidth="1"/>
    <col min="2376" max="2376" width="6" style="500" customWidth="1"/>
    <col min="2377" max="2377" width="5.8203125" style="500" customWidth="1"/>
    <col min="2378" max="2378" width="1.7265625" style="500" customWidth="1"/>
    <col min="2379" max="2379" width="2.1796875" style="500" customWidth="1"/>
    <col min="2380" max="2383" width="5.8203125" style="500" customWidth="1"/>
    <col min="2384" max="2384" width="6" style="500" customWidth="1"/>
    <col min="2385" max="2385" width="1.546875" style="500" customWidth="1"/>
    <col min="2386" max="2386" width="2.2734375" style="500" customWidth="1"/>
    <col min="2387" max="2387" width="1.546875" style="500" customWidth="1"/>
    <col min="2388" max="2391" width="6.2734375" style="500" customWidth="1"/>
    <col min="2392" max="2392" width="6.1796875" style="500" customWidth="1"/>
    <col min="2393" max="2394" width="1.1796875" style="500" customWidth="1"/>
    <col min="2395" max="2395" width="1.2734375" style="500" customWidth="1"/>
    <col min="2396" max="2399" width="5.8203125" style="500" customWidth="1"/>
    <col min="2400" max="2400" width="6.8203125" style="500" customWidth="1"/>
    <col min="2401" max="2401" width="1.2734375" style="500" customWidth="1"/>
    <col min="2402" max="2403" width="1.7265625" style="500" customWidth="1"/>
    <col min="2404" max="2405" width="10.7265625" style="500" customWidth="1"/>
    <col min="2406" max="2407" width="8.2734375" style="500" customWidth="1"/>
    <col min="2408" max="2408" width="8.7265625" style="500" customWidth="1"/>
    <col min="2409" max="2409" width="8.1796875" style="500" customWidth="1"/>
    <col min="2410" max="2411" width="11.2734375" style="500" customWidth="1"/>
    <col min="2412" max="2412" width="10" style="500" customWidth="1"/>
    <col min="2413" max="2560" width="9.1796875" style="500"/>
    <col min="2561" max="2561" width="5.546875" style="500" customWidth="1"/>
    <col min="2562" max="2562" width="21.2734375" style="500" customWidth="1"/>
    <col min="2563" max="2563" width="38.8203125" style="500" customWidth="1"/>
    <col min="2564" max="2564" width="8.2734375" style="500" customWidth="1"/>
    <col min="2565" max="2565" width="6.1796875" style="500" customWidth="1"/>
    <col min="2566" max="2566" width="1" style="500" customWidth="1"/>
    <col min="2567" max="2567" width="1.2734375" style="500" customWidth="1"/>
    <col min="2568" max="2568" width="5.1796875" style="500" customWidth="1"/>
    <col min="2569" max="2569" width="6.1796875" style="500" customWidth="1"/>
    <col min="2570" max="2570" width="0.7265625" style="500" customWidth="1"/>
    <col min="2571" max="2571" width="1" style="500" customWidth="1"/>
    <col min="2572" max="2572" width="4.7265625" style="500" customWidth="1"/>
    <col min="2573" max="2573" width="6.2734375" style="500" customWidth="1"/>
    <col min="2574" max="2574" width="0.8203125" style="500" customWidth="1"/>
    <col min="2575" max="2575" width="1.1796875" style="500" customWidth="1"/>
    <col min="2576" max="2576" width="6.546875" style="500" customWidth="1"/>
    <col min="2577" max="2577" width="7.1796875" style="500" customWidth="1"/>
    <col min="2578" max="2579" width="1.546875" style="500" customWidth="1"/>
    <col min="2580" max="2580" width="6.8203125" style="500" customWidth="1"/>
    <col min="2581" max="2581" width="2" style="500" customWidth="1"/>
    <col min="2582" max="2582" width="1.2734375" style="500" customWidth="1"/>
    <col min="2583" max="2583" width="2.1796875" style="500" customWidth="1"/>
    <col min="2584" max="2584" width="6.453125" style="500" customWidth="1"/>
    <col min="2585" max="2587" width="2" style="500" customWidth="1"/>
    <col min="2588" max="2588" width="7.7265625" style="500" customWidth="1"/>
    <col min="2589" max="2589" width="1.2734375" style="500" customWidth="1"/>
    <col min="2590" max="2590" width="1.546875" style="500" customWidth="1"/>
    <col min="2591" max="2591" width="1.453125" style="500" customWidth="1"/>
    <col min="2592" max="2592" width="6.1796875" style="500" customWidth="1"/>
    <col min="2593" max="2595" width="1" style="500" customWidth="1"/>
    <col min="2596" max="2596" width="6.453125" style="500" customWidth="1"/>
    <col min="2597" max="2597" width="5.8203125" style="500" customWidth="1"/>
    <col min="2598" max="2598" width="1.453125" style="500" customWidth="1"/>
    <col min="2599" max="2599" width="1.546875" style="500" customWidth="1"/>
    <col min="2600" max="2600" width="6.1796875" style="500" customWidth="1"/>
    <col min="2601" max="2601" width="7" style="500" customWidth="1"/>
    <col min="2602" max="2602" width="1.1796875" style="500" customWidth="1"/>
    <col min="2603" max="2603" width="1.8203125" style="500" customWidth="1"/>
    <col min="2604" max="2604" width="5.8203125" style="500" customWidth="1"/>
    <col min="2605" max="2605" width="1.7265625" style="500" customWidth="1"/>
    <col min="2606" max="2606" width="2.1796875" style="500" customWidth="1"/>
    <col min="2607" max="2607" width="1.1796875" style="500" customWidth="1"/>
    <col min="2608" max="2608" width="7.2734375" style="500" customWidth="1"/>
    <col min="2609" max="2610" width="2.1796875" style="500" customWidth="1"/>
    <col min="2611" max="2611" width="1.7265625" style="500" customWidth="1"/>
    <col min="2612" max="2612" width="5.546875" style="500" customWidth="1"/>
    <col min="2613" max="2613" width="2" style="500" customWidth="1"/>
    <col min="2614" max="2614" width="1.453125" style="500" customWidth="1"/>
    <col min="2615" max="2615" width="2" style="500" customWidth="1"/>
    <col min="2616" max="2616" width="6.8203125" style="500" customWidth="1"/>
    <col min="2617" max="2617" width="1.7265625" style="500" customWidth="1"/>
    <col min="2618" max="2618" width="2" style="500" customWidth="1"/>
    <col min="2619" max="2619" width="1.8203125" style="500" customWidth="1"/>
    <col min="2620" max="2620" width="6.8203125" style="500" customWidth="1"/>
    <col min="2621" max="2621" width="1.1796875" style="500" customWidth="1"/>
    <col min="2622" max="2622" width="1.2734375" style="500" customWidth="1"/>
    <col min="2623" max="2623" width="1.8203125" style="500" customWidth="1"/>
    <col min="2624" max="2624" width="6.8203125" style="500" customWidth="1"/>
    <col min="2625" max="2625" width="1.453125" style="500" customWidth="1"/>
    <col min="2626" max="2626" width="1.2734375" style="500" customWidth="1"/>
    <col min="2627" max="2627" width="2.1796875" style="500" customWidth="1"/>
    <col min="2628" max="2628" width="5.1796875" style="500" customWidth="1"/>
    <col min="2629" max="2629" width="5.546875" style="500" customWidth="1"/>
    <col min="2630" max="2630" width="1.1796875" style="500" customWidth="1"/>
    <col min="2631" max="2631" width="1.453125" style="500" customWidth="1"/>
    <col min="2632" max="2632" width="6" style="500" customWidth="1"/>
    <col min="2633" max="2633" width="5.8203125" style="500" customWidth="1"/>
    <col min="2634" max="2634" width="1.7265625" style="500" customWidth="1"/>
    <col min="2635" max="2635" width="2.1796875" style="500" customWidth="1"/>
    <col min="2636" max="2639" width="5.8203125" style="500" customWidth="1"/>
    <col min="2640" max="2640" width="6" style="500" customWidth="1"/>
    <col min="2641" max="2641" width="1.546875" style="500" customWidth="1"/>
    <col min="2642" max="2642" width="2.2734375" style="500" customWidth="1"/>
    <col min="2643" max="2643" width="1.546875" style="500" customWidth="1"/>
    <col min="2644" max="2647" width="6.2734375" style="500" customWidth="1"/>
    <col min="2648" max="2648" width="6.1796875" style="500" customWidth="1"/>
    <col min="2649" max="2650" width="1.1796875" style="500" customWidth="1"/>
    <col min="2651" max="2651" width="1.2734375" style="500" customWidth="1"/>
    <col min="2652" max="2655" width="5.8203125" style="500" customWidth="1"/>
    <col min="2656" max="2656" width="6.8203125" style="500" customWidth="1"/>
    <col min="2657" max="2657" width="1.2734375" style="500" customWidth="1"/>
    <col min="2658" max="2659" width="1.7265625" style="500" customWidth="1"/>
    <col min="2660" max="2661" width="10.7265625" style="500" customWidth="1"/>
    <col min="2662" max="2663" width="8.2734375" style="500" customWidth="1"/>
    <col min="2664" max="2664" width="8.7265625" style="500" customWidth="1"/>
    <col min="2665" max="2665" width="8.1796875" style="500" customWidth="1"/>
    <col min="2666" max="2667" width="11.2734375" style="500" customWidth="1"/>
    <col min="2668" max="2668" width="10" style="500" customWidth="1"/>
    <col min="2669" max="2816" width="9.1796875" style="500"/>
    <col min="2817" max="2817" width="5.546875" style="500" customWidth="1"/>
    <col min="2818" max="2818" width="21.2734375" style="500" customWidth="1"/>
    <col min="2819" max="2819" width="38.8203125" style="500" customWidth="1"/>
    <col min="2820" max="2820" width="8.2734375" style="500" customWidth="1"/>
    <col min="2821" max="2821" width="6.1796875" style="500" customWidth="1"/>
    <col min="2822" max="2822" width="1" style="500" customWidth="1"/>
    <col min="2823" max="2823" width="1.2734375" style="500" customWidth="1"/>
    <col min="2824" max="2824" width="5.1796875" style="500" customWidth="1"/>
    <col min="2825" max="2825" width="6.1796875" style="500" customWidth="1"/>
    <col min="2826" max="2826" width="0.7265625" style="500" customWidth="1"/>
    <col min="2827" max="2827" width="1" style="500" customWidth="1"/>
    <col min="2828" max="2828" width="4.7265625" style="500" customWidth="1"/>
    <col min="2829" max="2829" width="6.2734375" style="500" customWidth="1"/>
    <col min="2830" max="2830" width="0.8203125" style="500" customWidth="1"/>
    <col min="2831" max="2831" width="1.1796875" style="500" customWidth="1"/>
    <col min="2832" max="2832" width="6.546875" style="500" customWidth="1"/>
    <col min="2833" max="2833" width="7.1796875" style="500" customWidth="1"/>
    <col min="2834" max="2835" width="1.546875" style="500" customWidth="1"/>
    <col min="2836" max="2836" width="6.8203125" style="500" customWidth="1"/>
    <col min="2837" max="2837" width="2" style="500" customWidth="1"/>
    <col min="2838" max="2838" width="1.2734375" style="500" customWidth="1"/>
    <col min="2839" max="2839" width="2.1796875" style="500" customWidth="1"/>
    <col min="2840" max="2840" width="6.453125" style="500" customWidth="1"/>
    <col min="2841" max="2843" width="2" style="500" customWidth="1"/>
    <col min="2844" max="2844" width="7.7265625" style="500" customWidth="1"/>
    <col min="2845" max="2845" width="1.2734375" style="500" customWidth="1"/>
    <col min="2846" max="2846" width="1.546875" style="500" customWidth="1"/>
    <col min="2847" max="2847" width="1.453125" style="500" customWidth="1"/>
    <col min="2848" max="2848" width="6.1796875" style="500" customWidth="1"/>
    <col min="2849" max="2851" width="1" style="500" customWidth="1"/>
    <col min="2852" max="2852" width="6.453125" style="500" customWidth="1"/>
    <col min="2853" max="2853" width="5.8203125" style="500" customWidth="1"/>
    <col min="2854" max="2854" width="1.453125" style="500" customWidth="1"/>
    <col min="2855" max="2855" width="1.546875" style="500" customWidth="1"/>
    <col min="2856" max="2856" width="6.1796875" style="500" customWidth="1"/>
    <col min="2857" max="2857" width="7" style="500" customWidth="1"/>
    <col min="2858" max="2858" width="1.1796875" style="500" customWidth="1"/>
    <col min="2859" max="2859" width="1.8203125" style="500" customWidth="1"/>
    <col min="2860" max="2860" width="5.8203125" style="500" customWidth="1"/>
    <col min="2861" max="2861" width="1.7265625" style="500" customWidth="1"/>
    <col min="2862" max="2862" width="2.1796875" style="500" customWidth="1"/>
    <col min="2863" max="2863" width="1.1796875" style="500" customWidth="1"/>
    <col min="2864" max="2864" width="7.2734375" style="500" customWidth="1"/>
    <col min="2865" max="2866" width="2.1796875" style="500" customWidth="1"/>
    <col min="2867" max="2867" width="1.7265625" style="500" customWidth="1"/>
    <col min="2868" max="2868" width="5.546875" style="500" customWidth="1"/>
    <col min="2869" max="2869" width="2" style="500" customWidth="1"/>
    <col min="2870" max="2870" width="1.453125" style="500" customWidth="1"/>
    <col min="2871" max="2871" width="2" style="500" customWidth="1"/>
    <col min="2872" max="2872" width="6.8203125" style="500" customWidth="1"/>
    <col min="2873" max="2873" width="1.7265625" style="500" customWidth="1"/>
    <col min="2874" max="2874" width="2" style="500" customWidth="1"/>
    <col min="2875" max="2875" width="1.8203125" style="500" customWidth="1"/>
    <col min="2876" max="2876" width="6.8203125" style="500" customWidth="1"/>
    <col min="2877" max="2877" width="1.1796875" style="500" customWidth="1"/>
    <col min="2878" max="2878" width="1.2734375" style="500" customWidth="1"/>
    <col min="2879" max="2879" width="1.8203125" style="500" customWidth="1"/>
    <col min="2880" max="2880" width="6.8203125" style="500" customWidth="1"/>
    <col min="2881" max="2881" width="1.453125" style="500" customWidth="1"/>
    <col min="2882" max="2882" width="1.2734375" style="500" customWidth="1"/>
    <col min="2883" max="2883" width="2.1796875" style="500" customWidth="1"/>
    <col min="2884" max="2884" width="5.1796875" style="500" customWidth="1"/>
    <col min="2885" max="2885" width="5.546875" style="500" customWidth="1"/>
    <col min="2886" max="2886" width="1.1796875" style="500" customWidth="1"/>
    <col min="2887" max="2887" width="1.453125" style="500" customWidth="1"/>
    <col min="2888" max="2888" width="6" style="500" customWidth="1"/>
    <col min="2889" max="2889" width="5.8203125" style="500" customWidth="1"/>
    <col min="2890" max="2890" width="1.7265625" style="500" customWidth="1"/>
    <col min="2891" max="2891" width="2.1796875" style="500" customWidth="1"/>
    <col min="2892" max="2895" width="5.8203125" style="500" customWidth="1"/>
    <col min="2896" max="2896" width="6" style="500" customWidth="1"/>
    <col min="2897" max="2897" width="1.546875" style="500" customWidth="1"/>
    <col min="2898" max="2898" width="2.2734375" style="500" customWidth="1"/>
    <col min="2899" max="2899" width="1.546875" style="500" customWidth="1"/>
    <col min="2900" max="2903" width="6.2734375" style="500" customWidth="1"/>
    <col min="2904" max="2904" width="6.1796875" style="500" customWidth="1"/>
    <col min="2905" max="2906" width="1.1796875" style="500" customWidth="1"/>
    <col min="2907" max="2907" width="1.2734375" style="500" customWidth="1"/>
    <col min="2908" max="2911" width="5.8203125" style="500" customWidth="1"/>
    <col min="2912" max="2912" width="6.8203125" style="500" customWidth="1"/>
    <col min="2913" max="2913" width="1.2734375" style="500" customWidth="1"/>
    <col min="2914" max="2915" width="1.7265625" style="500" customWidth="1"/>
    <col min="2916" max="2917" width="10.7265625" style="500" customWidth="1"/>
    <col min="2918" max="2919" width="8.2734375" style="500" customWidth="1"/>
    <col min="2920" max="2920" width="8.7265625" style="500" customWidth="1"/>
    <col min="2921" max="2921" width="8.1796875" style="500" customWidth="1"/>
    <col min="2922" max="2923" width="11.2734375" style="500" customWidth="1"/>
    <col min="2924" max="2924" width="10" style="500" customWidth="1"/>
    <col min="2925" max="3072" width="9.1796875" style="500"/>
    <col min="3073" max="3073" width="5.546875" style="500" customWidth="1"/>
    <col min="3074" max="3074" width="21.2734375" style="500" customWidth="1"/>
    <col min="3075" max="3075" width="38.8203125" style="500" customWidth="1"/>
    <col min="3076" max="3076" width="8.2734375" style="500" customWidth="1"/>
    <col min="3077" max="3077" width="6.1796875" style="500" customWidth="1"/>
    <col min="3078" max="3078" width="1" style="500" customWidth="1"/>
    <col min="3079" max="3079" width="1.2734375" style="500" customWidth="1"/>
    <col min="3080" max="3080" width="5.1796875" style="500" customWidth="1"/>
    <col min="3081" max="3081" width="6.1796875" style="500" customWidth="1"/>
    <col min="3082" max="3082" width="0.7265625" style="500" customWidth="1"/>
    <col min="3083" max="3083" width="1" style="500" customWidth="1"/>
    <col min="3084" max="3084" width="4.7265625" style="500" customWidth="1"/>
    <col min="3085" max="3085" width="6.2734375" style="500" customWidth="1"/>
    <col min="3086" max="3086" width="0.8203125" style="500" customWidth="1"/>
    <col min="3087" max="3087" width="1.1796875" style="500" customWidth="1"/>
    <col min="3088" max="3088" width="6.546875" style="500" customWidth="1"/>
    <col min="3089" max="3089" width="7.1796875" style="500" customWidth="1"/>
    <col min="3090" max="3091" width="1.546875" style="500" customWidth="1"/>
    <col min="3092" max="3092" width="6.8203125" style="500" customWidth="1"/>
    <col min="3093" max="3093" width="2" style="500" customWidth="1"/>
    <col min="3094" max="3094" width="1.2734375" style="500" customWidth="1"/>
    <col min="3095" max="3095" width="2.1796875" style="500" customWidth="1"/>
    <col min="3096" max="3096" width="6.453125" style="500" customWidth="1"/>
    <col min="3097" max="3099" width="2" style="500" customWidth="1"/>
    <col min="3100" max="3100" width="7.7265625" style="500" customWidth="1"/>
    <col min="3101" max="3101" width="1.2734375" style="500" customWidth="1"/>
    <col min="3102" max="3102" width="1.546875" style="500" customWidth="1"/>
    <col min="3103" max="3103" width="1.453125" style="500" customWidth="1"/>
    <col min="3104" max="3104" width="6.1796875" style="500" customWidth="1"/>
    <col min="3105" max="3107" width="1" style="500" customWidth="1"/>
    <col min="3108" max="3108" width="6.453125" style="500" customWidth="1"/>
    <col min="3109" max="3109" width="5.8203125" style="500" customWidth="1"/>
    <col min="3110" max="3110" width="1.453125" style="500" customWidth="1"/>
    <col min="3111" max="3111" width="1.546875" style="500" customWidth="1"/>
    <col min="3112" max="3112" width="6.1796875" style="500" customWidth="1"/>
    <col min="3113" max="3113" width="7" style="500" customWidth="1"/>
    <col min="3114" max="3114" width="1.1796875" style="500" customWidth="1"/>
    <col min="3115" max="3115" width="1.8203125" style="500" customWidth="1"/>
    <col min="3116" max="3116" width="5.8203125" style="500" customWidth="1"/>
    <col min="3117" max="3117" width="1.7265625" style="500" customWidth="1"/>
    <col min="3118" max="3118" width="2.1796875" style="500" customWidth="1"/>
    <col min="3119" max="3119" width="1.1796875" style="500" customWidth="1"/>
    <col min="3120" max="3120" width="7.2734375" style="500" customWidth="1"/>
    <col min="3121" max="3122" width="2.1796875" style="500" customWidth="1"/>
    <col min="3123" max="3123" width="1.7265625" style="500" customWidth="1"/>
    <col min="3124" max="3124" width="5.546875" style="500" customWidth="1"/>
    <col min="3125" max="3125" width="2" style="500" customWidth="1"/>
    <col min="3126" max="3126" width="1.453125" style="500" customWidth="1"/>
    <col min="3127" max="3127" width="2" style="500" customWidth="1"/>
    <col min="3128" max="3128" width="6.8203125" style="500" customWidth="1"/>
    <col min="3129" max="3129" width="1.7265625" style="500" customWidth="1"/>
    <col min="3130" max="3130" width="2" style="500" customWidth="1"/>
    <col min="3131" max="3131" width="1.8203125" style="500" customWidth="1"/>
    <col min="3132" max="3132" width="6.8203125" style="500" customWidth="1"/>
    <col min="3133" max="3133" width="1.1796875" style="500" customWidth="1"/>
    <col min="3134" max="3134" width="1.2734375" style="500" customWidth="1"/>
    <col min="3135" max="3135" width="1.8203125" style="500" customWidth="1"/>
    <col min="3136" max="3136" width="6.8203125" style="500" customWidth="1"/>
    <col min="3137" max="3137" width="1.453125" style="500" customWidth="1"/>
    <col min="3138" max="3138" width="1.2734375" style="500" customWidth="1"/>
    <col min="3139" max="3139" width="2.1796875" style="500" customWidth="1"/>
    <col min="3140" max="3140" width="5.1796875" style="500" customWidth="1"/>
    <col min="3141" max="3141" width="5.546875" style="500" customWidth="1"/>
    <col min="3142" max="3142" width="1.1796875" style="500" customWidth="1"/>
    <col min="3143" max="3143" width="1.453125" style="500" customWidth="1"/>
    <col min="3144" max="3144" width="6" style="500" customWidth="1"/>
    <col min="3145" max="3145" width="5.8203125" style="500" customWidth="1"/>
    <col min="3146" max="3146" width="1.7265625" style="500" customWidth="1"/>
    <col min="3147" max="3147" width="2.1796875" style="500" customWidth="1"/>
    <col min="3148" max="3151" width="5.8203125" style="500" customWidth="1"/>
    <col min="3152" max="3152" width="6" style="500" customWidth="1"/>
    <col min="3153" max="3153" width="1.546875" style="500" customWidth="1"/>
    <col min="3154" max="3154" width="2.2734375" style="500" customWidth="1"/>
    <col min="3155" max="3155" width="1.546875" style="500" customWidth="1"/>
    <col min="3156" max="3159" width="6.2734375" style="500" customWidth="1"/>
    <col min="3160" max="3160" width="6.1796875" style="500" customWidth="1"/>
    <col min="3161" max="3162" width="1.1796875" style="500" customWidth="1"/>
    <col min="3163" max="3163" width="1.2734375" style="500" customWidth="1"/>
    <col min="3164" max="3167" width="5.8203125" style="500" customWidth="1"/>
    <col min="3168" max="3168" width="6.8203125" style="500" customWidth="1"/>
    <col min="3169" max="3169" width="1.2734375" style="500" customWidth="1"/>
    <col min="3170" max="3171" width="1.7265625" style="500" customWidth="1"/>
    <col min="3172" max="3173" width="10.7265625" style="500" customWidth="1"/>
    <col min="3174" max="3175" width="8.2734375" style="500" customWidth="1"/>
    <col min="3176" max="3176" width="8.7265625" style="500" customWidth="1"/>
    <col min="3177" max="3177" width="8.1796875" style="500" customWidth="1"/>
    <col min="3178" max="3179" width="11.2734375" style="500" customWidth="1"/>
    <col min="3180" max="3180" width="10" style="500" customWidth="1"/>
    <col min="3181" max="3328" width="9.1796875" style="500"/>
    <col min="3329" max="3329" width="5.546875" style="500" customWidth="1"/>
    <col min="3330" max="3330" width="21.2734375" style="500" customWidth="1"/>
    <col min="3331" max="3331" width="38.8203125" style="500" customWidth="1"/>
    <col min="3332" max="3332" width="8.2734375" style="500" customWidth="1"/>
    <col min="3333" max="3333" width="6.1796875" style="500" customWidth="1"/>
    <col min="3334" max="3334" width="1" style="500" customWidth="1"/>
    <col min="3335" max="3335" width="1.2734375" style="500" customWidth="1"/>
    <col min="3336" max="3336" width="5.1796875" style="500" customWidth="1"/>
    <col min="3337" max="3337" width="6.1796875" style="500" customWidth="1"/>
    <col min="3338" max="3338" width="0.7265625" style="500" customWidth="1"/>
    <col min="3339" max="3339" width="1" style="500" customWidth="1"/>
    <col min="3340" max="3340" width="4.7265625" style="500" customWidth="1"/>
    <col min="3341" max="3341" width="6.2734375" style="500" customWidth="1"/>
    <col min="3342" max="3342" width="0.8203125" style="500" customWidth="1"/>
    <col min="3343" max="3343" width="1.1796875" style="500" customWidth="1"/>
    <col min="3344" max="3344" width="6.546875" style="500" customWidth="1"/>
    <col min="3345" max="3345" width="7.1796875" style="500" customWidth="1"/>
    <col min="3346" max="3347" width="1.546875" style="500" customWidth="1"/>
    <col min="3348" max="3348" width="6.8203125" style="500" customWidth="1"/>
    <col min="3349" max="3349" width="2" style="500" customWidth="1"/>
    <col min="3350" max="3350" width="1.2734375" style="500" customWidth="1"/>
    <col min="3351" max="3351" width="2.1796875" style="500" customWidth="1"/>
    <col min="3352" max="3352" width="6.453125" style="500" customWidth="1"/>
    <col min="3353" max="3355" width="2" style="500" customWidth="1"/>
    <col min="3356" max="3356" width="7.7265625" style="500" customWidth="1"/>
    <col min="3357" max="3357" width="1.2734375" style="500" customWidth="1"/>
    <col min="3358" max="3358" width="1.546875" style="500" customWidth="1"/>
    <col min="3359" max="3359" width="1.453125" style="500" customWidth="1"/>
    <col min="3360" max="3360" width="6.1796875" style="500" customWidth="1"/>
    <col min="3361" max="3363" width="1" style="500" customWidth="1"/>
    <col min="3364" max="3364" width="6.453125" style="500" customWidth="1"/>
    <col min="3365" max="3365" width="5.8203125" style="500" customWidth="1"/>
    <col min="3366" max="3366" width="1.453125" style="500" customWidth="1"/>
    <col min="3367" max="3367" width="1.546875" style="500" customWidth="1"/>
    <col min="3368" max="3368" width="6.1796875" style="500" customWidth="1"/>
    <col min="3369" max="3369" width="7" style="500" customWidth="1"/>
    <col min="3370" max="3370" width="1.1796875" style="500" customWidth="1"/>
    <col min="3371" max="3371" width="1.8203125" style="500" customWidth="1"/>
    <col min="3372" max="3372" width="5.8203125" style="500" customWidth="1"/>
    <col min="3373" max="3373" width="1.7265625" style="500" customWidth="1"/>
    <col min="3374" max="3374" width="2.1796875" style="500" customWidth="1"/>
    <col min="3375" max="3375" width="1.1796875" style="500" customWidth="1"/>
    <col min="3376" max="3376" width="7.2734375" style="500" customWidth="1"/>
    <col min="3377" max="3378" width="2.1796875" style="500" customWidth="1"/>
    <col min="3379" max="3379" width="1.7265625" style="500" customWidth="1"/>
    <col min="3380" max="3380" width="5.546875" style="500" customWidth="1"/>
    <col min="3381" max="3381" width="2" style="500" customWidth="1"/>
    <col min="3382" max="3382" width="1.453125" style="500" customWidth="1"/>
    <col min="3383" max="3383" width="2" style="500" customWidth="1"/>
    <col min="3384" max="3384" width="6.8203125" style="500" customWidth="1"/>
    <col min="3385" max="3385" width="1.7265625" style="500" customWidth="1"/>
    <col min="3386" max="3386" width="2" style="500" customWidth="1"/>
    <col min="3387" max="3387" width="1.8203125" style="500" customWidth="1"/>
    <col min="3388" max="3388" width="6.8203125" style="500" customWidth="1"/>
    <col min="3389" max="3389" width="1.1796875" style="500" customWidth="1"/>
    <col min="3390" max="3390" width="1.2734375" style="500" customWidth="1"/>
    <col min="3391" max="3391" width="1.8203125" style="500" customWidth="1"/>
    <col min="3392" max="3392" width="6.8203125" style="500" customWidth="1"/>
    <col min="3393" max="3393" width="1.453125" style="500" customWidth="1"/>
    <col min="3394" max="3394" width="1.2734375" style="500" customWidth="1"/>
    <col min="3395" max="3395" width="2.1796875" style="500" customWidth="1"/>
    <col min="3396" max="3396" width="5.1796875" style="500" customWidth="1"/>
    <col min="3397" max="3397" width="5.546875" style="500" customWidth="1"/>
    <col min="3398" max="3398" width="1.1796875" style="500" customWidth="1"/>
    <col min="3399" max="3399" width="1.453125" style="500" customWidth="1"/>
    <col min="3400" max="3400" width="6" style="500" customWidth="1"/>
    <col min="3401" max="3401" width="5.8203125" style="500" customWidth="1"/>
    <col min="3402" max="3402" width="1.7265625" style="500" customWidth="1"/>
    <col min="3403" max="3403" width="2.1796875" style="500" customWidth="1"/>
    <col min="3404" max="3407" width="5.8203125" style="500" customWidth="1"/>
    <col min="3408" max="3408" width="6" style="500" customWidth="1"/>
    <col min="3409" max="3409" width="1.546875" style="500" customWidth="1"/>
    <col min="3410" max="3410" width="2.2734375" style="500" customWidth="1"/>
    <col min="3411" max="3411" width="1.546875" style="500" customWidth="1"/>
    <col min="3412" max="3415" width="6.2734375" style="500" customWidth="1"/>
    <col min="3416" max="3416" width="6.1796875" style="500" customWidth="1"/>
    <col min="3417" max="3418" width="1.1796875" style="500" customWidth="1"/>
    <col min="3419" max="3419" width="1.2734375" style="500" customWidth="1"/>
    <col min="3420" max="3423" width="5.8203125" style="500" customWidth="1"/>
    <col min="3424" max="3424" width="6.8203125" style="500" customWidth="1"/>
    <col min="3425" max="3425" width="1.2734375" style="500" customWidth="1"/>
    <col min="3426" max="3427" width="1.7265625" style="500" customWidth="1"/>
    <col min="3428" max="3429" width="10.7265625" style="500" customWidth="1"/>
    <col min="3430" max="3431" width="8.2734375" style="500" customWidth="1"/>
    <col min="3432" max="3432" width="8.7265625" style="500" customWidth="1"/>
    <col min="3433" max="3433" width="8.1796875" style="500" customWidth="1"/>
    <col min="3434" max="3435" width="11.2734375" style="500" customWidth="1"/>
    <col min="3436" max="3436" width="10" style="500" customWidth="1"/>
    <col min="3437" max="3584" width="9.1796875" style="500"/>
    <col min="3585" max="3585" width="5.546875" style="500" customWidth="1"/>
    <col min="3586" max="3586" width="21.2734375" style="500" customWidth="1"/>
    <col min="3587" max="3587" width="38.8203125" style="500" customWidth="1"/>
    <col min="3588" max="3588" width="8.2734375" style="500" customWidth="1"/>
    <col min="3589" max="3589" width="6.1796875" style="500" customWidth="1"/>
    <col min="3590" max="3590" width="1" style="500" customWidth="1"/>
    <col min="3591" max="3591" width="1.2734375" style="500" customWidth="1"/>
    <col min="3592" max="3592" width="5.1796875" style="500" customWidth="1"/>
    <col min="3593" max="3593" width="6.1796875" style="500" customWidth="1"/>
    <col min="3594" max="3594" width="0.7265625" style="500" customWidth="1"/>
    <col min="3595" max="3595" width="1" style="500" customWidth="1"/>
    <col min="3596" max="3596" width="4.7265625" style="500" customWidth="1"/>
    <col min="3597" max="3597" width="6.2734375" style="500" customWidth="1"/>
    <col min="3598" max="3598" width="0.8203125" style="500" customWidth="1"/>
    <col min="3599" max="3599" width="1.1796875" style="500" customWidth="1"/>
    <col min="3600" max="3600" width="6.546875" style="500" customWidth="1"/>
    <col min="3601" max="3601" width="7.1796875" style="500" customWidth="1"/>
    <col min="3602" max="3603" width="1.546875" style="500" customWidth="1"/>
    <col min="3604" max="3604" width="6.8203125" style="500" customWidth="1"/>
    <col min="3605" max="3605" width="2" style="500" customWidth="1"/>
    <col min="3606" max="3606" width="1.2734375" style="500" customWidth="1"/>
    <col min="3607" max="3607" width="2.1796875" style="500" customWidth="1"/>
    <col min="3608" max="3608" width="6.453125" style="500" customWidth="1"/>
    <col min="3609" max="3611" width="2" style="500" customWidth="1"/>
    <col min="3612" max="3612" width="7.7265625" style="500" customWidth="1"/>
    <col min="3613" max="3613" width="1.2734375" style="500" customWidth="1"/>
    <col min="3614" max="3614" width="1.546875" style="500" customWidth="1"/>
    <col min="3615" max="3615" width="1.453125" style="500" customWidth="1"/>
    <col min="3616" max="3616" width="6.1796875" style="500" customWidth="1"/>
    <col min="3617" max="3619" width="1" style="500" customWidth="1"/>
    <col min="3620" max="3620" width="6.453125" style="500" customWidth="1"/>
    <col min="3621" max="3621" width="5.8203125" style="500" customWidth="1"/>
    <col min="3622" max="3622" width="1.453125" style="500" customWidth="1"/>
    <col min="3623" max="3623" width="1.546875" style="500" customWidth="1"/>
    <col min="3624" max="3624" width="6.1796875" style="500" customWidth="1"/>
    <col min="3625" max="3625" width="7" style="500" customWidth="1"/>
    <col min="3626" max="3626" width="1.1796875" style="500" customWidth="1"/>
    <col min="3627" max="3627" width="1.8203125" style="500" customWidth="1"/>
    <col min="3628" max="3628" width="5.8203125" style="500" customWidth="1"/>
    <col min="3629" max="3629" width="1.7265625" style="500" customWidth="1"/>
    <col min="3630" max="3630" width="2.1796875" style="500" customWidth="1"/>
    <col min="3631" max="3631" width="1.1796875" style="500" customWidth="1"/>
    <col min="3632" max="3632" width="7.2734375" style="500" customWidth="1"/>
    <col min="3633" max="3634" width="2.1796875" style="500" customWidth="1"/>
    <col min="3635" max="3635" width="1.7265625" style="500" customWidth="1"/>
    <col min="3636" max="3636" width="5.546875" style="500" customWidth="1"/>
    <col min="3637" max="3637" width="2" style="500" customWidth="1"/>
    <col min="3638" max="3638" width="1.453125" style="500" customWidth="1"/>
    <col min="3639" max="3639" width="2" style="500" customWidth="1"/>
    <col min="3640" max="3640" width="6.8203125" style="500" customWidth="1"/>
    <col min="3641" max="3641" width="1.7265625" style="500" customWidth="1"/>
    <col min="3642" max="3642" width="2" style="500" customWidth="1"/>
    <col min="3643" max="3643" width="1.8203125" style="500" customWidth="1"/>
    <col min="3644" max="3644" width="6.8203125" style="500" customWidth="1"/>
    <col min="3645" max="3645" width="1.1796875" style="500" customWidth="1"/>
    <col min="3646" max="3646" width="1.2734375" style="500" customWidth="1"/>
    <col min="3647" max="3647" width="1.8203125" style="500" customWidth="1"/>
    <col min="3648" max="3648" width="6.8203125" style="500" customWidth="1"/>
    <col min="3649" max="3649" width="1.453125" style="500" customWidth="1"/>
    <col min="3650" max="3650" width="1.2734375" style="500" customWidth="1"/>
    <col min="3651" max="3651" width="2.1796875" style="500" customWidth="1"/>
    <col min="3652" max="3652" width="5.1796875" style="500" customWidth="1"/>
    <col min="3653" max="3653" width="5.546875" style="500" customWidth="1"/>
    <col min="3654" max="3654" width="1.1796875" style="500" customWidth="1"/>
    <col min="3655" max="3655" width="1.453125" style="500" customWidth="1"/>
    <col min="3656" max="3656" width="6" style="500" customWidth="1"/>
    <col min="3657" max="3657" width="5.8203125" style="500" customWidth="1"/>
    <col min="3658" max="3658" width="1.7265625" style="500" customWidth="1"/>
    <col min="3659" max="3659" width="2.1796875" style="500" customWidth="1"/>
    <col min="3660" max="3663" width="5.8203125" style="500" customWidth="1"/>
    <col min="3664" max="3664" width="6" style="500" customWidth="1"/>
    <col min="3665" max="3665" width="1.546875" style="500" customWidth="1"/>
    <col min="3666" max="3666" width="2.2734375" style="500" customWidth="1"/>
    <col min="3667" max="3667" width="1.546875" style="500" customWidth="1"/>
    <col min="3668" max="3671" width="6.2734375" style="500" customWidth="1"/>
    <col min="3672" max="3672" width="6.1796875" style="500" customWidth="1"/>
    <col min="3673" max="3674" width="1.1796875" style="500" customWidth="1"/>
    <col min="3675" max="3675" width="1.2734375" style="500" customWidth="1"/>
    <col min="3676" max="3679" width="5.8203125" style="500" customWidth="1"/>
    <col min="3680" max="3680" width="6.8203125" style="500" customWidth="1"/>
    <col min="3681" max="3681" width="1.2734375" style="500" customWidth="1"/>
    <col min="3682" max="3683" width="1.7265625" style="500" customWidth="1"/>
    <col min="3684" max="3685" width="10.7265625" style="500" customWidth="1"/>
    <col min="3686" max="3687" width="8.2734375" style="500" customWidth="1"/>
    <col min="3688" max="3688" width="8.7265625" style="500" customWidth="1"/>
    <col min="3689" max="3689" width="8.1796875" style="500" customWidth="1"/>
    <col min="3690" max="3691" width="11.2734375" style="500" customWidth="1"/>
    <col min="3692" max="3692" width="10" style="500" customWidth="1"/>
    <col min="3693" max="3840" width="9.1796875" style="500"/>
    <col min="3841" max="3841" width="5.546875" style="500" customWidth="1"/>
    <col min="3842" max="3842" width="21.2734375" style="500" customWidth="1"/>
    <col min="3843" max="3843" width="38.8203125" style="500" customWidth="1"/>
    <col min="3844" max="3844" width="8.2734375" style="500" customWidth="1"/>
    <col min="3845" max="3845" width="6.1796875" style="500" customWidth="1"/>
    <col min="3846" max="3846" width="1" style="500" customWidth="1"/>
    <col min="3847" max="3847" width="1.2734375" style="500" customWidth="1"/>
    <col min="3848" max="3848" width="5.1796875" style="500" customWidth="1"/>
    <col min="3849" max="3849" width="6.1796875" style="500" customWidth="1"/>
    <col min="3850" max="3850" width="0.7265625" style="500" customWidth="1"/>
    <col min="3851" max="3851" width="1" style="500" customWidth="1"/>
    <col min="3852" max="3852" width="4.7265625" style="500" customWidth="1"/>
    <col min="3853" max="3853" width="6.2734375" style="500" customWidth="1"/>
    <col min="3854" max="3854" width="0.8203125" style="500" customWidth="1"/>
    <col min="3855" max="3855" width="1.1796875" style="500" customWidth="1"/>
    <col min="3856" max="3856" width="6.546875" style="500" customWidth="1"/>
    <col min="3857" max="3857" width="7.1796875" style="500" customWidth="1"/>
    <col min="3858" max="3859" width="1.546875" style="500" customWidth="1"/>
    <col min="3860" max="3860" width="6.8203125" style="500" customWidth="1"/>
    <col min="3861" max="3861" width="2" style="500" customWidth="1"/>
    <col min="3862" max="3862" width="1.2734375" style="500" customWidth="1"/>
    <col min="3863" max="3863" width="2.1796875" style="500" customWidth="1"/>
    <col min="3864" max="3864" width="6.453125" style="500" customWidth="1"/>
    <col min="3865" max="3867" width="2" style="500" customWidth="1"/>
    <col min="3868" max="3868" width="7.7265625" style="500" customWidth="1"/>
    <col min="3869" max="3869" width="1.2734375" style="500" customWidth="1"/>
    <col min="3870" max="3870" width="1.546875" style="500" customWidth="1"/>
    <col min="3871" max="3871" width="1.453125" style="500" customWidth="1"/>
    <col min="3872" max="3872" width="6.1796875" style="500" customWidth="1"/>
    <col min="3873" max="3875" width="1" style="500" customWidth="1"/>
    <col min="3876" max="3876" width="6.453125" style="500" customWidth="1"/>
    <col min="3877" max="3877" width="5.8203125" style="500" customWidth="1"/>
    <col min="3878" max="3878" width="1.453125" style="500" customWidth="1"/>
    <col min="3879" max="3879" width="1.546875" style="500" customWidth="1"/>
    <col min="3880" max="3880" width="6.1796875" style="500" customWidth="1"/>
    <col min="3881" max="3881" width="7" style="500" customWidth="1"/>
    <col min="3882" max="3882" width="1.1796875" style="500" customWidth="1"/>
    <col min="3883" max="3883" width="1.8203125" style="500" customWidth="1"/>
    <col min="3884" max="3884" width="5.8203125" style="500" customWidth="1"/>
    <col min="3885" max="3885" width="1.7265625" style="500" customWidth="1"/>
    <col min="3886" max="3886" width="2.1796875" style="500" customWidth="1"/>
    <col min="3887" max="3887" width="1.1796875" style="500" customWidth="1"/>
    <col min="3888" max="3888" width="7.2734375" style="500" customWidth="1"/>
    <col min="3889" max="3890" width="2.1796875" style="500" customWidth="1"/>
    <col min="3891" max="3891" width="1.7265625" style="500" customWidth="1"/>
    <col min="3892" max="3892" width="5.546875" style="500" customWidth="1"/>
    <col min="3893" max="3893" width="2" style="500" customWidth="1"/>
    <col min="3894" max="3894" width="1.453125" style="500" customWidth="1"/>
    <col min="3895" max="3895" width="2" style="500" customWidth="1"/>
    <col min="3896" max="3896" width="6.8203125" style="500" customWidth="1"/>
    <col min="3897" max="3897" width="1.7265625" style="500" customWidth="1"/>
    <col min="3898" max="3898" width="2" style="500" customWidth="1"/>
    <col min="3899" max="3899" width="1.8203125" style="500" customWidth="1"/>
    <col min="3900" max="3900" width="6.8203125" style="500" customWidth="1"/>
    <col min="3901" max="3901" width="1.1796875" style="500" customWidth="1"/>
    <col min="3902" max="3902" width="1.2734375" style="500" customWidth="1"/>
    <col min="3903" max="3903" width="1.8203125" style="500" customWidth="1"/>
    <col min="3904" max="3904" width="6.8203125" style="500" customWidth="1"/>
    <col min="3905" max="3905" width="1.453125" style="500" customWidth="1"/>
    <col min="3906" max="3906" width="1.2734375" style="500" customWidth="1"/>
    <col min="3907" max="3907" width="2.1796875" style="500" customWidth="1"/>
    <col min="3908" max="3908" width="5.1796875" style="500" customWidth="1"/>
    <col min="3909" max="3909" width="5.546875" style="500" customWidth="1"/>
    <col min="3910" max="3910" width="1.1796875" style="500" customWidth="1"/>
    <col min="3911" max="3911" width="1.453125" style="500" customWidth="1"/>
    <col min="3912" max="3912" width="6" style="500" customWidth="1"/>
    <col min="3913" max="3913" width="5.8203125" style="500" customWidth="1"/>
    <col min="3914" max="3914" width="1.7265625" style="500" customWidth="1"/>
    <col min="3915" max="3915" width="2.1796875" style="500" customWidth="1"/>
    <col min="3916" max="3919" width="5.8203125" style="500" customWidth="1"/>
    <col min="3920" max="3920" width="6" style="500" customWidth="1"/>
    <col min="3921" max="3921" width="1.546875" style="500" customWidth="1"/>
    <col min="3922" max="3922" width="2.2734375" style="500" customWidth="1"/>
    <col min="3923" max="3923" width="1.546875" style="500" customWidth="1"/>
    <col min="3924" max="3927" width="6.2734375" style="500" customWidth="1"/>
    <col min="3928" max="3928" width="6.1796875" style="500" customWidth="1"/>
    <col min="3929" max="3930" width="1.1796875" style="500" customWidth="1"/>
    <col min="3931" max="3931" width="1.2734375" style="500" customWidth="1"/>
    <col min="3932" max="3935" width="5.8203125" style="500" customWidth="1"/>
    <col min="3936" max="3936" width="6.8203125" style="500" customWidth="1"/>
    <col min="3937" max="3937" width="1.2734375" style="500" customWidth="1"/>
    <col min="3938" max="3939" width="1.7265625" style="500" customWidth="1"/>
    <col min="3940" max="3941" width="10.7265625" style="500" customWidth="1"/>
    <col min="3942" max="3943" width="8.2734375" style="500" customWidth="1"/>
    <col min="3944" max="3944" width="8.7265625" style="500" customWidth="1"/>
    <col min="3945" max="3945" width="8.1796875" style="500" customWidth="1"/>
    <col min="3946" max="3947" width="11.2734375" style="500" customWidth="1"/>
    <col min="3948" max="3948" width="10" style="500" customWidth="1"/>
    <col min="3949" max="4096" width="9.1796875" style="500"/>
    <col min="4097" max="4097" width="5.546875" style="500" customWidth="1"/>
    <col min="4098" max="4098" width="21.2734375" style="500" customWidth="1"/>
    <col min="4099" max="4099" width="38.8203125" style="500" customWidth="1"/>
    <col min="4100" max="4100" width="8.2734375" style="500" customWidth="1"/>
    <col min="4101" max="4101" width="6.1796875" style="500" customWidth="1"/>
    <col min="4102" max="4102" width="1" style="500" customWidth="1"/>
    <col min="4103" max="4103" width="1.2734375" style="500" customWidth="1"/>
    <col min="4104" max="4104" width="5.1796875" style="500" customWidth="1"/>
    <col min="4105" max="4105" width="6.1796875" style="500" customWidth="1"/>
    <col min="4106" max="4106" width="0.7265625" style="500" customWidth="1"/>
    <col min="4107" max="4107" width="1" style="500" customWidth="1"/>
    <col min="4108" max="4108" width="4.7265625" style="500" customWidth="1"/>
    <col min="4109" max="4109" width="6.2734375" style="500" customWidth="1"/>
    <col min="4110" max="4110" width="0.8203125" style="500" customWidth="1"/>
    <col min="4111" max="4111" width="1.1796875" style="500" customWidth="1"/>
    <col min="4112" max="4112" width="6.546875" style="500" customWidth="1"/>
    <col min="4113" max="4113" width="7.1796875" style="500" customWidth="1"/>
    <col min="4114" max="4115" width="1.546875" style="500" customWidth="1"/>
    <col min="4116" max="4116" width="6.8203125" style="500" customWidth="1"/>
    <col min="4117" max="4117" width="2" style="500" customWidth="1"/>
    <col min="4118" max="4118" width="1.2734375" style="500" customWidth="1"/>
    <col min="4119" max="4119" width="2.1796875" style="500" customWidth="1"/>
    <col min="4120" max="4120" width="6.453125" style="500" customWidth="1"/>
    <col min="4121" max="4123" width="2" style="500" customWidth="1"/>
    <col min="4124" max="4124" width="7.7265625" style="500" customWidth="1"/>
    <col min="4125" max="4125" width="1.2734375" style="500" customWidth="1"/>
    <col min="4126" max="4126" width="1.546875" style="500" customWidth="1"/>
    <col min="4127" max="4127" width="1.453125" style="500" customWidth="1"/>
    <col min="4128" max="4128" width="6.1796875" style="500" customWidth="1"/>
    <col min="4129" max="4131" width="1" style="500" customWidth="1"/>
    <col min="4132" max="4132" width="6.453125" style="500" customWidth="1"/>
    <col min="4133" max="4133" width="5.8203125" style="500" customWidth="1"/>
    <col min="4134" max="4134" width="1.453125" style="500" customWidth="1"/>
    <col min="4135" max="4135" width="1.546875" style="500" customWidth="1"/>
    <col min="4136" max="4136" width="6.1796875" style="500" customWidth="1"/>
    <col min="4137" max="4137" width="7" style="500" customWidth="1"/>
    <col min="4138" max="4138" width="1.1796875" style="500" customWidth="1"/>
    <col min="4139" max="4139" width="1.8203125" style="500" customWidth="1"/>
    <col min="4140" max="4140" width="5.8203125" style="500" customWidth="1"/>
    <col min="4141" max="4141" width="1.7265625" style="500" customWidth="1"/>
    <col min="4142" max="4142" width="2.1796875" style="500" customWidth="1"/>
    <col min="4143" max="4143" width="1.1796875" style="500" customWidth="1"/>
    <col min="4144" max="4144" width="7.2734375" style="500" customWidth="1"/>
    <col min="4145" max="4146" width="2.1796875" style="500" customWidth="1"/>
    <col min="4147" max="4147" width="1.7265625" style="500" customWidth="1"/>
    <col min="4148" max="4148" width="5.546875" style="500" customWidth="1"/>
    <col min="4149" max="4149" width="2" style="500" customWidth="1"/>
    <col min="4150" max="4150" width="1.453125" style="500" customWidth="1"/>
    <col min="4151" max="4151" width="2" style="500" customWidth="1"/>
    <col min="4152" max="4152" width="6.8203125" style="500" customWidth="1"/>
    <col min="4153" max="4153" width="1.7265625" style="500" customWidth="1"/>
    <col min="4154" max="4154" width="2" style="500" customWidth="1"/>
    <col min="4155" max="4155" width="1.8203125" style="500" customWidth="1"/>
    <col min="4156" max="4156" width="6.8203125" style="500" customWidth="1"/>
    <col min="4157" max="4157" width="1.1796875" style="500" customWidth="1"/>
    <col min="4158" max="4158" width="1.2734375" style="500" customWidth="1"/>
    <col min="4159" max="4159" width="1.8203125" style="500" customWidth="1"/>
    <col min="4160" max="4160" width="6.8203125" style="500" customWidth="1"/>
    <col min="4161" max="4161" width="1.453125" style="500" customWidth="1"/>
    <col min="4162" max="4162" width="1.2734375" style="500" customWidth="1"/>
    <col min="4163" max="4163" width="2.1796875" style="500" customWidth="1"/>
    <col min="4164" max="4164" width="5.1796875" style="500" customWidth="1"/>
    <col min="4165" max="4165" width="5.546875" style="500" customWidth="1"/>
    <col min="4166" max="4166" width="1.1796875" style="500" customWidth="1"/>
    <col min="4167" max="4167" width="1.453125" style="500" customWidth="1"/>
    <col min="4168" max="4168" width="6" style="500" customWidth="1"/>
    <col min="4169" max="4169" width="5.8203125" style="500" customWidth="1"/>
    <col min="4170" max="4170" width="1.7265625" style="500" customWidth="1"/>
    <col min="4171" max="4171" width="2.1796875" style="500" customWidth="1"/>
    <col min="4172" max="4175" width="5.8203125" style="500" customWidth="1"/>
    <col min="4176" max="4176" width="6" style="500" customWidth="1"/>
    <col min="4177" max="4177" width="1.546875" style="500" customWidth="1"/>
    <col min="4178" max="4178" width="2.2734375" style="500" customWidth="1"/>
    <col min="4179" max="4179" width="1.546875" style="500" customWidth="1"/>
    <col min="4180" max="4183" width="6.2734375" style="500" customWidth="1"/>
    <col min="4184" max="4184" width="6.1796875" style="500" customWidth="1"/>
    <col min="4185" max="4186" width="1.1796875" style="500" customWidth="1"/>
    <col min="4187" max="4187" width="1.2734375" style="500" customWidth="1"/>
    <col min="4188" max="4191" width="5.8203125" style="500" customWidth="1"/>
    <col min="4192" max="4192" width="6.8203125" style="500" customWidth="1"/>
    <col min="4193" max="4193" width="1.2734375" style="500" customWidth="1"/>
    <col min="4194" max="4195" width="1.7265625" style="500" customWidth="1"/>
    <col min="4196" max="4197" width="10.7265625" style="500" customWidth="1"/>
    <col min="4198" max="4199" width="8.2734375" style="500" customWidth="1"/>
    <col min="4200" max="4200" width="8.7265625" style="500" customWidth="1"/>
    <col min="4201" max="4201" width="8.1796875" style="500" customWidth="1"/>
    <col min="4202" max="4203" width="11.2734375" style="500" customWidth="1"/>
    <col min="4204" max="4204" width="10" style="500" customWidth="1"/>
    <col min="4205" max="4352" width="9.1796875" style="500"/>
    <col min="4353" max="4353" width="5.546875" style="500" customWidth="1"/>
    <col min="4354" max="4354" width="21.2734375" style="500" customWidth="1"/>
    <col min="4355" max="4355" width="38.8203125" style="500" customWidth="1"/>
    <col min="4356" max="4356" width="8.2734375" style="500" customWidth="1"/>
    <col min="4357" max="4357" width="6.1796875" style="500" customWidth="1"/>
    <col min="4358" max="4358" width="1" style="500" customWidth="1"/>
    <col min="4359" max="4359" width="1.2734375" style="500" customWidth="1"/>
    <col min="4360" max="4360" width="5.1796875" style="500" customWidth="1"/>
    <col min="4361" max="4361" width="6.1796875" style="500" customWidth="1"/>
    <col min="4362" max="4362" width="0.7265625" style="500" customWidth="1"/>
    <col min="4363" max="4363" width="1" style="500" customWidth="1"/>
    <col min="4364" max="4364" width="4.7265625" style="500" customWidth="1"/>
    <col min="4365" max="4365" width="6.2734375" style="500" customWidth="1"/>
    <col min="4366" max="4366" width="0.8203125" style="500" customWidth="1"/>
    <col min="4367" max="4367" width="1.1796875" style="500" customWidth="1"/>
    <col min="4368" max="4368" width="6.546875" style="500" customWidth="1"/>
    <col min="4369" max="4369" width="7.1796875" style="500" customWidth="1"/>
    <col min="4370" max="4371" width="1.546875" style="500" customWidth="1"/>
    <col min="4372" max="4372" width="6.8203125" style="500" customWidth="1"/>
    <col min="4373" max="4373" width="2" style="500" customWidth="1"/>
    <col min="4374" max="4374" width="1.2734375" style="500" customWidth="1"/>
    <col min="4375" max="4375" width="2.1796875" style="500" customWidth="1"/>
    <col min="4376" max="4376" width="6.453125" style="500" customWidth="1"/>
    <col min="4377" max="4379" width="2" style="500" customWidth="1"/>
    <col min="4380" max="4380" width="7.7265625" style="500" customWidth="1"/>
    <col min="4381" max="4381" width="1.2734375" style="500" customWidth="1"/>
    <col min="4382" max="4382" width="1.546875" style="500" customWidth="1"/>
    <col min="4383" max="4383" width="1.453125" style="500" customWidth="1"/>
    <col min="4384" max="4384" width="6.1796875" style="500" customWidth="1"/>
    <col min="4385" max="4387" width="1" style="500" customWidth="1"/>
    <col min="4388" max="4388" width="6.453125" style="500" customWidth="1"/>
    <col min="4389" max="4389" width="5.8203125" style="500" customWidth="1"/>
    <col min="4390" max="4390" width="1.453125" style="500" customWidth="1"/>
    <col min="4391" max="4391" width="1.546875" style="500" customWidth="1"/>
    <col min="4392" max="4392" width="6.1796875" style="500" customWidth="1"/>
    <col min="4393" max="4393" width="7" style="500" customWidth="1"/>
    <col min="4394" max="4394" width="1.1796875" style="500" customWidth="1"/>
    <col min="4395" max="4395" width="1.8203125" style="500" customWidth="1"/>
    <col min="4396" max="4396" width="5.8203125" style="500" customWidth="1"/>
    <col min="4397" max="4397" width="1.7265625" style="500" customWidth="1"/>
    <col min="4398" max="4398" width="2.1796875" style="500" customWidth="1"/>
    <col min="4399" max="4399" width="1.1796875" style="500" customWidth="1"/>
    <col min="4400" max="4400" width="7.2734375" style="500" customWidth="1"/>
    <col min="4401" max="4402" width="2.1796875" style="500" customWidth="1"/>
    <col min="4403" max="4403" width="1.7265625" style="500" customWidth="1"/>
    <col min="4404" max="4404" width="5.546875" style="500" customWidth="1"/>
    <col min="4405" max="4405" width="2" style="500" customWidth="1"/>
    <col min="4406" max="4406" width="1.453125" style="500" customWidth="1"/>
    <col min="4407" max="4407" width="2" style="500" customWidth="1"/>
    <col min="4408" max="4408" width="6.8203125" style="500" customWidth="1"/>
    <col min="4409" max="4409" width="1.7265625" style="500" customWidth="1"/>
    <col min="4410" max="4410" width="2" style="500" customWidth="1"/>
    <col min="4411" max="4411" width="1.8203125" style="500" customWidth="1"/>
    <col min="4412" max="4412" width="6.8203125" style="500" customWidth="1"/>
    <col min="4413" max="4413" width="1.1796875" style="500" customWidth="1"/>
    <col min="4414" max="4414" width="1.2734375" style="500" customWidth="1"/>
    <col min="4415" max="4415" width="1.8203125" style="500" customWidth="1"/>
    <col min="4416" max="4416" width="6.8203125" style="500" customWidth="1"/>
    <col min="4417" max="4417" width="1.453125" style="500" customWidth="1"/>
    <col min="4418" max="4418" width="1.2734375" style="500" customWidth="1"/>
    <col min="4419" max="4419" width="2.1796875" style="500" customWidth="1"/>
    <col min="4420" max="4420" width="5.1796875" style="500" customWidth="1"/>
    <col min="4421" max="4421" width="5.546875" style="500" customWidth="1"/>
    <col min="4422" max="4422" width="1.1796875" style="500" customWidth="1"/>
    <col min="4423" max="4423" width="1.453125" style="500" customWidth="1"/>
    <col min="4424" max="4424" width="6" style="500" customWidth="1"/>
    <col min="4425" max="4425" width="5.8203125" style="500" customWidth="1"/>
    <col min="4426" max="4426" width="1.7265625" style="500" customWidth="1"/>
    <col min="4427" max="4427" width="2.1796875" style="500" customWidth="1"/>
    <col min="4428" max="4431" width="5.8203125" style="500" customWidth="1"/>
    <col min="4432" max="4432" width="6" style="500" customWidth="1"/>
    <col min="4433" max="4433" width="1.546875" style="500" customWidth="1"/>
    <col min="4434" max="4434" width="2.2734375" style="500" customWidth="1"/>
    <col min="4435" max="4435" width="1.546875" style="500" customWidth="1"/>
    <col min="4436" max="4439" width="6.2734375" style="500" customWidth="1"/>
    <col min="4440" max="4440" width="6.1796875" style="500" customWidth="1"/>
    <col min="4441" max="4442" width="1.1796875" style="500" customWidth="1"/>
    <col min="4443" max="4443" width="1.2734375" style="500" customWidth="1"/>
    <col min="4444" max="4447" width="5.8203125" style="500" customWidth="1"/>
    <col min="4448" max="4448" width="6.8203125" style="500" customWidth="1"/>
    <col min="4449" max="4449" width="1.2734375" style="500" customWidth="1"/>
    <col min="4450" max="4451" width="1.7265625" style="500" customWidth="1"/>
    <col min="4452" max="4453" width="10.7265625" style="500" customWidth="1"/>
    <col min="4454" max="4455" width="8.2734375" style="500" customWidth="1"/>
    <col min="4456" max="4456" width="8.7265625" style="500" customWidth="1"/>
    <col min="4457" max="4457" width="8.1796875" style="500" customWidth="1"/>
    <col min="4458" max="4459" width="11.2734375" style="500" customWidth="1"/>
    <col min="4460" max="4460" width="10" style="500" customWidth="1"/>
    <col min="4461" max="4608" width="9.1796875" style="500"/>
    <col min="4609" max="4609" width="5.546875" style="500" customWidth="1"/>
    <col min="4610" max="4610" width="21.2734375" style="500" customWidth="1"/>
    <col min="4611" max="4611" width="38.8203125" style="500" customWidth="1"/>
    <col min="4612" max="4612" width="8.2734375" style="500" customWidth="1"/>
    <col min="4613" max="4613" width="6.1796875" style="500" customWidth="1"/>
    <col min="4614" max="4614" width="1" style="500" customWidth="1"/>
    <col min="4615" max="4615" width="1.2734375" style="500" customWidth="1"/>
    <col min="4616" max="4616" width="5.1796875" style="500" customWidth="1"/>
    <col min="4617" max="4617" width="6.1796875" style="500" customWidth="1"/>
    <col min="4618" max="4618" width="0.7265625" style="500" customWidth="1"/>
    <col min="4619" max="4619" width="1" style="500" customWidth="1"/>
    <col min="4620" max="4620" width="4.7265625" style="500" customWidth="1"/>
    <col min="4621" max="4621" width="6.2734375" style="500" customWidth="1"/>
    <col min="4622" max="4622" width="0.8203125" style="500" customWidth="1"/>
    <col min="4623" max="4623" width="1.1796875" style="500" customWidth="1"/>
    <col min="4624" max="4624" width="6.546875" style="500" customWidth="1"/>
    <col min="4625" max="4625" width="7.1796875" style="500" customWidth="1"/>
    <col min="4626" max="4627" width="1.546875" style="500" customWidth="1"/>
    <col min="4628" max="4628" width="6.8203125" style="500" customWidth="1"/>
    <col min="4629" max="4629" width="2" style="500" customWidth="1"/>
    <col min="4630" max="4630" width="1.2734375" style="500" customWidth="1"/>
    <col min="4631" max="4631" width="2.1796875" style="500" customWidth="1"/>
    <col min="4632" max="4632" width="6.453125" style="500" customWidth="1"/>
    <col min="4633" max="4635" width="2" style="500" customWidth="1"/>
    <col min="4636" max="4636" width="7.7265625" style="500" customWidth="1"/>
    <col min="4637" max="4637" width="1.2734375" style="500" customWidth="1"/>
    <col min="4638" max="4638" width="1.546875" style="500" customWidth="1"/>
    <col min="4639" max="4639" width="1.453125" style="500" customWidth="1"/>
    <col min="4640" max="4640" width="6.1796875" style="500" customWidth="1"/>
    <col min="4641" max="4643" width="1" style="500" customWidth="1"/>
    <col min="4644" max="4644" width="6.453125" style="500" customWidth="1"/>
    <col min="4645" max="4645" width="5.8203125" style="500" customWidth="1"/>
    <col min="4646" max="4646" width="1.453125" style="500" customWidth="1"/>
    <col min="4647" max="4647" width="1.546875" style="500" customWidth="1"/>
    <col min="4648" max="4648" width="6.1796875" style="500" customWidth="1"/>
    <col min="4649" max="4649" width="7" style="500" customWidth="1"/>
    <col min="4650" max="4650" width="1.1796875" style="500" customWidth="1"/>
    <col min="4651" max="4651" width="1.8203125" style="500" customWidth="1"/>
    <col min="4652" max="4652" width="5.8203125" style="500" customWidth="1"/>
    <col min="4653" max="4653" width="1.7265625" style="500" customWidth="1"/>
    <col min="4654" max="4654" width="2.1796875" style="500" customWidth="1"/>
    <col min="4655" max="4655" width="1.1796875" style="500" customWidth="1"/>
    <col min="4656" max="4656" width="7.2734375" style="500" customWidth="1"/>
    <col min="4657" max="4658" width="2.1796875" style="500" customWidth="1"/>
    <col min="4659" max="4659" width="1.7265625" style="500" customWidth="1"/>
    <col min="4660" max="4660" width="5.546875" style="500" customWidth="1"/>
    <col min="4661" max="4661" width="2" style="500" customWidth="1"/>
    <col min="4662" max="4662" width="1.453125" style="500" customWidth="1"/>
    <col min="4663" max="4663" width="2" style="500" customWidth="1"/>
    <col min="4664" max="4664" width="6.8203125" style="500" customWidth="1"/>
    <col min="4665" max="4665" width="1.7265625" style="500" customWidth="1"/>
    <col min="4666" max="4666" width="2" style="500" customWidth="1"/>
    <col min="4667" max="4667" width="1.8203125" style="500" customWidth="1"/>
    <col min="4668" max="4668" width="6.8203125" style="500" customWidth="1"/>
    <col min="4669" max="4669" width="1.1796875" style="500" customWidth="1"/>
    <col min="4670" max="4670" width="1.2734375" style="500" customWidth="1"/>
    <col min="4671" max="4671" width="1.8203125" style="500" customWidth="1"/>
    <col min="4672" max="4672" width="6.8203125" style="500" customWidth="1"/>
    <col min="4673" max="4673" width="1.453125" style="500" customWidth="1"/>
    <col min="4674" max="4674" width="1.2734375" style="500" customWidth="1"/>
    <col min="4675" max="4675" width="2.1796875" style="500" customWidth="1"/>
    <col min="4676" max="4676" width="5.1796875" style="500" customWidth="1"/>
    <col min="4677" max="4677" width="5.546875" style="500" customWidth="1"/>
    <col min="4678" max="4678" width="1.1796875" style="500" customWidth="1"/>
    <col min="4679" max="4679" width="1.453125" style="500" customWidth="1"/>
    <col min="4680" max="4680" width="6" style="500" customWidth="1"/>
    <col min="4681" max="4681" width="5.8203125" style="500" customWidth="1"/>
    <col min="4682" max="4682" width="1.7265625" style="500" customWidth="1"/>
    <col min="4683" max="4683" width="2.1796875" style="500" customWidth="1"/>
    <col min="4684" max="4687" width="5.8203125" style="500" customWidth="1"/>
    <col min="4688" max="4688" width="6" style="500" customWidth="1"/>
    <col min="4689" max="4689" width="1.546875" style="500" customWidth="1"/>
    <col min="4690" max="4690" width="2.2734375" style="500" customWidth="1"/>
    <col min="4691" max="4691" width="1.546875" style="500" customWidth="1"/>
    <col min="4692" max="4695" width="6.2734375" style="500" customWidth="1"/>
    <col min="4696" max="4696" width="6.1796875" style="500" customWidth="1"/>
    <col min="4697" max="4698" width="1.1796875" style="500" customWidth="1"/>
    <col min="4699" max="4699" width="1.2734375" style="500" customWidth="1"/>
    <col min="4700" max="4703" width="5.8203125" style="500" customWidth="1"/>
    <col min="4704" max="4704" width="6.8203125" style="500" customWidth="1"/>
    <col min="4705" max="4705" width="1.2734375" style="500" customWidth="1"/>
    <col min="4706" max="4707" width="1.7265625" style="500" customWidth="1"/>
    <col min="4708" max="4709" width="10.7265625" style="500" customWidth="1"/>
    <col min="4710" max="4711" width="8.2734375" style="500" customWidth="1"/>
    <col min="4712" max="4712" width="8.7265625" style="500" customWidth="1"/>
    <col min="4713" max="4713" width="8.1796875" style="500" customWidth="1"/>
    <col min="4714" max="4715" width="11.2734375" style="500" customWidth="1"/>
    <col min="4716" max="4716" width="10" style="500" customWidth="1"/>
    <col min="4717" max="4864" width="9.1796875" style="500"/>
    <col min="4865" max="4865" width="5.546875" style="500" customWidth="1"/>
    <col min="4866" max="4866" width="21.2734375" style="500" customWidth="1"/>
    <col min="4867" max="4867" width="38.8203125" style="500" customWidth="1"/>
    <col min="4868" max="4868" width="8.2734375" style="500" customWidth="1"/>
    <col min="4869" max="4869" width="6.1796875" style="500" customWidth="1"/>
    <col min="4870" max="4870" width="1" style="500" customWidth="1"/>
    <col min="4871" max="4871" width="1.2734375" style="500" customWidth="1"/>
    <col min="4872" max="4872" width="5.1796875" style="500" customWidth="1"/>
    <col min="4873" max="4873" width="6.1796875" style="500" customWidth="1"/>
    <col min="4874" max="4874" width="0.7265625" style="500" customWidth="1"/>
    <col min="4875" max="4875" width="1" style="500" customWidth="1"/>
    <col min="4876" max="4876" width="4.7265625" style="500" customWidth="1"/>
    <col min="4877" max="4877" width="6.2734375" style="500" customWidth="1"/>
    <col min="4878" max="4878" width="0.8203125" style="500" customWidth="1"/>
    <col min="4879" max="4879" width="1.1796875" style="500" customWidth="1"/>
    <col min="4880" max="4880" width="6.546875" style="500" customWidth="1"/>
    <col min="4881" max="4881" width="7.1796875" style="500" customWidth="1"/>
    <col min="4882" max="4883" width="1.546875" style="500" customWidth="1"/>
    <col min="4884" max="4884" width="6.8203125" style="500" customWidth="1"/>
    <col min="4885" max="4885" width="2" style="500" customWidth="1"/>
    <col min="4886" max="4886" width="1.2734375" style="500" customWidth="1"/>
    <col min="4887" max="4887" width="2.1796875" style="500" customWidth="1"/>
    <col min="4888" max="4888" width="6.453125" style="500" customWidth="1"/>
    <col min="4889" max="4891" width="2" style="500" customWidth="1"/>
    <col min="4892" max="4892" width="7.7265625" style="500" customWidth="1"/>
    <col min="4893" max="4893" width="1.2734375" style="500" customWidth="1"/>
    <col min="4894" max="4894" width="1.546875" style="500" customWidth="1"/>
    <col min="4895" max="4895" width="1.453125" style="500" customWidth="1"/>
    <col min="4896" max="4896" width="6.1796875" style="500" customWidth="1"/>
    <col min="4897" max="4899" width="1" style="500" customWidth="1"/>
    <col min="4900" max="4900" width="6.453125" style="500" customWidth="1"/>
    <col min="4901" max="4901" width="5.8203125" style="500" customWidth="1"/>
    <col min="4902" max="4902" width="1.453125" style="500" customWidth="1"/>
    <col min="4903" max="4903" width="1.546875" style="500" customWidth="1"/>
    <col min="4904" max="4904" width="6.1796875" style="500" customWidth="1"/>
    <col min="4905" max="4905" width="7" style="500" customWidth="1"/>
    <col min="4906" max="4906" width="1.1796875" style="500" customWidth="1"/>
    <col min="4907" max="4907" width="1.8203125" style="500" customWidth="1"/>
    <col min="4908" max="4908" width="5.8203125" style="500" customWidth="1"/>
    <col min="4909" max="4909" width="1.7265625" style="500" customWidth="1"/>
    <col min="4910" max="4910" width="2.1796875" style="500" customWidth="1"/>
    <col min="4911" max="4911" width="1.1796875" style="500" customWidth="1"/>
    <col min="4912" max="4912" width="7.2734375" style="500" customWidth="1"/>
    <col min="4913" max="4914" width="2.1796875" style="500" customWidth="1"/>
    <col min="4915" max="4915" width="1.7265625" style="500" customWidth="1"/>
    <col min="4916" max="4916" width="5.546875" style="500" customWidth="1"/>
    <col min="4917" max="4917" width="2" style="500" customWidth="1"/>
    <col min="4918" max="4918" width="1.453125" style="500" customWidth="1"/>
    <col min="4919" max="4919" width="2" style="500" customWidth="1"/>
    <col min="4920" max="4920" width="6.8203125" style="500" customWidth="1"/>
    <col min="4921" max="4921" width="1.7265625" style="500" customWidth="1"/>
    <col min="4922" max="4922" width="2" style="500" customWidth="1"/>
    <col min="4923" max="4923" width="1.8203125" style="500" customWidth="1"/>
    <col min="4924" max="4924" width="6.8203125" style="500" customWidth="1"/>
    <col min="4925" max="4925" width="1.1796875" style="500" customWidth="1"/>
    <col min="4926" max="4926" width="1.2734375" style="500" customWidth="1"/>
    <col min="4927" max="4927" width="1.8203125" style="500" customWidth="1"/>
    <col min="4928" max="4928" width="6.8203125" style="500" customWidth="1"/>
    <col min="4929" max="4929" width="1.453125" style="500" customWidth="1"/>
    <col min="4930" max="4930" width="1.2734375" style="500" customWidth="1"/>
    <col min="4931" max="4931" width="2.1796875" style="500" customWidth="1"/>
    <col min="4932" max="4932" width="5.1796875" style="500" customWidth="1"/>
    <col min="4933" max="4933" width="5.546875" style="500" customWidth="1"/>
    <col min="4934" max="4934" width="1.1796875" style="500" customWidth="1"/>
    <col min="4935" max="4935" width="1.453125" style="500" customWidth="1"/>
    <col min="4936" max="4936" width="6" style="500" customWidth="1"/>
    <col min="4937" max="4937" width="5.8203125" style="500" customWidth="1"/>
    <col min="4938" max="4938" width="1.7265625" style="500" customWidth="1"/>
    <col min="4939" max="4939" width="2.1796875" style="500" customWidth="1"/>
    <col min="4940" max="4943" width="5.8203125" style="500" customWidth="1"/>
    <col min="4944" max="4944" width="6" style="500" customWidth="1"/>
    <col min="4945" max="4945" width="1.546875" style="500" customWidth="1"/>
    <col min="4946" max="4946" width="2.2734375" style="500" customWidth="1"/>
    <col min="4947" max="4947" width="1.546875" style="500" customWidth="1"/>
    <col min="4948" max="4951" width="6.2734375" style="500" customWidth="1"/>
    <col min="4952" max="4952" width="6.1796875" style="500" customWidth="1"/>
    <col min="4953" max="4954" width="1.1796875" style="500" customWidth="1"/>
    <col min="4955" max="4955" width="1.2734375" style="500" customWidth="1"/>
    <col min="4956" max="4959" width="5.8203125" style="500" customWidth="1"/>
    <col min="4960" max="4960" width="6.8203125" style="500" customWidth="1"/>
    <col min="4961" max="4961" width="1.2734375" style="500" customWidth="1"/>
    <col min="4962" max="4963" width="1.7265625" style="500" customWidth="1"/>
    <col min="4964" max="4965" width="10.7265625" style="500" customWidth="1"/>
    <col min="4966" max="4967" width="8.2734375" style="500" customWidth="1"/>
    <col min="4968" max="4968" width="8.7265625" style="500" customWidth="1"/>
    <col min="4969" max="4969" width="8.1796875" style="500" customWidth="1"/>
    <col min="4970" max="4971" width="11.2734375" style="500" customWidth="1"/>
    <col min="4972" max="4972" width="10" style="500" customWidth="1"/>
    <col min="4973" max="5120" width="9.1796875" style="500"/>
    <col min="5121" max="5121" width="5.546875" style="500" customWidth="1"/>
    <col min="5122" max="5122" width="21.2734375" style="500" customWidth="1"/>
    <col min="5123" max="5123" width="38.8203125" style="500" customWidth="1"/>
    <col min="5124" max="5124" width="8.2734375" style="500" customWidth="1"/>
    <col min="5125" max="5125" width="6.1796875" style="500" customWidth="1"/>
    <col min="5126" max="5126" width="1" style="500" customWidth="1"/>
    <col min="5127" max="5127" width="1.2734375" style="500" customWidth="1"/>
    <col min="5128" max="5128" width="5.1796875" style="500" customWidth="1"/>
    <col min="5129" max="5129" width="6.1796875" style="500" customWidth="1"/>
    <col min="5130" max="5130" width="0.7265625" style="500" customWidth="1"/>
    <col min="5131" max="5131" width="1" style="500" customWidth="1"/>
    <col min="5132" max="5132" width="4.7265625" style="500" customWidth="1"/>
    <col min="5133" max="5133" width="6.2734375" style="500" customWidth="1"/>
    <col min="5134" max="5134" width="0.8203125" style="500" customWidth="1"/>
    <col min="5135" max="5135" width="1.1796875" style="500" customWidth="1"/>
    <col min="5136" max="5136" width="6.546875" style="500" customWidth="1"/>
    <col min="5137" max="5137" width="7.1796875" style="500" customWidth="1"/>
    <col min="5138" max="5139" width="1.546875" style="500" customWidth="1"/>
    <col min="5140" max="5140" width="6.8203125" style="500" customWidth="1"/>
    <col min="5141" max="5141" width="2" style="500" customWidth="1"/>
    <col min="5142" max="5142" width="1.2734375" style="500" customWidth="1"/>
    <col min="5143" max="5143" width="2.1796875" style="500" customWidth="1"/>
    <col min="5144" max="5144" width="6.453125" style="500" customWidth="1"/>
    <col min="5145" max="5147" width="2" style="500" customWidth="1"/>
    <col min="5148" max="5148" width="7.7265625" style="500" customWidth="1"/>
    <col min="5149" max="5149" width="1.2734375" style="500" customWidth="1"/>
    <col min="5150" max="5150" width="1.546875" style="500" customWidth="1"/>
    <col min="5151" max="5151" width="1.453125" style="500" customWidth="1"/>
    <col min="5152" max="5152" width="6.1796875" style="500" customWidth="1"/>
    <col min="5153" max="5155" width="1" style="500" customWidth="1"/>
    <col min="5156" max="5156" width="6.453125" style="500" customWidth="1"/>
    <col min="5157" max="5157" width="5.8203125" style="500" customWidth="1"/>
    <col min="5158" max="5158" width="1.453125" style="500" customWidth="1"/>
    <col min="5159" max="5159" width="1.546875" style="500" customWidth="1"/>
    <col min="5160" max="5160" width="6.1796875" style="500" customWidth="1"/>
    <col min="5161" max="5161" width="7" style="500" customWidth="1"/>
    <col min="5162" max="5162" width="1.1796875" style="500" customWidth="1"/>
    <col min="5163" max="5163" width="1.8203125" style="500" customWidth="1"/>
    <col min="5164" max="5164" width="5.8203125" style="500" customWidth="1"/>
    <col min="5165" max="5165" width="1.7265625" style="500" customWidth="1"/>
    <col min="5166" max="5166" width="2.1796875" style="500" customWidth="1"/>
    <col min="5167" max="5167" width="1.1796875" style="500" customWidth="1"/>
    <col min="5168" max="5168" width="7.2734375" style="500" customWidth="1"/>
    <col min="5169" max="5170" width="2.1796875" style="500" customWidth="1"/>
    <col min="5171" max="5171" width="1.7265625" style="500" customWidth="1"/>
    <col min="5172" max="5172" width="5.546875" style="500" customWidth="1"/>
    <col min="5173" max="5173" width="2" style="500" customWidth="1"/>
    <col min="5174" max="5174" width="1.453125" style="500" customWidth="1"/>
    <col min="5175" max="5175" width="2" style="500" customWidth="1"/>
    <col min="5176" max="5176" width="6.8203125" style="500" customWidth="1"/>
    <col min="5177" max="5177" width="1.7265625" style="500" customWidth="1"/>
    <col min="5178" max="5178" width="2" style="500" customWidth="1"/>
    <col min="5179" max="5179" width="1.8203125" style="500" customWidth="1"/>
    <col min="5180" max="5180" width="6.8203125" style="500" customWidth="1"/>
    <col min="5181" max="5181" width="1.1796875" style="500" customWidth="1"/>
    <col min="5182" max="5182" width="1.2734375" style="500" customWidth="1"/>
    <col min="5183" max="5183" width="1.8203125" style="500" customWidth="1"/>
    <col min="5184" max="5184" width="6.8203125" style="500" customWidth="1"/>
    <col min="5185" max="5185" width="1.453125" style="500" customWidth="1"/>
    <col min="5186" max="5186" width="1.2734375" style="500" customWidth="1"/>
    <col min="5187" max="5187" width="2.1796875" style="500" customWidth="1"/>
    <col min="5188" max="5188" width="5.1796875" style="500" customWidth="1"/>
    <col min="5189" max="5189" width="5.546875" style="500" customWidth="1"/>
    <col min="5190" max="5190" width="1.1796875" style="500" customWidth="1"/>
    <col min="5191" max="5191" width="1.453125" style="500" customWidth="1"/>
    <col min="5192" max="5192" width="6" style="500" customWidth="1"/>
    <col min="5193" max="5193" width="5.8203125" style="500" customWidth="1"/>
    <col min="5194" max="5194" width="1.7265625" style="500" customWidth="1"/>
    <col min="5195" max="5195" width="2.1796875" style="500" customWidth="1"/>
    <col min="5196" max="5199" width="5.8203125" style="500" customWidth="1"/>
    <col min="5200" max="5200" width="6" style="500" customWidth="1"/>
    <col min="5201" max="5201" width="1.546875" style="500" customWidth="1"/>
    <col min="5202" max="5202" width="2.2734375" style="500" customWidth="1"/>
    <col min="5203" max="5203" width="1.546875" style="500" customWidth="1"/>
    <col min="5204" max="5207" width="6.2734375" style="500" customWidth="1"/>
    <col min="5208" max="5208" width="6.1796875" style="500" customWidth="1"/>
    <col min="5209" max="5210" width="1.1796875" style="500" customWidth="1"/>
    <col min="5211" max="5211" width="1.2734375" style="500" customWidth="1"/>
    <col min="5212" max="5215" width="5.8203125" style="500" customWidth="1"/>
    <col min="5216" max="5216" width="6.8203125" style="500" customWidth="1"/>
    <col min="5217" max="5217" width="1.2734375" style="500" customWidth="1"/>
    <col min="5218" max="5219" width="1.7265625" style="500" customWidth="1"/>
    <col min="5220" max="5221" width="10.7265625" style="500" customWidth="1"/>
    <col min="5222" max="5223" width="8.2734375" style="500" customWidth="1"/>
    <col min="5224" max="5224" width="8.7265625" style="500" customWidth="1"/>
    <col min="5225" max="5225" width="8.1796875" style="500" customWidth="1"/>
    <col min="5226" max="5227" width="11.2734375" style="500" customWidth="1"/>
    <col min="5228" max="5228" width="10" style="500" customWidth="1"/>
    <col min="5229" max="5376" width="9.1796875" style="500"/>
    <col min="5377" max="5377" width="5.546875" style="500" customWidth="1"/>
    <col min="5378" max="5378" width="21.2734375" style="500" customWidth="1"/>
    <col min="5379" max="5379" width="38.8203125" style="500" customWidth="1"/>
    <col min="5380" max="5380" width="8.2734375" style="500" customWidth="1"/>
    <col min="5381" max="5381" width="6.1796875" style="500" customWidth="1"/>
    <col min="5382" max="5382" width="1" style="500" customWidth="1"/>
    <col min="5383" max="5383" width="1.2734375" style="500" customWidth="1"/>
    <col min="5384" max="5384" width="5.1796875" style="500" customWidth="1"/>
    <col min="5385" max="5385" width="6.1796875" style="500" customWidth="1"/>
    <col min="5386" max="5386" width="0.7265625" style="500" customWidth="1"/>
    <col min="5387" max="5387" width="1" style="500" customWidth="1"/>
    <col min="5388" max="5388" width="4.7265625" style="500" customWidth="1"/>
    <col min="5389" max="5389" width="6.2734375" style="500" customWidth="1"/>
    <col min="5390" max="5390" width="0.8203125" style="500" customWidth="1"/>
    <col min="5391" max="5391" width="1.1796875" style="500" customWidth="1"/>
    <col min="5392" max="5392" width="6.546875" style="500" customWidth="1"/>
    <col min="5393" max="5393" width="7.1796875" style="500" customWidth="1"/>
    <col min="5394" max="5395" width="1.546875" style="500" customWidth="1"/>
    <col min="5396" max="5396" width="6.8203125" style="500" customWidth="1"/>
    <col min="5397" max="5397" width="2" style="500" customWidth="1"/>
    <col min="5398" max="5398" width="1.2734375" style="500" customWidth="1"/>
    <col min="5399" max="5399" width="2.1796875" style="500" customWidth="1"/>
    <col min="5400" max="5400" width="6.453125" style="500" customWidth="1"/>
    <col min="5401" max="5403" width="2" style="500" customWidth="1"/>
    <col min="5404" max="5404" width="7.7265625" style="500" customWidth="1"/>
    <col min="5405" max="5405" width="1.2734375" style="500" customWidth="1"/>
    <col min="5406" max="5406" width="1.546875" style="500" customWidth="1"/>
    <col min="5407" max="5407" width="1.453125" style="500" customWidth="1"/>
    <col min="5408" max="5408" width="6.1796875" style="500" customWidth="1"/>
    <col min="5409" max="5411" width="1" style="500" customWidth="1"/>
    <col min="5412" max="5412" width="6.453125" style="500" customWidth="1"/>
    <col min="5413" max="5413" width="5.8203125" style="500" customWidth="1"/>
    <col min="5414" max="5414" width="1.453125" style="500" customWidth="1"/>
    <col min="5415" max="5415" width="1.546875" style="500" customWidth="1"/>
    <col min="5416" max="5416" width="6.1796875" style="500" customWidth="1"/>
    <col min="5417" max="5417" width="7" style="500" customWidth="1"/>
    <col min="5418" max="5418" width="1.1796875" style="500" customWidth="1"/>
    <col min="5419" max="5419" width="1.8203125" style="500" customWidth="1"/>
    <col min="5420" max="5420" width="5.8203125" style="500" customWidth="1"/>
    <col min="5421" max="5421" width="1.7265625" style="500" customWidth="1"/>
    <col min="5422" max="5422" width="2.1796875" style="500" customWidth="1"/>
    <col min="5423" max="5423" width="1.1796875" style="500" customWidth="1"/>
    <col min="5424" max="5424" width="7.2734375" style="500" customWidth="1"/>
    <col min="5425" max="5426" width="2.1796875" style="500" customWidth="1"/>
    <col min="5427" max="5427" width="1.7265625" style="500" customWidth="1"/>
    <col min="5428" max="5428" width="5.546875" style="500" customWidth="1"/>
    <col min="5429" max="5429" width="2" style="500" customWidth="1"/>
    <col min="5430" max="5430" width="1.453125" style="500" customWidth="1"/>
    <col min="5431" max="5431" width="2" style="500" customWidth="1"/>
    <col min="5432" max="5432" width="6.8203125" style="500" customWidth="1"/>
    <col min="5433" max="5433" width="1.7265625" style="500" customWidth="1"/>
    <col min="5434" max="5434" width="2" style="500" customWidth="1"/>
    <col min="5435" max="5435" width="1.8203125" style="500" customWidth="1"/>
    <col min="5436" max="5436" width="6.8203125" style="500" customWidth="1"/>
    <col min="5437" max="5437" width="1.1796875" style="500" customWidth="1"/>
    <col min="5438" max="5438" width="1.2734375" style="500" customWidth="1"/>
    <col min="5439" max="5439" width="1.8203125" style="500" customWidth="1"/>
    <col min="5440" max="5440" width="6.8203125" style="500" customWidth="1"/>
    <col min="5441" max="5441" width="1.453125" style="500" customWidth="1"/>
    <col min="5442" max="5442" width="1.2734375" style="500" customWidth="1"/>
    <col min="5443" max="5443" width="2.1796875" style="500" customWidth="1"/>
    <col min="5444" max="5444" width="5.1796875" style="500" customWidth="1"/>
    <col min="5445" max="5445" width="5.546875" style="500" customWidth="1"/>
    <col min="5446" max="5446" width="1.1796875" style="500" customWidth="1"/>
    <col min="5447" max="5447" width="1.453125" style="500" customWidth="1"/>
    <col min="5448" max="5448" width="6" style="500" customWidth="1"/>
    <col min="5449" max="5449" width="5.8203125" style="500" customWidth="1"/>
    <col min="5450" max="5450" width="1.7265625" style="500" customWidth="1"/>
    <col min="5451" max="5451" width="2.1796875" style="500" customWidth="1"/>
    <col min="5452" max="5455" width="5.8203125" style="500" customWidth="1"/>
    <col min="5456" max="5456" width="6" style="500" customWidth="1"/>
    <col min="5457" max="5457" width="1.546875" style="500" customWidth="1"/>
    <col min="5458" max="5458" width="2.2734375" style="500" customWidth="1"/>
    <col min="5459" max="5459" width="1.546875" style="500" customWidth="1"/>
    <col min="5460" max="5463" width="6.2734375" style="500" customWidth="1"/>
    <col min="5464" max="5464" width="6.1796875" style="500" customWidth="1"/>
    <col min="5465" max="5466" width="1.1796875" style="500" customWidth="1"/>
    <col min="5467" max="5467" width="1.2734375" style="500" customWidth="1"/>
    <col min="5468" max="5471" width="5.8203125" style="500" customWidth="1"/>
    <col min="5472" max="5472" width="6.8203125" style="500" customWidth="1"/>
    <col min="5473" max="5473" width="1.2734375" style="500" customWidth="1"/>
    <col min="5474" max="5475" width="1.7265625" style="500" customWidth="1"/>
    <col min="5476" max="5477" width="10.7265625" style="500" customWidth="1"/>
    <col min="5478" max="5479" width="8.2734375" style="500" customWidth="1"/>
    <col min="5480" max="5480" width="8.7265625" style="500" customWidth="1"/>
    <col min="5481" max="5481" width="8.1796875" style="500" customWidth="1"/>
    <col min="5482" max="5483" width="11.2734375" style="500" customWidth="1"/>
    <col min="5484" max="5484" width="10" style="500" customWidth="1"/>
    <col min="5485" max="5632" width="9.1796875" style="500"/>
    <col min="5633" max="5633" width="5.546875" style="500" customWidth="1"/>
    <col min="5634" max="5634" width="21.2734375" style="500" customWidth="1"/>
    <col min="5635" max="5635" width="38.8203125" style="500" customWidth="1"/>
    <col min="5636" max="5636" width="8.2734375" style="500" customWidth="1"/>
    <col min="5637" max="5637" width="6.1796875" style="500" customWidth="1"/>
    <col min="5638" max="5638" width="1" style="500" customWidth="1"/>
    <col min="5639" max="5639" width="1.2734375" style="500" customWidth="1"/>
    <col min="5640" max="5640" width="5.1796875" style="500" customWidth="1"/>
    <col min="5641" max="5641" width="6.1796875" style="500" customWidth="1"/>
    <col min="5642" max="5642" width="0.7265625" style="500" customWidth="1"/>
    <col min="5643" max="5643" width="1" style="500" customWidth="1"/>
    <col min="5644" max="5644" width="4.7265625" style="500" customWidth="1"/>
    <col min="5645" max="5645" width="6.2734375" style="500" customWidth="1"/>
    <col min="5646" max="5646" width="0.8203125" style="500" customWidth="1"/>
    <col min="5647" max="5647" width="1.1796875" style="500" customWidth="1"/>
    <col min="5648" max="5648" width="6.546875" style="500" customWidth="1"/>
    <col min="5649" max="5649" width="7.1796875" style="500" customWidth="1"/>
    <col min="5650" max="5651" width="1.546875" style="500" customWidth="1"/>
    <col min="5652" max="5652" width="6.8203125" style="500" customWidth="1"/>
    <col min="5653" max="5653" width="2" style="500" customWidth="1"/>
    <col min="5654" max="5654" width="1.2734375" style="500" customWidth="1"/>
    <col min="5655" max="5655" width="2.1796875" style="500" customWidth="1"/>
    <col min="5656" max="5656" width="6.453125" style="500" customWidth="1"/>
    <col min="5657" max="5659" width="2" style="500" customWidth="1"/>
    <col min="5660" max="5660" width="7.7265625" style="500" customWidth="1"/>
    <col min="5661" max="5661" width="1.2734375" style="500" customWidth="1"/>
    <col min="5662" max="5662" width="1.546875" style="500" customWidth="1"/>
    <col min="5663" max="5663" width="1.453125" style="500" customWidth="1"/>
    <col min="5664" max="5664" width="6.1796875" style="500" customWidth="1"/>
    <col min="5665" max="5667" width="1" style="500" customWidth="1"/>
    <col min="5668" max="5668" width="6.453125" style="500" customWidth="1"/>
    <col min="5669" max="5669" width="5.8203125" style="500" customWidth="1"/>
    <col min="5670" max="5670" width="1.453125" style="500" customWidth="1"/>
    <col min="5671" max="5671" width="1.546875" style="500" customWidth="1"/>
    <col min="5672" max="5672" width="6.1796875" style="500" customWidth="1"/>
    <col min="5673" max="5673" width="7" style="500" customWidth="1"/>
    <col min="5674" max="5674" width="1.1796875" style="500" customWidth="1"/>
    <col min="5675" max="5675" width="1.8203125" style="500" customWidth="1"/>
    <col min="5676" max="5676" width="5.8203125" style="500" customWidth="1"/>
    <col min="5677" max="5677" width="1.7265625" style="500" customWidth="1"/>
    <col min="5678" max="5678" width="2.1796875" style="500" customWidth="1"/>
    <col min="5679" max="5679" width="1.1796875" style="500" customWidth="1"/>
    <col min="5680" max="5680" width="7.2734375" style="500" customWidth="1"/>
    <col min="5681" max="5682" width="2.1796875" style="500" customWidth="1"/>
    <col min="5683" max="5683" width="1.7265625" style="500" customWidth="1"/>
    <col min="5684" max="5684" width="5.546875" style="500" customWidth="1"/>
    <col min="5685" max="5685" width="2" style="500" customWidth="1"/>
    <col min="5686" max="5686" width="1.453125" style="500" customWidth="1"/>
    <col min="5687" max="5687" width="2" style="500" customWidth="1"/>
    <col min="5688" max="5688" width="6.8203125" style="500" customWidth="1"/>
    <col min="5689" max="5689" width="1.7265625" style="500" customWidth="1"/>
    <col min="5690" max="5690" width="2" style="500" customWidth="1"/>
    <col min="5691" max="5691" width="1.8203125" style="500" customWidth="1"/>
    <col min="5692" max="5692" width="6.8203125" style="500" customWidth="1"/>
    <col min="5693" max="5693" width="1.1796875" style="500" customWidth="1"/>
    <col min="5694" max="5694" width="1.2734375" style="500" customWidth="1"/>
    <col min="5695" max="5695" width="1.8203125" style="500" customWidth="1"/>
    <col min="5696" max="5696" width="6.8203125" style="500" customWidth="1"/>
    <col min="5697" max="5697" width="1.453125" style="500" customWidth="1"/>
    <col min="5698" max="5698" width="1.2734375" style="500" customWidth="1"/>
    <col min="5699" max="5699" width="2.1796875" style="500" customWidth="1"/>
    <col min="5700" max="5700" width="5.1796875" style="500" customWidth="1"/>
    <col min="5701" max="5701" width="5.546875" style="500" customWidth="1"/>
    <col min="5702" max="5702" width="1.1796875" style="500" customWidth="1"/>
    <col min="5703" max="5703" width="1.453125" style="500" customWidth="1"/>
    <col min="5704" max="5704" width="6" style="500" customWidth="1"/>
    <col min="5705" max="5705" width="5.8203125" style="500" customWidth="1"/>
    <col min="5706" max="5706" width="1.7265625" style="500" customWidth="1"/>
    <col min="5707" max="5707" width="2.1796875" style="500" customWidth="1"/>
    <col min="5708" max="5711" width="5.8203125" style="500" customWidth="1"/>
    <col min="5712" max="5712" width="6" style="500" customWidth="1"/>
    <col min="5713" max="5713" width="1.546875" style="500" customWidth="1"/>
    <col min="5714" max="5714" width="2.2734375" style="500" customWidth="1"/>
    <col min="5715" max="5715" width="1.546875" style="500" customWidth="1"/>
    <col min="5716" max="5719" width="6.2734375" style="500" customWidth="1"/>
    <col min="5720" max="5720" width="6.1796875" style="500" customWidth="1"/>
    <col min="5721" max="5722" width="1.1796875" style="500" customWidth="1"/>
    <col min="5723" max="5723" width="1.2734375" style="500" customWidth="1"/>
    <col min="5724" max="5727" width="5.8203125" style="500" customWidth="1"/>
    <col min="5728" max="5728" width="6.8203125" style="500" customWidth="1"/>
    <col min="5729" max="5729" width="1.2734375" style="500" customWidth="1"/>
    <col min="5730" max="5731" width="1.7265625" style="500" customWidth="1"/>
    <col min="5732" max="5733" width="10.7265625" style="500" customWidth="1"/>
    <col min="5734" max="5735" width="8.2734375" style="500" customWidth="1"/>
    <col min="5736" max="5736" width="8.7265625" style="500" customWidth="1"/>
    <col min="5737" max="5737" width="8.1796875" style="500" customWidth="1"/>
    <col min="5738" max="5739" width="11.2734375" style="500" customWidth="1"/>
    <col min="5740" max="5740" width="10" style="500" customWidth="1"/>
    <col min="5741" max="5888" width="9.1796875" style="500"/>
    <col min="5889" max="5889" width="5.546875" style="500" customWidth="1"/>
    <col min="5890" max="5890" width="21.2734375" style="500" customWidth="1"/>
    <col min="5891" max="5891" width="38.8203125" style="500" customWidth="1"/>
    <col min="5892" max="5892" width="8.2734375" style="500" customWidth="1"/>
    <col min="5893" max="5893" width="6.1796875" style="500" customWidth="1"/>
    <col min="5894" max="5894" width="1" style="500" customWidth="1"/>
    <col min="5895" max="5895" width="1.2734375" style="500" customWidth="1"/>
    <col min="5896" max="5896" width="5.1796875" style="500" customWidth="1"/>
    <col min="5897" max="5897" width="6.1796875" style="500" customWidth="1"/>
    <col min="5898" max="5898" width="0.7265625" style="500" customWidth="1"/>
    <col min="5899" max="5899" width="1" style="500" customWidth="1"/>
    <col min="5900" max="5900" width="4.7265625" style="500" customWidth="1"/>
    <col min="5901" max="5901" width="6.2734375" style="500" customWidth="1"/>
    <col min="5902" max="5902" width="0.8203125" style="500" customWidth="1"/>
    <col min="5903" max="5903" width="1.1796875" style="500" customWidth="1"/>
    <col min="5904" max="5904" width="6.546875" style="500" customWidth="1"/>
    <col min="5905" max="5905" width="7.1796875" style="500" customWidth="1"/>
    <col min="5906" max="5907" width="1.546875" style="500" customWidth="1"/>
    <col min="5908" max="5908" width="6.8203125" style="500" customWidth="1"/>
    <col min="5909" max="5909" width="2" style="500" customWidth="1"/>
    <col min="5910" max="5910" width="1.2734375" style="500" customWidth="1"/>
    <col min="5911" max="5911" width="2.1796875" style="500" customWidth="1"/>
    <col min="5912" max="5912" width="6.453125" style="500" customWidth="1"/>
    <col min="5913" max="5915" width="2" style="500" customWidth="1"/>
    <col min="5916" max="5916" width="7.7265625" style="500" customWidth="1"/>
    <col min="5917" max="5917" width="1.2734375" style="500" customWidth="1"/>
    <col min="5918" max="5918" width="1.546875" style="500" customWidth="1"/>
    <col min="5919" max="5919" width="1.453125" style="500" customWidth="1"/>
    <col min="5920" max="5920" width="6.1796875" style="500" customWidth="1"/>
    <col min="5921" max="5923" width="1" style="500" customWidth="1"/>
    <col min="5924" max="5924" width="6.453125" style="500" customWidth="1"/>
    <col min="5925" max="5925" width="5.8203125" style="500" customWidth="1"/>
    <col min="5926" max="5926" width="1.453125" style="500" customWidth="1"/>
    <col min="5927" max="5927" width="1.546875" style="500" customWidth="1"/>
    <col min="5928" max="5928" width="6.1796875" style="500" customWidth="1"/>
    <col min="5929" max="5929" width="7" style="500" customWidth="1"/>
    <col min="5930" max="5930" width="1.1796875" style="500" customWidth="1"/>
    <col min="5931" max="5931" width="1.8203125" style="500" customWidth="1"/>
    <col min="5932" max="5932" width="5.8203125" style="500" customWidth="1"/>
    <col min="5933" max="5933" width="1.7265625" style="500" customWidth="1"/>
    <col min="5934" max="5934" width="2.1796875" style="500" customWidth="1"/>
    <col min="5935" max="5935" width="1.1796875" style="500" customWidth="1"/>
    <col min="5936" max="5936" width="7.2734375" style="500" customWidth="1"/>
    <col min="5937" max="5938" width="2.1796875" style="500" customWidth="1"/>
    <col min="5939" max="5939" width="1.7265625" style="500" customWidth="1"/>
    <col min="5940" max="5940" width="5.546875" style="500" customWidth="1"/>
    <col min="5941" max="5941" width="2" style="500" customWidth="1"/>
    <col min="5942" max="5942" width="1.453125" style="500" customWidth="1"/>
    <col min="5943" max="5943" width="2" style="500" customWidth="1"/>
    <col min="5944" max="5944" width="6.8203125" style="500" customWidth="1"/>
    <col min="5945" max="5945" width="1.7265625" style="500" customWidth="1"/>
    <col min="5946" max="5946" width="2" style="500" customWidth="1"/>
    <col min="5947" max="5947" width="1.8203125" style="500" customWidth="1"/>
    <col min="5948" max="5948" width="6.8203125" style="500" customWidth="1"/>
    <col min="5949" max="5949" width="1.1796875" style="500" customWidth="1"/>
    <col min="5950" max="5950" width="1.2734375" style="500" customWidth="1"/>
    <col min="5951" max="5951" width="1.8203125" style="500" customWidth="1"/>
    <col min="5952" max="5952" width="6.8203125" style="500" customWidth="1"/>
    <col min="5953" max="5953" width="1.453125" style="500" customWidth="1"/>
    <col min="5954" max="5954" width="1.2734375" style="500" customWidth="1"/>
    <col min="5955" max="5955" width="2.1796875" style="500" customWidth="1"/>
    <col min="5956" max="5956" width="5.1796875" style="500" customWidth="1"/>
    <col min="5957" max="5957" width="5.546875" style="500" customWidth="1"/>
    <col min="5958" max="5958" width="1.1796875" style="500" customWidth="1"/>
    <col min="5959" max="5959" width="1.453125" style="500" customWidth="1"/>
    <col min="5960" max="5960" width="6" style="500" customWidth="1"/>
    <col min="5961" max="5961" width="5.8203125" style="500" customWidth="1"/>
    <col min="5962" max="5962" width="1.7265625" style="500" customWidth="1"/>
    <col min="5963" max="5963" width="2.1796875" style="500" customWidth="1"/>
    <col min="5964" max="5967" width="5.8203125" style="500" customWidth="1"/>
    <col min="5968" max="5968" width="6" style="500" customWidth="1"/>
    <col min="5969" max="5969" width="1.546875" style="500" customWidth="1"/>
    <col min="5970" max="5970" width="2.2734375" style="500" customWidth="1"/>
    <col min="5971" max="5971" width="1.546875" style="500" customWidth="1"/>
    <col min="5972" max="5975" width="6.2734375" style="500" customWidth="1"/>
    <col min="5976" max="5976" width="6.1796875" style="500" customWidth="1"/>
    <col min="5977" max="5978" width="1.1796875" style="500" customWidth="1"/>
    <col min="5979" max="5979" width="1.2734375" style="500" customWidth="1"/>
    <col min="5980" max="5983" width="5.8203125" style="500" customWidth="1"/>
    <col min="5984" max="5984" width="6.8203125" style="500" customWidth="1"/>
    <col min="5985" max="5985" width="1.2734375" style="500" customWidth="1"/>
    <col min="5986" max="5987" width="1.7265625" style="500" customWidth="1"/>
    <col min="5988" max="5989" width="10.7265625" style="500" customWidth="1"/>
    <col min="5990" max="5991" width="8.2734375" style="500" customWidth="1"/>
    <col min="5992" max="5992" width="8.7265625" style="500" customWidth="1"/>
    <col min="5993" max="5993" width="8.1796875" style="500" customWidth="1"/>
    <col min="5994" max="5995" width="11.2734375" style="500" customWidth="1"/>
    <col min="5996" max="5996" width="10" style="500" customWidth="1"/>
    <col min="5997" max="6144" width="9.1796875" style="500"/>
    <col min="6145" max="6145" width="5.546875" style="500" customWidth="1"/>
    <col min="6146" max="6146" width="21.2734375" style="500" customWidth="1"/>
    <col min="6147" max="6147" width="38.8203125" style="500" customWidth="1"/>
    <col min="6148" max="6148" width="8.2734375" style="500" customWidth="1"/>
    <col min="6149" max="6149" width="6.1796875" style="500" customWidth="1"/>
    <col min="6150" max="6150" width="1" style="500" customWidth="1"/>
    <col min="6151" max="6151" width="1.2734375" style="500" customWidth="1"/>
    <col min="6152" max="6152" width="5.1796875" style="500" customWidth="1"/>
    <col min="6153" max="6153" width="6.1796875" style="500" customWidth="1"/>
    <col min="6154" max="6154" width="0.7265625" style="500" customWidth="1"/>
    <col min="6155" max="6155" width="1" style="500" customWidth="1"/>
    <col min="6156" max="6156" width="4.7265625" style="500" customWidth="1"/>
    <col min="6157" max="6157" width="6.2734375" style="500" customWidth="1"/>
    <col min="6158" max="6158" width="0.8203125" style="500" customWidth="1"/>
    <col min="6159" max="6159" width="1.1796875" style="500" customWidth="1"/>
    <col min="6160" max="6160" width="6.546875" style="500" customWidth="1"/>
    <col min="6161" max="6161" width="7.1796875" style="500" customWidth="1"/>
    <col min="6162" max="6163" width="1.546875" style="500" customWidth="1"/>
    <col min="6164" max="6164" width="6.8203125" style="500" customWidth="1"/>
    <col min="6165" max="6165" width="2" style="500" customWidth="1"/>
    <col min="6166" max="6166" width="1.2734375" style="500" customWidth="1"/>
    <col min="6167" max="6167" width="2.1796875" style="500" customWidth="1"/>
    <col min="6168" max="6168" width="6.453125" style="500" customWidth="1"/>
    <col min="6169" max="6171" width="2" style="500" customWidth="1"/>
    <col min="6172" max="6172" width="7.7265625" style="500" customWidth="1"/>
    <col min="6173" max="6173" width="1.2734375" style="500" customWidth="1"/>
    <col min="6174" max="6174" width="1.546875" style="500" customWidth="1"/>
    <col min="6175" max="6175" width="1.453125" style="500" customWidth="1"/>
    <col min="6176" max="6176" width="6.1796875" style="500" customWidth="1"/>
    <col min="6177" max="6179" width="1" style="500" customWidth="1"/>
    <col min="6180" max="6180" width="6.453125" style="500" customWidth="1"/>
    <col min="6181" max="6181" width="5.8203125" style="500" customWidth="1"/>
    <col min="6182" max="6182" width="1.453125" style="500" customWidth="1"/>
    <col min="6183" max="6183" width="1.546875" style="500" customWidth="1"/>
    <col min="6184" max="6184" width="6.1796875" style="500" customWidth="1"/>
    <col min="6185" max="6185" width="7" style="500" customWidth="1"/>
    <col min="6186" max="6186" width="1.1796875" style="500" customWidth="1"/>
    <col min="6187" max="6187" width="1.8203125" style="500" customWidth="1"/>
    <col min="6188" max="6188" width="5.8203125" style="500" customWidth="1"/>
    <col min="6189" max="6189" width="1.7265625" style="500" customWidth="1"/>
    <col min="6190" max="6190" width="2.1796875" style="500" customWidth="1"/>
    <col min="6191" max="6191" width="1.1796875" style="500" customWidth="1"/>
    <col min="6192" max="6192" width="7.2734375" style="500" customWidth="1"/>
    <col min="6193" max="6194" width="2.1796875" style="500" customWidth="1"/>
    <col min="6195" max="6195" width="1.7265625" style="500" customWidth="1"/>
    <col min="6196" max="6196" width="5.546875" style="500" customWidth="1"/>
    <col min="6197" max="6197" width="2" style="500" customWidth="1"/>
    <col min="6198" max="6198" width="1.453125" style="500" customWidth="1"/>
    <col min="6199" max="6199" width="2" style="500" customWidth="1"/>
    <col min="6200" max="6200" width="6.8203125" style="500" customWidth="1"/>
    <col min="6201" max="6201" width="1.7265625" style="500" customWidth="1"/>
    <col min="6202" max="6202" width="2" style="500" customWidth="1"/>
    <col min="6203" max="6203" width="1.8203125" style="500" customWidth="1"/>
    <col min="6204" max="6204" width="6.8203125" style="500" customWidth="1"/>
    <col min="6205" max="6205" width="1.1796875" style="500" customWidth="1"/>
    <col min="6206" max="6206" width="1.2734375" style="500" customWidth="1"/>
    <col min="6207" max="6207" width="1.8203125" style="500" customWidth="1"/>
    <col min="6208" max="6208" width="6.8203125" style="500" customWidth="1"/>
    <col min="6209" max="6209" width="1.453125" style="500" customWidth="1"/>
    <col min="6210" max="6210" width="1.2734375" style="500" customWidth="1"/>
    <col min="6211" max="6211" width="2.1796875" style="500" customWidth="1"/>
    <col min="6212" max="6212" width="5.1796875" style="500" customWidth="1"/>
    <col min="6213" max="6213" width="5.546875" style="500" customWidth="1"/>
    <col min="6214" max="6214" width="1.1796875" style="500" customWidth="1"/>
    <col min="6215" max="6215" width="1.453125" style="500" customWidth="1"/>
    <col min="6216" max="6216" width="6" style="500" customWidth="1"/>
    <col min="6217" max="6217" width="5.8203125" style="500" customWidth="1"/>
    <col min="6218" max="6218" width="1.7265625" style="500" customWidth="1"/>
    <col min="6219" max="6219" width="2.1796875" style="500" customWidth="1"/>
    <col min="6220" max="6223" width="5.8203125" style="500" customWidth="1"/>
    <col min="6224" max="6224" width="6" style="500" customWidth="1"/>
    <col min="6225" max="6225" width="1.546875" style="500" customWidth="1"/>
    <col min="6226" max="6226" width="2.2734375" style="500" customWidth="1"/>
    <col min="6227" max="6227" width="1.546875" style="500" customWidth="1"/>
    <col min="6228" max="6231" width="6.2734375" style="500" customWidth="1"/>
    <col min="6232" max="6232" width="6.1796875" style="500" customWidth="1"/>
    <col min="6233" max="6234" width="1.1796875" style="500" customWidth="1"/>
    <col min="6235" max="6235" width="1.2734375" style="500" customWidth="1"/>
    <col min="6236" max="6239" width="5.8203125" style="500" customWidth="1"/>
    <col min="6240" max="6240" width="6.8203125" style="500" customWidth="1"/>
    <col min="6241" max="6241" width="1.2734375" style="500" customWidth="1"/>
    <col min="6242" max="6243" width="1.7265625" style="500" customWidth="1"/>
    <col min="6244" max="6245" width="10.7265625" style="500" customWidth="1"/>
    <col min="6246" max="6247" width="8.2734375" style="500" customWidth="1"/>
    <col min="6248" max="6248" width="8.7265625" style="500" customWidth="1"/>
    <col min="6249" max="6249" width="8.1796875" style="500" customWidth="1"/>
    <col min="6250" max="6251" width="11.2734375" style="500" customWidth="1"/>
    <col min="6252" max="6252" width="10" style="500" customWidth="1"/>
    <col min="6253" max="6400" width="9.1796875" style="500"/>
    <col min="6401" max="6401" width="5.546875" style="500" customWidth="1"/>
    <col min="6402" max="6402" width="21.2734375" style="500" customWidth="1"/>
    <col min="6403" max="6403" width="38.8203125" style="500" customWidth="1"/>
    <col min="6404" max="6404" width="8.2734375" style="500" customWidth="1"/>
    <col min="6405" max="6405" width="6.1796875" style="500" customWidth="1"/>
    <col min="6406" max="6406" width="1" style="500" customWidth="1"/>
    <col min="6407" max="6407" width="1.2734375" style="500" customWidth="1"/>
    <col min="6408" max="6408" width="5.1796875" style="500" customWidth="1"/>
    <col min="6409" max="6409" width="6.1796875" style="500" customWidth="1"/>
    <col min="6410" max="6410" width="0.7265625" style="500" customWidth="1"/>
    <col min="6411" max="6411" width="1" style="500" customWidth="1"/>
    <col min="6412" max="6412" width="4.7265625" style="500" customWidth="1"/>
    <col min="6413" max="6413" width="6.2734375" style="500" customWidth="1"/>
    <col min="6414" max="6414" width="0.8203125" style="500" customWidth="1"/>
    <col min="6415" max="6415" width="1.1796875" style="500" customWidth="1"/>
    <col min="6416" max="6416" width="6.546875" style="500" customWidth="1"/>
    <col min="6417" max="6417" width="7.1796875" style="500" customWidth="1"/>
    <col min="6418" max="6419" width="1.546875" style="500" customWidth="1"/>
    <col min="6420" max="6420" width="6.8203125" style="500" customWidth="1"/>
    <col min="6421" max="6421" width="2" style="500" customWidth="1"/>
    <col min="6422" max="6422" width="1.2734375" style="500" customWidth="1"/>
    <col min="6423" max="6423" width="2.1796875" style="500" customWidth="1"/>
    <col min="6424" max="6424" width="6.453125" style="500" customWidth="1"/>
    <col min="6425" max="6427" width="2" style="500" customWidth="1"/>
    <col min="6428" max="6428" width="7.7265625" style="500" customWidth="1"/>
    <col min="6429" max="6429" width="1.2734375" style="500" customWidth="1"/>
    <col min="6430" max="6430" width="1.546875" style="500" customWidth="1"/>
    <col min="6431" max="6431" width="1.453125" style="500" customWidth="1"/>
    <col min="6432" max="6432" width="6.1796875" style="500" customWidth="1"/>
    <col min="6433" max="6435" width="1" style="500" customWidth="1"/>
    <col min="6436" max="6436" width="6.453125" style="500" customWidth="1"/>
    <col min="6437" max="6437" width="5.8203125" style="500" customWidth="1"/>
    <col min="6438" max="6438" width="1.453125" style="500" customWidth="1"/>
    <col min="6439" max="6439" width="1.546875" style="500" customWidth="1"/>
    <col min="6440" max="6440" width="6.1796875" style="500" customWidth="1"/>
    <col min="6441" max="6441" width="7" style="500" customWidth="1"/>
    <col min="6442" max="6442" width="1.1796875" style="500" customWidth="1"/>
    <col min="6443" max="6443" width="1.8203125" style="500" customWidth="1"/>
    <col min="6444" max="6444" width="5.8203125" style="500" customWidth="1"/>
    <col min="6445" max="6445" width="1.7265625" style="500" customWidth="1"/>
    <col min="6446" max="6446" width="2.1796875" style="500" customWidth="1"/>
    <col min="6447" max="6447" width="1.1796875" style="500" customWidth="1"/>
    <col min="6448" max="6448" width="7.2734375" style="500" customWidth="1"/>
    <col min="6449" max="6450" width="2.1796875" style="500" customWidth="1"/>
    <col min="6451" max="6451" width="1.7265625" style="500" customWidth="1"/>
    <col min="6452" max="6452" width="5.546875" style="500" customWidth="1"/>
    <col min="6453" max="6453" width="2" style="500" customWidth="1"/>
    <col min="6454" max="6454" width="1.453125" style="500" customWidth="1"/>
    <col min="6455" max="6455" width="2" style="500" customWidth="1"/>
    <col min="6456" max="6456" width="6.8203125" style="500" customWidth="1"/>
    <col min="6457" max="6457" width="1.7265625" style="500" customWidth="1"/>
    <col min="6458" max="6458" width="2" style="500" customWidth="1"/>
    <col min="6459" max="6459" width="1.8203125" style="500" customWidth="1"/>
    <col min="6460" max="6460" width="6.8203125" style="500" customWidth="1"/>
    <col min="6461" max="6461" width="1.1796875" style="500" customWidth="1"/>
    <col min="6462" max="6462" width="1.2734375" style="500" customWidth="1"/>
    <col min="6463" max="6463" width="1.8203125" style="500" customWidth="1"/>
    <col min="6464" max="6464" width="6.8203125" style="500" customWidth="1"/>
    <col min="6465" max="6465" width="1.453125" style="500" customWidth="1"/>
    <col min="6466" max="6466" width="1.2734375" style="500" customWidth="1"/>
    <col min="6467" max="6467" width="2.1796875" style="500" customWidth="1"/>
    <col min="6468" max="6468" width="5.1796875" style="500" customWidth="1"/>
    <col min="6469" max="6469" width="5.546875" style="500" customWidth="1"/>
    <col min="6470" max="6470" width="1.1796875" style="500" customWidth="1"/>
    <col min="6471" max="6471" width="1.453125" style="500" customWidth="1"/>
    <col min="6472" max="6472" width="6" style="500" customWidth="1"/>
    <col min="6473" max="6473" width="5.8203125" style="500" customWidth="1"/>
    <col min="6474" max="6474" width="1.7265625" style="500" customWidth="1"/>
    <col min="6475" max="6475" width="2.1796875" style="500" customWidth="1"/>
    <col min="6476" max="6479" width="5.8203125" style="500" customWidth="1"/>
    <col min="6480" max="6480" width="6" style="500" customWidth="1"/>
    <col min="6481" max="6481" width="1.546875" style="500" customWidth="1"/>
    <col min="6482" max="6482" width="2.2734375" style="500" customWidth="1"/>
    <col min="6483" max="6483" width="1.546875" style="500" customWidth="1"/>
    <col min="6484" max="6487" width="6.2734375" style="500" customWidth="1"/>
    <col min="6488" max="6488" width="6.1796875" style="500" customWidth="1"/>
    <col min="6489" max="6490" width="1.1796875" style="500" customWidth="1"/>
    <col min="6491" max="6491" width="1.2734375" style="500" customWidth="1"/>
    <col min="6492" max="6495" width="5.8203125" style="500" customWidth="1"/>
    <col min="6496" max="6496" width="6.8203125" style="500" customWidth="1"/>
    <col min="6497" max="6497" width="1.2734375" style="500" customWidth="1"/>
    <col min="6498" max="6499" width="1.7265625" style="500" customWidth="1"/>
    <col min="6500" max="6501" width="10.7265625" style="500" customWidth="1"/>
    <col min="6502" max="6503" width="8.2734375" style="500" customWidth="1"/>
    <col min="6504" max="6504" width="8.7265625" style="500" customWidth="1"/>
    <col min="6505" max="6505" width="8.1796875" style="500" customWidth="1"/>
    <col min="6506" max="6507" width="11.2734375" style="500" customWidth="1"/>
    <col min="6508" max="6508" width="10" style="500" customWidth="1"/>
    <col min="6509" max="6656" width="9.1796875" style="500"/>
    <col min="6657" max="6657" width="5.546875" style="500" customWidth="1"/>
    <col min="6658" max="6658" width="21.2734375" style="500" customWidth="1"/>
    <col min="6659" max="6659" width="38.8203125" style="500" customWidth="1"/>
    <col min="6660" max="6660" width="8.2734375" style="500" customWidth="1"/>
    <col min="6661" max="6661" width="6.1796875" style="500" customWidth="1"/>
    <col min="6662" max="6662" width="1" style="500" customWidth="1"/>
    <col min="6663" max="6663" width="1.2734375" style="500" customWidth="1"/>
    <col min="6664" max="6664" width="5.1796875" style="500" customWidth="1"/>
    <col min="6665" max="6665" width="6.1796875" style="500" customWidth="1"/>
    <col min="6666" max="6666" width="0.7265625" style="500" customWidth="1"/>
    <col min="6667" max="6667" width="1" style="500" customWidth="1"/>
    <col min="6668" max="6668" width="4.7265625" style="500" customWidth="1"/>
    <col min="6669" max="6669" width="6.2734375" style="500" customWidth="1"/>
    <col min="6670" max="6670" width="0.8203125" style="500" customWidth="1"/>
    <col min="6671" max="6671" width="1.1796875" style="500" customWidth="1"/>
    <col min="6672" max="6672" width="6.546875" style="500" customWidth="1"/>
    <col min="6673" max="6673" width="7.1796875" style="500" customWidth="1"/>
    <col min="6674" max="6675" width="1.546875" style="500" customWidth="1"/>
    <col min="6676" max="6676" width="6.8203125" style="500" customWidth="1"/>
    <col min="6677" max="6677" width="2" style="500" customWidth="1"/>
    <col min="6678" max="6678" width="1.2734375" style="500" customWidth="1"/>
    <col min="6679" max="6679" width="2.1796875" style="500" customWidth="1"/>
    <col min="6680" max="6680" width="6.453125" style="500" customWidth="1"/>
    <col min="6681" max="6683" width="2" style="500" customWidth="1"/>
    <col min="6684" max="6684" width="7.7265625" style="500" customWidth="1"/>
    <col min="6685" max="6685" width="1.2734375" style="500" customWidth="1"/>
    <col min="6686" max="6686" width="1.546875" style="500" customWidth="1"/>
    <col min="6687" max="6687" width="1.453125" style="500" customWidth="1"/>
    <col min="6688" max="6688" width="6.1796875" style="500" customWidth="1"/>
    <col min="6689" max="6691" width="1" style="500" customWidth="1"/>
    <col min="6692" max="6692" width="6.453125" style="500" customWidth="1"/>
    <col min="6693" max="6693" width="5.8203125" style="500" customWidth="1"/>
    <col min="6694" max="6694" width="1.453125" style="500" customWidth="1"/>
    <col min="6695" max="6695" width="1.546875" style="500" customWidth="1"/>
    <col min="6696" max="6696" width="6.1796875" style="500" customWidth="1"/>
    <col min="6697" max="6697" width="7" style="500" customWidth="1"/>
    <col min="6698" max="6698" width="1.1796875" style="500" customWidth="1"/>
    <col min="6699" max="6699" width="1.8203125" style="500" customWidth="1"/>
    <col min="6700" max="6700" width="5.8203125" style="500" customWidth="1"/>
    <col min="6701" max="6701" width="1.7265625" style="500" customWidth="1"/>
    <col min="6702" max="6702" width="2.1796875" style="500" customWidth="1"/>
    <col min="6703" max="6703" width="1.1796875" style="500" customWidth="1"/>
    <col min="6704" max="6704" width="7.2734375" style="500" customWidth="1"/>
    <col min="6705" max="6706" width="2.1796875" style="500" customWidth="1"/>
    <col min="6707" max="6707" width="1.7265625" style="500" customWidth="1"/>
    <col min="6708" max="6708" width="5.546875" style="500" customWidth="1"/>
    <col min="6709" max="6709" width="2" style="500" customWidth="1"/>
    <col min="6710" max="6710" width="1.453125" style="500" customWidth="1"/>
    <col min="6711" max="6711" width="2" style="500" customWidth="1"/>
    <col min="6712" max="6712" width="6.8203125" style="500" customWidth="1"/>
    <col min="6713" max="6713" width="1.7265625" style="500" customWidth="1"/>
    <col min="6714" max="6714" width="2" style="500" customWidth="1"/>
    <col min="6715" max="6715" width="1.8203125" style="500" customWidth="1"/>
    <col min="6716" max="6716" width="6.8203125" style="500" customWidth="1"/>
    <col min="6717" max="6717" width="1.1796875" style="500" customWidth="1"/>
    <col min="6718" max="6718" width="1.2734375" style="500" customWidth="1"/>
    <col min="6719" max="6719" width="1.8203125" style="500" customWidth="1"/>
    <col min="6720" max="6720" width="6.8203125" style="500" customWidth="1"/>
    <col min="6721" max="6721" width="1.453125" style="500" customWidth="1"/>
    <col min="6722" max="6722" width="1.2734375" style="500" customWidth="1"/>
    <col min="6723" max="6723" width="2.1796875" style="500" customWidth="1"/>
    <col min="6724" max="6724" width="5.1796875" style="500" customWidth="1"/>
    <col min="6725" max="6725" width="5.546875" style="500" customWidth="1"/>
    <col min="6726" max="6726" width="1.1796875" style="500" customWidth="1"/>
    <col min="6727" max="6727" width="1.453125" style="500" customWidth="1"/>
    <col min="6728" max="6728" width="6" style="500" customWidth="1"/>
    <col min="6729" max="6729" width="5.8203125" style="500" customWidth="1"/>
    <col min="6730" max="6730" width="1.7265625" style="500" customWidth="1"/>
    <col min="6731" max="6731" width="2.1796875" style="500" customWidth="1"/>
    <col min="6732" max="6735" width="5.8203125" style="500" customWidth="1"/>
    <col min="6736" max="6736" width="6" style="500" customWidth="1"/>
    <col min="6737" max="6737" width="1.546875" style="500" customWidth="1"/>
    <col min="6738" max="6738" width="2.2734375" style="500" customWidth="1"/>
    <col min="6739" max="6739" width="1.546875" style="500" customWidth="1"/>
    <col min="6740" max="6743" width="6.2734375" style="500" customWidth="1"/>
    <col min="6744" max="6744" width="6.1796875" style="500" customWidth="1"/>
    <col min="6745" max="6746" width="1.1796875" style="500" customWidth="1"/>
    <col min="6747" max="6747" width="1.2734375" style="500" customWidth="1"/>
    <col min="6748" max="6751" width="5.8203125" style="500" customWidth="1"/>
    <col min="6752" max="6752" width="6.8203125" style="500" customWidth="1"/>
    <col min="6753" max="6753" width="1.2734375" style="500" customWidth="1"/>
    <col min="6754" max="6755" width="1.7265625" style="500" customWidth="1"/>
    <col min="6756" max="6757" width="10.7265625" style="500" customWidth="1"/>
    <col min="6758" max="6759" width="8.2734375" style="500" customWidth="1"/>
    <col min="6760" max="6760" width="8.7265625" style="500" customWidth="1"/>
    <col min="6761" max="6761" width="8.1796875" style="500" customWidth="1"/>
    <col min="6762" max="6763" width="11.2734375" style="500" customWidth="1"/>
    <col min="6764" max="6764" width="10" style="500" customWidth="1"/>
    <col min="6765" max="6912" width="9.1796875" style="500"/>
    <col min="6913" max="6913" width="5.546875" style="500" customWidth="1"/>
    <col min="6914" max="6914" width="21.2734375" style="500" customWidth="1"/>
    <col min="6915" max="6915" width="38.8203125" style="500" customWidth="1"/>
    <col min="6916" max="6916" width="8.2734375" style="500" customWidth="1"/>
    <col min="6917" max="6917" width="6.1796875" style="500" customWidth="1"/>
    <col min="6918" max="6918" width="1" style="500" customWidth="1"/>
    <col min="6919" max="6919" width="1.2734375" style="500" customWidth="1"/>
    <col min="6920" max="6920" width="5.1796875" style="500" customWidth="1"/>
    <col min="6921" max="6921" width="6.1796875" style="500" customWidth="1"/>
    <col min="6922" max="6922" width="0.7265625" style="500" customWidth="1"/>
    <col min="6923" max="6923" width="1" style="500" customWidth="1"/>
    <col min="6924" max="6924" width="4.7265625" style="500" customWidth="1"/>
    <col min="6925" max="6925" width="6.2734375" style="500" customWidth="1"/>
    <col min="6926" max="6926" width="0.8203125" style="500" customWidth="1"/>
    <col min="6927" max="6927" width="1.1796875" style="500" customWidth="1"/>
    <col min="6928" max="6928" width="6.546875" style="500" customWidth="1"/>
    <col min="6929" max="6929" width="7.1796875" style="500" customWidth="1"/>
    <col min="6930" max="6931" width="1.546875" style="500" customWidth="1"/>
    <col min="6932" max="6932" width="6.8203125" style="500" customWidth="1"/>
    <col min="6933" max="6933" width="2" style="500" customWidth="1"/>
    <col min="6934" max="6934" width="1.2734375" style="500" customWidth="1"/>
    <col min="6935" max="6935" width="2.1796875" style="500" customWidth="1"/>
    <col min="6936" max="6936" width="6.453125" style="500" customWidth="1"/>
    <col min="6937" max="6939" width="2" style="500" customWidth="1"/>
    <col min="6940" max="6940" width="7.7265625" style="500" customWidth="1"/>
    <col min="6941" max="6941" width="1.2734375" style="500" customWidth="1"/>
    <col min="6942" max="6942" width="1.546875" style="500" customWidth="1"/>
    <col min="6943" max="6943" width="1.453125" style="500" customWidth="1"/>
    <col min="6944" max="6944" width="6.1796875" style="500" customWidth="1"/>
    <col min="6945" max="6947" width="1" style="500" customWidth="1"/>
    <col min="6948" max="6948" width="6.453125" style="500" customWidth="1"/>
    <col min="6949" max="6949" width="5.8203125" style="500" customWidth="1"/>
    <col min="6950" max="6950" width="1.453125" style="500" customWidth="1"/>
    <col min="6951" max="6951" width="1.546875" style="500" customWidth="1"/>
    <col min="6952" max="6952" width="6.1796875" style="500" customWidth="1"/>
    <col min="6953" max="6953" width="7" style="500" customWidth="1"/>
    <col min="6954" max="6954" width="1.1796875" style="500" customWidth="1"/>
    <col min="6955" max="6955" width="1.8203125" style="500" customWidth="1"/>
    <col min="6956" max="6956" width="5.8203125" style="500" customWidth="1"/>
    <col min="6957" max="6957" width="1.7265625" style="500" customWidth="1"/>
    <col min="6958" max="6958" width="2.1796875" style="500" customWidth="1"/>
    <col min="6959" max="6959" width="1.1796875" style="500" customWidth="1"/>
    <col min="6960" max="6960" width="7.2734375" style="500" customWidth="1"/>
    <col min="6961" max="6962" width="2.1796875" style="500" customWidth="1"/>
    <col min="6963" max="6963" width="1.7265625" style="500" customWidth="1"/>
    <col min="6964" max="6964" width="5.546875" style="500" customWidth="1"/>
    <col min="6965" max="6965" width="2" style="500" customWidth="1"/>
    <col min="6966" max="6966" width="1.453125" style="500" customWidth="1"/>
    <col min="6967" max="6967" width="2" style="500" customWidth="1"/>
    <col min="6968" max="6968" width="6.8203125" style="500" customWidth="1"/>
    <col min="6969" max="6969" width="1.7265625" style="500" customWidth="1"/>
    <col min="6970" max="6970" width="2" style="500" customWidth="1"/>
    <col min="6971" max="6971" width="1.8203125" style="500" customWidth="1"/>
    <col min="6972" max="6972" width="6.8203125" style="500" customWidth="1"/>
    <col min="6973" max="6973" width="1.1796875" style="500" customWidth="1"/>
    <col min="6974" max="6974" width="1.2734375" style="500" customWidth="1"/>
    <col min="6975" max="6975" width="1.8203125" style="500" customWidth="1"/>
    <col min="6976" max="6976" width="6.8203125" style="500" customWidth="1"/>
    <col min="6977" max="6977" width="1.453125" style="500" customWidth="1"/>
    <col min="6978" max="6978" width="1.2734375" style="500" customWidth="1"/>
    <col min="6979" max="6979" width="2.1796875" style="500" customWidth="1"/>
    <col min="6980" max="6980" width="5.1796875" style="500" customWidth="1"/>
    <col min="6981" max="6981" width="5.546875" style="500" customWidth="1"/>
    <col min="6982" max="6982" width="1.1796875" style="500" customWidth="1"/>
    <col min="6983" max="6983" width="1.453125" style="500" customWidth="1"/>
    <col min="6984" max="6984" width="6" style="500" customWidth="1"/>
    <col min="6985" max="6985" width="5.8203125" style="500" customWidth="1"/>
    <col min="6986" max="6986" width="1.7265625" style="500" customWidth="1"/>
    <col min="6987" max="6987" width="2.1796875" style="500" customWidth="1"/>
    <col min="6988" max="6991" width="5.8203125" style="500" customWidth="1"/>
    <col min="6992" max="6992" width="6" style="500" customWidth="1"/>
    <col min="6993" max="6993" width="1.546875" style="500" customWidth="1"/>
    <col min="6994" max="6994" width="2.2734375" style="500" customWidth="1"/>
    <col min="6995" max="6995" width="1.546875" style="500" customWidth="1"/>
    <col min="6996" max="6999" width="6.2734375" style="500" customWidth="1"/>
    <col min="7000" max="7000" width="6.1796875" style="500" customWidth="1"/>
    <col min="7001" max="7002" width="1.1796875" style="500" customWidth="1"/>
    <col min="7003" max="7003" width="1.2734375" style="500" customWidth="1"/>
    <col min="7004" max="7007" width="5.8203125" style="500" customWidth="1"/>
    <col min="7008" max="7008" width="6.8203125" style="500" customWidth="1"/>
    <col min="7009" max="7009" width="1.2734375" style="500" customWidth="1"/>
    <col min="7010" max="7011" width="1.7265625" style="500" customWidth="1"/>
    <col min="7012" max="7013" width="10.7265625" style="500" customWidth="1"/>
    <col min="7014" max="7015" width="8.2734375" style="500" customWidth="1"/>
    <col min="7016" max="7016" width="8.7265625" style="500" customWidth="1"/>
    <col min="7017" max="7017" width="8.1796875" style="500" customWidth="1"/>
    <col min="7018" max="7019" width="11.2734375" style="500" customWidth="1"/>
    <col min="7020" max="7020" width="10" style="500" customWidth="1"/>
    <col min="7021" max="7168" width="9.1796875" style="500"/>
    <col min="7169" max="7169" width="5.546875" style="500" customWidth="1"/>
    <col min="7170" max="7170" width="21.2734375" style="500" customWidth="1"/>
    <col min="7171" max="7171" width="38.8203125" style="500" customWidth="1"/>
    <col min="7172" max="7172" width="8.2734375" style="500" customWidth="1"/>
    <col min="7173" max="7173" width="6.1796875" style="500" customWidth="1"/>
    <col min="7174" max="7174" width="1" style="500" customWidth="1"/>
    <col min="7175" max="7175" width="1.2734375" style="500" customWidth="1"/>
    <col min="7176" max="7176" width="5.1796875" style="500" customWidth="1"/>
    <col min="7177" max="7177" width="6.1796875" style="500" customWidth="1"/>
    <col min="7178" max="7178" width="0.7265625" style="500" customWidth="1"/>
    <col min="7179" max="7179" width="1" style="500" customWidth="1"/>
    <col min="7180" max="7180" width="4.7265625" style="500" customWidth="1"/>
    <col min="7181" max="7181" width="6.2734375" style="500" customWidth="1"/>
    <col min="7182" max="7182" width="0.8203125" style="500" customWidth="1"/>
    <col min="7183" max="7183" width="1.1796875" style="500" customWidth="1"/>
    <col min="7184" max="7184" width="6.546875" style="500" customWidth="1"/>
    <col min="7185" max="7185" width="7.1796875" style="500" customWidth="1"/>
    <col min="7186" max="7187" width="1.546875" style="500" customWidth="1"/>
    <col min="7188" max="7188" width="6.8203125" style="500" customWidth="1"/>
    <col min="7189" max="7189" width="2" style="500" customWidth="1"/>
    <col min="7190" max="7190" width="1.2734375" style="500" customWidth="1"/>
    <col min="7191" max="7191" width="2.1796875" style="500" customWidth="1"/>
    <col min="7192" max="7192" width="6.453125" style="500" customWidth="1"/>
    <col min="7193" max="7195" width="2" style="500" customWidth="1"/>
    <col min="7196" max="7196" width="7.7265625" style="500" customWidth="1"/>
    <col min="7197" max="7197" width="1.2734375" style="500" customWidth="1"/>
    <col min="7198" max="7198" width="1.546875" style="500" customWidth="1"/>
    <col min="7199" max="7199" width="1.453125" style="500" customWidth="1"/>
    <col min="7200" max="7200" width="6.1796875" style="500" customWidth="1"/>
    <col min="7201" max="7203" width="1" style="500" customWidth="1"/>
    <col min="7204" max="7204" width="6.453125" style="500" customWidth="1"/>
    <col min="7205" max="7205" width="5.8203125" style="500" customWidth="1"/>
    <col min="7206" max="7206" width="1.453125" style="500" customWidth="1"/>
    <col min="7207" max="7207" width="1.546875" style="500" customWidth="1"/>
    <col min="7208" max="7208" width="6.1796875" style="500" customWidth="1"/>
    <col min="7209" max="7209" width="7" style="500" customWidth="1"/>
    <col min="7210" max="7210" width="1.1796875" style="500" customWidth="1"/>
    <col min="7211" max="7211" width="1.8203125" style="500" customWidth="1"/>
    <col min="7212" max="7212" width="5.8203125" style="500" customWidth="1"/>
    <col min="7213" max="7213" width="1.7265625" style="500" customWidth="1"/>
    <col min="7214" max="7214" width="2.1796875" style="500" customWidth="1"/>
    <col min="7215" max="7215" width="1.1796875" style="500" customWidth="1"/>
    <col min="7216" max="7216" width="7.2734375" style="500" customWidth="1"/>
    <col min="7217" max="7218" width="2.1796875" style="500" customWidth="1"/>
    <col min="7219" max="7219" width="1.7265625" style="500" customWidth="1"/>
    <col min="7220" max="7220" width="5.546875" style="500" customWidth="1"/>
    <col min="7221" max="7221" width="2" style="500" customWidth="1"/>
    <col min="7222" max="7222" width="1.453125" style="500" customWidth="1"/>
    <col min="7223" max="7223" width="2" style="500" customWidth="1"/>
    <col min="7224" max="7224" width="6.8203125" style="500" customWidth="1"/>
    <col min="7225" max="7225" width="1.7265625" style="500" customWidth="1"/>
    <col min="7226" max="7226" width="2" style="500" customWidth="1"/>
    <col min="7227" max="7227" width="1.8203125" style="500" customWidth="1"/>
    <col min="7228" max="7228" width="6.8203125" style="500" customWidth="1"/>
    <col min="7229" max="7229" width="1.1796875" style="500" customWidth="1"/>
    <col min="7230" max="7230" width="1.2734375" style="500" customWidth="1"/>
    <col min="7231" max="7231" width="1.8203125" style="500" customWidth="1"/>
    <col min="7232" max="7232" width="6.8203125" style="500" customWidth="1"/>
    <col min="7233" max="7233" width="1.453125" style="500" customWidth="1"/>
    <col min="7234" max="7234" width="1.2734375" style="500" customWidth="1"/>
    <col min="7235" max="7235" width="2.1796875" style="500" customWidth="1"/>
    <col min="7236" max="7236" width="5.1796875" style="500" customWidth="1"/>
    <col min="7237" max="7237" width="5.546875" style="500" customWidth="1"/>
    <col min="7238" max="7238" width="1.1796875" style="500" customWidth="1"/>
    <col min="7239" max="7239" width="1.453125" style="500" customWidth="1"/>
    <col min="7240" max="7240" width="6" style="500" customWidth="1"/>
    <col min="7241" max="7241" width="5.8203125" style="500" customWidth="1"/>
    <col min="7242" max="7242" width="1.7265625" style="500" customWidth="1"/>
    <col min="7243" max="7243" width="2.1796875" style="500" customWidth="1"/>
    <col min="7244" max="7247" width="5.8203125" style="500" customWidth="1"/>
    <col min="7248" max="7248" width="6" style="500" customWidth="1"/>
    <col min="7249" max="7249" width="1.546875" style="500" customWidth="1"/>
    <col min="7250" max="7250" width="2.2734375" style="500" customWidth="1"/>
    <col min="7251" max="7251" width="1.546875" style="500" customWidth="1"/>
    <col min="7252" max="7255" width="6.2734375" style="500" customWidth="1"/>
    <col min="7256" max="7256" width="6.1796875" style="500" customWidth="1"/>
    <col min="7257" max="7258" width="1.1796875" style="500" customWidth="1"/>
    <col min="7259" max="7259" width="1.2734375" style="500" customWidth="1"/>
    <col min="7260" max="7263" width="5.8203125" style="500" customWidth="1"/>
    <col min="7264" max="7264" width="6.8203125" style="500" customWidth="1"/>
    <col min="7265" max="7265" width="1.2734375" style="500" customWidth="1"/>
    <col min="7266" max="7267" width="1.7265625" style="500" customWidth="1"/>
    <col min="7268" max="7269" width="10.7265625" style="500" customWidth="1"/>
    <col min="7270" max="7271" width="8.2734375" style="500" customWidth="1"/>
    <col min="7272" max="7272" width="8.7265625" style="500" customWidth="1"/>
    <col min="7273" max="7273" width="8.1796875" style="500" customWidth="1"/>
    <col min="7274" max="7275" width="11.2734375" style="500" customWidth="1"/>
    <col min="7276" max="7276" width="10" style="500" customWidth="1"/>
    <col min="7277" max="7424" width="9.1796875" style="500"/>
    <col min="7425" max="7425" width="5.546875" style="500" customWidth="1"/>
    <col min="7426" max="7426" width="21.2734375" style="500" customWidth="1"/>
    <col min="7427" max="7427" width="38.8203125" style="500" customWidth="1"/>
    <col min="7428" max="7428" width="8.2734375" style="500" customWidth="1"/>
    <col min="7429" max="7429" width="6.1796875" style="500" customWidth="1"/>
    <col min="7430" max="7430" width="1" style="500" customWidth="1"/>
    <col min="7431" max="7431" width="1.2734375" style="500" customWidth="1"/>
    <col min="7432" max="7432" width="5.1796875" style="500" customWidth="1"/>
    <col min="7433" max="7433" width="6.1796875" style="500" customWidth="1"/>
    <col min="7434" max="7434" width="0.7265625" style="500" customWidth="1"/>
    <col min="7435" max="7435" width="1" style="500" customWidth="1"/>
    <col min="7436" max="7436" width="4.7265625" style="500" customWidth="1"/>
    <col min="7437" max="7437" width="6.2734375" style="500" customWidth="1"/>
    <col min="7438" max="7438" width="0.8203125" style="500" customWidth="1"/>
    <col min="7439" max="7439" width="1.1796875" style="500" customWidth="1"/>
    <col min="7440" max="7440" width="6.546875" style="500" customWidth="1"/>
    <col min="7441" max="7441" width="7.1796875" style="500" customWidth="1"/>
    <col min="7442" max="7443" width="1.546875" style="500" customWidth="1"/>
    <col min="7444" max="7444" width="6.8203125" style="500" customWidth="1"/>
    <col min="7445" max="7445" width="2" style="500" customWidth="1"/>
    <col min="7446" max="7446" width="1.2734375" style="500" customWidth="1"/>
    <col min="7447" max="7447" width="2.1796875" style="500" customWidth="1"/>
    <col min="7448" max="7448" width="6.453125" style="500" customWidth="1"/>
    <col min="7449" max="7451" width="2" style="500" customWidth="1"/>
    <col min="7452" max="7452" width="7.7265625" style="500" customWidth="1"/>
    <col min="7453" max="7453" width="1.2734375" style="500" customWidth="1"/>
    <col min="7454" max="7454" width="1.546875" style="500" customWidth="1"/>
    <col min="7455" max="7455" width="1.453125" style="500" customWidth="1"/>
    <col min="7456" max="7456" width="6.1796875" style="500" customWidth="1"/>
    <col min="7457" max="7459" width="1" style="500" customWidth="1"/>
    <col min="7460" max="7460" width="6.453125" style="500" customWidth="1"/>
    <col min="7461" max="7461" width="5.8203125" style="500" customWidth="1"/>
    <col min="7462" max="7462" width="1.453125" style="500" customWidth="1"/>
    <col min="7463" max="7463" width="1.546875" style="500" customWidth="1"/>
    <col min="7464" max="7464" width="6.1796875" style="500" customWidth="1"/>
    <col min="7465" max="7465" width="7" style="500" customWidth="1"/>
    <col min="7466" max="7466" width="1.1796875" style="500" customWidth="1"/>
    <col min="7467" max="7467" width="1.8203125" style="500" customWidth="1"/>
    <col min="7468" max="7468" width="5.8203125" style="500" customWidth="1"/>
    <col min="7469" max="7469" width="1.7265625" style="500" customWidth="1"/>
    <col min="7470" max="7470" width="2.1796875" style="500" customWidth="1"/>
    <col min="7471" max="7471" width="1.1796875" style="500" customWidth="1"/>
    <col min="7472" max="7472" width="7.2734375" style="500" customWidth="1"/>
    <col min="7473" max="7474" width="2.1796875" style="500" customWidth="1"/>
    <col min="7475" max="7475" width="1.7265625" style="500" customWidth="1"/>
    <col min="7476" max="7476" width="5.546875" style="500" customWidth="1"/>
    <col min="7477" max="7477" width="2" style="500" customWidth="1"/>
    <col min="7478" max="7478" width="1.453125" style="500" customWidth="1"/>
    <col min="7479" max="7479" width="2" style="500" customWidth="1"/>
    <col min="7480" max="7480" width="6.8203125" style="500" customWidth="1"/>
    <col min="7481" max="7481" width="1.7265625" style="500" customWidth="1"/>
    <col min="7482" max="7482" width="2" style="500" customWidth="1"/>
    <col min="7483" max="7483" width="1.8203125" style="500" customWidth="1"/>
    <col min="7484" max="7484" width="6.8203125" style="500" customWidth="1"/>
    <col min="7485" max="7485" width="1.1796875" style="500" customWidth="1"/>
    <col min="7486" max="7486" width="1.2734375" style="500" customWidth="1"/>
    <col min="7487" max="7487" width="1.8203125" style="500" customWidth="1"/>
    <col min="7488" max="7488" width="6.8203125" style="500" customWidth="1"/>
    <col min="7489" max="7489" width="1.453125" style="500" customWidth="1"/>
    <col min="7490" max="7490" width="1.2734375" style="500" customWidth="1"/>
    <col min="7491" max="7491" width="2.1796875" style="500" customWidth="1"/>
    <col min="7492" max="7492" width="5.1796875" style="500" customWidth="1"/>
    <col min="7493" max="7493" width="5.546875" style="500" customWidth="1"/>
    <col min="7494" max="7494" width="1.1796875" style="500" customWidth="1"/>
    <col min="7495" max="7495" width="1.453125" style="500" customWidth="1"/>
    <col min="7496" max="7496" width="6" style="500" customWidth="1"/>
    <col min="7497" max="7497" width="5.8203125" style="500" customWidth="1"/>
    <col min="7498" max="7498" width="1.7265625" style="500" customWidth="1"/>
    <col min="7499" max="7499" width="2.1796875" style="500" customWidth="1"/>
    <col min="7500" max="7503" width="5.8203125" style="500" customWidth="1"/>
    <col min="7504" max="7504" width="6" style="500" customWidth="1"/>
    <col min="7505" max="7505" width="1.546875" style="500" customWidth="1"/>
    <col min="7506" max="7506" width="2.2734375" style="500" customWidth="1"/>
    <col min="7507" max="7507" width="1.546875" style="500" customWidth="1"/>
    <col min="7508" max="7511" width="6.2734375" style="500" customWidth="1"/>
    <col min="7512" max="7512" width="6.1796875" style="500" customWidth="1"/>
    <col min="7513" max="7514" width="1.1796875" style="500" customWidth="1"/>
    <col min="7515" max="7515" width="1.2734375" style="500" customWidth="1"/>
    <col min="7516" max="7519" width="5.8203125" style="500" customWidth="1"/>
    <col min="7520" max="7520" width="6.8203125" style="500" customWidth="1"/>
    <col min="7521" max="7521" width="1.2734375" style="500" customWidth="1"/>
    <col min="7522" max="7523" width="1.7265625" style="500" customWidth="1"/>
    <col min="7524" max="7525" width="10.7265625" style="500" customWidth="1"/>
    <col min="7526" max="7527" width="8.2734375" style="500" customWidth="1"/>
    <col min="7528" max="7528" width="8.7265625" style="500" customWidth="1"/>
    <col min="7529" max="7529" width="8.1796875" style="500" customWidth="1"/>
    <col min="7530" max="7531" width="11.2734375" style="500" customWidth="1"/>
    <col min="7532" max="7532" width="10" style="500" customWidth="1"/>
    <col min="7533" max="7680" width="9.1796875" style="500"/>
    <col min="7681" max="7681" width="5.546875" style="500" customWidth="1"/>
    <col min="7682" max="7682" width="21.2734375" style="500" customWidth="1"/>
    <col min="7683" max="7683" width="38.8203125" style="500" customWidth="1"/>
    <col min="7684" max="7684" width="8.2734375" style="500" customWidth="1"/>
    <col min="7685" max="7685" width="6.1796875" style="500" customWidth="1"/>
    <col min="7686" max="7686" width="1" style="500" customWidth="1"/>
    <col min="7687" max="7687" width="1.2734375" style="500" customWidth="1"/>
    <col min="7688" max="7688" width="5.1796875" style="500" customWidth="1"/>
    <col min="7689" max="7689" width="6.1796875" style="500" customWidth="1"/>
    <col min="7690" max="7690" width="0.7265625" style="500" customWidth="1"/>
    <col min="7691" max="7691" width="1" style="500" customWidth="1"/>
    <col min="7692" max="7692" width="4.7265625" style="500" customWidth="1"/>
    <col min="7693" max="7693" width="6.2734375" style="500" customWidth="1"/>
    <col min="7694" max="7694" width="0.8203125" style="500" customWidth="1"/>
    <col min="7695" max="7695" width="1.1796875" style="500" customWidth="1"/>
    <col min="7696" max="7696" width="6.546875" style="500" customWidth="1"/>
    <col min="7697" max="7697" width="7.1796875" style="500" customWidth="1"/>
    <col min="7698" max="7699" width="1.546875" style="500" customWidth="1"/>
    <col min="7700" max="7700" width="6.8203125" style="500" customWidth="1"/>
    <col min="7701" max="7701" width="2" style="500" customWidth="1"/>
    <col min="7702" max="7702" width="1.2734375" style="500" customWidth="1"/>
    <col min="7703" max="7703" width="2.1796875" style="500" customWidth="1"/>
    <col min="7704" max="7704" width="6.453125" style="500" customWidth="1"/>
    <col min="7705" max="7707" width="2" style="500" customWidth="1"/>
    <col min="7708" max="7708" width="7.7265625" style="500" customWidth="1"/>
    <col min="7709" max="7709" width="1.2734375" style="500" customWidth="1"/>
    <col min="7710" max="7710" width="1.546875" style="500" customWidth="1"/>
    <col min="7711" max="7711" width="1.453125" style="500" customWidth="1"/>
    <col min="7712" max="7712" width="6.1796875" style="500" customWidth="1"/>
    <col min="7713" max="7715" width="1" style="500" customWidth="1"/>
    <col min="7716" max="7716" width="6.453125" style="500" customWidth="1"/>
    <col min="7717" max="7717" width="5.8203125" style="500" customWidth="1"/>
    <col min="7718" max="7718" width="1.453125" style="500" customWidth="1"/>
    <col min="7719" max="7719" width="1.546875" style="500" customWidth="1"/>
    <col min="7720" max="7720" width="6.1796875" style="500" customWidth="1"/>
    <col min="7721" max="7721" width="7" style="500" customWidth="1"/>
    <col min="7722" max="7722" width="1.1796875" style="500" customWidth="1"/>
    <col min="7723" max="7723" width="1.8203125" style="500" customWidth="1"/>
    <col min="7724" max="7724" width="5.8203125" style="500" customWidth="1"/>
    <col min="7725" max="7725" width="1.7265625" style="500" customWidth="1"/>
    <col min="7726" max="7726" width="2.1796875" style="500" customWidth="1"/>
    <col min="7727" max="7727" width="1.1796875" style="500" customWidth="1"/>
    <col min="7728" max="7728" width="7.2734375" style="500" customWidth="1"/>
    <col min="7729" max="7730" width="2.1796875" style="500" customWidth="1"/>
    <col min="7731" max="7731" width="1.7265625" style="500" customWidth="1"/>
    <col min="7732" max="7732" width="5.546875" style="500" customWidth="1"/>
    <col min="7733" max="7733" width="2" style="500" customWidth="1"/>
    <col min="7734" max="7734" width="1.453125" style="500" customWidth="1"/>
    <col min="7735" max="7735" width="2" style="500" customWidth="1"/>
    <col min="7736" max="7736" width="6.8203125" style="500" customWidth="1"/>
    <col min="7737" max="7737" width="1.7265625" style="500" customWidth="1"/>
    <col min="7738" max="7738" width="2" style="500" customWidth="1"/>
    <col min="7739" max="7739" width="1.8203125" style="500" customWidth="1"/>
    <col min="7740" max="7740" width="6.8203125" style="500" customWidth="1"/>
    <col min="7741" max="7741" width="1.1796875" style="500" customWidth="1"/>
    <col min="7742" max="7742" width="1.2734375" style="500" customWidth="1"/>
    <col min="7743" max="7743" width="1.8203125" style="500" customWidth="1"/>
    <col min="7744" max="7744" width="6.8203125" style="500" customWidth="1"/>
    <col min="7745" max="7745" width="1.453125" style="500" customWidth="1"/>
    <col min="7746" max="7746" width="1.2734375" style="500" customWidth="1"/>
    <col min="7747" max="7747" width="2.1796875" style="500" customWidth="1"/>
    <col min="7748" max="7748" width="5.1796875" style="500" customWidth="1"/>
    <col min="7749" max="7749" width="5.546875" style="500" customWidth="1"/>
    <col min="7750" max="7750" width="1.1796875" style="500" customWidth="1"/>
    <col min="7751" max="7751" width="1.453125" style="500" customWidth="1"/>
    <col min="7752" max="7752" width="6" style="500" customWidth="1"/>
    <col min="7753" max="7753" width="5.8203125" style="500" customWidth="1"/>
    <col min="7754" max="7754" width="1.7265625" style="500" customWidth="1"/>
    <col min="7755" max="7755" width="2.1796875" style="500" customWidth="1"/>
    <col min="7756" max="7759" width="5.8203125" style="500" customWidth="1"/>
    <col min="7760" max="7760" width="6" style="500" customWidth="1"/>
    <col min="7761" max="7761" width="1.546875" style="500" customWidth="1"/>
    <col min="7762" max="7762" width="2.2734375" style="500" customWidth="1"/>
    <col min="7763" max="7763" width="1.546875" style="500" customWidth="1"/>
    <col min="7764" max="7767" width="6.2734375" style="500" customWidth="1"/>
    <col min="7768" max="7768" width="6.1796875" style="500" customWidth="1"/>
    <col min="7769" max="7770" width="1.1796875" style="500" customWidth="1"/>
    <col min="7771" max="7771" width="1.2734375" style="500" customWidth="1"/>
    <col min="7772" max="7775" width="5.8203125" style="500" customWidth="1"/>
    <col min="7776" max="7776" width="6.8203125" style="500" customWidth="1"/>
    <col min="7777" max="7777" width="1.2734375" style="500" customWidth="1"/>
    <col min="7778" max="7779" width="1.7265625" style="500" customWidth="1"/>
    <col min="7780" max="7781" width="10.7265625" style="500" customWidth="1"/>
    <col min="7782" max="7783" width="8.2734375" style="500" customWidth="1"/>
    <col min="7784" max="7784" width="8.7265625" style="500" customWidth="1"/>
    <col min="7785" max="7785" width="8.1796875" style="500" customWidth="1"/>
    <col min="7786" max="7787" width="11.2734375" style="500" customWidth="1"/>
    <col min="7788" max="7788" width="10" style="500" customWidth="1"/>
    <col min="7789" max="7936" width="9.1796875" style="500"/>
    <col min="7937" max="7937" width="5.546875" style="500" customWidth="1"/>
    <col min="7938" max="7938" width="21.2734375" style="500" customWidth="1"/>
    <col min="7939" max="7939" width="38.8203125" style="500" customWidth="1"/>
    <col min="7940" max="7940" width="8.2734375" style="500" customWidth="1"/>
    <col min="7941" max="7941" width="6.1796875" style="500" customWidth="1"/>
    <col min="7942" max="7942" width="1" style="500" customWidth="1"/>
    <col min="7943" max="7943" width="1.2734375" style="500" customWidth="1"/>
    <col min="7944" max="7944" width="5.1796875" style="500" customWidth="1"/>
    <col min="7945" max="7945" width="6.1796875" style="500" customWidth="1"/>
    <col min="7946" max="7946" width="0.7265625" style="500" customWidth="1"/>
    <col min="7947" max="7947" width="1" style="500" customWidth="1"/>
    <col min="7948" max="7948" width="4.7265625" style="500" customWidth="1"/>
    <col min="7949" max="7949" width="6.2734375" style="500" customWidth="1"/>
    <col min="7950" max="7950" width="0.8203125" style="500" customWidth="1"/>
    <col min="7951" max="7951" width="1.1796875" style="500" customWidth="1"/>
    <col min="7952" max="7952" width="6.546875" style="500" customWidth="1"/>
    <col min="7953" max="7953" width="7.1796875" style="500" customWidth="1"/>
    <col min="7954" max="7955" width="1.546875" style="500" customWidth="1"/>
    <col min="7956" max="7956" width="6.8203125" style="500" customWidth="1"/>
    <col min="7957" max="7957" width="2" style="500" customWidth="1"/>
    <col min="7958" max="7958" width="1.2734375" style="500" customWidth="1"/>
    <col min="7959" max="7959" width="2.1796875" style="500" customWidth="1"/>
    <col min="7960" max="7960" width="6.453125" style="500" customWidth="1"/>
    <col min="7961" max="7963" width="2" style="500" customWidth="1"/>
    <col min="7964" max="7964" width="7.7265625" style="500" customWidth="1"/>
    <col min="7965" max="7965" width="1.2734375" style="500" customWidth="1"/>
    <col min="7966" max="7966" width="1.546875" style="500" customWidth="1"/>
    <col min="7967" max="7967" width="1.453125" style="500" customWidth="1"/>
    <col min="7968" max="7968" width="6.1796875" style="500" customWidth="1"/>
    <col min="7969" max="7971" width="1" style="500" customWidth="1"/>
    <col min="7972" max="7972" width="6.453125" style="500" customWidth="1"/>
    <col min="7973" max="7973" width="5.8203125" style="500" customWidth="1"/>
    <col min="7974" max="7974" width="1.453125" style="500" customWidth="1"/>
    <col min="7975" max="7975" width="1.546875" style="500" customWidth="1"/>
    <col min="7976" max="7976" width="6.1796875" style="500" customWidth="1"/>
    <col min="7977" max="7977" width="7" style="500" customWidth="1"/>
    <col min="7978" max="7978" width="1.1796875" style="500" customWidth="1"/>
    <col min="7979" max="7979" width="1.8203125" style="500" customWidth="1"/>
    <col min="7980" max="7980" width="5.8203125" style="500" customWidth="1"/>
    <col min="7981" max="7981" width="1.7265625" style="500" customWidth="1"/>
    <col min="7982" max="7982" width="2.1796875" style="500" customWidth="1"/>
    <col min="7983" max="7983" width="1.1796875" style="500" customWidth="1"/>
    <col min="7984" max="7984" width="7.2734375" style="500" customWidth="1"/>
    <col min="7985" max="7986" width="2.1796875" style="500" customWidth="1"/>
    <col min="7987" max="7987" width="1.7265625" style="500" customWidth="1"/>
    <col min="7988" max="7988" width="5.546875" style="500" customWidth="1"/>
    <col min="7989" max="7989" width="2" style="500" customWidth="1"/>
    <col min="7990" max="7990" width="1.453125" style="500" customWidth="1"/>
    <col min="7991" max="7991" width="2" style="500" customWidth="1"/>
    <col min="7992" max="7992" width="6.8203125" style="500" customWidth="1"/>
    <col min="7993" max="7993" width="1.7265625" style="500" customWidth="1"/>
    <col min="7994" max="7994" width="2" style="500" customWidth="1"/>
    <col min="7995" max="7995" width="1.8203125" style="500" customWidth="1"/>
    <col min="7996" max="7996" width="6.8203125" style="500" customWidth="1"/>
    <col min="7997" max="7997" width="1.1796875" style="500" customWidth="1"/>
    <col min="7998" max="7998" width="1.2734375" style="500" customWidth="1"/>
    <col min="7999" max="7999" width="1.8203125" style="500" customWidth="1"/>
    <col min="8000" max="8000" width="6.8203125" style="500" customWidth="1"/>
    <col min="8001" max="8001" width="1.453125" style="500" customWidth="1"/>
    <col min="8002" max="8002" width="1.2734375" style="500" customWidth="1"/>
    <col min="8003" max="8003" width="2.1796875" style="500" customWidth="1"/>
    <col min="8004" max="8004" width="5.1796875" style="500" customWidth="1"/>
    <col min="8005" max="8005" width="5.546875" style="500" customWidth="1"/>
    <col min="8006" max="8006" width="1.1796875" style="500" customWidth="1"/>
    <col min="8007" max="8007" width="1.453125" style="500" customWidth="1"/>
    <col min="8008" max="8008" width="6" style="500" customWidth="1"/>
    <col min="8009" max="8009" width="5.8203125" style="500" customWidth="1"/>
    <col min="8010" max="8010" width="1.7265625" style="500" customWidth="1"/>
    <col min="8011" max="8011" width="2.1796875" style="500" customWidth="1"/>
    <col min="8012" max="8015" width="5.8203125" style="500" customWidth="1"/>
    <col min="8016" max="8016" width="6" style="500" customWidth="1"/>
    <col min="8017" max="8017" width="1.546875" style="500" customWidth="1"/>
    <col min="8018" max="8018" width="2.2734375" style="500" customWidth="1"/>
    <col min="8019" max="8019" width="1.546875" style="500" customWidth="1"/>
    <col min="8020" max="8023" width="6.2734375" style="500" customWidth="1"/>
    <col min="8024" max="8024" width="6.1796875" style="500" customWidth="1"/>
    <col min="8025" max="8026" width="1.1796875" style="500" customWidth="1"/>
    <col min="8027" max="8027" width="1.2734375" style="500" customWidth="1"/>
    <col min="8028" max="8031" width="5.8203125" style="500" customWidth="1"/>
    <col min="8032" max="8032" width="6.8203125" style="500" customWidth="1"/>
    <col min="8033" max="8033" width="1.2734375" style="500" customWidth="1"/>
    <col min="8034" max="8035" width="1.7265625" style="500" customWidth="1"/>
    <col min="8036" max="8037" width="10.7265625" style="500" customWidth="1"/>
    <col min="8038" max="8039" width="8.2734375" style="500" customWidth="1"/>
    <col min="8040" max="8040" width="8.7265625" style="500" customWidth="1"/>
    <col min="8041" max="8041" width="8.1796875" style="500" customWidth="1"/>
    <col min="8042" max="8043" width="11.2734375" style="500" customWidth="1"/>
    <col min="8044" max="8044" width="10" style="500" customWidth="1"/>
    <col min="8045" max="8192" width="9.1796875" style="500"/>
    <col min="8193" max="8193" width="5.546875" style="500" customWidth="1"/>
    <col min="8194" max="8194" width="21.2734375" style="500" customWidth="1"/>
    <col min="8195" max="8195" width="38.8203125" style="500" customWidth="1"/>
    <col min="8196" max="8196" width="8.2734375" style="500" customWidth="1"/>
    <col min="8197" max="8197" width="6.1796875" style="500" customWidth="1"/>
    <col min="8198" max="8198" width="1" style="500" customWidth="1"/>
    <col min="8199" max="8199" width="1.2734375" style="500" customWidth="1"/>
    <col min="8200" max="8200" width="5.1796875" style="500" customWidth="1"/>
    <col min="8201" max="8201" width="6.1796875" style="500" customWidth="1"/>
    <col min="8202" max="8202" width="0.7265625" style="500" customWidth="1"/>
    <col min="8203" max="8203" width="1" style="500" customWidth="1"/>
    <col min="8204" max="8204" width="4.7265625" style="500" customWidth="1"/>
    <col min="8205" max="8205" width="6.2734375" style="500" customWidth="1"/>
    <col min="8206" max="8206" width="0.8203125" style="500" customWidth="1"/>
    <col min="8207" max="8207" width="1.1796875" style="500" customWidth="1"/>
    <col min="8208" max="8208" width="6.546875" style="500" customWidth="1"/>
    <col min="8209" max="8209" width="7.1796875" style="500" customWidth="1"/>
    <col min="8210" max="8211" width="1.546875" style="500" customWidth="1"/>
    <col min="8212" max="8212" width="6.8203125" style="500" customWidth="1"/>
    <col min="8213" max="8213" width="2" style="500" customWidth="1"/>
    <col min="8214" max="8214" width="1.2734375" style="500" customWidth="1"/>
    <col min="8215" max="8215" width="2.1796875" style="500" customWidth="1"/>
    <col min="8216" max="8216" width="6.453125" style="500" customWidth="1"/>
    <col min="8217" max="8219" width="2" style="500" customWidth="1"/>
    <col min="8220" max="8220" width="7.7265625" style="500" customWidth="1"/>
    <col min="8221" max="8221" width="1.2734375" style="500" customWidth="1"/>
    <col min="8222" max="8222" width="1.546875" style="500" customWidth="1"/>
    <col min="8223" max="8223" width="1.453125" style="500" customWidth="1"/>
    <col min="8224" max="8224" width="6.1796875" style="500" customWidth="1"/>
    <col min="8225" max="8227" width="1" style="500" customWidth="1"/>
    <col min="8228" max="8228" width="6.453125" style="500" customWidth="1"/>
    <col min="8229" max="8229" width="5.8203125" style="500" customWidth="1"/>
    <col min="8230" max="8230" width="1.453125" style="500" customWidth="1"/>
    <col min="8231" max="8231" width="1.546875" style="500" customWidth="1"/>
    <col min="8232" max="8232" width="6.1796875" style="500" customWidth="1"/>
    <col min="8233" max="8233" width="7" style="500" customWidth="1"/>
    <col min="8234" max="8234" width="1.1796875" style="500" customWidth="1"/>
    <col min="8235" max="8235" width="1.8203125" style="500" customWidth="1"/>
    <col min="8236" max="8236" width="5.8203125" style="500" customWidth="1"/>
    <col min="8237" max="8237" width="1.7265625" style="500" customWidth="1"/>
    <col min="8238" max="8238" width="2.1796875" style="500" customWidth="1"/>
    <col min="8239" max="8239" width="1.1796875" style="500" customWidth="1"/>
    <col min="8240" max="8240" width="7.2734375" style="500" customWidth="1"/>
    <col min="8241" max="8242" width="2.1796875" style="500" customWidth="1"/>
    <col min="8243" max="8243" width="1.7265625" style="500" customWidth="1"/>
    <col min="8244" max="8244" width="5.546875" style="500" customWidth="1"/>
    <col min="8245" max="8245" width="2" style="500" customWidth="1"/>
    <col min="8246" max="8246" width="1.453125" style="500" customWidth="1"/>
    <col min="8247" max="8247" width="2" style="500" customWidth="1"/>
    <col min="8248" max="8248" width="6.8203125" style="500" customWidth="1"/>
    <col min="8249" max="8249" width="1.7265625" style="500" customWidth="1"/>
    <col min="8250" max="8250" width="2" style="500" customWidth="1"/>
    <col min="8251" max="8251" width="1.8203125" style="500" customWidth="1"/>
    <col min="8252" max="8252" width="6.8203125" style="500" customWidth="1"/>
    <col min="8253" max="8253" width="1.1796875" style="500" customWidth="1"/>
    <col min="8254" max="8254" width="1.2734375" style="500" customWidth="1"/>
    <col min="8255" max="8255" width="1.8203125" style="500" customWidth="1"/>
    <col min="8256" max="8256" width="6.8203125" style="500" customWidth="1"/>
    <col min="8257" max="8257" width="1.453125" style="500" customWidth="1"/>
    <col min="8258" max="8258" width="1.2734375" style="500" customWidth="1"/>
    <col min="8259" max="8259" width="2.1796875" style="500" customWidth="1"/>
    <col min="8260" max="8260" width="5.1796875" style="500" customWidth="1"/>
    <col min="8261" max="8261" width="5.546875" style="500" customWidth="1"/>
    <col min="8262" max="8262" width="1.1796875" style="500" customWidth="1"/>
    <col min="8263" max="8263" width="1.453125" style="500" customWidth="1"/>
    <col min="8264" max="8264" width="6" style="500" customWidth="1"/>
    <col min="8265" max="8265" width="5.8203125" style="500" customWidth="1"/>
    <col min="8266" max="8266" width="1.7265625" style="500" customWidth="1"/>
    <col min="8267" max="8267" width="2.1796875" style="500" customWidth="1"/>
    <col min="8268" max="8271" width="5.8203125" style="500" customWidth="1"/>
    <col min="8272" max="8272" width="6" style="500" customWidth="1"/>
    <col min="8273" max="8273" width="1.546875" style="500" customWidth="1"/>
    <col min="8274" max="8274" width="2.2734375" style="500" customWidth="1"/>
    <col min="8275" max="8275" width="1.546875" style="500" customWidth="1"/>
    <col min="8276" max="8279" width="6.2734375" style="500" customWidth="1"/>
    <col min="8280" max="8280" width="6.1796875" style="500" customWidth="1"/>
    <col min="8281" max="8282" width="1.1796875" style="500" customWidth="1"/>
    <col min="8283" max="8283" width="1.2734375" style="500" customWidth="1"/>
    <col min="8284" max="8287" width="5.8203125" style="500" customWidth="1"/>
    <col min="8288" max="8288" width="6.8203125" style="500" customWidth="1"/>
    <col min="8289" max="8289" width="1.2734375" style="500" customWidth="1"/>
    <col min="8290" max="8291" width="1.7265625" style="500" customWidth="1"/>
    <col min="8292" max="8293" width="10.7265625" style="500" customWidth="1"/>
    <col min="8294" max="8295" width="8.2734375" style="500" customWidth="1"/>
    <col min="8296" max="8296" width="8.7265625" style="500" customWidth="1"/>
    <col min="8297" max="8297" width="8.1796875" style="500" customWidth="1"/>
    <col min="8298" max="8299" width="11.2734375" style="500" customWidth="1"/>
    <col min="8300" max="8300" width="10" style="500" customWidth="1"/>
    <col min="8301" max="8448" width="9.1796875" style="500"/>
    <col min="8449" max="8449" width="5.546875" style="500" customWidth="1"/>
    <col min="8450" max="8450" width="21.2734375" style="500" customWidth="1"/>
    <col min="8451" max="8451" width="38.8203125" style="500" customWidth="1"/>
    <col min="8452" max="8452" width="8.2734375" style="500" customWidth="1"/>
    <col min="8453" max="8453" width="6.1796875" style="500" customWidth="1"/>
    <col min="8454" max="8454" width="1" style="500" customWidth="1"/>
    <col min="8455" max="8455" width="1.2734375" style="500" customWidth="1"/>
    <col min="8456" max="8456" width="5.1796875" style="500" customWidth="1"/>
    <col min="8457" max="8457" width="6.1796875" style="500" customWidth="1"/>
    <col min="8458" max="8458" width="0.7265625" style="500" customWidth="1"/>
    <col min="8459" max="8459" width="1" style="500" customWidth="1"/>
    <col min="8460" max="8460" width="4.7265625" style="500" customWidth="1"/>
    <col min="8461" max="8461" width="6.2734375" style="500" customWidth="1"/>
    <col min="8462" max="8462" width="0.8203125" style="500" customWidth="1"/>
    <col min="8463" max="8463" width="1.1796875" style="500" customWidth="1"/>
    <col min="8464" max="8464" width="6.546875" style="500" customWidth="1"/>
    <col min="8465" max="8465" width="7.1796875" style="500" customWidth="1"/>
    <col min="8466" max="8467" width="1.546875" style="500" customWidth="1"/>
    <col min="8468" max="8468" width="6.8203125" style="500" customWidth="1"/>
    <col min="8469" max="8469" width="2" style="500" customWidth="1"/>
    <col min="8470" max="8470" width="1.2734375" style="500" customWidth="1"/>
    <col min="8471" max="8471" width="2.1796875" style="500" customWidth="1"/>
    <col min="8472" max="8472" width="6.453125" style="500" customWidth="1"/>
    <col min="8473" max="8475" width="2" style="500" customWidth="1"/>
    <col min="8476" max="8476" width="7.7265625" style="500" customWidth="1"/>
    <col min="8477" max="8477" width="1.2734375" style="500" customWidth="1"/>
    <col min="8478" max="8478" width="1.546875" style="500" customWidth="1"/>
    <col min="8479" max="8479" width="1.453125" style="500" customWidth="1"/>
    <col min="8480" max="8480" width="6.1796875" style="500" customWidth="1"/>
    <col min="8481" max="8483" width="1" style="500" customWidth="1"/>
    <col min="8484" max="8484" width="6.453125" style="500" customWidth="1"/>
    <col min="8485" max="8485" width="5.8203125" style="500" customWidth="1"/>
    <col min="8486" max="8486" width="1.453125" style="500" customWidth="1"/>
    <col min="8487" max="8487" width="1.546875" style="500" customWidth="1"/>
    <col min="8488" max="8488" width="6.1796875" style="500" customWidth="1"/>
    <col min="8489" max="8489" width="7" style="500" customWidth="1"/>
    <col min="8490" max="8490" width="1.1796875" style="500" customWidth="1"/>
    <col min="8491" max="8491" width="1.8203125" style="500" customWidth="1"/>
    <col min="8492" max="8492" width="5.8203125" style="500" customWidth="1"/>
    <col min="8493" max="8493" width="1.7265625" style="500" customWidth="1"/>
    <col min="8494" max="8494" width="2.1796875" style="500" customWidth="1"/>
    <col min="8495" max="8495" width="1.1796875" style="500" customWidth="1"/>
    <col min="8496" max="8496" width="7.2734375" style="500" customWidth="1"/>
    <col min="8497" max="8498" width="2.1796875" style="500" customWidth="1"/>
    <col min="8499" max="8499" width="1.7265625" style="500" customWidth="1"/>
    <col min="8500" max="8500" width="5.546875" style="500" customWidth="1"/>
    <col min="8501" max="8501" width="2" style="500" customWidth="1"/>
    <col min="8502" max="8502" width="1.453125" style="500" customWidth="1"/>
    <col min="8503" max="8503" width="2" style="500" customWidth="1"/>
    <col min="8504" max="8504" width="6.8203125" style="500" customWidth="1"/>
    <col min="8505" max="8505" width="1.7265625" style="500" customWidth="1"/>
    <col min="8506" max="8506" width="2" style="500" customWidth="1"/>
    <col min="8507" max="8507" width="1.8203125" style="500" customWidth="1"/>
    <col min="8508" max="8508" width="6.8203125" style="500" customWidth="1"/>
    <col min="8509" max="8509" width="1.1796875" style="500" customWidth="1"/>
    <col min="8510" max="8510" width="1.2734375" style="500" customWidth="1"/>
    <col min="8511" max="8511" width="1.8203125" style="500" customWidth="1"/>
    <col min="8512" max="8512" width="6.8203125" style="500" customWidth="1"/>
    <col min="8513" max="8513" width="1.453125" style="500" customWidth="1"/>
    <col min="8514" max="8514" width="1.2734375" style="500" customWidth="1"/>
    <col min="8515" max="8515" width="2.1796875" style="500" customWidth="1"/>
    <col min="8516" max="8516" width="5.1796875" style="500" customWidth="1"/>
    <col min="8517" max="8517" width="5.546875" style="500" customWidth="1"/>
    <col min="8518" max="8518" width="1.1796875" style="500" customWidth="1"/>
    <col min="8519" max="8519" width="1.453125" style="500" customWidth="1"/>
    <col min="8520" max="8520" width="6" style="500" customWidth="1"/>
    <col min="8521" max="8521" width="5.8203125" style="500" customWidth="1"/>
    <col min="8522" max="8522" width="1.7265625" style="500" customWidth="1"/>
    <col min="8523" max="8523" width="2.1796875" style="500" customWidth="1"/>
    <col min="8524" max="8527" width="5.8203125" style="500" customWidth="1"/>
    <col min="8528" max="8528" width="6" style="500" customWidth="1"/>
    <col min="8529" max="8529" width="1.546875" style="500" customWidth="1"/>
    <col min="8530" max="8530" width="2.2734375" style="500" customWidth="1"/>
    <col min="8531" max="8531" width="1.546875" style="500" customWidth="1"/>
    <col min="8532" max="8535" width="6.2734375" style="500" customWidth="1"/>
    <col min="8536" max="8536" width="6.1796875" style="500" customWidth="1"/>
    <col min="8537" max="8538" width="1.1796875" style="500" customWidth="1"/>
    <col min="8539" max="8539" width="1.2734375" style="500" customWidth="1"/>
    <col min="8540" max="8543" width="5.8203125" style="500" customWidth="1"/>
    <col min="8544" max="8544" width="6.8203125" style="500" customWidth="1"/>
    <col min="8545" max="8545" width="1.2734375" style="500" customWidth="1"/>
    <col min="8546" max="8547" width="1.7265625" style="500" customWidth="1"/>
    <col min="8548" max="8549" width="10.7265625" style="500" customWidth="1"/>
    <col min="8550" max="8551" width="8.2734375" style="500" customWidth="1"/>
    <col min="8552" max="8552" width="8.7265625" style="500" customWidth="1"/>
    <col min="8553" max="8553" width="8.1796875" style="500" customWidth="1"/>
    <col min="8554" max="8555" width="11.2734375" style="500" customWidth="1"/>
    <col min="8556" max="8556" width="10" style="500" customWidth="1"/>
    <col min="8557" max="8704" width="9.1796875" style="500"/>
    <col min="8705" max="8705" width="5.546875" style="500" customWidth="1"/>
    <col min="8706" max="8706" width="21.2734375" style="500" customWidth="1"/>
    <col min="8707" max="8707" width="38.8203125" style="500" customWidth="1"/>
    <col min="8708" max="8708" width="8.2734375" style="500" customWidth="1"/>
    <col min="8709" max="8709" width="6.1796875" style="500" customWidth="1"/>
    <col min="8710" max="8710" width="1" style="500" customWidth="1"/>
    <col min="8711" max="8711" width="1.2734375" style="500" customWidth="1"/>
    <col min="8712" max="8712" width="5.1796875" style="500" customWidth="1"/>
    <col min="8713" max="8713" width="6.1796875" style="500" customWidth="1"/>
    <col min="8714" max="8714" width="0.7265625" style="500" customWidth="1"/>
    <col min="8715" max="8715" width="1" style="500" customWidth="1"/>
    <col min="8716" max="8716" width="4.7265625" style="500" customWidth="1"/>
    <col min="8717" max="8717" width="6.2734375" style="500" customWidth="1"/>
    <col min="8718" max="8718" width="0.8203125" style="500" customWidth="1"/>
    <col min="8719" max="8719" width="1.1796875" style="500" customWidth="1"/>
    <col min="8720" max="8720" width="6.546875" style="500" customWidth="1"/>
    <col min="8721" max="8721" width="7.1796875" style="500" customWidth="1"/>
    <col min="8722" max="8723" width="1.546875" style="500" customWidth="1"/>
    <col min="8724" max="8724" width="6.8203125" style="500" customWidth="1"/>
    <col min="8725" max="8725" width="2" style="500" customWidth="1"/>
    <col min="8726" max="8726" width="1.2734375" style="500" customWidth="1"/>
    <col min="8727" max="8727" width="2.1796875" style="500" customWidth="1"/>
    <col min="8728" max="8728" width="6.453125" style="500" customWidth="1"/>
    <col min="8729" max="8731" width="2" style="500" customWidth="1"/>
    <col min="8732" max="8732" width="7.7265625" style="500" customWidth="1"/>
    <col min="8733" max="8733" width="1.2734375" style="500" customWidth="1"/>
    <col min="8734" max="8734" width="1.546875" style="500" customWidth="1"/>
    <col min="8735" max="8735" width="1.453125" style="500" customWidth="1"/>
    <col min="8736" max="8736" width="6.1796875" style="500" customWidth="1"/>
    <col min="8737" max="8739" width="1" style="500" customWidth="1"/>
    <col min="8740" max="8740" width="6.453125" style="500" customWidth="1"/>
    <col min="8741" max="8741" width="5.8203125" style="500" customWidth="1"/>
    <col min="8742" max="8742" width="1.453125" style="500" customWidth="1"/>
    <col min="8743" max="8743" width="1.546875" style="500" customWidth="1"/>
    <col min="8744" max="8744" width="6.1796875" style="500" customWidth="1"/>
    <col min="8745" max="8745" width="7" style="500" customWidth="1"/>
    <col min="8746" max="8746" width="1.1796875" style="500" customWidth="1"/>
    <col min="8747" max="8747" width="1.8203125" style="500" customWidth="1"/>
    <col min="8748" max="8748" width="5.8203125" style="500" customWidth="1"/>
    <col min="8749" max="8749" width="1.7265625" style="500" customWidth="1"/>
    <col min="8750" max="8750" width="2.1796875" style="500" customWidth="1"/>
    <col min="8751" max="8751" width="1.1796875" style="500" customWidth="1"/>
    <col min="8752" max="8752" width="7.2734375" style="500" customWidth="1"/>
    <col min="8753" max="8754" width="2.1796875" style="500" customWidth="1"/>
    <col min="8755" max="8755" width="1.7265625" style="500" customWidth="1"/>
    <col min="8756" max="8756" width="5.546875" style="500" customWidth="1"/>
    <col min="8757" max="8757" width="2" style="500" customWidth="1"/>
    <col min="8758" max="8758" width="1.453125" style="500" customWidth="1"/>
    <col min="8759" max="8759" width="2" style="500" customWidth="1"/>
    <col min="8760" max="8760" width="6.8203125" style="500" customWidth="1"/>
    <col min="8761" max="8761" width="1.7265625" style="500" customWidth="1"/>
    <col min="8762" max="8762" width="2" style="500" customWidth="1"/>
    <col min="8763" max="8763" width="1.8203125" style="500" customWidth="1"/>
    <col min="8764" max="8764" width="6.8203125" style="500" customWidth="1"/>
    <col min="8765" max="8765" width="1.1796875" style="500" customWidth="1"/>
    <col min="8766" max="8766" width="1.2734375" style="500" customWidth="1"/>
    <col min="8767" max="8767" width="1.8203125" style="500" customWidth="1"/>
    <col min="8768" max="8768" width="6.8203125" style="500" customWidth="1"/>
    <col min="8769" max="8769" width="1.453125" style="500" customWidth="1"/>
    <col min="8770" max="8770" width="1.2734375" style="500" customWidth="1"/>
    <col min="8771" max="8771" width="2.1796875" style="500" customWidth="1"/>
    <col min="8772" max="8772" width="5.1796875" style="500" customWidth="1"/>
    <col min="8773" max="8773" width="5.546875" style="500" customWidth="1"/>
    <col min="8774" max="8774" width="1.1796875" style="500" customWidth="1"/>
    <col min="8775" max="8775" width="1.453125" style="500" customWidth="1"/>
    <col min="8776" max="8776" width="6" style="500" customWidth="1"/>
    <col min="8777" max="8777" width="5.8203125" style="500" customWidth="1"/>
    <col min="8778" max="8778" width="1.7265625" style="500" customWidth="1"/>
    <col min="8779" max="8779" width="2.1796875" style="500" customWidth="1"/>
    <col min="8780" max="8783" width="5.8203125" style="500" customWidth="1"/>
    <col min="8784" max="8784" width="6" style="500" customWidth="1"/>
    <col min="8785" max="8785" width="1.546875" style="500" customWidth="1"/>
    <col min="8786" max="8786" width="2.2734375" style="500" customWidth="1"/>
    <col min="8787" max="8787" width="1.546875" style="500" customWidth="1"/>
    <col min="8788" max="8791" width="6.2734375" style="500" customWidth="1"/>
    <col min="8792" max="8792" width="6.1796875" style="500" customWidth="1"/>
    <col min="8793" max="8794" width="1.1796875" style="500" customWidth="1"/>
    <col min="8795" max="8795" width="1.2734375" style="500" customWidth="1"/>
    <col min="8796" max="8799" width="5.8203125" style="500" customWidth="1"/>
    <col min="8800" max="8800" width="6.8203125" style="500" customWidth="1"/>
    <col min="8801" max="8801" width="1.2734375" style="500" customWidth="1"/>
    <col min="8802" max="8803" width="1.7265625" style="500" customWidth="1"/>
    <col min="8804" max="8805" width="10.7265625" style="500" customWidth="1"/>
    <col min="8806" max="8807" width="8.2734375" style="500" customWidth="1"/>
    <col min="8808" max="8808" width="8.7265625" style="500" customWidth="1"/>
    <col min="8809" max="8809" width="8.1796875" style="500" customWidth="1"/>
    <col min="8810" max="8811" width="11.2734375" style="500" customWidth="1"/>
    <col min="8812" max="8812" width="10" style="500" customWidth="1"/>
    <col min="8813" max="8960" width="9.1796875" style="500"/>
    <col min="8961" max="8961" width="5.546875" style="500" customWidth="1"/>
    <col min="8962" max="8962" width="21.2734375" style="500" customWidth="1"/>
    <col min="8963" max="8963" width="38.8203125" style="500" customWidth="1"/>
    <col min="8964" max="8964" width="8.2734375" style="500" customWidth="1"/>
    <col min="8965" max="8965" width="6.1796875" style="500" customWidth="1"/>
    <col min="8966" max="8966" width="1" style="500" customWidth="1"/>
    <col min="8967" max="8967" width="1.2734375" style="500" customWidth="1"/>
    <col min="8968" max="8968" width="5.1796875" style="500" customWidth="1"/>
    <col min="8969" max="8969" width="6.1796875" style="500" customWidth="1"/>
    <col min="8970" max="8970" width="0.7265625" style="500" customWidth="1"/>
    <col min="8971" max="8971" width="1" style="500" customWidth="1"/>
    <col min="8972" max="8972" width="4.7265625" style="500" customWidth="1"/>
    <col min="8973" max="8973" width="6.2734375" style="500" customWidth="1"/>
    <col min="8974" max="8974" width="0.8203125" style="500" customWidth="1"/>
    <col min="8975" max="8975" width="1.1796875" style="500" customWidth="1"/>
    <col min="8976" max="8976" width="6.546875" style="500" customWidth="1"/>
    <col min="8977" max="8977" width="7.1796875" style="500" customWidth="1"/>
    <col min="8978" max="8979" width="1.546875" style="500" customWidth="1"/>
    <col min="8980" max="8980" width="6.8203125" style="500" customWidth="1"/>
    <col min="8981" max="8981" width="2" style="500" customWidth="1"/>
    <col min="8982" max="8982" width="1.2734375" style="500" customWidth="1"/>
    <col min="8983" max="8983" width="2.1796875" style="500" customWidth="1"/>
    <col min="8984" max="8984" width="6.453125" style="500" customWidth="1"/>
    <col min="8985" max="8987" width="2" style="500" customWidth="1"/>
    <col min="8988" max="8988" width="7.7265625" style="500" customWidth="1"/>
    <col min="8989" max="8989" width="1.2734375" style="500" customWidth="1"/>
    <col min="8990" max="8990" width="1.546875" style="500" customWidth="1"/>
    <col min="8991" max="8991" width="1.453125" style="500" customWidth="1"/>
    <col min="8992" max="8992" width="6.1796875" style="500" customWidth="1"/>
    <col min="8993" max="8995" width="1" style="500" customWidth="1"/>
    <col min="8996" max="8996" width="6.453125" style="500" customWidth="1"/>
    <col min="8997" max="8997" width="5.8203125" style="500" customWidth="1"/>
    <col min="8998" max="8998" width="1.453125" style="500" customWidth="1"/>
    <col min="8999" max="8999" width="1.546875" style="500" customWidth="1"/>
    <col min="9000" max="9000" width="6.1796875" style="500" customWidth="1"/>
    <col min="9001" max="9001" width="7" style="500" customWidth="1"/>
    <col min="9002" max="9002" width="1.1796875" style="500" customWidth="1"/>
    <col min="9003" max="9003" width="1.8203125" style="500" customWidth="1"/>
    <col min="9004" max="9004" width="5.8203125" style="500" customWidth="1"/>
    <col min="9005" max="9005" width="1.7265625" style="500" customWidth="1"/>
    <col min="9006" max="9006" width="2.1796875" style="500" customWidth="1"/>
    <col min="9007" max="9007" width="1.1796875" style="500" customWidth="1"/>
    <col min="9008" max="9008" width="7.2734375" style="500" customWidth="1"/>
    <col min="9009" max="9010" width="2.1796875" style="500" customWidth="1"/>
    <col min="9011" max="9011" width="1.7265625" style="500" customWidth="1"/>
    <col min="9012" max="9012" width="5.546875" style="500" customWidth="1"/>
    <col min="9013" max="9013" width="2" style="500" customWidth="1"/>
    <col min="9014" max="9014" width="1.453125" style="500" customWidth="1"/>
    <col min="9015" max="9015" width="2" style="500" customWidth="1"/>
    <col min="9016" max="9016" width="6.8203125" style="500" customWidth="1"/>
    <col min="9017" max="9017" width="1.7265625" style="500" customWidth="1"/>
    <col min="9018" max="9018" width="2" style="500" customWidth="1"/>
    <col min="9019" max="9019" width="1.8203125" style="500" customWidth="1"/>
    <col min="9020" max="9020" width="6.8203125" style="500" customWidth="1"/>
    <col min="9021" max="9021" width="1.1796875" style="500" customWidth="1"/>
    <col min="9022" max="9022" width="1.2734375" style="500" customWidth="1"/>
    <col min="9023" max="9023" width="1.8203125" style="500" customWidth="1"/>
    <col min="9024" max="9024" width="6.8203125" style="500" customWidth="1"/>
    <col min="9025" max="9025" width="1.453125" style="500" customWidth="1"/>
    <col min="9026" max="9026" width="1.2734375" style="500" customWidth="1"/>
    <col min="9027" max="9027" width="2.1796875" style="500" customWidth="1"/>
    <col min="9028" max="9028" width="5.1796875" style="500" customWidth="1"/>
    <col min="9029" max="9029" width="5.546875" style="500" customWidth="1"/>
    <col min="9030" max="9030" width="1.1796875" style="500" customWidth="1"/>
    <col min="9031" max="9031" width="1.453125" style="500" customWidth="1"/>
    <col min="9032" max="9032" width="6" style="500" customWidth="1"/>
    <col min="9033" max="9033" width="5.8203125" style="500" customWidth="1"/>
    <col min="9034" max="9034" width="1.7265625" style="500" customWidth="1"/>
    <col min="9035" max="9035" width="2.1796875" style="500" customWidth="1"/>
    <col min="9036" max="9039" width="5.8203125" style="500" customWidth="1"/>
    <col min="9040" max="9040" width="6" style="500" customWidth="1"/>
    <col min="9041" max="9041" width="1.546875" style="500" customWidth="1"/>
    <col min="9042" max="9042" width="2.2734375" style="500" customWidth="1"/>
    <col min="9043" max="9043" width="1.546875" style="500" customWidth="1"/>
    <col min="9044" max="9047" width="6.2734375" style="500" customWidth="1"/>
    <col min="9048" max="9048" width="6.1796875" style="500" customWidth="1"/>
    <col min="9049" max="9050" width="1.1796875" style="500" customWidth="1"/>
    <col min="9051" max="9051" width="1.2734375" style="500" customWidth="1"/>
    <col min="9052" max="9055" width="5.8203125" style="500" customWidth="1"/>
    <col min="9056" max="9056" width="6.8203125" style="500" customWidth="1"/>
    <col min="9057" max="9057" width="1.2734375" style="500" customWidth="1"/>
    <col min="9058" max="9059" width="1.7265625" style="500" customWidth="1"/>
    <col min="9060" max="9061" width="10.7265625" style="500" customWidth="1"/>
    <col min="9062" max="9063" width="8.2734375" style="500" customWidth="1"/>
    <col min="9064" max="9064" width="8.7265625" style="500" customWidth="1"/>
    <col min="9065" max="9065" width="8.1796875" style="500" customWidth="1"/>
    <col min="9066" max="9067" width="11.2734375" style="500" customWidth="1"/>
    <col min="9068" max="9068" width="10" style="500" customWidth="1"/>
    <col min="9069" max="9216" width="9.1796875" style="500"/>
    <col min="9217" max="9217" width="5.546875" style="500" customWidth="1"/>
    <col min="9218" max="9218" width="21.2734375" style="500" customWidth="1"/>
    <col min="9219" max="9219" width="38.8203125" style="500" customWidth="1"/>
    <col min="9220" max="9220" width="8.2734375" style="500" customWidth="1"/>
    <col min="9221" max="9221" width="6.1796875" style="500" customWidth="1"/>
    <col min="9222" max="9222" width="1" style="500" customWidth="1"/>
    <col min="9223" max="9223" width="1.2734375" style="500" customWidth="1"/>
    <col min="9224" max="9224" width="5.1796875" style="500" customWidth="1"/>
    <col min="9225" max="9225" width="6.1796875" style="500" customWidth="1"/>
    <col min="9226" max="9226" width="0.7265625" style="500" customWidth="1"/>
    <col min="9227" max="9227" width="1" style="500" customWidth="1"/>
    <col min="9228" max="9228" width="4.7265625" style="500" customWidth="1"/>
    <col min="9229" max="9229" width="6.2734375" style="500" customWidth="1"/>
    <col min="9230" max="9230" width="0.8203125" style="500" customWidth="1"/>
    <col min="9231" max="9231" width="1.1796875" style="500" customWidth="1"/>
    <col min="9232" max="9232" width="6.546875" style="500" customWidth="1"/>
    <col min="9233" max="9233" width="7.1796875" style="500" customWidth="1"/>
    <col min="9234" max="9235" width="1.546875" style="500" customWidth="1"/>
    <col min="9236" max="9236" width="6.8203125" style="500" customWidth="1"/>
    <col min="9237" max="9237" width="2" style="500" customWidth="1"/>
    <col min="9238" max="9238" width="1.2734375" style="500" customWidth="1"/>
    <col min="9239" max="9239" width="2.1796875" style="500" customWidth="1"/>
    <col min="9240" max="9240" width="6.453125" style="500" customWidth="1"/>
    <col min="9241" max="9243" width="2" style="500" customWidth="1"/>
    <col min="9244" max="9244" width="7.7265625" style="500" customWidth="1"/>
    <col min="9245" max="9245" width="1.2734375" style="500" customWidth="1"/>
    <col min="9246" max="9246" width="1.546875" style="500" customWidth="1"/>
    <col min="9247" max="9247" width="1.453125" style="500" customWidth="1"/>
    <col min="9248" max="9248" width="6.1796875" style="500" customWidth="1"/>
    <col min="9249" max="9251" width="1" style="500" customWidth="1"/>
    <col min="9252" max="9252" width="6.453125" style="500" customWidth="1"/>
    <col min="9253" max="9253" width="5.8203125" style="500" customWidth="1"/>
    <col min="9254" max="9254" width="1.453125" style="500" customWidth="1"/>
    <col min="9255" max="9255" width="1.546875" style="500" customWidth="1"/>
    <col min="9256" max="9256" width="6.1796875" style="500" customWidth="1"/>
    <col min="9257" max="9257" width="7" style="500" customWidth="1"/>
    <col min="9258" max="9258" width="1.1796875" style="500" customWidth="1"/>
    <col min="9259" max="9259" width="1.8203125" style="500" customWidth="1"/>
    <col min="9260" max="9260" width="5.8203125" style="500" customWidth="1"/>
    <col min="9261" max="9261" width="1.7265625" style="500" customWidth="1"/>
    <col min="9262" max="9262" width="2.1796875" style="500" customWidth="1"/>
    <col min="9263" max="9263" width="1.1796875" style="500" customWidth="1"/>
    <col min="9264" max="9264" width="7.2734375" style="500" customWidth="1"/>
    <col min="9265" max="9266" width="2.1796875" style="500" customWidth="1"/>
    <col min="9267" max="9267" width="1.7265625" style="500" customWidth="1"/>
    <col min="9268" max="9268" width="5.546875" style="500" customWidth="1"/>
    <col min="9269" max="9269" width="2" style="500" customWidth="1"/>
    <col min="9270" max="9270" width="1.453125" style="500" customWidth="1"/>
    <col min="9271" max="9271" width="2" style="500" customWidth="1"/>
    <col min="9272" max="9272" width="6.8203125" style="500" customWidth="1"/>
    <col min="9273" max="9273" width="1.7265625" style="500" customWidth="1"/>
    <col min="9274" max="9274" width="2" style="500" customWidth="1"/>
    <col min="9275" max="9275" width="1.8203125" style="500" customWidth="1"/>
    <col min="9276" max="9276" width="6.8203125" style="500" customWidth="1"/>
    <col min="9277" max="9277" width="1.1796875" style="500" customWidth="1"/>
    <col min="9278" max="9278" width="1.2734375" style="500" customWidth="1"/>
    <col min="9279" max="9279" width="1.8203125" style="500" customWidth="1"/>
    <col min="9280" max="9280" width="6.8203125" style="500" customWidth="1"/>
    <col min="9281" max="9281" width="1.453125" style="500" customWidth="1"/>
    <col min="9282" max="9282" width="1.2734375" style="500" customWidth="1"/>
    <col min="9283" max="9283" width="2.1796875" style="500" customWidth="1"/>
    <col min="9284" max="9284" width="5.1796875" style="500" customWidth="1"/>
    <col min="9285" max="9285" width="5.546875" style="500" customWidth="1"/>
    <col min="9286" max="9286" width="1.1796875" style="500" customWidth="1"/>
    <col min="9287" max="9287" width="1.453125" style="500" customWidth="1"/>
    <col min="9288" max="9288" width="6" style="500" customWidth="1"/>
    <col min="9289" max="9289" width="5.8203125" style="500" customWidth="1"/>
    <col min="9290" max="9290" width="1.7265625" style="500" customWidth="1"/>
    <col min="9291" max="9291" width="2.1796875" style="500" customWidth="1"/>
    <col min="9292" max="9295" width="5.8203125" style="500" customWidth="1"/>
    <col min="9296" max="9296" width="6" style="500" customWidth="1"/>
    <col min="9297" max="9297" width="1.546875" style="500" customWidth="1"/>
    <col min="9298" max="9298" width="2.2734375" style="500" customWidth="1"/>
    <col min="9299" max="9299" width="1.546875" style="500" customWidth="1"/>
    <col min="9300" max="9303" width="6.2734375" style="500" customWidth="1"/>
    <col min="9304" max="9304" width="6.1796875" style="500" customWidth="1"/>
    <col min="9305" max="9306" width="1.1796875" style="500" customWidth="1"/>
    <col min="9307" max="9307" width="1.2734375" style="500" customWidth="1"/>
    <col min="9308" max="9311" width="5.8203125" style="500" customWidth="1"/>
    <col min="9312" max="9312" width="6.8203125" style="500" customWidth="1"/>
    <col min="9313" max="9313" width="1.2734375" style="500" customWidth="1"/>
    <col min="9314" max="9315" width="1.7265625" style="500" customWidth="1"/>
    <col min="9316" max="9317" width="10.7265625" style="500" customWidth="1"/>
    <col min="9318" max="9319" width="8.2734375" style="500" customWidth="1"/>
    <col min="9320" max="9320" width="8.7265625" style="500" customWidth="1"/>
    <col min="9321" max="9321" width="8.1796875" style="500" customWidth="1"/>
    <col min="9322" max="9323" width="11.2734375" style="500" customWidth="1"/>
    <col min="9324" max="9324" width="10" style="500" customWidth="1"/>
    <col min="9325" max="9472" width="9.1796875" style="500"/>
    <col min="9473" max="9473" width="5.546875" style="500" customWidth="1"/>
    <col min="9474" max="9474" width="21.2734375" style="500" customWidth="1"/>
    <col min="9475" max="9475" width="38.8203125" style="500" customWidth="1"/>
    <col min="9476" max="9476" width="8.2734375" style="500" customWidth="1"/>
    <col min="9477" max="9477" width="6.1796875" style="500" customWidth="1"/>
    <col min="9478" max="9478" width="1" style="500" customWidth="1"/>
    <col min="9479" max="9479" width="1.2734375" style="500" customWidth="1"/>
    <col min="9480" max="9480" width="5.1796875" style="500" customWidth="1"/>
    <col min="9481" max="9481" width="6.1796875" style="500" customWidth="1"/>
    <col min="9482" max="9482" width="0.7265625" style="500" customWidth="1"/>
    <col min="9483" max="9483" width="1" style="500" customWidth="1"/>
    <col min="9484" max="9484" width="4.7265625" style="500" customWidth="1"/>
    <col min="9485" max="9485" width="6.2734375" style="500" customWidth="1"/>
    <col min="9486" max="9486" width="0.8203125" style="500" customWidth="1"/>
    <col min="9487" max="9487" width="1.1796875" style="500" customWidth="1"/>
    <col min="9488" max="9488" width="6.546875" style="500" customWidth="1"/>
    <col min="9489" max="9489" width="7.1796875" style="500" customWidth="1"/>
    <col min="9490" max="9491" width="1.546875" style="500" customWidth="1"/>
    <col min="9492" max="9492" width="6.8203125" style="500" customWidth="1"/>
    <col min="9493" max="9493" width="2" style="500" customWidth="1"/>
    <col min="9494" max="9494" width="1.2734375" style="500" customWidth="1"/>
    <col min="9495" max="9495" width="2.1796875" style="500" customWidth="1"/>
    <col min="9496" max="9496" width="6.453125" style="500" customWidth="1"/>
    <col min="9497" max="9499" width="2" style="500" customWidth="1"/>
    <col min="9500" max="9500" width="7.7265625" style="500" customWidth="1"/>
    <col min="9501" max="9501" width="1.2734375" style="500" customWidth="1"/>
    <col min="9502" max="9502" width="1.546875" style="500" customWidth="1"/>
    <col min="9503" max="9503" width="1.453125" style="500" customWidth="1"/>
    <col min="9504" max="9504" width="6.1796875" style="500" customWidth="1"/>
    <col min="9505" max="9507" width="1" style="500" customWidth="1"/>
    <col min="9508" max="9508" width="6.453125" style="500" customWidth="1"/>
    <col min="9509" max="9509" width="5.8203125" style="500" customWidth="1"/>
    <col min="9510" max="9510" width="1.453125" style="500" customWidth="1"/>
    <col min="9511" max="9511" width="1.546875" style="500" customWidth="1"/>
    <col min="9512" max="9512" width="6.1796875" style="500" customWidth="1"/>
    <col min="9513" max="9513" width="7" style="500" customWidth="1"/>
    <col min="9514" max="9514" width="1.1796875" style="500" customWidth="1"/>
    <col min="9515" max="9515" width="1.8203125" style="500" customWidth="1"/>
    <col min="9516" max="9516" width="5.8203125" style="500" customWidth="1"/>
    <col min="9517" max="9517" width="1.7265625" style="500" customWidth="1"/>
    <col min="9518" max="9518" width="2.1796875" style="500" customWidth="1"/>
    <col min="9519" max="9519" width="1.1796875" style="500" customWidth="1"/>
    <col min="9520" max="9520" width="7.2734375" style="500" customWidth="1"/>
    <col min="9521" max="9522" width="2.1796875" style="500" customWidth="1"/>
    <col min="9523" max="9523" width="1.7265625" style="500" customWidth="1"/>
    <col min="9524" max="9524" width="5.546875" style="500" customWidth="1"/>
    <col min="9525" max="9525" width="2" style="500" customWidth="1"/>
    <col min="9526" max="9526" width="1.453125" style="500" customWidth="1"/>
    <col min="9527" max="9527" width="2" style="500" customWidth="1"/>
    <col min="9528" max="9528" width="6.8203125" style="500" customWidth="1"/>
    <col min="9529" max="9529" width="1.7265625" style="500" customWidth="1"/>
    <col min="9530" max="9530" width="2" style="500" customWidth="1"/>
    <col min="9531" max="9531" width="1.8203125" style="500" customWidth="1"/>
    <col min="9532" max="9532" width="6.8203125" style="500" customWidth="1"/>
    <col min="9533" max="9533" width="1.1796875" style="500" customWidth="1"/>
    <col min="9534" max="9534" width="1.2734375" style="500" customWidth="1"/>
    <col min="9535" max="9535" width="1.8203125" style="500" customWidth="1"/>
    <col min="9536" max="9536" width="6.8203125" style="500" customWidth="1"/>
    <col min="9537" max="9537" width="1.453125" style="500" customWidth="1"/>
    <col min="9538" max="9538" width="1.2734375" style="500" customWidth="1"/>
    <col min="9539" max="9539" width="2.1796875" style="500" customWidth="1"/>
    <col min="9540" max="9540" width="5.1796875" style="500" customWidth="1"/>
    <col min="9541" max="9541" width="5.546875" style="500" customWidth="1"/>
    <col min="9542" max="9542" width="1.1796875" style="500" customWidth="1"/>
    <col min="9543" max="9543" width="1.453125" style="500" customWidth="1"/>
    <col min="9544" max="9544" width="6" style="500" customWidth="1"/>
    <col min="9545" max="9545" width="5.8203125" style="500" customWidth="1"/>
    <col min="9546" max="9546" width="1.7265625" style="500" customWidth="1"/>
    <col min="9547" max="9547" width="2.1796875" style="500" customWidth="1"/>
    <col min="9548" max="9551" width="5.8203125" style="500" customWidth="1"/>
    <col min="9552" max="9552" width="6" style="500" customWidth="1"/>
    <col min="9553" max="9553" width="1.546875" style="500" customWidth="1"/>
    <col min="9554" max="9554" width="2.2734375" style="500" customWidth="1"/>
    <col min="9555" max="9555" width="1.546875" style="500" customWidth="1"/>
    <col min="9556" max="9559" width="6.2734375" style="500" customWidth="1"/>
    <col min="9560" max="9560" width="6.1796875" style="500" customWidth="1"/>
    <col min="9561" max="9562" width="1.1796875" style="500" customWidth="1"/>
    <col min="9563" max="9563" width="1.2734375" style="500" customWidth="1"/>
    <col min="9564" max="9567" width="5.8203125" style="500" customWidth="1"/>
    <col min="9568" max="9568" width="6.8203125" style="500" customWidth="1"/>
    <col min="9569" max="9569" width="1.2734375" style="500" customWidth="1"/>
    <col min="9570" max="9571" width="1.7265625" style="500" customWidth="1"/>
    <col min="9572" max="9573" width="10.7265625" style="500" customWidth="1"/>
    <col min="9574" max="9575" width="8.2734375" style="500" customWidth="1"/>
    <col min="9576" max="9576" width="8.7265625" style="500" customWidth="1"/>
    <col min="9577" max="9577" width="8.1796875" style="500" customWidth="1"/>
    <col min="9578" max="9579" width="11.2734375" style="500" customWidth="1"/>
    <col min="9580" max="9580" width="10" style="500" customWidth="1"/>
    <col min="9581" max="9728" width="9.1796875" style="500"/>
    <col min="9729" max="9729" width="5.546875" style="500" customWidth="1"/>
    <col min="9730" max="9730" width="21.2734375" style="500" customWidth="1"/>
    <col min="9731" max="9731" width="38.8203125" style="500" customWidth="1"/>
    <col min="9732" max="9732" width="8.2734375" style="500" customWidth="1"/>
    <col min="9733" max="9733" width="6.1796875" style="500" customWidth="1"/>
    <col min="9734" max="9734" width="1" style="500" customWidth="1"/>
    <col min="9735" max="9735" width="1.2734375" style="500" customWidth="1"/>
    <col min="9736" max="9736" width="5.1796875" style="500" customWidth="1"/>
    <col min="9737" max="9737" width="6.1796875" style="500" customWidth="1"/>
    <col min="9738" max="9738" width="0.7265625" style="500" customWidth="1"/>
    <col min="9739" max="9739" width="1" style="500" customWidth="1"/>
    <col min="9740" max="9740" width="4.7265625" style="500" customWidth="1"/>
    <col min="9741" max="9741" width="6.2734375" style="500" customWidth="1"/>
    <col min="9742" max="9742" width="0.8203125" style="500" customWidth="1"/>
    <col min="9743" max="9743" width="1.1796875" style="500" customWidth="1"/>
    <col min="9744" max="9744" width="6.546875" style="500" customWidth="1"/>
    <col min="9745" max="9745" width="7.1796875" style="500" customWidth="1"/>
    <col min="9746" max="9747" width="1.546875" style="500" customWidth="1"/>
    <col min="9748" max="9748" width="6.8203125" style="500" customWidth="1"/>
    <col min="9749" max="9749" width="2" style="500" customWidth="1"/>
    <col min="9750" max="9750" width="1.2734375" style="500" customWidth="1"/>
    <col min="9751" max="9751" width="2.1796875" style="500" customWidth="1"/>
    <col min="9752" max="9752" width="6.453125" style="500" customWidth="1"/>
    <col min="9753" max="9755" width="2" style="500" customWidth="1"/>
    <col min="9756" max="9756" width="7.7265625" style="500" customWidth="1"/>
    <col min="9757" max="9757" width="1.2734375" style="500" customWidth="1"/>
    <col min="9758" max="9758" width="1.546875" style="500" customWidth="1"/>
    <col min="9759" max="9759" width="1.453125" style="500" customWidth="1"/>
    <col min="9760" max="9760" width="6.1796875" style="500" customWidth="1"/>
    <col min="9761" max="9763" width="1" style="500" customWidth="1"/>
    <col min="9764" max="9764" width="6.453125" style="500" customWidth="1"/>
    <col min="9765" max="9765" width="5.8203125" style="500" customWidth="1"/>
    <col min="9766" max="9766" width="1.453125" style="500" customWidth="1"/>
    <col min="9767" max="9767" width="1.546875" style="500" customWidth="1"/>
    <col min="9768" max="9768" width="6.1796875" style="500" customWidth="1"/>
    <col min="9769" max="9769" width="7" style="500" customWidth="1"/>
    <col min="9770" max="9770" width="1.1796875" style="500" customWidth="1"/>
    <col min="9771" max="9771" width="1.8203125" style="500" customWidth="1"/>
    <col min="9772" max="9772" width="5.8203125" style="500" customWidth="1"/>
    <col min="9773" max="9773" width="1.7265625" style="500" customWidth="1"/>
    <col min="9774" max="9774" width="2.1796875" style="500" customWidth="1"/>
    <col min="9775" max="9775" width="1.1796875" style="500" customWidth="1"/>
    <col min="9776" max="9776" width="7.2734375" style="500" customWidth="1"/>
    <col min="9777" max="9778" width="2.1796875" style="500" customWidth="1"/>
    <col min="9779" max="9779" width="1.7265625" style="500" customWidth="1"/>
    <col min="9780" max="9780" width="5.546875" style="500" customWidth="1"/>
    <col min="9781" max="9781" width="2" style="500" customWidth="1"/>
    <col min="9782" max="9782" width="1.453125" style="500" customWidth="1"/>
    <col min="9783" max="9783" width="2" style="500" customWidth="1"/>
    <col min="9784" max="9784" width="6.8203125" style="500" customWidth="1"/>
    <col min="9785" max="9785" width="1.7265625" style="500" customWidth="1"/>
    <col min="9786" max="9786" width="2" style="500" customWidth="1"/>
    <col min="9787" max="9787" width="1.8203125" style="500" customWidth="1"/>
    <col min="9788" max="9788" width="6.8203125" style="500" customWidth="1"/>
    <col min="9789" max="9789" width="1.1796875" style="500" customWidth="1"/>
    <col min="9790" max="9790" width="1.2734375" style="500" customWidth="1"/>
    <col min="9791" max="9791" width="1.8203125" style="500" customWidth="1"/>
    <col min="9792" max="9792" width="6.8203125" style="500" customWidth="1"/>
    <col min="9793" max="9793" width="1.453125" style="500" customWidth="1"/>
    <col min="9794" max="9794" width="1.2734375" style="500" customWidth="1"/>
    <col min="9795" max="9795" width="2.1796875" style="500" customWidth="1"/>
    <col min="9796" max="9796" width="5.1796875" style="500" customWidth="1"/>
    <col min="9797" max="9797" width="5.546875" style="500" customWidth="1"/>
    <col min="9798" max="9798" width="1.1796875" style="500" customWidth="1"/>
    <col min="9799" max="9799" width="1.453125" style="500" customWidth="1"/>
    <col min="9800" max="9800" width="6" style="500" customWidth="1"/>
    <col min="9801" max="9801" width="5.8203125" style="500" customWidth="1"/>
    <col min="9802" max="9802" width="1.7265625" style="500" customWidth="1"/>
    <col min="9803" max="9803" width="2.1796875" style="500" customWidth="1"/>
    <col min="9804" max="9807" width="5.8203125" style="500" customWidth="1"/>
    <col min="9808" max="9808" width="6" style="500" customWidth="1"/>
    <col min="9809" max="9809" width="1.546875" style="500" customWidth="1"/>
    <col min="9810" max="9810" width="2.2734375" style="500" customWidth="1"/>
    <col min="9811" max="9811" width="1.546875" style="500" customWidth="1"/>
    <col min="9812" max="9815" width="6.2734375" style="500" customWidth="1"/>
    <col min="9816" max="9816" width="6.1796875" style="500" customWidth="1"/>
    <col min="9817" max="9818" width="1.1796875" style="500" customWidth="1"/>
    <col min="9819" max="9819" width="1.2734375" style="500" customWidth="1"/>
    <col min="9820" max="9823" width="5.8203125" style="500" customWidth="1"/>
    <col min="9824" max="9824" width="6.8203125" style="500" customWidth="1"/>
    <col min="9825" max="9825" width="1.2734375" style="500" customWidth="1"/>
    <col min="9826" max="9827" width="1.7265625" style="500" customWidth="1"/>
    <col min="9828" max="9829" width="10.7265625" style="500" customWidth="1"/>
    <col min="9830" max="9831" width="8.2734375" style="500" customWidth="1"/>
    <col min="9832" max="9832" width="8.7265625" style="500" customWidth="1"/>
    <col min="9833" max="9833" width="8.1796875" style="500" customWidth="1"/>
    <col min="9834" max="9835" width="11.2734375" style="500" customWidth="1"/>
    <col min="9836" max="9836" width="10" style="500" customWidth="1"/>
    <col min="9837" max="9984" width="9.1796875" style="500"/>
    <col min="9985" max="9985" width="5.546875" style="500" customWidth="1"/>
    <col min="9986" max="9986" width="21.2734375" style="500" customWidth="1"/>
    <col min="9987" max="9987" width="38.8203125" style="500" customWidth="1"/>
    <col min="9988" max="9988" width="8.2734375" style="500" customWidth="1"/>
    <col min="9989" max="9989" width="6.1796875" style="500" customWidth="1"/>
    <col min="9990" max="9990" width="1" style="500" customWidth="1"/>
    <col min="9991" max="9991" width="1.2734375" style="500" customWidth="1"/>
    <col min="9992" max="9992" width="5.1796875" style="500" customWidth="1"/>
    <col min="9993" max="9993" width="6.1796875" style="500" customWidth="1"/>
    <col min="9994" max="9994" width="0.7265625" style="500" customWidth="1"/>
    <col min="9995" max="9995" width="1" style="500" customWidth="1"/>
    <col min="9996" max="9996" width="4.7265625" style="500" customWidth="1"/>
    <col min="9997" max="9997" width="6.2734375" style="500" customWidth="1"/>
    <col min="9998" max="9998" width="0.8203125" style="500" customWidth="1"/>
    <col min="9999" max="9999" width="1.1796875" style="500" customWidth="1"/>
    <col min="10000" max="10000" width="6.546875" style="500" customWidth="1"/>
    <col min="10001" max="10001" width="7.1796875" style="500" customWidth="1"/>
    <col min="10002" max="10003" width="1.546875" style="500" customWidth="1"/>
    <col min="10004" max="10004" width="6.8203125" style="500" customWidth="1"/>
    <col min="10005" max="10005" width="2" style="500" customWidth="1"/>
    <col min="10006" max="10006" width="1.2734375" style="500" customWidth="1"/>
    <col min="10007" max="10007" width="2.1796875" style="500" customWidth="1"/>
    <col min="10008" max="10008" width="6.453125" style="500" customWidth="1"/>
    <col min="10009" max="10011" width="2" style="500" customWidth="1"/>
    <col min="10012" max="10012" width="7.7265625" style="500" customWidth="1"/>
    <col min="10013" max="10013" width="1.2734375" style="500" customWidth="1"/>
    <col min="10014" max="10014" width="1.546875" style="500" customWidth="1"/>
    <col min="10015" max="10015" width="1.453125" style="500" customWidth="1"/>
    <col min="10016" max="10016" width="6.1796875" style="500" customWidth="1"/>
    <col min="10017" max="10019" width="1" style="500" customWidth="1"/>
    <col min="10020" max="10020" width="6.453125" style="500" customWidth="1"/>
    <col min="10021" max="10021" width="5.8203125" style="500" customWidth="1"/>
    <col min="10022" max="10022" width="1.453125" style="500" customWidth="1"/>
    <col min="10023" max="10023" width="1.546875" style="500" customWidth="1"/>
    <col min="10024" max="10024" width="6.1796875" style="500" customWidth="1"/>
    <col min="10025" max="10025" width="7" style="500" customWidth="1"/>
    <col min="10026" max="10026" width="1.1796875" style="500" customWidth="1"/>
    <col min="10027" max="10027" width="1.8203125" style="500" customWidth="1"/>
    <col min="10028" max="10028" width="5.8203125" style="500" customWidth="1"/>
    <col min="10029" max="10029" width="1.7265625" style="500" customWidth="1"/>
    <col min="10030" max="10030" width="2.1796875" style="500" customWidth="1"/>
    <col min="10031" max="10031" width="1.1796875" style="500" customWidth="1"/>
    <col min="10032" max="10032" width="7.2734375" style="500" customWidth="1"/>
    <col min="10033" max="10034" width="2.1796875" style="500" customWidth="1"/>
    <col min="10035" max="10035" width="1.7265625" style="500" customWidth="1"/>
    <col min="10036" max="10036" width="5.546875" style="500" customWidth="1"/>
    <col min="10037" max="10037" width="2" style="500" customWidth="1"/>
    <col min="10038" max="10038" width="1.453125" style="500" customWidth="1"/>
    <col min="10039" max="10039" width="2" style="500" customWidth="1"/>
    <col min="10040" max="10040" width="6.8203125" style="500" customWidth="1"/>
    <col min="10041" max="10041" width="1.7265625" style="500" customWidth="1"/>
    <col min="10042" max="10042" width="2" style="500" customWidth="1"/>
    <col min="10043" max="10043" width="1.8203125" style="500" customWidth="1"/>
    <col min="10044" max="10044" width="6.8203125" style="500" customWidth="1"/>
    <col min="10045" max="10045" width="1.1796875" style="500" customWidth="1"/>
    <col min="10046" max="10046" width="1.2734375" style="500" customWidth="1"/>
    <col min="10047" max="10047" width="1.8203125" style="500" customWidth="1"/>
    <col min="10048" max="10048" width="6.8203125" style="500" customWidth="1"/>
    <col min="10049" max="10049" width="1.453125" style="500" customWidth="1"/>
    <col min="10050" max="10050" width="1.2734375" style="500" customWidth="1"/>
    <col min="10051" max="10051" width="2.1796875" style="500" customWidth="1"/>
    <col min="10052" max="10052" width="5.1796875" style="500" customWidth="1"/>
    <col min="10053" max="10053" width="5.546875" style="500" customWidth="1"/>
    <col min="10054" max="10054" width="1.1796875" style="500" customWidth="1"/>
    <col min="10055" max="10055" width="1.453125" style="500" customWidth="1"/>
    <col min="10056" max="10056" width="6" style="500" customWidth="1"/>
    <col min="10057" max="10057" width="5.8203125" style="500" customWidth="1"/>
    <col min="10058" max="10058" width="1.7265625" style="500" customWidth="1"/>
    <col min="10059" max="10059" width="2.1796875" style="500" customWidth="1"/>
    <col min="10060" max="10063" width="5.8203125" style="500" customWidth="1"/>
    <col min="10064" max="10064" width="6" style="500" customWidth="1"/>
    <col min="10065" max="10065" width="1.546875" style="500" customWidth="1"/>
    <col min="10066" max="10066" width="2.2734375" style="500" customWidth="1"/>
    <col min="10067" max="10067" width="1.546875" style="500" customWidth="1"/>
    <col min="10068" max="10071" width="6.2734375" style="500" customWidth="1"/>
    <col min="10072" max="10072" width="6.1796875" style="500" customWidth="1"/>
    <col min="10073" max="10074" width="1.1796875" style="500" customWidth="1"/>
    <col min="10075" max="10075" width="1.2734375" style="500" customWidth="1"/>
    <col min="10076" max="10079" width="5.8203125" style="500" customWidth="1"/>
    <col min="10080" max="10080" width="6.8203125" style="500" customWidth="1"/>
    <col min="10081" max="10081" width="1.2734375" style="500" customWidth="1"/>
    <col min="10082" max="10083" width="1.7265625" style="500" customWidth="1"/>
    <col min="10084" max="10085" width="10.7265625" style="500" customWidth="1"/>
    <col min="10086" max="10087" width="8.2734375" style="500" customWidth="1"/>
    <col min="10088" max="10088" width="8.7265625" style="500" customWidth="1"/>
    <col min="10089" max="10089" width="8.1796875" style="500" customWidth="1"/>
    <col min="10090" max="10091" width="11.2734375" style="500" customWidth="1"/>
    <col min="10092" max="10092" width="10" style="500" customWidth="1"/>
    <col min="10093" max="10240" width="9.1796875" style="500"/>
    <col min="10241" max="10241" width="5.546875" style="500" customWidth="1"/>
    <col min="10242" max="10242" width="21.2734375" style="500" customWidth="1"/>
    <col min="10243" max="10243" width="38.8203125" style="500" customWidth="1"/>
    <col min="10244" max="10244" width="8.2734375" style="500" customWidth="1"/>
    <col min="10245" max="10245" width="6.1796875" style="500" customWidth="1"/>
    <col min="10246" max="10246" width="1" style="500" customWidth="1"/>
    <col min="10247" max="10247" width="1.2734375" style="500" customWidth="1"/>
    <col min="10248" max="10248" width="5.1796875" style="500" customWidth="1"/>
    <col min="10249" max="10249" width="6.1796875" style="500" customWidth="1"/>
    <col min="10250" max="10250" width="0.7265625" style="500" customWidth="1"/>
    <col min="10251" max="10251" width="1" style="500" customWidth="1"/>
    <col min="10252" max="10252" width="4.7265625" style="500" customWidth="1"/>
    <col min="10253" max="10253" width="6.2734375" style="500" customWidth="1"/>
    <col min="10254" max="10254" width="0.8203125" style="500" customWidth="1"/>
    <col min="10255" max="10255" width="1.1796875" style="500" customWidth="1"/>
    <col min="10256" max="10256" width="6.546875" style="500" customWidth="1"/>
    <col min="10257" max="10257" width="7.1796875" style="500" customWidth="1"/>
    <col min="10258" max="10259" width="1.546875" style="500" customWidth="1"/>
    <col min="10260" max="10260" width="6.8203125" style="500" customWidth="1"/>
    <col min="10261" max="10261" width="2" style="500" customWidth="1"/>
    <col min="10262" max="10262" width="1.2734375" style="500" customWidth="1"/>
    <col min="10263" max="10263" width="2.1796875" style="500" customWidth="1"/>
    <col min="10264" max="10264" width="6.453125" style="500" customWidth="1"/>
    <col min="10265" max="10267" width="2" style="500" customWidth="1"/>
    <col min="10268" max="10268" width="7.7265625" style="500" customWidth="1"/>
    <col min="10269" max="10269" width="1.2734375" style="500" customWidth="1"/>
    <col min="10270" max="10270" width="1.546875" style="500" customWidth="1"/>
    <col min="10271" max="10271" width="1.453125" style="500" customWidth="1"/>
    <col min="10272" max="10272" width="6.1796875" style="500" customWidth="1"/>
    <col min="10273" max="10275" width="1" style="500" customWidth="1"/>
    <col min="10276" max="10276" width="6.453125" style="500" customWidth="1"/>
    <col min="10277" max="10277" width="5.8203125" style="500" customWidth="1"/>
    <col min="10278" max="10278" width="1.453125" style="500" customWidth="1"/>
    <col min="10279" max="10279" width="1.546875" style="500" customWidth="1"/>
    <col min="10280" max="10280" width="6.1796875" style="500" customWidth="1"/>
    <col min="10281" max="10281" width="7" style="500" customWidth="1"/>
    <col min="10282" max="10282" width="1.1796875" style="500" customWidth="1"/>
    <col min="10283" max="10283" width="1.8203125" style="500" customWidth="1"/>
    <col min="10284" max="10284" width="5.8203125" style="500" customWidth="1"/>
    <col min="10285" max="10285" width="1.7265625" style="500" customWidth="1"/>
    <col min="10286" max="10286" width="2.1796875" style="500" customWidth="1"/>
    <col min="10287" max="10287" width="1.1796875" style="500" customWidth="1"/>
    <col min="10288" max="10288" width="7.2734375" style="500" customWidth="1"/>
    <col min="10289" max="10290" width="2.1796875" style="500" customWidth="1"/>
    <col min="10291" max="10291" width="1.7265625" style="500" customWidth="1"/>
    <col min="10292" max="10292" width="5.546875" style="500" customWidth="1"/>
    <col min="10293" max="10293" width="2" style="500" customWidth="1"/>
    <col min="10294" max="10294" width="1.453125" style="500" customWidth="1"/>
    <col min="10295" max="10295" width="2" style="500" customWidth="1"/>
    <col min="10296" max="10296" width="6.8203125" style="500" customWidth="1"/>
    <col min="10297" max="10297" width="1.7265625" style="500" customWidth="1"/>
    <col min="10298" max="10298" width="2" style="500" customWidth="1"/>
    <col min="10299" max="10299" width="1.8203125" style="500" customWidth="1"/>
    <col min="10300" max="10300" width="6.8203125" style="500" customWidth="1"/>
    <col min="10301" max="10301" width="1.1796875" style="500" customWidth="1"/>
    <col min="10302" max="10302" width="1.2734375" style="500" customWidth="1"/>
    <col min="10303" max="10303" width="1.8203125" style="500" customWidth="1"/>
    <col min="10304" max="10304" width="6.8203125" style="500" customWidth="1"/>
    <col min="10305" max="10305" width="1.453125" style="500" customWidth="1"/>
    <col min="10306" max="10306" width="1.2734375" style="500" customWidth="1"/>
    <col min="10307" max="10307" width="2.1796875" style="500" customWidth="1"/>
    <col min="10308" max="10308" width="5.1796875" style="500" customWidth="1"/>
    <col min="10309" max="10309" width="5.546875" style="500" customWidth="1"/>
    <col min="10310" max="10310" width="1.1796875" style="500" customWidth="1"/>
    <col min="10311" max="10311" width="1.453125" style="500" customWidth="1"/>
    <col min="10312" max="10312" width="6" style="500" customWidth="1"/>
    <col min="10313" max="10313" width="5.8203125" style="500" customWidth="1"/>
    <col min="10314" max="10314" width="1.7265625" style="500" customWidth="1"/>
    <col min="10315" max="10315" width="2.1796875" style="500" customWidth="1"/>
    <col min="10316" max="10319" width="5.8203125" style="500" customWidth="1"/>
    <col min="10320" max="10320" width="6" style="500" customWidth="1"/>
    <col min="10321" max="10321" width="1.546875" style="500" customWidth="1"/>
    <col min="10322" max="10322" width="2.2734375" style="500" customWidth="1"/>
    <col min="10323" max="10323" width="1.546875" style="500" customWidth="1"/>
    <col min="10324" max="10327" width="6.2734375" style="500" customWidth="1"/>
    <col min="10328" max="10328" width="6.1796875" style="500" customWidth="1"/>
    <col min="10329" max="10330" width="1.1796875" style="500" customWidth="1"/>
    <col min="10331" max="10331" width="1.2734375" style="500" customWidth="1"/>
    <col min="10332" max="10335" width="5.8203125" style="500" customWidth="1"/>
    <col min="10336" max="10336" width="6.8203125" style="500" customWidth="1"/>
    <col min="10337" max="10337" width="1.2734375" style="500" customWidth="1"/>
    <col min="10338" max="10339" width="1.7265625" style="500" customWidth="1"/>
    <col min="10340" max="10341" width="10.7265625" style="500" customWidth="1"/>
    <col min="10342" max="10343" width="8.2734375" style="500" customWidth="1"/>
    <col min="10344" max="10344" width="8.7265625" style="500" customWidth="1"/>
    <col min="10345" max="10345" width="8.1796875" style="500" customWidth="1"/>
    <col min="10346" max="10347" width="11.2734375" style="500" customWidth="1"/>
    <col min="10348" max="10348" width="10" style="500" customWidth="1"/>
    <col min="10349" max="10496" width="9.1796875" style="500"/>
    <col min="10497" max="10497" width="5.546875" style="500" customWidth="1"/>
    <col min="10498" max="10498" width="21.2734375" style="500" customWidth="1"/>
    <col min="10499" max="10499" width="38.8203125" style="500" customWidth="1"/>
    <col min="10500" max="10500" width="8.2734375" style="500" customWidth="1"/>
    <col min="10501" max="10501" width="6.1796875" style="500" customWidth="1"/>
    <col min="10502" max="10502" width="1" style="500" customWidth="1"/>
    <col min="10503" max="10503" width="1.2734375" style="500" customWidth="1"/>
    <col min="10504" max="10504" width="5.1796875" style="500" customWidth="1"/>
    <col min="10505" max="10505" width="6.1796875" style="500" customWidth="1"/>
    <col min="10506" max="10506" width="0.7265625" style="500" customWidth="1"/>
    <col min="10507" max="10507" width="1" style="500" customWidth="1"/>
    <col min="10508" max="10508" width="4.7265625" style="500" customWidth="1"/>
    <col min="10509" max="10509" width="6.2734375" style="500" customWidth="1"/>
    <col min="10510" max="10510" width="0.8203125" style="500" customWidth="1"/>
    <col min="10511" max="10511" width="1.1796875" style="500" customWidth="1"/>
    <col min="10512" max="10512" width="6.546875" style="500" customWidth="1"/>
    <col min="10513" max="10513" width="7.1796875" style="500" customWidth="1"/>
    <col min="10514" max="10515" width="1.546875" style="500" customWidth="1"/>
    <col min="10516" max="10516" width="6.8203125" style="500" customWidth="1"/>
    <col min="10517" max="10517" width="2" style="500" customWidth="1"/>
    <col min="10518" max="10518" width="1.2734375" style="500" customWidth="1"/>
    <col min="10519" max="10519" width="2.1796875" style="500" customWidth="1"/>
    <col min="10520" max="10520" width="6.453125" style="500" customWidth="1"/>
    <col min="10521" max="10523" width="2" style="500" customWidth="1"/>
    <col min="10524" max="10524" width="7.7265625" style="500" customWidth="1"/>
    <col min="10525" max="10525" width="1.2734375" style="500" customWidth="1"/>
    <col min="10526" max="10526" width="1.546875" style="500" customWidth="1"/>
    <col min="10527" max="10527" width="1.453125" style="500" customWidth="1"/>
    <col min="10528" max="10528" width="6.1796875" style="500" customWidth="1"/>
    <col min="10529" max="10531" width="1" style="500" customWidth="1"/>
    <col min="10532" max="10532" width="6.453125" style="500" customWidth="1"/>
    <col min="10533" max="10533" width="5.8203125" style="500" customWidth="1"/>
    <col min="10534" max="10534" width="1.453125" style="500" customWidth="1"/>
    <col min="10535" max="10535" width="1.546875" style="500" customWidth="1"/>
    <col min="10536" max="10536" width="6.1796875" style="500" customWidth="1"/>
    <col min="10537" max="10537" width="7" style="500" customWidth="1"/>
    <col min="10538" max="10538" width="1.1796875" style="500" customWidth="1"/>
    <col min="10539" max="10539" width="1.8203125" style="500" customWidth="1"/>
    <col min="10540" max="10540" width="5.8203125" style="500" customWidth="1"/>
    <col min="10541" max="10541" width="1.7265625" style="500" customWidth="1"/>
    <col min="10542" max="10542" width="2.1796875" style="500" customWidth="1"/>
    <col min="10543" max="10543" width="1.1796875" style="500" customWidth="1"/>
    <col min="10544" max="10544" width="7.2734375" style="500" customWidth="1"/>
    <col min="10545" max="10546" width="2.1796875" style="500" customWidth="1"/>
    <col min="10547" max="10547" width="1.7265625" style="500" customWidth="1"/>
    <col min="10548" max="10548" width="5.546875" style="500" customWidth="1"/>
    <col min="10549" max="10549" width="2" style="500" customWidth="1"/>
    <col min="10550" max="10550" width="1.453125" style="500" customWidth="1"/>
    <col min="10551" max="10551" width="2" style="500" customWidth="1"/>
    <col min="10552" max="10552" width="6.8203125" style="500" customWidth="1"/>
    <col min="10553" max="10553" width="1.7265625" style="500" customWidth="1"/>
    <col min="10554" max="10554" width="2" style="500" customWidth="1"/>
    <col min="10555" max="10555" width="1.8203125" style="500" customWidth="1"/>
    <col min="10556" max="10556" width="6.8203125" style="500" customWidth="1"/>
    <col min="10557" max="10557" width="1.1796875" style="500" customWidth="1"/>
    <col min="10558" max="10558" width="1.2734375" style="500" customWidth="1"/>
    <col min="10559" max="10559" width="1.8203125" style="500" customWidth="1"/>
    <col min="10560" max="10560" width="6.8203125" style="500" customWidth="1"/>
    <col min="10561" max="10561" width="1.453125" style="500" customWidth="1"/>
    <col min="10562" max="10562" width="1.2734375" style="500" customWidth="1"/>
    <col min="10563" max="10563" width="2.1796875" style="500" customWidth="1"/>
    <col min="10564" max="10564" width="5.1796875" style="500" customWidth="1"/>
    <col min="10565" max="10565" width="5.546875" style="500" customWidth="1"/>
    <col min="10566" max="10566" width="1.1796875" style="500" customWidth="1"/>
    <col min="10567" max="10567" width="1.453125" style="500" customWidth="1"/>
    <col min="10568" max="10568" width="6" style="500" customWidth="1"/>
    <col min="10569" max="10569" width="5.8203125" style="500" customWidth="1"/>
    <col min="10570" max="10570" width="1.7265625" style="500" customWidth="1"/>
    <col min="10571" max="10571" width="2.1796875" style="500" customWidth="1"/>
    <col min="10572" max="10575" width="5.8203125" style="500" customWidth="1"/>
    <col min="10576" max="10576" width="6" style="500" customWidth="1"/>
    <col min="10577" max="10577" width="1.546875" style="500" customWidth="1"/>
    <col min="10578" max="10578" width="2.2734375" style="500" customWidth="1"/>
    <col min="10579" max="10579" width="1.546875" style="500" customWidth="1"/>
    <col min="10580" max="10583" width="6.2734375" style="500" customWidth="1"/>
    <col min="10584" max="10584" width="6.1796875" style="500" customWidth="1"/>
    <col min="10585" max="10586" width="1.1796875" style="500" customWidth="1"/>
    <col min="10587" max="10587" width="1.2734375" style="500" customWidth="1"/>
    <col min="10588" max="10591" width="5.8203125" style="500" customWidth="1"/>
    <col min="10592" max="10592" width="6.8203125" style="500" customWidth="1"/>
    <col min="10593" max="10593" width="1.2734375" style="500" customWidth="1"/>
    <col min="10594" max="10595" width="1.7265625" style="500" customWidth="1"/>
    <col min="10596" max="10597" width="10.7265625" style="500" customWidth="1"/>
    <col min="10598" max="10599" width="8.2734375" style="500" customWidth="1"/>
    <col min="10600" max="10600" width="8.7265625" style="500" customWidth="1"/>
    <col min="10601" max="10601" width="8.1796875" style="500" customWidth="1"/>
    <col min="10602" max="10603" width="11.2734375" style="500" customWidth="1"/>
    <col min="10604" max="10604" width="10" style="500" customWidth="1"/>
    <col min="10605" max="10752" width="9.1796875" style="500"/>
    <col min="10753" max="10753" width="5.546875" style="500" customWidth="1"/>
    <col min="10754" max="10754" width="21.2734375" style="500" customWidth="1"/>
    <col min="10755" max="10755" width="38.8203125" style="500" customWidth="1"/>
    <col min="10756" max="10756" width="8.2734375" style="500" customWidth="1"/>
    <col min="10757" max="10757" width="6.1796875" style="500" customWidth="1"/>
    <col min="10758" max="10758" width="1" style="500" customWidth="1"/>
    <col min="10759" max="10759" width="1.2734375" style="500" customWidth="1"/>
    <col min="10760" max="10760" width="5.1796875" style="500" customWidth="1"/>
    <col min="10761" max="10761" width="6.1796875" style="500" customWidth="1"/>
    <col min="10762" max="10762" width="0.7265625" style="500" customWidth="1"/>
    <col min="10763" max="10763" width="1" style="500" customWidth="1"/>
    <col min="10764" max="10764" width="4.7265625" style="500" customWidth="1"/>
    <col min="10765" max="10765" width="6.2734375" style="500" customWidth="1"/>
    <col min="10766" max="10766" width="0.8203125" style="500" customWidth="1"/>
    <col min="10767" max="10767" width="1.1796875" style="500" customWidth="1"/>
    <col min="10768" max="10768" width="6.546875" style="500" customWidth="1"/>
    <col min="10769" max="10769" width="7.1796875" style="500" customWidth="1"/>
    <col min="10770" max="10771" width="1.546875" style="500" customWidth="1"/>
    <col min="10772" max="10772" width="6.8203125" style="500" customWidth="1"/>
    <col min="10773" max="10773" width="2" style="500" customWidth="1"/>
    <col min="10774" max="10774" width="1.2734375" style="500" customWidth="1"/>
    <col min="10775" max="10775" width="2.1796875" style="500" customWidth="1"/>
    <col min="10776" max="10776" width="6.453125" style="500" customWidth="1"/>
    <col min="10777" max="10779" width="2" style="500" customWidth="1"/>
    <col min="10780" max="10780" width="7.7265625" style="500" customWidth="1"/>
    <col min="10781" max="10781" width="1.2734375" style="500" customWidth="1"/>
    <col min="10782" max="10782" width="1.546875" style="500" customWidth="1"/>
    <col min="10783" max="10783" width="1.453125" style="500" customWidth="1"/>
    <col min="10784" max="10784" width="6.1796875" style="500" customWidth="1"/>
    <col min="10785" max="10787" width="1" style="500" customWidth="1"/>
    <col min="10788" max="10788" width="6.453125" style="500" customWidth="1"/>
    <col min="10789" max="10789" width="5.8203125" style="500" customWidth="1"/>
    <col min="10790" max="10790" width="1.453125" style="500" customWidth="1"/>
    <col min="10791" max="10791" width="1.546875" style="500" customWidth="1"/>
    <col min="10792" max="10792" width="6.1796875" style="500" customWidth="1"/>
    <col min="10793" max="10793" width="7" style="500" customWidth="1"/>
    <col min="10794" max="10794" width="1.1796875" style="500" customWidth="1"/>
    <col min="10795" max="10795" width="1.8203125" style="500" customWidth="1"/>
    <col min="10796" max="10796" width="5.8203125" style="500" customWidth="1"/>
    <col min="10797" max="10797" width="1.7265625" style="500" customWidth="1"/>
    <col min="10798" max="10798" width="2.1796875" style="500" customWidth="1"/>
    <col min="10799" max="10799" width="1.1796875" style="500" customWidth="1"/>
    <col min="10800" max="10800" width="7.2734375" style="500" customWidth="1"/>
    <col min="10801" max="10802" width="2.1796875" style="500" customWidth="1"/>
    <col min="10803" max="10803" width="1.7265625" style="500" customWidth="1"/>
    <col min="10804" max="10804" width="5.546875" style="500" customWidth="1"/>
    <col min="10805" max="10805" width="2" style="500" customWidth="1"/>
    <col min="10806" max="10806" width="1.453125" style="500" customWidth="1"/>
    <col min="10807" max="10807" width="2" style="500" customWidth="1"/>
    <col min="10808" max="10808" width="6.8203125" style="500" customWidth="1"/>
    <col min="10809" max="10809" width="1.7265625" style="500" customWidth="1"/>
    <col min="10810" max="10810" width="2" style="500" customWidth="1"/>
    <col min="10811" max="10811" width="1.8203125" style="500" customWidth="1"/>
    <col min="10812" max="10812" width="6.8203125" style="500" customWidth="1"/>
    <col min="10813" max="10813" width="1.1796875" style="500" customWidth="1"/>
    <col min="10814" max="10814" width="1.2734375" style="500" customWidth="1"/>
    <col min="10815" max="10815" width="1.8203125" style="500" customWidth="1"/>
    <col min="10816" max="10816" width="6.8203125" style="500" customWidth="1"/>
    <col min="10817" max="10817" width="1.453125" style="500" customWidth="1"/>
    <col min="10818" max="10818" width="1.2734375" style="500" customWidth="1"/>
    <col min="10819" max="10819" width="2.1796875" style="500" customWidth="1"/>
    <col min="10820" max="10820" width="5.1796875" style="500" customWidth="1"/>
    <col min="10821" max="10821" width="5.546875" style="500" customWidth="1"/>
    <col min="10822" max="10822" width="1.1796875" style="500" customWidth="1"/>
    <col min="10823" max="10823" width="1.453125" style="500" customWidth="1"/>
    <col min="10824" max="10824" width="6" style="500" customWidth="1"/>
    <col min="10825" max="10825" width="5.8203125" style="500" customWidth="1"/>
    <col min="10826" max="10826" width="1.7265625" style="500" customWidth="1"/>
    <col min="10827" max="10827" width="2.1796875" style="500" customWidth="1"/>
    <col min="10828" max="10831" width="5.8203125" style="500" customWidth="1"/>
    <col min="10832" max="10832" width="6" style="500" customWidth="1"/>
    <col min="10833" max="10833" width="1.546875" style="500" customWidth="1"/>
    <col min="10834" max="10834" width="2.2734375" style="500" customWidth="1"/>
    <col min="10835" max="10835" width="1.546875" style="500" customWidth="1"/>
    <col min="10836" max="10839" width="6.2734375" style="500" customWidth="1"/>
    <col min="10840" max="10840" width="6.1796875" style="500" customWidth="1"/>
    <col min="10841" max="10842" width="1.1796875" style="500" customWidth="1"/>
    <col min="10843" max="10843" width="1.2734375" style="500" customWidth="1"/>
    <col min="10844" max="10847" width="5.8203125" style="500" customWidth="1"/>
    <col min="10848" max="10848" width="6.8203125" style="500" customWidth="1"/>
    <col min="10849" max="10849" width="1.2734375" style="500" customWidth="1"/>
    <col min="10850" max="10851" width="1.7265625" style="500" customWidth="1"/>
    <col min="10852" max="10853" width="10.7265625" style="500" customWidth="1"/>
    <col min="10854" max="10855" width="8.2734375" style="500" customWidth="1"/>
    <col min="10856" max="10856" width="8.7265625" style="500" customWidth="1"/>
    <col min="10857" max="10857" width="8.1796875" style="500" customWidth="1"/>
    <col min="10858" max="10859" width="11.2734375" style="500" customWidth="1"/>
    <col min="10860" max="10860" width="10" style="500" customWidth="1"/>
    <col min="10861" max="11008" width="9.1796875" style="500"/>
    <col min="11009" max="11009" width="5.546875" style="500" customWidth="1"/>
    <col min="11010" max="11010" width="21.2734375" style="500" customWidth="1"/>
    <col min="11011" max="11011" width="38.8203125" style="500" customWidth="1"/>
    <col min="11012" max="11012" width="8.2734375" style="500" customWidth="1"/>
    <col min="11013" max="11013" width="6.1796875" style="500" customWidth="1"/>
    <col min="11014" max="11014" width="1" style="500" customWidth="1"/>
    <col min="11015" max="11015" width="1.2734375" style="500" customWidth="1"/>
    <col min="11016" max="11016" width="5.1796875" style="500" customWidth="1"/>
    <col min="11017" max="11017" width="6.1796875" style="500" customWidth="1"/>
    <col min="11018" max="11018" width="0.7265625" style="500" customWidth="1"/>
    <col min="11019" max="11019" width="1" style="500" customWidth="1"/>
    <col min="11020" max="11020" width="4.7265625" style="500" customWidth="1"/>
    <col min="11021" max="11021" width="6.2734375" style="500" customWidth="1"/>
    <col min="11022" max="11022" width="0.8203125" style="500" customWidth="1"/>
    <col min="11023" max="11023" width="1.1796875" style="500" customWidth="1"/>
    <col min="11024" max="11024" width="6.546875" style="500" customWidth="1"/>
    <col min="11025" max="11025" width="7.1796875" style="500" customWidth="1"/>
    <col min="11026" max="11027" width="1.546875" style="500" customWidth="1"/>
    <col min="11028" max="11028" width="6.8203125" style="500" customWidth="1"/>
    <col min="11029" max="11029" width="2" style="500" customWidth="1"/>
    <col min="11030" max="11030" width="1.2734375" style="500" customWidth="1"/>
    <col min="11031" max="11031" width="2.1796875" style="500" customWidth="1"/>
    <col min="11032" max="11032" width="6.453125" style="500" customWidth="1"/>
    <col min="11033" max="11035" width="2" style="500" customWidth="1"/>
    <col min="11036" max="11036" width="7.7265625" style="500" customWidth="1"/>
    <col min="11037" max="11037" width="1.2734375" style="500" customWidth="1"/>
    <col min="11038" max="11038" width="1.546875" style="500" customWidth="1"/>
    <col min="11039" max="11039" width="1.453125" style="500" customWidth="1"/>
    <col min="11040" max="11040" width="6.1796875" style="500" customWidth="1"/>
    <col min="11041" max="11043" width="1" style="500" customWidth="1"/>
    <col min="11044" max="11044" width="6.453125" style="500" customWidth="1"/>
    <col min="11045" max="11045" width="5.8203125" style="500" customWidth="1"/>
    <col min="11046" max="11046" width="1.453125" style="500" customWidth="1"/>
    <col min="11047" max="11047" width="1.546875" style="500" customWidth="1"/>
    <col min="11048" max="11048" width="6.1796875" style="500" customWidth="1"/>
    <col min="11049" max="11049" width="7" style="500" customWidth="1"/>
    <col min="11050" max="11050" width="1.1796875" style="500" customWidth="1"/>
    <col min="11051" max="11051" width="1.8203125" style="500" customWidth="1"/>
    <col min="11052" max="11052" width="5.8203125" style="500" customWidth="1"/>
    <col min="11053" max="11053" width="1.7265625" style="500" customWidth="1"/>
    <col min="11054" max="11054" width="2.1796875" style="500" customWidth="1"/>
    <col min="11055" max="11055" width="1.1796875" style="500" customWidth="1"/>
    <col min="11056" max="11056" width="7.2734375" style="500" customWidth="1"/>
    <col min="11057" max="11058" width="2.1796875" style="500" customWidth="1"/>
    <col min="11059" max="11059" width="1.7265625" style="500" customWidth="1"/>
    <col min="11060" max="11060" width="5.546875" style="500" customWidth="1"/>
    <col min="11061" max="11061" width="2" style="500" customWidth="1"/>
    <col min="11062" max="11062" width="1.453125" style="500" customWidth="1"/>
    <col min="11063" max="11063" width="2" style="500" customWidth="1"/>
    <col min="11064" max="11064" width="6.8203125" style="500" customWidth="1"/>
    <col min="11065" max="11065" width="1.7265625" style="500" customWidth="1"/>
    <col min="11066" max="11066" width="2" style="500" customWidth="1"/>
    <col min="11067" max="11067" width="1.8203125" style="500" customWidth="1"/>
    <col min="11068" max="11068" width="6.8203125" style="500" customWidth="1"/>
    <col min="11069" max="11069" width="1.1796875" style="500" customWidth="1"/>
    <col min="11070" max="11070" width="1.2734375" style="500" customWidth="1"/>
    <col min="11071" max="11071" width="1.8203125" style="500" customWidth="1"/>
    <col min="11072" max="11072" width="6.8203125" style="500" customWidth="1"/>
    <col min="11073" max="11073" width="1.453125" style="500" customWidth="1"/>
    <col min="11074" max="11074" width="1.2734375" style="500" customWidth="1"/>
    <col min="11075" max="11075" width="2.1796875" style="500" customWidth="1"/>
    <col min="11076" max="11076" width="5.1796875" style="500" customWidth="1"/>
    <col min="11077" max="11077" width="5.546875" style="500" customWidth="1"/>
    <col min="11078" max="11078" width="1.1796875" style="500" customWidth="1"/>
    <col min="11079" max="11079" width="1.453125" style="500" customWidth="1"/>
    <col min="11080" max="11080" width="6" style="500" customWidth="1"/>
    <col min="11081" max="11081" width="5.8203125" style="500" customWidth="1"/>
    <col min="11082" max="11082" width="1.7265625" style="500" customWidth="1"/>
    <col min="11083" max="11083" width="2.1796875" style="500" customWidth="1"/>
    <col min="11084" max="11087" width="5.8203125" style="500" customWidth="1"/>
    <col min="11088" max="11088" width="6" style="500" customWidth="1"/>
    <col min="11089" max="11089" width="1.546875" style="500" customWidth="1"/>
    <col min="11090" max="11090" width="2.2734375" style="500" customWidth="1"/>
    <col min="11091" max="11091" width="1.546875" style="500" customWidth="1"/>
    <col min="11092" max="11095" width="6.2734375" style="500" customWidth="1"/>
    <col min="11096" max="11096" width="6.1796875" style="500" customWidth="1"/>
    <col min="11097" max="11098" width="1.1796875" style="500" customWidth="1"/>
    <col min="11099" max="11099" width="1.2734375" style="500" customWidth="1"/>
    <col min="11100" max="11103" width="5.8203125" style="500" customWidth="1"/>
    <col min="11104" max="11104" width="6.8203125" style="500" customWidth="1"/>
    <col min="11105" max="11105" width="1.2734375" style="500" customWidth="1"/>
    <col min="11106" max="11107" width="1.7265625" style="500" customWidth="1"/>
    <col min="11108" max="11109" width="10.7265625" style="500" customWidth="1"/>
    <col min="11110" max="11111" width="8.2734375" style="500" customWidth="1"/>
    <col min="11112" max="11112" width="8.7265625" style="500" customWidth="1"/>
    <col min="11113" max="11113" width="8.1796875" style="500" customWidth="1"/>
    <col min="11114" max="11115" width="11.2734375" style="500" customWidth="1"/>
    <col min="11116" max="11116" width="10" style="500" customWidth="1"/>
    <col min="11117" max="11264" width="9.1796875" style="500"/>
    <col min="11265" max="11265" width="5.546875" style="500" customWidth="1"/>
    <col min="11266" max="11266" width="21.2734375" style="500" customWidth="1"/>
    <col min="11267" max="11267" width="38.8203125" style="500" customWidth="1"/>
    <col min="11268" max="11268" width="8.2734375" style="500" customWidth="1"/>
    <col min="11269" max="11269" width="6.1796875" style="500" customWidth="1"/>
    <col min="11270" max="11270" width="1" style="500" customWidth="1"/>
    <col min="11271" max="11271" width="1.2734375" style="500" customWidth="1"/>
    <col min="11272" max="11272" width="5.1796875" style="500" customWidth="1"/>
    <col min="11273" max="11273" width="6.1796875" style="500" customWidth="1"/>
    <col min="11274" max="11274" width="0.7265625" style="500" customWidth="1"/>
    <col min="11275" max="11275" width="1" style="500" customWidth="1"/>
    <col min="11276" max="11276" width="4.7265625" style="500" customWidth="1"/>
    <col min="11277" max="11277" width="6.2734375" style="500" customWidth="1"/>
    <col min="11278" max="11278" width="0.8203125" style="500" customWidth="1"/>
    <col min="11279" max="11279" width="1.1796875" style="500" customWidth="1"/>
    <col min="11280" max="11280" width="6.546875" style="500" customWidth="1"/>
    <col min="11281" max="11281" width="7.1796875" style="500" customWidth="1"/>
    <col min="11282" max="11283" width="1.546875" style="500" customWidth="1"/>
    <col min="11284" max="11284" width="6.8203125" style="500" customWidth="1"/>
    <col min="11285" max="11285" width="2" style="500" customWidth="1"/>
    <col min="11286" max="11286" width="1.2734375" style="500" customWidth="1"/>
    <col min="11287" max="11287" width="2.1796875" style="500" customWidth="1"/>
    <col min="11288" max="11288" width="6.453125" style="500" customWidth="1"/>
    <col min="11289" max="11291" width="2" style="500" customWidth="1"/>
    <col min="11292" max="11292" width="7.7265625" style="500" customWidth="1"/>
    <col min="11293" max="11293" width="1.2734375" style="500" customWidth="1"/>
    <col min="11294" max="11294" width="1.546875" style="500" customWidth="1"/>
    <col min="11295" max="11295" width="1.453125" style="500" customWidth="1"/>
    <col min="11296" max="11296" width="6.1796875" style="500" customWidth="1"/>
    <col min="11297" max="11299" width="1" style="500" customWidth="1"/>
    <col min="11300" max="11300" width="6.453125" style="500" customWidth="1"/>
    <col min="11301" max="11301" width="5.8203125" style="500" customWidth="1"/>
    <col min="11302" max="11302" width="1.453125" style="500" customWidth="1"/>
    <col min="11303" max="11303" width="1.546875" style="500" customWidth="1"/>
    <col min="11304" max="11304" width="6.1796875" style="500" customWidth="1"/>
    <col min="11305" max="11305" width="7" style="500" customWidth="1"/>
    <col min="11306" max="11306" width="1.1796875" style="500" customWidth="1"/>
    <col min="11307" max="11307" width="1.8203125" style="500" customWidth="1"/>
    <col min="11308" max="11308" width="5.8203125" style="500" customWidth="1"/>
    <col min="11309" max="11309" width="1.7265625" style="500" customWidth="1"/>
    <col min="11310" max="11310" width="2.1796875" style="500" customWidth="1"/>
    <col min="11311" max="11311" width="1.1796875" style="500" customWidth="1"/>
    <col min="11312" max="11312" width="7.2734375" style="500" customWidth="1"/>
    <col min="11313" max="11314" width="2.1796875" style="500" customWidth="1"/>
    <col min="11315" max="11315" width="1.7265625" style="500" customWidth="1"/>
    <col min="11316" max="11316" width="5.546875" style="500" customWidth="1"/>
    <col min="11317" max="11317" width="2" style="500" customWidth="1"/>
    <col min="11318" max="11318" width="1.453125" style="500" customWidth="1"/>
    <col min="11319" max="11319" width="2" style="500" customWidth="1"/>
    <col min="11320" max="11320" width="6.8203125" style="500" customWidth="1"/>
    <col min="11321" max="11321" width="1.7265625" style="500" customWidth="1"/>
    <col min="11322" max="11322" width="2" style="500" customWidth="1"/>
    <col min="11323" max="11323" width="1.8203125" style="500" customWidth="1"/>
    <col min="11324" max="11324" width="6.8203125" style="500" customWidth="1"/>
    <col min="11325" max="11325" width="1.1796875" style="500" customWidth="1"/>
    <col min="11326" max="11326" width="1.2734375" style="500" customWidth="1"/>
    <col min="11327" max="11327" width="1.8203125" style="500" customWidth="1"/>
    <col min="11328" max="11328" width="6.8203125" style="500" customWidth="1"/>
    <col min="11329" max="11329" width="1.453125" style="500" customWidth="1"/>
    <col min="11330" max="11330" width="1.2734375" style="500" customWidth="1"/>
    <col min="11331" max="11331" width="2.1796875" style="500" customWidth="1"/>
    <col min="11332" max="11332" width="5.1796875" style="500" customWidth="1"/>
    <col min="11333" max="11333" width="5.546875" style="500" customWidth="1"/>
    <col min="11334" max="11334" width="1.1796875" style="500" customWidth="1"/>
    <col min="11335" max="11335" width="1.453125" style="500" customWidth="1"/>
    <col min="11336" max="11336" width="6" style="500" customWidth="1"/>
    <col min="11337" max="11337" width="5.8203125" style="500" customWidth="1"/>
    <col min="11338" max="11338" width="1.7265625" style="500" customWidth="1"/>
    <col min="11339" max="11339" width="2.1796875" style="500" customWidth="1"/>
    <col min="11340" max="11343" width="5.8203125" style="500" customWidth="1"/>
    <col min="11344" max="11344" width="6" style="500" customWidth="1"/>
    <col min="11345" max="11345" width="1.546875" style="500" customWidth="1"/>
    <col min="11346" max="11346" width="2.2734375" style="500" customWidth="1"/>
    <col min="11347" max="11347" width="1.546875" style="500" customWidth="1"/>
    <col min="11348" max="11351" width="6.2734375" style="500" customWidth="1"/>
    <col min="11352" max="11352" width="6.1796875" style="500" customWidth="1"/>
    <col min="11353" max="11354" width="1.1796875" style="500" customWidth="1"/>
    <col min="11355" max="11355" width="1.2734375" style="500" customWidth="1"/>
    <col min="11356" max="11359" width="5.8203125" style="500" customWidth="1"/>
    <col min="11360" max="11360" width="6.8203125" style="500" customWidth="1"/>
    <col min="11361" max="11361" width="1.2734375" style="500" customWidth="1"/>
    <col min="11362" max="11363" width="1.7265625" style="500" customWidth="1"/>
    <col min="11364" max="11365" width="10.7265625" style="500" customWidth="1"/>
    <col min="11366" max="11367" width="8.2734375" style="500" customWidth="1"/>
    <col min="11368" max="11368" width="8.7265625" style="500" customWidth="1"/>
    <col min="11369" max="11369" width="8.1796875" style="500" customWidth="1"/>
    <col min="11370" max="11371" width="11.2734375" style="500" customWidth="1"/>
    <col min="11372" max="11372" width="10" style="500" customWidth="1"/>
    <col min="11373" max="11520" width="9.1796875" style="500"/>
    <col min="11521" max="11521" width="5.546875" style="500" customWidth="1"/>
    <col min="11522" max="11522" width="21.2734375" style="500" customWidth="1"/>
    <col min="11523" max="11523" width="38.8203125" style="500" customWidth="1"/>
    <col min="11524" max="11524" width="8.2734375" style="500" customWidth="1"/>
    <col min="11525" max="11525" width="6.1796875" style="500" customWidth="1"/>
    <col min="11526" max="11526" width="1" style="500" customWidth="1"/>
    <col min="11527" max="11527" width="1.2734375" style="500" customWidth="1"/>
    <col min="11528" max="11528" width="5.1796875" style="500" customWidth="1"/>
    <col min="11529" max="11529" width="6.1796875" style="500" customWidth="1"/>
    <col min="11530" max="11530" width="0.7265625" style="500" customWidth="1"/>
    <col min="11531" max="11531" width="1" style="500" customWidth="1"/>
    <col min="11532" max="11532" width="4.7265625" style="500" customWidth="1"/>
    <col min="11533" max="11533" width="6.2734375" style="500" customWidth="1"/>
    <col min="11534" max="11534" width="0.8203125" style="500" customWidth="1"/>
    <col min="11535" max="11535" width="1.1796875" style="500" customWidth="1"/>
    <col min="11536" max="11536" width="6.546875" style="500" customWidth="1"/>
    <col min="11537" max="11537" width="7.1796875" style="500" customWidth="1"/>
    <col min="11538" max="11539" width="1.546875" style="500" customWidth="1"/>
    <col min="11540" max="11540" width="6.8203125" style="500" customWidth="1"/>
    <col min="11541" max="11541" width="2" style="500" customWidth="1"/>
    <col min="11542" max="11542" width="1.2734375" style="500" customWidth="1"/>
    <col min="11543" max="11543" width="2.1796875" style="500" customWidth="1"/>
    <col min="11544" max="11544" width="6.453125" style="500" customWidth="1"/>
    <col min="11545" max="11547" width="2" style="500" customWidth="1"/>
    <col min="11548" max="11548" width="7.7265625" style="500" customWidth="1"/>
    <col min="11549" max="11549" width="1.2734375" style="500" customWidth="1"/>
    <col min="11550" max="11550" width="1.546875" style="500" customWidth="1"/>
    <col min="11551" max="11551" width="1.453125" style="500" customWidth="1"/>
    <col min="11552" max="11552" width="6.1796875" style="500" customWidth="1"/>
    <col min="11553" max="11555" width="1" style="500" customWidth="1"/>
    <col min="11556" max="11556" width="6.453125" style="500" customWidth="1"/>
    <col min="11557" max="11557" width="5.8203125" style="500" customWidth="1"/>
    <col min="11558" max="11558" width="1.453125" style="500" customWidth="1"/>
    <col min="11559" max="11559" width="1.546875" style="500" customWidth="1"/>
    <col min="11560" max="11560" width="6.1796875" style="500" customWidth="1"/>
    <col min="11561" max="11561" width="7" style="500" customWidth="1"/>
    <col min="11562" max="11562" width="1.1796875" style="500" customWidth="1"/>
    <col min="11563" max="11563" width="1.8203125" style="500" customWidth="1"/>
    <col min="11564" max="11564" width="5.8203125" style="500" customWidth="1"/>
    <col min="11565" max="11565" width="1.7265625" style="500" customWidth="1"/>
    <col min="11566" max="11566" width="2.1796875" style="500" customWidth="1"/>
    <col min="11567" max="11567" width="1.1796875" style="500" customWidth="1"/>
    <col min="11568" max="11568" width="7.2734375" style="500" customWidth="1"/>
    <col min="11569" max="11570" width="2.1796875" style="500" customWidth="1"/>
    <col min="11571" max="11571" width="1.7265625" style="500" customWidth="1"/>
    <col min="11572" max="11572" width="5.546875" style="500" customWidth="1"/>
    <col min="11573" max="11573" width="2" style="500" customWidth="1"/>
    <col min="11574" max="11574" width="1.453125" style="500" customWidth="1"/>
    <col min="11575" max="11575" width="2" style="500" customWidth="1"/>
    <col min="11576" max="11576" width="6.8203125" style="500" customWidth="1"/>
    <col min="11577" max="11577" width="1.7265625" style="500" customWidth="1"/>
    <col min="11578" max="11578" width="2" style="500" customWidth="1"/>
    <col min="11579" max="11579" width="1.8203125" style="500" customWidth="1"/>
    <col min="11580" max="11580" width="6.8203125" style="500" customWidth="1"/>
    <col min="11581" max="11581" width="1.1796875" style="500" customWidth="1"/>
    <col min="11582" max="11582" width="1.2734375" style="500" customWidth="1"/>
    <col min="11583" max="11583" width="1.8203125" style="500" customWidth="1"/>
    <col min="11584" max="11584" width="6.8203125" style="500" customWidth="1"/>
    <col min="11585" max="11585" width="1.453125" style="500" customWidth="1"/>
    <col min="11586" max="11586" width="1.2734375" style="500" customWidth="1"/>
    <col min="11587" max="11587" width="2.1796875" style="500" customWidth="1"/>
    <col min="11588" max="11588" width="5.1796875" style="500" customWidth="1"/>
    <col min="11589" max="11589" width="5.546875" style="500" customWidth="1"/>
    <col min="11590" max="11590" width="1.1796875" style="500" customWidth="1"/>
    <col min="11591" max="11591" width="1.453125" style="500" customWidth="1"/>
    <col min="11592" max="11592" width="6" style="500" customWidth="1"/>
    <col min="11593" max="11593" width="5.8203125" style="500" customWidth="1"/>
    <col min="11594" max="11594" width="1.7265625" style="500" customWidth="1"/>
    <col min="11595" max="11595" width="2.1796875" style="500" customWidth="1"/>
    <col min="11596" max="11599" width="5.8203125" style="500" customWidth="1"/>
    <col min="11600" max="11600" width="6" style="500" customWidth="1"/>
    <col min="11601" max="11601" width="1.546875" style="500" customWidth="1"/>
    <col min="11602" max="11602" width="2.2734375" style="500" customWidth="1"/>
    <col min="11603" max="11603" width="1.546875" style="500" customWidth="1"/>
    <col min="11604" max="11607" width="6.2734375" style="500" customWidth="1"/>
    <col min="11608" max="11608" width="6.1796875" style="500" customWidth="1"/>
    <col min="11609" max="11610" width="1.1796875" style="500" customWidth="1"/>
    <col min="11611" max="11611" width="1.2734375" style="500" customWidth="1"/>
    <col min="11612" max="11615" width="5.8203125" style="500" customWidth="1"/>
    <col min="11616" max="11616" width="6.8203125" style="500" customWidth="1"/>
    <col min="11617" max="11617" width="1.2734375" style="500" customWidth="1"/>
    <col min="11618" max="11619" width="1.7265625" style="500" customWidth="1"/>
    <col min="11620" max="11621" width="10.7265625" style="500" customWidth="1"/>
    <col min="11622" max="11623" width="8.2734375" style="500" customWidth="1"/>
    <col min="11624" max="11624" width="8.7265625" style="500" customWidth="1"/>
    <col min="11625" max="11625" width="8.1796875" style="500" customWidth="1"/>
    <col min="11626" max="11627" width="11.2734375" style="500" customWidth="1"/>
    <col min="11628" max="11628" width="10" style="500" customWidth="1"/>
    <col min="11629" max="11776" width="9.1796875" style="500"/>
    <col min="11777" max="11777" width="5.546875" style="500" customWidth="1"/>
    <col min="11778" max="11778" width="21.2734375" style="500" customWidth="1"/>
    <col min="11779" max="11779" width="38.8203125" style="500" customWidth="1"/>
    <col min="11780" max="11780" width="8.2734375" style="500" customWidth="1"/>
    <col min="11781" max="11781" width="6.1796875" style="500" customWidth="1"/>
    <col min="11782" max="11782" width="1" style="500" customWidth="1"/>
    <col min="11783" max="11783" width="1.2734375" style="500" customWidth="1"/>
    <col min="11784" max="11784" width="5.1796875" style="500" customWidth="1"/>
    <col min="11785" max="11785" width="6.1796875" style="500" customWidth="1"/>
    <col min="11786" max="11786" width="0.7265625" style="500" customWidth="1"/>
    <col min="11787" max="11787" width="1" style="500" customWidth="1"/>
    <col min="11788" max="11788" width="4.7265625" style="500" customWidth="1"/>
    <col min="11789" max="11789" width="6.2734375" style="500" customWidth="1"/>
    <col min="11790" max="11790" width="0.8203125" style="500" customWidth="1"/>
    <col min="11791" max="11791" width="1.1796875" style="500" customWidth="1"/>
    <col min="11792" max="11792" width="6.546875" style="500" customWidth="1"/>
    <col min="11793" max="11793" width="7.1796875" style="500" customWidth="1"/>
    <col min="11794" max="11795" width="1.546875" style="500" customWidth="1"/>
    <col min="11796" max="11796" width="6.8203125" style="500" customWidth="1"/>
    <col min="11797" max="11797" width="2" style="500" customWidth="1"/>
    <col min="11798" max="11798" width="1.2734375" style="500" customWidth="1"/>
    <col min="11799" max="11799" width="2.1796875" style="500" customWidth="1"/>
    <col min="11800" max="11800" width="6.453125" style="500" customWidth="1"/>
    <col min="11801" max="11803" width="2" style="500" customWidth="1"/>
    <col min="11804" max="11804" width="7.7265625" style="500" customWidth="1"/>
    <col min="11805" max="11805" width="1.2734375" style="500" customWidth="1"/>
    <col min="11806" max="11806" width="1.546875" style="500" customWidth="1"/>
    <col min="11807" max="11807" width="1.453125" style="500" customWidth="1"/>
    <col min="11808" max="11808" width="6.1796875" style="500" customWidth="1"/>
    <col min="11809" max="11811" width="1" style="500" customWidth="1"/>
    <col min="11812" max="11812" width="6.453125" style="500" customWidth="1"/>
    <col min="11813" max="11813" width="5.8203125" style="500" customWidth="1"/>
    <col min="11814" max="11814" width="1.453125" style="500" customWidth="1"/>
    <col min="11815" max="11815" width="1.546875" style="500" customWidth="1"/>
    <col min="11816" max="11816" width="6.1796875" style="500" customWidth="1"/>
    <col min="11817" max="11817" width="7" style="500" customWidth="1"/>
    <col min="11818" max="11818" width="1.1796875" style="500" customWidth="1"/>
    <col min="11819" max="11819" width="1.8203125" style="500" customWidth="1"/>
    <col min="11820" max="11820" width="5.8203125" style="500" customWidth="1"/>
    <col min="11821" max="11821" width="1.7265625" style="500" customWidth="1"/>
    <col min="11822" max="11822" width="2.1796875" style="500" customWidth="1"/>
    <col min="11823" max="11823" width="1.1796875" style="500" customWidth="1"/>
    <col min="11824" max="11824" width="7.2734375" style="500" customWidth="1"/>
    <col min="11825" max="11826" width="2.1796875" style="500" customWidth="1"/>
    <col min="11827" max="11827" width="1.7265625" style="500" customWidth="1"/>
    <col min="11828" max="11828" width="5.546875" style="500" customWidth="1"/>
    <col min="11829" max="11829" width="2" style="500" customWidth="1"/>
    <col min="11830" max="11830" width="1.453125" style="500" customWidth="1"/>
    <col min="11831" max="11831" width="2" style="500" customWidth="1"/>
    <col min="11832" max="11832" width="6.8203125" style="500" customWidth="1"/>
    <col min="11833" max="11833" width="1.7265625" style="500" customWidth="1"/>
    <col min="11834" max="11834" width="2" style="500" customWidth="1"/>
    <col min="11835" max="11835" width="1.8203125" style="500" customWidth="1"/>
    <col min="11836" max="11836" width="6.8203125" style="500" customWidth="1"/>
    <col min="11837" max="11837" width="1.1796875" style="500" customWidth="1"/>
    <col min="11838" max="11838" width="1.2734375" style="500" customWidth="1"/>
    <col min="11839" max="11839" width="1.8203125" style="500" customWidth="1"/>
    <col min="11840" max="11840" width="6.8203125" style="500" customWidth="1"/>
    <col min="11841" max="11841" width="1.453125" style="500" customWidth="1"/>
    <col min="11842" max="11842" width="1.2734375" style="500" customWidth="1"/>
    <col min="11843" max="11843" width="2.1796875" style="500" customWidth="1"/>
    <col min="11844" max="11844" width="5.1796875" style="500" customWidth="1"/>
    <col min="11845" max="11845" width="5.546875" style="500" customWidth="1"/>
    <col min="11846" max="11846" width="1.1796875" style="500" customWidth="1"/>
    <col min="11847" max="11847" width="1.453125" style="500" customWidth="1"/>
    <col min="11848" max="11848" width="6" style="500" customWidth="1"/>
    <col min="11849" max="11849" width="5.8203125" style="500" customWidth="1"/>
    <col min="11850" max="11850" width="1.7265625" style="500" customWidth="1"/>
    <col min="11851" max="11851" width="2.1796875" style="500" customWidth="1"/>
    <col min="11852" max="11855" width="5.8203125" style="500" customWidth="1"/>
    <col min="11856" max="11856" width="6" style="500" customWidth="1"/>
    <col min="11857" max="11857" width="1.546875" style="500" customWidth="1"/>
    <col min="11858" max="11858" width="2.2734375" style="500" customWidth="1"/>
    <col min="11859" max="11859" width="1.546875" style="500" customWidth="1"/>
    <col min="11860" max="11863" width="6.2734375" style="500" customWidth="1"/>
    <col min="11864" max="11864" width="6.1796875" style="500" customWidth="1"/>
    <col min="11865" max="11866" width="1.1796875" style="500" customWidth="1"/>
    <col min="11867" max="11867" width="1.2734375" style="500" customWidth="1"/>
    <col min="11868" max="11871" width="5.8203125" style="500" customWidth="1"/>
    <col min="11872" max="11872" width="6.8203125" style="500" customWidth="1"/>
    <col min="11873" max="11873" width="1.2734375" style="500" customWidth="1"/>
    <col min="11874" max="11875" width="1.7265625" style="500" customWidth="1"/>
    <col min="11876" max="11877" width="10.7265625" style="500" customWidth="1"/>
    <col min="11878" max="11879" width="8.2734375" style="500" customWidth="1"/>
    <col min="11880" max="11880" width="8.7265625" style="500" customWidth="1"/>
    <col min="11881" max="11881" width="8.1796875" style="500" customWidth="1"/>
    <col min="11882" max="11883" width="11.2734375" style="500" customWidth="1"/>
    <col min="11884" max="11884" width="10" style="500" customWidth="1"/>
    <col min="11885" max="12032" width="9.1796875" style="500"/>
    <col min="12033" max="12033" width="5.546875" style="500" customWidth="1"/>
    <col min="12034" max="12034" width="21.2734375" style="500" customWidth="1"/>
    <col min="12035" max="12035" width="38.8203125" style="500" customWidth="1"/>
    <col min="12036" max="12036" width="8.2734375" style="500" customWidth="1"/>
    <col min="12037" max="12037" width="6.1796875" style="500" customWidth="1"/>
    <col min="12038" max="12038" width="1" style="500" customWidth="1"/>
    <col min="12039" max="12039" width="1.2734375" style="500" customWidth="1"/>
    <col min="12040" max="12040" width="5.1796875" style="500" customWidth="1"/>
    <col min="12041" max="12041" width="6.1796875" style="500" customWidth="1"/>
    <col min="12042" max="12042" width="0.7265625" style="500" customWidth="1"/>
    <col min="12043" max="12043" width="1" style="500" customWidth="1"/>
    <col min="12044" max="12044" width="4.7265625" style="500" customWidth="1"/>
    <col min="12045" max="12045" width="6.2734375" style="500" customWidth="1"/>
    <col min="12046" max="12046" width="0.8203125" style="500" customWidth="1"/>
    <col min="12047" max="12047" width="1.1796875" style="500" customWidth="1"/>
    <col min="12048" max="12048" width="6.546875" style="500" customWidth="1"/>
    <col min="12049" max="12049" width="7.1796875" style="500" customWidth="1"/>
    <col min="12050" max="12051" width="1.546875" style="500" customWidth="1"/>
    <col min="12052" max="12052" width="6.8203125" style="500" customWidth="1"/>
    <col min="12053" max="12053" width="2" style="500" customWidth="1"/>
    <col min="12054" max="12054" width="1.2734375" style="500" customWidth="1"/>
    <col min="12055" max="12055" width="2.1796875" style="500" customWidth="1"/>
    <col min="12056" max="12056" width="6.453125" style="500" customWidth="1"/>
    <col min="12057" max="12059" width="2" style="500" customWidth="1"/>
    <col min="12060" max="12060" width="7.7265625" style="500" customWidth="1"/>
    <col min="12061" max="12061" width="1.2734375" style="500" customWidth="1"/>
    <col min="12062" max="12062" width="1.546875" style="500" customWidth="1"/>
    <col min="12063" max="12063" width="1.453125" style="500" customWidth="1"/>
    <col min="12064" max="12064" width="6.1796875" style="500" customWidth="1"/>
    <col min="12065" max="12067" width="1" style="500" customWidth="1"/>
    <col min="12068" max="12068" width="6.453125" style="500" customWidth="1"/>
    <col min="12069" max="12069" width="5.8203125" style="500" customWidth="1"/>
    <col min="12070" max="12070" width="1.453125" style="500" customWidth="1"/>
    <col min="12071" max="12071" width="1.546875" style="500" customWidth="1"/>
    <col min="12072" max="12072" width="6.1796875" style="500" customWidth="1"/>
    <col min="12073" max="12073" width="7" style="500" customWidth="1"/>
    <col min="12074" max="12074" width="1.1796875" style="500" customWidth="1"/>
    <col min="12075" max="12075" width="1.8203125" style="500" customWidth="1"/>
    <col min="12076" max="12076" width="5.8203125" style="500" customWidth="1"/>
    <col min="12077" max="12077" width="1.7265625" style="500" customWidth="1"/>
    <col min="12078" max="12078" width="2.1796875" style="500" customWidth="1"/>
    <col min="12079" max="12079" width="1.1796875" style="500" customWidth="1"/>
    <col min="12080" max="12080" width="7.2734375" style="500" customWidth="1"/>
    <col min="12081" max="12082" width="2.1796875" style="500" customWidth="1"/>
    <col min="12083" max="12083" width="1.7265625" style="500" customWidth="1"/>
    <col min="12084" max="12084" width="5.546875" style="500" customWidth="1"/>
    <col min="12085" max="12085" width="2" style="500" customWidth="1"/>
    <col min="12086" max="12086" width="1.453125" style="500" customWidth="1"/>
    <col min="12087" max="12087" width="2" style="500" customWidth="1"/>
    <col min="12088" max="12088" width="6.8203125" style="500" customWidth="1"/>
    <col min="12089" max="12089" width="1.7265625" style="500" customWidth="1"/>
    <col min="12090" max="12090" width="2" style="500" customWidth="1"/>
    <col min="12091" max="12091" width="1.8203125" style="500" customWidth="1"/>
    <col min="12092" max="12092" width="6.8203125" style="500" customWidth="1"/>
    <col min="12093" max="12093" width="1.1796875" style="500" customWidth="1"/>
    <col min="12094" max="12094" width="1.2734375" style="500" customWidth="1"/>
    <col min="12095" max="12095" width="1.8203125" style="500" customWidth="1"/>
    <col min="12096" max="12096" width="6.8203125" style="500" customWidth="1"/>
    <col min="12097" max="12097" width="1.453125" style="500" customWidth="1"/>
    <col min="12098" max="12098" width="1.2734375" style="500" customWidth="1"/>
    <col min="12099" max="12099" width="2.1796875" style="500" customWidth="1"/>
    <col min="12100" max="12100" width="5.1796875" style="500" customWidth="1"/>
    <col min="12101" max="12101" width="5.546875" style="500" customWidth="1"/>
    <col min="12102" max="12102" width="1.1796875" style="500" customWidth="1"/>
    <col min="12103" max="12103" width="1.453125" style="500" customWidth="1"/>
    <col min="12104" max="12104" width="6" style="500" customWidth="1"/>
    <col min="12105" max="12105" width="5.8203125" style="500" customWidth="1"/>
    <col min="12106" max="12106" width="1.7265625" style="500" customWidth="1"/>
    <col min="12107" max="12107" width="2.1796875" style="500" customWidth="1"/>
    <col min="12108" max="12111" width="5.8203125" style="500" customWidth="1"/>
    <col min="12112" max="12112" width="6" style="500" customWidth="1"/>
    <col min="12113" max="12113" width="1.546875" style="500" customWidth="1"/>
    <col min="12114" max="12114" width="2.2734375" style="500" customWidth="1"/>
    <col min="12115" max="12115" width="1.546875" style="500" customWidth="1"/>
    <col min="12116" max="12119" width="6.2734375" style="500" customWidth="1"/>
    <col min="12120" max="12120" width="6.1796875" style="500" customWidth="1"/>
    <col min="12121" max="12122" width="1.1796875" style="500" customWidth="1"/>
    <col min="12123" max="12123" width="1.2734375" style="500" customWidth="1"/>
    <col min="12124" max="12127" width="5.8203125" style="500" customWidth="1"/>
    <col min="12128" max="12128" width="6.8203125" style="500" customWidth="1"/>
    <col min="12129" max="12129" width="1.2734375" style="500" customWidth="1"/>
    <col min="12130" max="12131" width="1.7265625" style="500" customWidth="1"/>
    <col min="12132" max="12133" width="10.7265625" style="500" customWidth="1"/>
    <col min="12134" max="12135" width="8.2734375" style="500" customWidth="1"/>
    <col min="12136" max="12136" width="8.7265625" style="500" customWidth="1"/>
    <col min="12137" max="12137" width="8.1796875" style="500" customWidth="1"/>
    <col min="12138" max="12139" width="11.2734375" style="500" customWidth="1"/>
    <col min="12140" max="12140" width="10" style="500" customWidth="1"/>
    <col min="12141" max="12288" width="9.1796875" style="500"/>
    <col min="12289" max="12289" width="5.546875" style="500" customWidth="1"/>
    <col min="12290" max="12290" width="21.2734375" style="500" customWidth="1"/>
    <col min="12291" max="12291" width="38.8203125" style="500" customWidth="1"/>
    <col min="12292" max="12292" width="8.2734375" style="500" customWidth="1"/>
    <col min="12293" max="12293" width="6.1796875" style="500" customWidth="1"/>
    <col min="12294" max="12294" width="1" style="500" customWidth="1"/>
    <col min="12295" max="12295" width="1.2734375" style="500" customWidth="1"/>
    <col min="12296" max="12296" width="5.1796875" style="500" customWidth="1"/>
    <col min="12297" max="12297" width="6.1796875" style="500" customWidth="1"/>
    <col min="12298" max="12298" width="0.7265625" style="500" customWidth="1"/>
    <col min="12299" max="12299" width="1" style="500" customWidth="1"/>
    <col min="12300" max="12300" width="4.7265625" style="500" customWidth="1"/>
    <col min="12301" max="12301" width="6.2734375" style="500" customWidth="1"/>
    <col min="12302" max="12302" width="0.8203125" style="500" customWidth="1"/>
    <col min="12303" max="12303" width="1.1796875" style="500" customWidth="1"/>
    <col min="12304" max="12304" width="6.546875" style="500" customWidth="1"/>
    <col min="12305" max="12305" width="7.1796875" style="500" customWidth="1"/>
    <col min="12306" max="12307" width="1.546875" style="500" customWidth="1"/>
    <col min="12308" max="12308" width="6.8203125" style="500" customWidth="1"/>
    <col min="12309" max="12309" width="2" style="500" customWidth="1"/>
    <col min="12310" max="12310" width="1.2734375" style="500" customWidth="1"/>
    <col min="12311" max="12311" width="2.1796875" style="500" customWidth="1"/>
    <col min="12312" max="12312" width="6.453125" style="500" customWidth="1"/>
    <col min="12313" max="12315" width="2" style="500" customWidth="1"/>
    <col min="12316" max="12316" width="7.7265625" style="500" customWidth="1"/>
    <col min="12317" max="12317" width="1.2734375" style="500" customWidth="1"/>
    <col min="12318" max="12318" width="1.546875" style="500" customWidth="1"/>
    <col min="12319" max="12319" width="1.453125" style="500" customWidth="1"/>
    <col min="12320" max="12320" width="6.1796875" style="500" customWidth="1"/>
    <col min="12321" max="12323" width="1" style="500" customWidth="1"/>
    <col min="12324" max="12324" width="6.453125" style="500" customWidth="1"/>
    <col min="12325" max="12325" width="5.8203125" style="500" customWidth="1"/>
    <col min="12326" max="12326" width="1.453125" style="500" customWidth="1"/>
    <col min="12327" max="12327" width="1.546875" style="500" customWidth="1"/>
    <col min="12328" max="12328" width="6.1796875" style="500" customWidth="1"/>
    <col min="12329" max="12329" width="7" style="500" customWidth="1"/>
    <col min="12330" max="12330" width="1.1796875" style="500" customWidth="1"/>
    <col min="12331" max="12331" width="1.8203125" style="500" customWidth="1"/>
    <col min="12332" max="12332" width="5.8203125" style="500" customWidth="1"/>
    <col min="12333" max="12333" width="1.7265625" style="500" customWidth="1"/>
    <col min="12334" max="12334" width="2.1796875" style="500" customWidth="1"/>
    <col min="12335" max="12335" width="1.1796875" style="500" customWidth="1"/>
    <col min="12336" max="12336" width="7.2734375" style="500" customWidth="1"/>
    <col min="12337" max="12338" width="2.1796875" style="500" customWidth="1"/>
    <col min="12339" max="12339" width="1.7265625" style="500" customWidth="1"/>
    <col min="12340" max="12340" width="5.546875" style="500" customWidth="1"/>
    <col min="12341" max="12341" width="2" style="500" customWidth="1"/>
    <col min="12342" max="12342" width="1.453125" style="500" customWidth="1"/>
    <col min="12343" max="12343" width="2" style="500" customWidth="1"/>
    <col min="12344" max="12344" width="6.8203125" style="500" customWidth="1"/>
    <col min="12345" max="12345" width="1.7265625" style="500" customWidth="1"/>
    <col min="12346" max="12346" width="2" style="500" customWidth="1"/>
    <col min="12347" max="12347" width="1.8203125" style="500" customWidth="1"/>
    <col min="12348" max="12348" width="6.8203125" style="500" customWidth="1"/>
    <col min="12349" max="12349" width="1.1796875" style="500" customWidth="1"/>
    <col min="12350" max="12350" width="1.2734375" style="500" customWidth="1"/>
    <col min="12351" max="12351" width="1.8203125" style="500" customWidth="1"/>
    <col min="12352" max="12352" width="6.8203125" style="500" customWidth="1"/>
    <col min="12353" max="12353" width="1.453125" style="500" customWidth="1"/>
    <col min="12354" max="12354" width="1.2734375" style="500" customWidth="1"/>
    <col min="12355" max="12355" width="2.1796875" style="500" customWidth="1"/>
    <col min="12356" max="12356" width="5.1796875" style="500" customWidth="1"/>
    <col min="12357" max="12357" width="5.546875" style="500" customWidth="1"/>
    <col min="12358" max="12358" width="1.1796875" style="500" customWidth="1"/>
    <col min="12359" max="12359" width="1.453125" style="500" customWidth="1"/>
    <col min="12360" max="12360" width="6" style="500" customWidth="1"/>
    <col min="12361" max="12361" width="5.8203125" style="500" customWidth="1"/>
    <col min="12362" max="12362" width="1.7265625" style="500" customWidth="1"/>
    <col min="12363" max="12363" width="2.1796875" style="500" customWidth="1"/>
    <col min="12364" max="12367" width="5.8203125" style="500" customWidth="1"/>
    <col min="12368" max="12368" width="6" style="500" customWidth="1"/>
    <col min="12369" max="12369" width="1.546875" style="500" customWidth="1"/>
    <col min="12370" max="12370" width="2.2734375" style="500" customWidth="1"/>
    <col min="12371" max="12371" width="1.546875" style="500" customWidth="1"/>
    <col min="12372" max="12375" width="6.2734375" style="500" customWidth="1"/>
    <col min="12376" max="12376" width="6.1796875" style="500" customWidth="1"/>
    <col min="12377" max="12378" width="1.1796875" style="500" customWidth="1"/>
    <col min="12379" max="12379" width="1.2734375" style="500" customWidth="1"/>
    <col min="12380" max="12383" width="5.8203125" style="500" customWidth="1"/>
    <col min="12384" max="12384" width="6.8203125" style="500" customWidth="1"/>
    <col min="12385" max="12385" width="1.2734375" style="500" customWidth="1"/>
    <col min="12386" max="12387" width="1.7265625" style="500" customWidth="1"/>
    <col min="12388" max="12389" width="10.7265625" style="500" customWidth="1"/>
    <col min="12390" max="12391" width="8.2734375" style="500" customWidth="1"/>
    <col min="12392" max="12392" width="8.7265625" style="500" customWidth="1"/>
    <col min="12393" max="12393" width="8.1796875" style="500" customWidth="1"/>
    <col min="12394" max="12395" width="11.2734375" style="500" customWidth="1"/>
    <col min="12396" max="12396" width="10" style="500" customWidth="1"/>
    <col min="12397" max="12544" width="9.1796875" style="500"/>
    <col min="12545" max="12545" width="5.546875" style="500" customWidth="1"/>
    <col min="12546" max="12546" width="21.2734375" style="500" customWidth="1"/>
    <col min="12547" max="12547" width="38.8203125" style="500" customWidth="1"/>
    <col min="12548" max="12548" width="8.2734375" style="500" customWidth="1"/>
    <col min="12549" max="12549" width="6.1796875" style="500" customWidth="1"/>
    <col min="12550" max="12550" width="1" style="500" customWidth="1"/>
    <col min="12551" max="12551" width="1.2734375" style="500" customWidth="1"/>
    <col min="12552" max="12552" width="5.1796875" style="500" customWidth="1"/>
    <col min="12553" max="12553" width="6.1796875" style="500" customWidth="1"/>
    <col min="12554" max="12554" width="0.7265625" style="500" customWidth="1"/>
    <col min="12555" max="12555" width="1" style="500" customWidth="1"/>
    <col min="12556" max="12556" width="4.7265625" style="500" customWidth="1"/>
    <col min="12557" max="12557" width="6.2734375" style="500" customWidth="1"/>
    <col min="12558" max="12558" width="0.8203125" style="500" customWidth="1"/>
    <col min="12559" max="12559" width="1.1796875" style="500" customWidth="1"/>
    <col min="12560" max="12560" width="6.546875" style="500" customWidth="1"/>
    <col min="12561" max="12561" width="7.1796875" style="500" customWidth="1"/>
    <col min="12562" max="12563" width="1.546875" style="500" customWidth="1"/>
    <col min="12564" max="12564" width="6.8203125" style="500" customWidth="1"/>
    <col min="12565" max="12565" width="2" style="500" customWidth="1"/>
    <col min="12566" max="12566" width="1.2734375" style="500" customWidth="1"/>
    <col min="12567" max="12567" width="2.1796875" style="500" customWidth="1"/>
    <col min="12568" max="12568" width="6.453125" style="500" customWidth="1"/>
    <col min="12569" max="12571" width="2" style="500" customWidth="1"/>
    <col min="12572" max="12572" width="7.7265625" style="500" customWidth="1"/>
    <col min="12573" max="12573" width="1.2734375" style="500" customWidth="1"/>
    <col min="12574" max="12574" width="1.546875" style="500" customWidth="1"/>
    <col min="12575" max="12575" width="1.453125" style="500" customWidth="1"/>
    <col min="12576" max="12576" width="6.1796875" style="500" customWidth="1"/>
    <col min="12577" max="12579" width="1" style="500" customWidth="1"/>
    <col min="12580" max="12580" width="6.453125" style="500" customWidth="1"/>
    <col min="12581" max="12581" width="5.8203125" style="500" customWidth="1"/>
    <col min="12582" max="12582" width="1.453125" style="500" customWidth="1"/>
    <col min="12583" max="12583" width="1.546875" style="500" customWidth="1"/>
    <col min="12584" max="12584" width="6.1796875" style="500" customWidth="1"/>
    <col min="12585" max="12585" width="7" style="500" customWidth="1"/>
    <col min="12586" max="12586" width="1.1796875" style="500" customWidth="1"/>
    <col min="12587" max="12587" width="1.8203125" style="500" customWidth="1"/>
    <col min="12588" max="12588" width="5.8203125" style="500" customWidth="1"/>
    <col min="12589" max="12589" width="1.7265625" style="500" customWidth="1"/>
    <col min="12590" max="12590" width="2.1796875" style="500" customWidth="1"/>
    <col min="12591" max="12591" width="1.1796875" style="500" customWidth="1"/>
    <col min="12592" max="12592" width="7.2734375" style="500" customWidth="1"/>
    <col min="12593" max="12594" width="2.1796875" style="500" customWidth="1"/>
    <col min="12595" max="12595" width="1.7265625" style="500" customWidth="1"/>
    <col min="12596" max="12596" width="5.546875" style="500" customWidth="1"/>
    <col min="12597" max="12597" width="2" style="500" customWidth="1"/>
    <col min="12598" max="12598" width="1.453125" style="500" customWidth="1"/>
    <col min="12599" max="12599" width="2" style="500" customWidth="1"/>
    <col min="12600" max="12600" width="6.8203125" style="500" customWidth="1"/>
    <col min="12601" max="12601" width="1.7265625" style="500" customWidth="1"/>
    <col min="12602" max="12602" width="2" style="500" customWidth="1"/>
    <col min="12603" max="12603" width="1.8203125" style="500" customWidth="1"/>
    <col min="12604" max="12604" width="6.8203125" style="500" customWidth="1"/>
    <col min="12605" max="12605" width="1.1796875" style="500" customWidth="1"/>
    <col min="12606" max="12606" width="1.2734375" style="500" customWidth="1"/>
    <col min="12607" max="12607" width="1.8203125" style="500" customWidth="1"/>
    <col min="12608" max="12608" width="6.8203125" style="500" customWidth="1"/>
    <col min="12609" max="12609" width="1.453125" style="500" customWidth="1"/>
    <col min="12610" max="12610" width="1.2734375" style="500" customWidth="1"/>
    <col min="12611" max="12611" width="2.1796875" style="500" customWidth="1"/>
    <col min="12612" max="12612" width="5.1796875" style="500" customWidth="1"/>
    <col min="12613" max="12613" width="5.546875" style="500" customWidth="1"/>
    <col min="12614" max="12614" width="1.1796875" style="500" customWidth="1"/>
    <col min="12615" max="12615" width="1.453125" style="500" customWidth="1"/>
    <col min="12616" max="12616" width="6" style="500" customWidth="1"/>
    <col min="12617" max="12617" width="5.8203125" style="500" customWidth="1"/>
    <col min="12618" max="12618" width="1.7265625" style="500" customWidth="1"/>
    <col min="12619" max="12619" width="2.1796875" style="500" customWidth="1"/>
    <col min="12620" max="12623" width="5.8203125" style="500" customWidth="1"/>
    <col min="12624" max="12624" width="6" style="500" customWidth="1"/>
    <col min="12625" max="12625" width="1.546875" style="500" customWidth="1"/>
    <col min="12626" max="12626" width="2.2734375" style="500" customWidth="1"/>
    <col min="12627" max="12627" width="1.546875" style="500" customWidth="1"/>
    <col min="12628" max="12631" width="6.2734375" style="500" customWidth="1"/>
    <col min="12632" max="12632" width="6.1796875" style="500" customWidth="1"/>
    <col min="12633" max="12634" width="1.1796875" style="500" customWidth="1"/>
    <col min="12635" max="12635" width="1.2734375" style="500" customWidth="1"/>
    <col min="12636" max="12639" width="5.8203125" style="500" customWidth="1"/>
    <col min="12640" max="12640" width="6.8203125" style="500" customWidth="1"/>
    <col min="12641" max="12641" width="1.2734375" style="500" customWidth="1"/>
    <col min="12642" max="12643" width="1.7265625" style="500" customWidth="1"/>
    <col min="12644" max="12645" width="10.7265625" style="500" customWidth="1"/>
    <col min="12646" max="12647" width="8.2734375" style="500" customWidth="1"/>
    <col min="12648" max="12648" width="8.7265625" style="500" customWidth="1"/>
    <col min="12649" max="12649" width="8.1796875" style="500" customWidth="1"/>
    <col min="12650" max="12651" width="11.2734375" style="500" customWidth="1"/>
    <col min="12652" max="12652" width="10" style="500" customWidth="1"/>
    <col min="12653" max="12800" width="9.1796875" style="500"/>
    <col min="12801" max="12801" width="5.546875" style="500" customWidth="1"/>
    <col min="12802" max="12802" width="21.2734375" style="500" customWidth="1"/>
    <col min="12803" max="12803" width="38.8203125" style="500" customWidth="1"/>
    <col min="12804" max="12804" width="8.2734375" style="500" customWidth="1"/>
    <col min="12805" max="12805" width="6.1796875" style="500" customWidth="1"/>
    <col min="12806" max="12806" width="1" style="500" customWidth="1"/>
    <col min="12807" max="12807" width="1.2734375" style="500" customWidth="1"/>
    <col min="12808" max="12808" width="5.1796875" style="500" customWidth="1"/>
    <col min="12809" max="12809" width="6.1796875" style="500" customWidth="1"/>
    <col min="12810" max="12810" width="0.7265625" style="500" customWidth="1"/>
    <col min="12811" max="12811" width="1" style="500" customWidth="1"/>
    <col min="12812" max="12812" width="4.7265625" style="500" customWidth="1"/>
    <col min="12813" max="12813" width="6.2734375" style="500" customWidth="1"/>
    <col min="12814" max="12814" width="0.8203125" style="500" customWidth="1"/>
    <col min="12815" max="12815" width="1.1796875" style="500" customWidth="1"/>
    <col min="12816" max="12816" width="6.546875" style="500" customWidth="1"/>
    <col min="12817" max="12817" width="7.1796875" style="500" customWidth="1"/>
    <col min="12818" max="12819" width="1.546875" style="500" customWidth="1"/>
    <col min="12820" max="12820" width="6.8203125" style="500" customWidth="1"/>
    <col min="12821" max="12821" width="2" style="500" customWidth="1"/>
    <col min="12822" max="12822" width="1.2734375" style="500" customWidth="1"/>
    <col min="12823" max="12823" width="2.1796875" style="500" customWidth="1"/>
    <col min="12824" max="12824" width="6.453125" style="500" customWidth="1"/>
    <col min="12825" max="12827" width="2" style="500" customWidth="1"/>
    <col min="12828" max="12828" width="7.7265625" style="500" customWidth="1"/>
    <col min="12829" max="12829" width="1.2734375" style="500" customWidth="1"/>
    <col min="12830" max="12830" width="1.546875" style="500" customWidth="1"/>
    <col min="12831" max="12831" width="1.453125" style="500" customWidth="1"/>
    <col min="12832" max="12832" width="6.1796875" style="500" customWidth="1"/>
    <col min="12833" max="12835" width="1" style="500" customWidth="1"/>
    <col min="12836" max="12836" width="6.453125" style="500" customWidth="1"/>
    <col min="12837" max="12837" width="5.8203125" style="500" customWidth="1"/>
    <col min="12838" max="12838" width="1.453125" style="500" customWidth="1"/>
    <col min="12839" max="12839" width="1.546875" style="500" customWidth="1"/>
    <col min="12840" max="12840" width="6.1796875" style="500" customWidth="1"/>
    <col min="12841" max="12841" width="7" style="500" customWidth="1"/>
    <col min="12842" max="12842" width="1.1796875" style="500" customWidth="1"/>
    <col min="12843" max="12843" width="1.8203125" style="500" customWidth="1"/>
    <col min="12844" max="12844" width="5.8203125" style="500" customWidth="1"/>
    <col min="12845" max="12845" width="1.7265625" style="500" customWidth="1"/>
    <col min="12846" max="12846" width="2.1796875" style="500" customWidth="1"/>
    <col min="12847" max="12847" width="1.1796875" style="500" customWidth="1"/>
    <col min="12848" max="12848" width="7.2734375" style="500" customWidth="1"/>
    <col min="12849" max="12850" width="2.1796875" style="500" customWidth="1"/>
    <col min="12851" max="12851" width="1.7265625" style="500" customWidth="1"/>
    <col min="12852" max="12852" width="5.546875" style="500" customWidth="1"/>
    <col min="12853" max="12853" width="2" style="500" customWidth="1"/>
    <col min="12854" max="12854" width="1.453125" style="500" customWidth="1"/>
    <col min="12855" max="12855" width="2" style="500" customWidth="1"/>
    <col min="12856" max="12856" width="6.8203125" style="500" customWidth="1"/>
    <col min="12857" max="12857" width="1.7265625" style="500" customWidth="1"/>
    <col min="12858" max="12858" width="2" style="500" customWidth="1"/>
    <col min="12859" max="12859" width="1.8203125" style="500" customWidth="1"/>
    <col min="12860" max="12860" width="6.8203125" style="500" customWidth="1"/>
    <col min="12861" max="12861" width="1.1796875" style="500" customWidth="1"/>
    <col min="12862" max="12862" width="1.2734375" style="500" customWidth="1"/>
    <col min="12863" max="12863" width="1.8203125" style="500" customWidth="1"/>
    <col min="12864" max="12864" width="6.8203125" style="500" customWidth="1"/>
    <col min="12865" max="12865" width="1.453125" style="500" customWidth="1"/>
    <col min="12866" max="12866" width="1.2734375" style="500" customWidth="1"/>
    <col min="12867" max="12867" width="2.1796875" style="500" customWidth="1"/>
    <col min="12868" max="12868" width="5.1796875" style="500" customWidth="1"/>
    <col min="12869" max="12869" width="5.546875" style="500" customWidth="1"/>
    <col min="12870" max="12870" width="1.1796875" style="500" customWidth="1"/>
    <col min="12871" max="12871" width="1.453125" style="500" customWidth="1"/>
    <col min="12872" max="12872" width="6" style="500" customWidth="1"/>
    <col min="12873" max="12873" width="5.8203125" style="500" customWidth="1"/>
    <col min="12874" max="12874" width="1.7265625" style="500" customWidth="1"/>
    <col min="12875" max="12875" width="2.1796875" style="500" customWidth="1"/>
    <col min="12876" max="12879" width="5.8203125" style="500" customWidth="1"/>
    <col min="12880" max="12880" width="6" style="500" customWidth="1"/>
    <col min="12881" max="12881" width="1.546875" style="500" customWidth="1"/>
    <col min="12882" max="12882" width="2.2734375" style="500" customWidth="1"/>
    <col min="12883" max="12883" width="1.546875" style="500" customWidth="1"/>
    <col min="12884" max="12887" width="6.2734375" style="500" customWidth="1"/>
    <col min="12888" max="12888" width="6.1796875" style="500" customWidth="1"/>
    <col min="12889" max="12890" width="1.1796875" style="500" customWidth="1"/>
    <col min="12891" max="12891" width="1.2734375" style="500" customWidth="1"/>
    <col min="12892" max="12895" width="5.8203125" style="500" customWidth="1"/>
    <col min="12896" max="12896" width="6.8203125" style="500" customWidth="1"/>
    <col min="12897" max="12897" width="1.2734375" style="500" customWidth="1"/>
    <col min="12898" max="12899" width="1.7265625" style="500" customWidth="1"/>
    <col min="12900" max="12901" width="10.7265625" style="500" customWidth="1"/>
    <col min="12902" max="12903" width="8.2734375" style="500" customWidth="1"/>
    <col min="12904" max="12904" width="8.7265625" style="500" customWidth="1"/>
    <col min="12905" max="12905" width="8.1796875" style="500" customWidth="1"/>
    <col min="12906" max="12907" width="11.2734375" style="500" customWidth="1"/>
    <col min="12908" max="12908" width="10" style="500" customWidth="1"/>
    <col min="12909" max="13056" width="9.1796875" style="500"/>
    <col min="13057" max="13057" width="5.546875" style="500" customWidth="1"/>
    <col min="13058" max="13058" width="21.2734375" style="500" customWidth="1"/>
    <col min="13059" max="13059" width="38.8203125" style="500" customWidth="1"/>
    <col min="13060" max="13060" width="8.2734375" style="500" customWidth="1"/>
    <col min="13061" max="13061" width="6.1796875" style="500" customWidth="1"/>
    <col min="13062" max="13062" width="1" style="500" customWidth="1"/>
    <col min="13063" max="13063" width="1.2734375" style="500" customWidth="1"/>
    <col min="13064" max="13064" width="5.1796875" style="500" customWidth="1"/>
    <col min="13065" max="13065" width="6.1796875" style="500" customWidth="1"/>
    <col min="13066" max="13066" width="0.7265625" style="500" customWidth="1"/>
    <col min="13067" max="13067" width="1" style="500" customWidth="1"/>
    <col min="13068" max="13068" width="4.7265625" style="500" customWidth="1"/>
    <col min="13069" max="13069" width="6.2734375" style="500" customWidth="1"/>
    <col min="13070" max="13070" width="0.8203125" style="500" customWidth="1"/>
    <col min="13071" max="13071" width="1.1796875" style="500" customWidth="1"/>
    <col min="13072" max="13072" width="6.546875" style="500" customWidth="1"/>
    <col min="13073" max="13073" width="7.1796875" style="500" customWidth="1"/>
    <col min="13074" max="13075" width="1.546875" style="500" customWidth="1"/>
    <col min="13076" max="13076" width="6.8203125" style="500" customWidth="1"/>
    <col min="13077" max="13077" width="2" style="500" customWidth="1"/>
    <col min="13078" max="13078" width="1.2734375" style="500" customWidth="1"/>
    <col min="13079" max="13079" width="2.1796875" style="500" customWidth="1"/>
    <col min="13080" max="13080" width="6.453125" style="500" customWidth="1"/>
    <col min="13081" max="13083" width="2" style="500" customWidth="1"/>
    <col min="13084" max="13084" width="7.7265625" style="500" customWidth="1"/>
    <col min="13085" max="13085" width="1.2734375" style="500" customWidth="1"/>
    <col min="13086" max="13086" width="1.546875" style="500" customWidth="1"/>
    <col min="13087" max="13087" width="1.453125" style="500" customWidth="1"/>
    <col min="13088" max="13088" width="6.1796875" style="500" customWidth="1"/>
    <col min="13089" max="13091" width="1" style="500" customWidth="1"/>
    <col min="13092" max="13092" width="6.453125" style="500" customWidth="1"/>
    <col min="13093" max="13093" width="5.8203125" style="500" customWidth="1"/>
    <col min="13094" max="13094" width="1.453125" style="500" customWidth="1"/>
    <col min="13095" max="13095" width="1.546875" style="500" customWidth="1"/>
    <col min="13096" max="13096" width="6.1796875" style="500" customWidth="1"/>
    <col min="13097" max="13097" width="7" style="500" customWidth="1"/>
    <col min="13098" max="13098" width="1.1796875" style="500" customWidth="1"/>
    <col min="13099" max="13099" width="1.8203125" style="500" customWidth="1"/>
    <col min="13100" max="13100" width="5.8203125" style="500" customWidth="1"/>
    <col min="13101" max="13101" width="1.7265625" style="500" customWidth="1"/>
    <col min="13102" max="13102" width="2.1796875" style="500" customWidth="1"/>
    <col min="13103" max="13103" width="1.1796875" style="500" customWidth="1"/>
    <col min="13104" max="13104" width="7.2734375" style="500" customWidth="1"/>
    <col min="13105" max="13106" width="2.1796875" style="500" customWidth="1"/>
    <col min="13107" max="13107" width="1.7265625" style="500" customWidth="1"/>
    <col min="13108" max="13108" width="5.546875" style="500" customWidth="1"/>
    <col min="13109" max="13109" width="2" style="500" customWidth="1"/>
    <col min="13110" max="13110" width="1.453125" style="500" customWidth="1"/>
    <col min="13111" max="13111" width="2" style="500" customWidth="1"/>
    <col min="13112" max="13112" width="6.8203125" style="500" customWidth="1"/>
    <col min="13113" max="13113" width="1.7265625" style="500" customWidth="1"/>
    <col min="13114" max="13114" width="2" style="500" customWidth="1"/>
    <col min="13115" max="13115" width="1.8203125" style="500" customWidth="1"/>
    <col min="13116" max="13116" width="6.8203125" style="500" customWidth="1"/>
    <col min="13117" max="13117" width="1.1796875" style="500" customWidth="1"/>
    <col min="13118" max="13118" width="1.2734375" style="500" customWidth="1"/>
    <col min="13119" max="13119" width="1.8203125" style="500" customWidth="1"/>
    <col min="13120" max="13120" width="6.8203125" style="500" customWidth="1"/>
    <col min="13121" max="13121" width="1.453125" style="500" customWidth="1"/>
    <col min="13122" max="13122" width="1.2734375" style="500" customWidth="1"/>
    <col min="13123" max="13123" width="2.1796875" style="500" customWidth="1"/>
    <col min="13124" max="13124" width="5.1796875" style="500" customWidth="1"/>
    <col min="13125" max="13125" width="5.546875" style="500" customWidth="1"/>
    <col min="13126" max="13126" width="1.1796875" style="500" customWidth="1"/>
    <col min="13127" max="13127" width="1.453125" style="500" customWidth="1"/>
    <col min="13128" max="13128" width="6" style="500" customWidth="1"/>
    <col min="13129" max="13129" width="5.8203125" style="500" customWidth="1"/>
    <col min="13130" max="13130" width="1.7265625" style="500" customWidth="1"/>
    <col min="13131" max="13131" width="2.1796875" style="500" customWidth="1"/>
    <col min="13132" max="13135" width="5.8203125" style="500" customWidth="1"/>
    <col min="13136" max="13136" width="6" style="500" customWidth="1"/>
    <col min="13137" max="13137" width="1.546875" style="500" customWidth="1"/>
    <col min="13138" max="13138" width="2.2734375" style="500" customWidth="1"/>
    <col min="13139" max="13139" width="1.546875" style="500" customWidth="1"/>
    <col min="13140" max="13143" width="6.2734375" style="500" customWidth="1"/>
    <col min="13144" max="13144" width="6.1796875" style="500" customWidth="1"/>
    <col min="13145" max="13146" width="1.1796875" style="500" customWidth="1"/>
    <col min="13147" max="13147" width="1.2734375" style="500" customWidth="1"/>
    <col min="13148" max="13151" width="5.8203125" style="500" customWidth="1"/>
    <col min="13152" max="13152" width="6.8203125" style="500" customWidth="1"/>
    <col min="13153" max="13153" width="1.2734375" style="500" customWidth="1"/>
    <col min="13154" max="13155" width="1.7265625" style="500" customWidth="1"/>
    <col min="13156" max="13157" width="10.7265625" style="500" customWidth="1"/>
    <col min="13158" max="13159" width="8.2734375" style="500" customWidth="1"/>
    <col min="13160" max="13160" width="8.7265625" style="500" customWidth="1"/>
    <col min="13161" max="13161" width="8.1796875" style="500" customWidth="1"/>
    <col min="13162" max="13163" width="11.2734375" style="500" customWidth="1"/>
    <col min="13164" max="13164" width="10" style="500" customWidth="1"/>
    <col min="13165" max="13312" width="9.1796875" style="500"/>
    <col min="13313" max="13313" width="5.546875" style="500" customWidth="1"/>
    <col min="13314" max="13314" width="21.2734375" style="500" customWidth="1"/>
    <col min="13315" max="13315" width="38.8203125" style="500" customWidth="1"/>
    <col min="13316" max="13316" width="8.2734375" style="500" customWidth="1"/>
    <col min="13317" max="13317" width="6.1796875" style="500" customWidth="1"/>
    <col min="13318" max="13318" width="1" style="500" customWidth="1"/>
    <col min="13319" max="13319" width="1.2734375" style="500" customWidth="1"/>
    <col min="13320" max="13320" width="5.1796875" style="500" customWidth="1"/>
    <col min="13321" max="13321" width="6.1796875" style="500" customWidth="1"/>
    <col min="13322" max="13322" width="0.7265625" style="500" customWidth="1"/>
    <col min="13323" max="13323" width="1" style="500" customWidth="1"/>
    <col min="13324" max="13324" width="4.7265625" style="500" customWidth="1"/>
    <col min="13325" max="13325" width="6.2734375" style="500" customWidth="1"/>
    <col min="13326" max="13326" width="0.8203125" style="500" customWidth="1"/>
    <col min="13327" max="13327" width="1.1796875" style="500" customWidth="1"/>
    <col min="13328" max="13328" width="6.546875" style="500" customWidth="1"/>
    <col min="13329" max="13329" width="7.1796875" style="500" customWidth="1"/>
    <col min="13330" max="13331" width="1.546875" style="500" customWidth="1"/>
    <col min="13332" max="13332" width="6.8203125" style="500" customWidth="1"/>
    <col min="13333" max="13333" width="2" style="500" customWidth="1"/>
    <col min="13334" max="13334" width="1.2734375" style="500" customWidth="1"/>
    <col min="13335" max="13335" width="2.1796875" style="500" customWidth="1"/>
    <col min="13336" max="13336" width="6.453125" style="500" customWidth="1"/>
    <col min="13337" max="13339" width="2" style="500" customWidth="1"/>
    <col min="13340" max="13340" width="7.7265625" style="500" customWidth="1"/>
    <col min="13341" max="13341" width="1.2734375" style="500" customWidth="1"/>
    <col min="13342" max="13342" width="1.546875" style="500" customWidth="1"/>
    <col min="13343" max="13343" width="1.453125" style="500" customWidth="1"/>
    <col min="13344" max="13344" width="6.1796875" style="500" customWidth="1"/>
    <col min="13345" max="13347" width="1" style="500" customWidth="1"/>
    <col min="13348" max="13348" width="6.453125" style="500" customWidth="1"/>
    <col min="13349" max="13349" width="5.8203125" style="500" customWidth="1"/>
    <col min="13350" max="13350" width="1.453125" style="500" customWidth="1"/>
    <col min="13351" max="13351" width="1.546875" style="500" customWidth="1"/>
    <col min="13352" max="13352" width="6.1796875" style="500" customWidth="1"/>
    <col min="13353" max="13353" width="7" style="500" customWidth="1"/>
    <col min="13354" max="13354" width="1.1796875" style="500" customWidth="1"/>
    <col min="13355" max="13355" width="1.8203125" style="500" customWidth="1"/>
    <col min="13356" max="13356" width="5.8203125" style="500" customWidth="1"/>
    <col min="13357" max="13357" width="1.7265625" style="500" customWidth="1"/>
    <col min="13358" max="13358" width="2.1796875" style="500" customWidth="1"/>
    <col min="13359" max="13359" width="1.1796875" style="500" customWidth="1"/>
    <col min="13360" max="13360" width="7.2734375" style="500" customWidth="1"/>
    <col min="13361" max="13362" width="2.1796875" style="500" customWidth="1"/>
    <col min="13363" max="13363" width="1.7265625" style="500" customWidth="1"/>
    <col min="13364" max="13364" width="5.546875" style="500" customWidth="1"/>
    <col min="13365" max="13365" width="2" style="500" customWidth="1"/>
    <col min="13366" max="13366" width="1.453125" style="500" customWidth="1"/>
    <col min="13367" max="13367" width="2" style="500" customWidth="1"/>
    <col min="13368" max="13368" width="6.8203125" style="500" customWidth="1"/>
    <col min="13369" max="13369" width="1.7265625" style="500" customWidth="1"/>
    <col min="13370" max="13370" width="2" style="500" customWidth="1"/>
    <col min="13371" max="13371" width="1.8203125" style="500" customWidth="1"/>
    <col min="13372" max="13372" width="6.8203125" style="500" customWidth="1"/>
    <col min="13373" max="13373" width="1.1796875" style="500" customWidth="1"/>
    <col min="13374" max="13374" width="1.2734375" style="500" customWidth="1"/>
    <col min="13375" max="13375" width="1.8203125" style="500" customWidth="1"/>
    <col min="13376" max="13376" width="6.8203125" style="500" customWidth="1"/>
    <col min="13377" max="13377" width="1.453125" style="500" customWidth="1"/>
    <col min="13378" max="13378" width="1.2734375" style="500" customWidth="1"/>
    <col min="13379" max="13379" width="2.1796875" style="500" customWidth="1"/>
    <col min="13380" max="13380" width="5.1796875" style="500" customWidth="1"/>
    <col min="13381" max="13381" width="5.546875" style="500" customWidth="1"/>
    <col min="13382" max="13382" width="1.1796875" style="500" customWidth="1"/>
    <col min="13383" max="13383" width="1.453125" style="500" customWidth="1"/>
    <col min="13384" max="13384" width="6" style="500" customWidth="1"/>
    <col min="13385" max="13385" width="5.8203125" style="500" customWidth="1"/>
    <col min="13386" max="13386" width="1.7265625" style="500" customWidth="1"/>
    <col min="13387" max="13387" width="2.1796875" style="500" customWidth="1"/>
    <col min="13388" max="13391" width="5.8203125" style="500" customWidth="1"/>
    <col min="13392" max="13392" width="6" style="500" customWidth="1"/>
    <col min="13393" max="13393" width="1.546875" style="500" customWidth="1"/>
    <col min="13394" max="13394" width="2.2734375" style="500" customWidth="1"/>
    <col min="13395" max="13395" width="1.546875" style="500" customWidth="1"/>
    <col min="13396" max="13399" width="6.2734375" style="500" customWidth="1"/>
    <col min="13400" max="13400" width="6.1796875" style="500" customWidth="1"/>
    <col min="13401" max="13402" width="1.1796875" style="500" customWidth="1"/>
    <col min="13403" max="13403" width="1.2734375" style="500" customWidth="1"/>
    <col min="13404" max="13407" width="5.8203125" style="500" customWidth="1"/>
    <col min="13408" max="13408" width="6.8203125" style="500" customWidth="1"/>
    <col min="13409" max="13409" width="1.2734375" style="500" customWidth="1"/>
    <col min="13410" max="13411" width="1.7265625" style="500" customWidth="1"/>
    <col min="13412" max="13413" width="10.7265625" style="500" customWidth="1"/>
    <col min="13414" max="13415" width="8.2734375" style="500" customWidth="1"/>
    <col min="13416" max="13416" width="8.7265625" style="500" customWidth="1"/>
    <col min="13417" max="13417" width="8.1796875" style="500" customWidth="1"/>
    <col min="13418" max="13419" width="11.2734375" style="500" customWidth="1"/>
    <col min="13420" max="13420" width="10" style="500" customWidth="1"/>
    <col min="13421" max="13568" width="9.1796875" style="500"/>
    <col min="13569" max="13569" width="5.546875" style="500" customWidth="1"/>
    <col min="13570" max="13570" width="21.2734375" style="500" customWidth="1"/>
    <col min="13571" max="13571" width="38.8203125" style="500" customWidth="1"/>
    <col min="13572" max="13572" width="8.2734375" style="500" customWidth="1"/>
    <col min="13573" max="13573" width="6.1796875" style="500" customWidth="1"/>
    <col min="13574" max="13574" width="1" style="500" customWidth="1"/>
    <col min="13575" max="13575" width="1.2734375" style="500" customWidth="1"/>
    <col min="13576" max="13576" width="5.1796875" style="500" customWidth="1"/>
    <col min="13577" max="13577" width="6.1796875" style="500" customWidth="1"/>
    <col min="13578" max="13578" width="0.7265625" style="500" customWidth="1"/>
    <col min="13579" max="13579" width="1" style="500" customWidth="1"/>
    <col min="13580" max="13580" width="4.7265625" style="500" customWidth="1"/>
    <col min="13581" max="13581" width="6.2734375" style="500" customWidth="1"/>
    <col min="13582" max="13582" width="0.8203125" style="500" customWidth="1"/>
    <col min="13583" max="13583" width="1.1796875" style="500" customWidth="1"/>
    <col min="13584" max="13584" width="6.546875" style="500" customWidth="1"/>
    <col min="13585" max="13585" width="7.1796875" style="500" customWidth="1"/>
    <col min="13586" max="13587" width="1.546875" style="500" customWidth="1"/>
    <col min="13588" max="13588" width="6.8203125" style="500" customWidth="1"/>
    <col min="13589" max="13589" width="2" style="500" customWidth="1"/>
    <col min="13590" max="13590" width="1.2734375" style="500" customWidth="1"/>
    <col min="13591" max="13591" width="2.1796875" style="500" customWidth="1"/>
    <col min="13592" max="13592" width="6.453125" style="500" customWidth="1"/>
    <col min="13593" max="13595" width="2" style="500" customWidth="1"/>
    <col min="13596" max="13596" width="7.7265625" style="500" customWidth="1"/>
    <col min="13597" max="13597" width="1.2734375" style="500" customWidth="1"/>
    <col min="13598" max="13598" width="1.546875" style="500" customWidth="1"/>
    <col min="13599" max="13599" width="1.453125" style="500" customWidth="1"/>
    <col min="13600" max="13600" width="6.1796875" style="500" customWidth="1"/>
    <col min="13601" max="13603" width="1" style="500" customWidth="1"/>
    <col min="13604" max="13604" width="6.453125" style="500" customWidth="1"/>
    <col min="13605" max="13605" width="5.8203125" style="500" customWidth="1"/>
    <col min="13606" max="13606" width="1.453125" style="500" customWidth="1"/>
    <col min="13607" max="13607" width="1.546875" style="500" customWidth="1"/>
    <col min="13608" max="13608" width="6.1796875" style="500" customWidth="1"/>
    <col min="13609" max="13609" width="7" style="500" customWidth="1"/>
    <col min="13610" max="13610" width="1.1796875" style="500" customWidth="1"/>
    <col min="13611" max="13611" width="1.8203125" style="500" customWidth="1"/>
    <col min="13612" max="13612" width="5.8203125" style="500" customWidth="1"/>
    <col min="13613" max="13613" width="1.7265625" style="500" customWidth="1"/>
    <col min="13614" max="13614" width="2.1796875" style="500" customWidth="1"/>
    <col min="13615" max="13615" width="1.1796875" style="500" customWidth="1"/>
    <col min="13616" max="13616" width="7.2734375" style="500" customWidth="1"/>
    <col min="13617" max="13618" width="2.1796875" style="500" customWidth="1"/>
    <col min="13619" max="13619" width="1.7265625" style="500" customWidth="1"/>
    <col min="13620" max="13620" width="5.546875" style="500" customWidth="1"/>
    <col min="13621" max="13621" width="2" style="500" customWidth="1"/>
    <col min="13622" max="13622" width="1.453125" style="500" customWidth="1"/>
    <col min="13623" max="13623" width="2" style="500" customWidth="1"/>
    <col min="13624" max="13624" width="6.8203125" style="500" customWidth="1"/>
    <col min="13625" max="13625" width="1.7265625" style="500" customWidth="1"/>
    <col min="13626" max="13626" width="2" style="500" customWidth="1"/>
    <col min="13627" max="13627" width="1.8203125" style="500" customWidth="1"/>
    <col min="13628" max="13628" width="6.8203125" style="500" customWidth="1"/>
    <col min="13629" max="13629" width="1.1796875" style="500" customWidth="1"/>
    <col min="13630" max="13630" width="1.2734375" style="500" customWidth="1"/>
    <col min="13631" max="13631" width="1.8203125" style="500" customWidth="1"/>
    <col min="13632" max="13632" width="6.8203125" style="500" customWidth="1"/>
    <col min="13633" max="13633" width="1.453125" style="500" customWidth="1"/>
    <col min="13634" max="13634" width="1.2734375" style="500" customWidth="1"/>
    <col min="13635" max="13635" width="2.1796875" style="500" customWidth="1"/>
    <col min="13636" max="13636" width="5.1796875" style="500" customWidth="1"/>
    <col min="13637" max="13637" width="5.546875" style="500" customWidth="1"/>
    <col min="13638" max="13638" width="1.1796875" style="500" customWidth="1"/>
    <col min="13639" max="13639" width="1.453125" style="500" customWidth="1"/>
    <col min="13640" max="13640" width="6" style="500" customWidth="1"/>
    <col min="13641" max="13641" width="5.8203125" style="500" customWidth="1"/>
    <col min="13642" max="13642" width="1.7265625" style="500" customWidth="1"/>
    <col min="13643" max="13643" width="2.1796875" style="500" customWidth="1"/>
    <col min="13644" max="13647" width="5.8203125" style="500" customWidth="1"/>
    <col min="13648" max="13648" width="6" style="500" customWidth="1"/>
    <col min="13649" max="13649" width="1.546875" style="500" customWidth="1"/>
    <col min="13650" max="13650" width="2.2734375" style="500" customWidth="1"/>
    <col min="13651" max="13651" width="1.546875" style="500" customWidth="1"/>
    <col min="13652" max="13655" width="6.2734375" style="500" customWidth="1"/>
    <col min="13656" max="13656" width="6.1796875" style="500" customWidth="1"/>
    <col min="13657" max="13658" width="1.1796875" style="500" customWidth="1"/>
    <col min="13659" max="13659" width="1.2734375" style="500" customWidth="1"/>
    <col min="13660" max="13663" width="5.8203125" style="500" customWidth="1"/>
    <col min="13664" max="13664" width="6.8203125" style="500" customWidth="1"/>
    <col min="13665" max="13665" width="1.2734375" style="500" customWidth="1"/>
    <col min="13666" max="13667" width="1.7265625" style="500" customWidth="1"/>
    <col min="13668" max="13669" width="10.7265625" style="500" customWidth="1"/>
    <col min="13670" max="13671" width="8.2734375" style="500" customWidth="1"/>
    <col min="13672" max="13672" width="8.7265625" style="500" customWidth="1"/>
    <col min="13673" max="13673" width="8.1796875" style="500" customWidth="1"/>
    <col min="13674" max="13675" width="11.2734375" style="500" customWidth="1"/>
    <col min="13676" max="13676" width="10" style="500" customWidth="1"/>
    <col min="13677" max="13824" width="9.1796875" style="500"/>
    <col min="13825" max="13825" width="5.546875" style="500" customWidth="1"/>
    <col min="13826" max="13826" width="21.2734375" style="500" customWidth="1"/>
    <col min="13827" max="13827" width="38.8203125" style="500" customWidth="1"/>
    <col min="13828" max="13828" width="8.2734375" style="500" customWidth="1"/>
    <col min="13829" max="13829" width="6.1796875" style="500" customWidth="1"/>
    <col min="13830" max="13830" width="1" style="500" customWidth="1"/>
    <col min="13831" max="13831" width="1.2734375" style="500" customWidth="1"/>
    <col min="13832" max="13832" width="5.1796875" style="500" customWidth="1"/>
    <col min="13833" max="13833" width="6.1796875" style="500" customWidth="1"/>
    <col min="13834" max="13834" width="0.7265625" style="500" customWidth="1"/>
    <col min="13835" max="13835" width="1" style="500" customWidth="1"/>
    <col min="13836" max="13836" width="4.7265625" style="500" customWidth="1"/>
    <col min="13837" max="13837" width="6.2734375" style="500" customWidth="1"/>
    <col min="13838" max="13838" width="0.8203125" style="500" customWidth="1"/>
    <col min="13839" max="13839" width="1.1796875" style="500" customWidth="1"/>
    <col min="13840" max="13840" width="6.546875" style="500" customWidth="1"/>
    <col min="13841" max="13841" width="7.1796875" style="500" customWidth="1"/>
    <col min="13842" max="13843" width="1.546875" style="500" customWidth="1"/>
    <col min="13844" max="13844" width="6.8203125" style="500" customWidth="1"/>
    <col min="13845" max="13845" width="2" style="500" customWidth="1"/>
    <col min="13846" max="13846" width="1.2734375" style="500" customWidth="1"/>
    <col min="13847" max="13847" width="2.1796875" style="500" customWidth="1"/>
    <col min="13848" max="13848" width="6.453125" style="500" customWidth="1"/>
    <col min="13849" max="13851" width="2" style="500" customWidth="1"/>
    <col min="13852" max="13852" width="7.7265625" style="500" customWidth="1"/>
    <col min="13853" max="13853" width="1.2734375" style="500" customWidth="1"/>
    <col min="13854" max="13854" width="1.546875" style="500" customWidth="1"/>
    <col min="13855" max="13855" width="1.453125" style="500" customWidth="1"/>
    <col min="13856" max="13856" width="6.1796875" style="500" customWidth="1"/>
    <col min="13857" max="13859" width="1" style="500" customWidth="1"/>
    <col min="13860" max="13860" width="6.453125" style="500" customWidth="1"/>
    <col min="13861" max="13861" width="5.8203125" style="500" customWidth="1"/>
    <col min="13862" max="13862" width="1.453125" style="500" customWidth="1"/>
    <col min="13863" max="13863" width="1.546875" style="500" customWidth="1"/>
    <col min="13864" max="13864" width="6.1796875" style="500" customWidth="1"/>
    <col min="13865" max="13865" width="7" style="500" customWidth="1"/>
    <col min="13866" max="13866" width="1.1796875" style="500" customWidth="1"/>
    <col min="13867" max="13867" width="1.8203125" style="500" customWidth="1"/>
    <col min="13868" max="13868" width="5.8203125" style="500" customWidth="1"/>
    <col min="13869" max="13869" width="1.7265625" style="500" customWidth="1"/>
    <col min="13870" max="13870" width="2.1796875" style="500" customWidth="1"/>
    <col min="13871" max="13871" width="1.1796875" style="500" customWidth="1"/>
    <col min="13872" max="13872" width="7.2734375" style="500" customWidth="1"/>
    <col min="13873" max="13874" width="2.1796875" style="500" customWidth="1"/>
    <col min="13875" max="13875" width="1.7265625" style="500" customWidth="1"/>
    <col min="13876" max="13876" width="5.546875" style="500" customWidth="1"/>
    <col min="13877" max="13877" width="2" style="500" customWidth="1"/>
    <col min="13878" max="13878" width="1.453125" style="500" customWidth="1"/>
    <col min="13879" max="13879" width="2" style="500" customWidth="1"/>
    <col min="13880" max="13880" width="6.8203125" style="500" customWidth="1"/>
    <col min="13881" max="13881" width="1.7265625" style="500" customWidth="1"/>
    <col min="13882" max="13882" width="2" style="500" customWidth="1"/>
    <col min="13883" max="13883" width="1.8203125" style="500" customWidth="1"/>
    <col min="13884" max="13884" width="6.8203125" style="500" customWidth="1"/>
    <col min="13885" max="13885" width="1.1796875" style="500" customWidth="1"/>
    <col min="13886" max="13886" width="1.2734375" style="500" customWidth="1"/>
    <col min="13887" max="13887" width="1.8203125" style="500" customWidth="1"/>
    <col min="13888" max="13888" width="6.8203125" style="500" customWidth="1"/>
    <col min="13889" max="13889" width="1.453125" style="500" customWidth="1"/>
    <col min="13890" max="13890" width="1.2734375" style="500" customWidth="1"/>
    <col min="13891" max="13891" width="2.1796875" style="500" customWidth="1"/>
    <col min="13892" max="13892" width="5.1796875" style="500" customWidth="1"/>
    <col min="13893" max="13893" width="5.546875" style="500" customWidth="1"/>
    <col min="13894" max="13894" width="1.1796875" style="500" customWidth="1"/>
    <col min="13895" max="13895" width="1.453125" style="500" customWidth="1"/>
    <col min="13896" max="13896" width="6" style="500" customWidth="1"/>
    <col min="13897" max="13897" width="5.8203125" style="500" customWidth="1"/>
    <col min="13898" max="13898" width="1.7265625" style="500" customWidth="1"/>
    <col min="13899" max="13899" width="2.1796875" style="500" customWidth="1"/>
    <col min="13900" max="13903" width="5.8203125" style="500" customWidth="1"/>
    <col min="13904" max="13904" width="6" style="500" customWidth="1"/>
    <col min="13905" max="13905" width="1.546875" style="500" customWidth="1"/>
    <col min="13906" max="13906" width="2.2734375" style="500" customWidth="1"/>
    <col min="13907" max="13907" width="1.546875" style="500" customWidth="1"/>
    <col min="13908" max="13911" width="6.2734375" style="500" customWidth="1"/>
    <col min="13912" max="13912" width="6.1796875" style="500" customWidth="1"/>
    <col min="13913" max="13914" width="1.1796875" style="500" customWidth="1"/>
    <col min="13915" max="13915" width="1.2734375" style="500" customWidth="1"/>
    <col min="13916" max="13919" width="5.8203125" style="500" customWidth="1"/>
    <col min="13920" max="13920" width="6.8203125" style="500" customWidth="1"/>
    <col min="13921" max="13921" width="1.2734375" style="500" customWidth="1"/>
    <col min="13922" max="13923" width="1.7265625" style="500" customWidth="1"/>
    <col min="13924" max="13925" width="10.7265625" style="500" customWidth="1"/>
    <col min="13926" max="13927" width="8.2734375" style="500" customWidth="1"/>
    <col min="13928" max="13928" width="8.7265625" style="500" customWidth="1"/>
    <col min="13929" max="13929" width="8.1796875" style="500" customWidth="1"/>
    <col min="13930" max="13931" width="11.2734375" style="500" customWidth="1"/>
    <col min="13932" max="13932" width="10" style="500" customWidth="1"/>
    <col min="13933" max="14080" width="9.1796875" style="500"/>
    <col min="14081" max="14081" width="5.546875" style="500" customWidth="1"/>
    <col min="14082" max="14082" width="21.2734375" style="500" customWidth="1"/>
    <col min="14083" max="14083" width="38.8203125" style="500" customWidth="1"/>
    <col min="14084" max="14084" width="8.2734375" style="500" customWidth="1"/>
    <col min="14085" max="14085" width="6.1796875" style="500" customWidth="1"/>
    <col min="14086" max="14086" width="1" style="500" customWidth="1"/>
    <col min="14087" max="14087" width="1.2734375" style="500" customWidth="1"/>
    <col min="14088" max="14088" width="5.1796875" style="500" customWidth="1"/>
    <col min="14089" max="14089" width="6.1796875" style="500" customWidth="1"/>
    <col min="14090" max="14090" width="0.7265625" style="500" customWidth="1"/>
    <col min="14091" max="14091" width="1" style="500" customWidth="1"/>
    <col min="14092" max="14092" width="4.7265625" style="500" customWidth="1"/>
    <col min="14093" max="14093" width="6.2734375" style="500" customWidth="1"/>
    <col min="14094" max="14094" width="0.8203125" style="500" customWidth="1"/>
    <col min="14095" max="14095" width="1.1796875" style="500" customWidth="1"/>
    <col min="14096" max="14096" width="6.546875" style="500" customWidth="1"/>
    <col min="14097" max="14097" width="7.1796875" style="500" customWidth="1"/>
    <col min="14098" max="14099" width="1.546875" style="500" customWidth="1"/>
    <col min="14100" max="14100" width="6.8203125" style="500" customWidth="1"/>
    <col min="14101" max="14101" width="2" style="500" customWidth="1"/>
    <col min="14102" max="14102" width="1.2734375" style="500" customWidth="1"/>
    <col min="14103" max="14103" width="2.1796875" style="500" customWidth="1"/>
    <col min="14104" max="14104" width="6.453125" style="500" customWidth="1"/>
    <col min="14105" max="14107" width="2" style="500" customWidth="1"/>
    <col min="14108" max="14108" width="7.7265625" style="500" customWidth="1"/>
    <col min="14109" max="14109" width="1.2734375" style="500" customWidth="1"/>
    <col min="14110" max="14110" width="1.546875" style="500" customWidth="1"/>
    <col min="14111" max="14111" width="1.453125" style="500" customWidth="1"/>
    <col min="14112" max="14112" width="6.1796875" style="500" customWidth="1"/>
    <col min="14113" max="14115" width="1" style="500" customWidth="1"/>
    <col min="14116" max="14116" width="6.453125" style="500" customWidth="1"/>
    <col min="14117" max="14117" width="5.8203125" style="500" customWidth="1"/>
    <col min="14118" max="14118" width="1.453125" style="500" customWidth="1"/>
    <col min="14119" max="14119" width="1.546875" style="500" customWidth="1"/>
    <col min="14120" max="14120" width="6.1796875" style="500" customWidth="1"/>
    <col min="14121" max="14121" width="7" style="500" customWidth="1"/>
    <col min="14122" max="14122" width="1.1796875" style="500" customWidth="1"/>
    <col min="14123" max="14123" width="1.8203125" style="500" customWidth="1"/>
    <col min="14124" max="14124" width="5.8203125" style="500" customWidth="1"/>
    <col min="14125" max="14125" width="1.7265625" style="500" customWidth="1"/>
    <col min="14126" max="14126" width="2.1796875" style="500" customWidth="1"/>
    <col min="14127" max="14127" width="1.1796875" style="500" customWidth="1"/>
    <col min="14128" max="14128" width="7.2734375" style="500" customWidth="1"/>
    <col min="14129" max="14130" width="2.1796875" style="500" customWidth="1"/>
    <col min="14131" max="14131" width="1.7265625" style="500" customWidth="1"/>
    <col min="14132" max="14132" width="5.546875" style="500" customWidth="1"/>
    <col min="14133" max="14133" width="2" style="500" customWidth="1"/>
    <col min="14134" max="14134" width="1.453125" style="500" customWidth="1"/>
    <col min="14135" max="14135" width="2" style="500" customWidth="1"/>
    <col min="14136" max="14136" width="6.8203125" style="500" customWidth="1"/>
    <col min="14137" max="14137" width="1.7265625" style="500" customWidth="1"/>
    <col min="14138" max="14138" width="2" style="500" customWidth="1"/>
    <col min="14139" max="14139" width="1.8203125" style="500" customWidth="1"/>
    <col min="14140" max="14140" width="6.8203125" style="500" customWidth="1"/>
    <col min="14141" max="14141" width="1.1796875" style="500" customWidth="1"/>
    <col min="14142" max="14142" width="1.2734375" style="500" customWidth="1"/>
    <col min="14143" max="14143" width="1.8203125" style="500" customWidth="1"/>
    <col min="14144" max="14144" width="6.8203125" style="500" customWidth="1"/>
    <col min="14145" max="14145" width="1.453125" style="500" customWidth="1"/>
    <col min="14146" max="14146" width="1.2734375" style="500" customWidth="1"/>
    <col min="14147" max="14147" width="2.1796875" style="500" customWidth="1"/>
    <col min="14148" max="14148" width="5.1796875" style="500" customWidth="1"/>
    <col min="14149" max="14149" width="5.546875" style="500" customWidth="1"/>
    <col min="14150" max="14150" width="1.1796875" style="500" customWidth="1"/>
    <col min="14151" max="14151" width="1.453125" style="500" customWidth="1"/>
    <col min="14152" max="14152" width="6" style="500" customWidth="1"/>
    <col min="14153" max="14153" width="5.8203125" style="500" customWidth="1"/>
    <col min="14154" max="14154" width="1.7265625" style="500" customWidth="1"/>
    <col min="14155" max="14155" width="2.1796875" style="500" customWidth="1"/>
    <col min="14156" max="14159" width="5.8203125" style="500" customWidth="1"/>
    <col min="14160" max="14160" width="6" style="500" customWidth="1"/>
    <col min="14161" max="14161" width="1.546875" style="500" customWidth="1"/>
    <col min="14162" max="14162" width="2.2734375" style="500" customWidth="1"/>
    <col min="14163" max="14163" width="1.546875" style="500" customWidth="1"/>
    <col min="14164" max="14167" width="6.2734375" style="500" customWidth="1"/>
    <col min="14168" max="14168" width="6.1796875" style="500" customWidth="1"/>
    <col min="14169" max="14170" width="1.1796875" style="500" customWidth="1"/>
    <col min="14171" max="14171" width="1.2734375" style="500" customWidth="1"/>
    <col min="14172" max="14175" width="5.8203125" style="500" customWidth="1"/>
    <col min="14176" max="14176" width="6.8203125" style="500" customWidth="1"/>
    <col min="14177" max="14177" width="1.2734375" style="500" customWidth="1"/>
    <col min="14178" max="14179" width="1.7265625" style="500" customWidth="1"/>
    <col min="14180" max="14181" width="10.7265625" style="500" customWidth="1"/>
    <col min="14182" max="14183" width="8.2734375" style="500" customWidth="1"/>
    <col min="14184" max="14184" width="8.7265625" style="500" customWidth="1"/>
    <col min="14185" max="14185" width="8.1796875" style="500" customWidth="1"/>
    <col min="14186" max="14187" width="11.2734375" style="500" customWidth="1"/>
    <col min="14188" max="14188" width="10" style="500" customWidth="1"/>
    <col min="14189" max="14336" width="9.1796875" style="500"/>
    <col min="14337" max="14337" width="5.546875" style="500" customWidth="1"/>
    <col min="14338" max="14338" width="21.2734375" style="500" customWidth="1"/>
    <col min="14339" max="14339" width="38.8203125" style="500" customWidth="1"/>
    <col min="14340" max="14340" width="8.2734375" style="500" customWidth="1"/>
    <col min="14341" max="14341" width="6.1796875" style="500" customWidth="1"/>
    <col min="14342" max="14342" width="1" style="500" customWidth="1"/>
    <col min="14343" max="14343" width="1.2734375" style="500" customWidth="1"/>
    <col min="14344" max="14344" width="5.1796875" style="500" customWidth="1"/>
    <col min="14345" max="14345" width="6.1796875" style="500" customWidth="1"/>
    <col min="14346" max="14346" width="0.7265625" style="500" customWidth="1"/>
    <col min="14347" max="14347" width="1" style="500" customWidth="1"/>
    <col min="14348" max="14348" width="4.7265625" style="500" customWidth="1"/>
    <col min="14349" max="14349" width="6.2734375" style="500" customWidth="1"/>
    <col min="14350" max="14350" width="0.8203125" style="500" customWidth="1"/>
    <col min="14351" max="14351" width="1.1796875" style="500" customWidth="1"/>
    <col min="14352" max="14352" width="6.546875" style="500" customWidth="1"/>
    <col min="14353" max="14353" width="7.1796875" style="500" customWidth="1"/>
    <col min="14354" max="14355" width="1.546875" style="500" customWidth="1"/>
    <col min="14356" max="14356" width="6.8203125" style="500" customWidth="1"/>
    <col min="14357" max="14357" width="2" style="500" customWidth="1"/>
    <col min="14358" max="14358" width="1.2734375" style="500" customWidth="1"/>
    <col min="14359" max="14359" width="2.1796875" style="500" customWidth="1"/>
    <col min="14360" max="14360" width="6.453125" style="500" customWidth="1"/>
    <col min="14361" max="14363" width="2" style="500" customWidth="1"/>
    <col min="14364" max="14364" width="7.7265625" style="500" customWidth="1"/>
    <col min="14365" max="14365" width="1.2734375" style="500" customWidth="1"/>
    <col min="14366" max="14366" width="1.546875" style="500" customWidth="1"/>
    <col min="14367" max="14367" width="1.453125" style="500" customWidth="1"/>
    <col min="14368" max="14368" width="6.1796875" style="500" customWidth="1"/>
    <col min="14369" max="14371" width="1" style="500" customWidth="1"/>
    <col min="14372" max="14372" width="6.453125" style="500" customWidth="1"/>
    <col min="14373" max="14373" width="5.8203125" style="500" customWidth="1"/>
    <col min="14374" max="14374" width="1.453125" style="500" customWidth="1"/>
    <col min="14375" max="14375" width="1.546875" style="500" customWidth="1"/>
    <col min="14376" max="14376" width="6.1796875" style="500" customWidth="1"/>
    <col min="14377" max="14377" width="7" style="500" customWidth="1"/>
    <col min="14378" max="14378" width="1.1796875" style="500" customWidth="1"/>
    <col min="14379" max="14379" width="1.8203125" style="500" customWidth="1"/>
    <col min="14380" max="14380" width="5.8203125" style="500" customWidth="1"/>
    <col min="14381" max="14381" width="1.7265625" style="500" customWidth="1"/>
    <col min="14382" max="14382" width="2.1796875" style="500" customWidth="1"/>
    <col min="14383" max="14383" width="1.1796875" style="500" customWidth="1"/>
    <col min="14384" max="14384" width="7.2734375" style="500" customWidth="1"/>
    <col min="14385" max="14386" width="2.1796875" style="500" customWidth="1"/>
    <col min="14387" max="14387" width="1.7265625" style="500" customWidth="1"/>
    <col min="14388" max="14388" width="5.546875" style="500" customWidth="1"/>
    <col min="14389" max="14389" width="2" style="500" customWidth="1"/>
    <col min="14390" max="14390" width="1.453125" style="500" customWidth="1"/>
    <col min="14391" max="14391" width="2" style="500" customWidth="1"/>
    <col min="14392" max="14392" width="6.8203125" style="500" customWidth="1"/>
    <col min="14393" max="14393" width="1.7265625" style="500" customWidth="1"/>
    <col min="14394" max="14394" width="2" style="500" customWidth="1"/>
    <col min="14395" max="14395" width="1.8203125" style="500" customWidth="1"/>
    <col min="14396" max="14396" width="6.8203125" style="500" customWidth="1"/>
    <col min="14397" max="14397" width="1.1796875" style="500" customWidth="1"/>
    <col min="14398" max="14398" width="1.2734375" style="500" customWidth="1"/>
    <col min="14399" max="14399" width="1.8203125" style="500" customWidth="1"/>
    <col min="14400" max="14400" width="6.8203125" style="500" customWidth="1"/>
    <col min="14401" max="14401" width="1.453125" style="500" customWidth="1"/>
    <col min="14402" max="14402" width="1.2734375" style="500" customWidth="1"/>
    <col min="14403" max="14403" width="2.1796875" style="500" customWidth="1"/>
    <col min="14404" max="14404" width="5.1796875" style="500" customWidth="1"/>
    <col min="14405" max="14405" width="5.546875" style="500" customWidth="1"/>
    <col min="14406" max="14406" width="1.1796875" style="500" customWidth="1"/>
    <col min="14407" max="14407" width="1.453125" style="500" customWidth="1"/>
    <col min="14408" max="14408" width="6" style="500" customWidth="1"/>
    <col min="14409" max="14409" width="5.8203125" style="500" customWidth="1"/>
    <col min="14410" max="14410" width="1.7265625" style="500" customWidth="1"/>
    <col min="14411" max="14411" width="2.1796875" style="500" customWidth="1"/>
    <col min="14412" max="14415" width="5.8203125" style="500" customWidth="1"/>
    <col min="14416" max="14416" width="6" style="500" customWidth="1"/>
    <col min="14417" max="14417" width="1.546875" style="500" customWidth="1"/>
    <col min="14418" max="14418" width="2.2734375" style="500" customWidth="1"/>
    <col min="14419" max="14419" width="1.546875" style="500" customWidth="1"/>
    <col min="14420" max="14423" width="6.2734375" style="500" customWidth="1"/>
    <col min="14424" max="14424" width="6.1796875" style="500" customWidth="1"/>
    <col min="14425" max="14426" width="1.1796875" style="500" customWidth="1"/>
    <col min="14427" max="14427" width="1.2734375" style="500" customWidth="1"/>
    <col min="14428" max="14431" width="5.8203125" style="500" customWidth="1"/>
    <col min="14432" max="14432" width="6.8203125" style="500" customWidth="1"/>
    <col min="14433" max="14433" width="1.2734375" style="500" customWidth="1"/>
    <col min="14434" max="14435" width="1.7265625" style="500" customWidth="1"/>
    <col min="14436" max="14437" width="10.7265625" style="500" customWidth="1"/>
    <col min="14438" max="14439" width="8.2734375" style="500" customWidth="1"/>
    <col min="14440" max="14440" width="8.7265625" style="500" customWidth="1"/>
    <col min="14441" max="14441" width="8.1796875" style="500" customWidth="1"/>
    <col min="14442" max="14443" width="11.2734375" style="500" customWidth="1"/>
    <col min="14444" max="14444" width="10" style="500" customWidth="1"/>
    <col min="14445" max="14592" width="9.1796875" style="500"/>
    <col min="14593" max="14593" width="5.546875" style="500" customWidth="1"/>
    <col min="14594" max="14594" width="21.2734375" style="500" customWidth="1"/>
    <col min="14595" max="14595" width="38.8203125" style="500" customWidth="1"/>
    <col min="14596" max="14596" width="8.2734375" style="500" customWidth="1"/>
    <col min="14597" max="14597" width="6.1796875" style="500" customWidth="1"/>
    <col min="14598" max="14598" width="1" style="500" customWidth="1"/>
    <col min="14599" max="14599" width="1.2734375" style="500" customWidth="1"/>
    <col min="14600" max="14600" width="5.1796875" style="500" customWidth="1"/>
    <col min="14601" max="14601" width="6.1796875" style="500" customWidth="1"/>
    <col min="14602" max="14602" width="0.7265625" style="500" customWidth="1"/>
    <col min="14603" max="14603" width="1" style="500" customWidth="1"/>
    <col min="14604" max="14604" width="4.7265625" style="500" customWidth="1"/>
    <col min="14605" max="14605" width="6.2734375" style="500" customWidth="1"/>
    <col min="14606" max="14606" width="0.8203125" style="500" customWidth="1"/>
    <col min="14607" max="14607" width="1.1796875" style="500" customWidth="1"/>
    <col min="14608" max="14608" width="6.546875" style="500" customWidth="1"/>
    <col min="14609" max="14609" width="7.1796875" style="500" customWidth="1"/>
    <col min="14610" max="14611" width="1.546875" style="500" customWidth="1"/>
    <col min="14612" max="14612" width="6.8203125" style="500" customWidth="1"/>
    <col min="14613" max="14613" width="2" style="500" customWidth="1"/>
    <col min="14614" max="14614" width="1.2734375" style="500" customWidth="1"/>
    <col min="14615" max="14615" width="2.1796875" style="500" customWidth="1"/>
    <col min="14616" max="14616" width="6.453125" style="500" customWidth="1"/>
    <col min="14617" max="14619" width="2" style="500" customWidth="1"/>
    <col min="14620" max="14620" width="7.7265625" style="500" customWidth="1"/>
    <col min="14621" max="14621" width="1.2734375" style="500" customWidth="1"/>
    <col min="14622" max="14622" width="1.546875" style="500" customWidth="1"/>
    <col min="14623" max="14623" width="1.453125" style="500" customWidth="1"/>
    <col min="14624" max="14624" width="6.1796875" style="500" customWidth="1"/>
    <col min="14625" max="14627" width="1" style="500" customWidth="1"/>
    <col min="14628" max="14628" width="6.453125" style="500" customWidth="1"/>
    <col min="14629" max="14629" width="5.8203125" style="500" customWidth="1"/>
    <col min="14630" max="14630" width="1.453125" style="500" customWidth="1"/>
    <col min="14631" max="14631" width="1.546875" style="500" customWidth="1"/>
    <col min="14632" max="14632" width="6.1796875" style="500" customWidth="1"/>
    <col min="14633" max="14633" width="7" style="500" customWidth="1"/>
    <col min="14634" max="14634" width="1.1796875" style="500" customWidth="1"/>
    <col min="14635" max="14635" width="1.8203125" style="500" customWidth="1"/>
    <col min="14636" max="14636" width="5.8203125" style="500" customWidth="1"/>
    <col min="14637" max="14637" width="1.7265625" style="500" customWidth="1"/>
    <col min="14638" max="14638" width="2.1796875" style="500" customWidth="1"/>
    <col min="14639" max="14639" width="1.1796875" style="500" customWidth="1"/>
    <col min="14640" max="14640" width="7.2734375" style="500" customWidth="1"/>
    <col min="14641" max="14642" width="2.1796875" style="500" customWidth="1"/>
    <col min="14643" max="14643" width="1.7265625" style="500" customWidth="1"/>
    <col min="14644" max="14644" width="5.546875" style="500" customWidth="1"/>
    <col min="14645" max="14645" width="2" style="500" customWidth="1"/>
    <col min="14646" max="14646" width="1.453125" style="500" customWidth="1"/>
    <col min="14647" max="14647" width="2" style="500" customWidth="1"/>
    <col min="14648" max="14648" width="6.8203125" style="500" customWidth="1"/>
    <col min="14649" max="14649" width="1.7265625" style="500" customWidth="1"/>
    <col min="14650" max="14650" width="2" style="500" customWidth="1"/>
    <col min="14651" max="14651" width="1.8203125" style="500" customWidth="1"/>
    <col min="14652" max="14652" width="6.8203125" style="500" customWidth="1"/>
    <col min="14653" max="14653" width="1.1796875" style="500" customWidth="1"/>
    <col min="14654" max="14654" width="1.2734375" style="500" customWidth="1"/>
    <col min="14655" max="14655" width="1.8203125" style="500" customWidth="1"/>
    <col min="14656" max="14656" width="6.8203125" style="500" customWidth="1"/>
    <col min="14657" max="14657" width="1.453125" style="500" customWidth="1"/>
    <col min="14658" max="14658" width="1.2734375" style="500" customWidth="1"/>
    <col min="14659" max="14659" width="2.1796875" style="500" customWidth="1"/>
    <col min="14660" max="14660" width="5.1796875" style="500" customWidth="1"/>
    <col min="14661" max="14661" width="5.546875" style="500" customWidth="1"/>
    <col min="14662" max="14662" width="1.1796875" style="500" customWidth="1"/>
    <col min="14663" max="14663" width="1.453125" style="500" customWidth="1"/>
    <col min="14664" max="14664" width="6" style="500" customWidth="1"/>
    <col min="14665" max="14665" width="5.8203125" style="500" customWidth="1"/>
    <col min="14666" max="14666" width="1.7265625" style="500" customWidth="1"/>
    <col min="14667" max="14667" width="2.1796875" style="500" customWidth="1"/>
    <col min="14668" max="14671" width="5.8203125" style="500" customWidth="1"/>
    <col min="14672" max="14672" width="6" style="500" customWidth="1"/>
    <col min="14673" max="14673" width="1.546875" style="500" customWidth="1"/>
    <col min="14674" max="14674" width="2.2734375" style="500" customWidth="1"/>
    <col min="14675" max="14675" width="1.546875" style="500" customWidth="1"/>
    <col min="14676" max="14679" width="6.2734375" style="500" customWidth="1"/>
    <col min="14680" max="14680" width="6.1796875" style="500" customWidth="1"/>
    <col min="14681" max="14682" width="1.1796875" style="500" customWidth="1"/>
    <col min="14683" max="14683" width="1.2734375" style="500" customWidth="1"/>
    <col min="14684" max="14687" width="5.8203125" style="500" customWidth="1"/>
    <col min="14688" max="14688" width="6.8203125" style="500" customWidth="1"/>
    <col min="14689" max="14689" width="1.2734375" style="500" customWidth="1"/>
    <col min="14690" max="14691" width="1.7265625" style="500" customWidth="1"/>
    <col min="14692" max="14693" width="10.7265625" style="500" customWidth="1"/>
    <col min="14694" max="14695" width="8.2734375" style="500" customWidth="1"/>
    <col min="14696" max="14696" width="8.7265625" style="500" customWidth="1"/>
    <col min="14697" max="14697" width="8.1796875" style="500" customWidth="1"/>
    <col min="14698" max="14699" width="11.2734375" style="500" customWidth="1"/>
    <col min="14700" max="14700" width="10" style="500" customWidth="1"/>
    <col min="14701" max="14848" width="9.1796875" style="500"/>
    <col min="14849" max="14849" width="5.546875" style="500" customWidth="1"/>
    <col min="14850" max="14850" width="21.2734375" style="500" customWidth="1"/>
    <col min="14851" max="14851" width="38.8203125" style="500" customWidth="1"/>
    <col min="14852" max="14852" width="8.2734375" style="500" customWidth="1"/>
    <col min="14853" max="14853" width="6.1796875" style="500" customWidth="1"/>
    <col min="14854" max="14854" width="1" style="500" customWidth="1"/>
    <col min="14855" max="14855" width="1.2734375" style="500" customWidth="1"/>
    <col min="14856" max="14856" width="5.1796875" style="500" customWidth="1"/>
    <col min="14857" max="14857" width="6.1796875" style="500" customWidth="1"/>
    <col min="14858" max="14858" width="0.7265625" style="500" customWidth="1"/>
    <col min="14859" max="14859" width="1" style="500" customWidth="1"/>
    <col min="14860" max="14860" width="4.7265625" style="500" customWidth="1"/>
    <col min="14861" max="14861" width="6.2734375" style="500" customWidth="1"/>
    <col min="14862" max="14862" width="0.8203125" style="500" customWidth="1"/>
    <col min="14863" max="14863" width="1.1796875" style="500" customWidth="1"/>
    <col min="14864" max="14864" width="6.546875" style="500" customWidth="1"/>
    <col min="14865" max="14865" width="7.1796875" style="500" customWidth="1"/>
    <col min="14866" max="14867" width="1.546875" style="500" customWidth="1"/>
    <col min="14868" max="14868" width="6.8203125" style="500" customWidth="1"/>
    <col min="14869" max="14869" width="2" style="500" customWidth="1"/>
    <col min="14870" max="14870" width="1.2734375" style="500" customWidth="1"/>
    <col min="14871" max="14871" width="2.1796875" style="500" customWidth="1"/>
    <col min="14872" max="14872" width="6.453125" style="500" customWidth="1"/>
    <col min="14873" max="14875" width="2" style="500" customWidth="1"/>
    <col min="14876" max="14876" width="7.7265625" style="500" customWidth="1"/>
    <col min="14877" max="14877" width="1.2734375" style="500" customWidth="1"/>
    <col min="14878" max="14878" width="1.546875" style="500" customWidth="1"/>
    <col min="14879" max="14879" width="1.453125" style="500" customWidth="1"/>
    <col min="14880" max="14880" width="6.1796875" style="500" customWidth="1"/>
    <col min="14881" max="14883" width="1" style="500" customWidth="1"/>
    <col min="14884" max="14884" width="6.453125" style="500" customWidth="1"/>
    <col min="14885" max="14885" width="5.8203125" style="500" customWidth="1"/>
    <col min="14886" max="14886" width="1.453125" style="500" customWidth="1"/>
    <col min="14887" max="14887" width="1.546875" style="500" customWidth="1"/>
    <col min="14888" max="14888" width="6.1796875" style="500" customWidth="1"/>
    <col min="14889" max="14889" width="7" style="500" customWidth="1"/>
    <col min="14890" max="14890" width="1.1796875" style="500" customWidth="1"/>
    <col min="14891" max="14891" width="1.8203125" style="500" customWidth="1"/>
    <col min="14892" max="14892" width="5.8203125" style="500" customWidth="1"/>
    <col min="14893" max="14893" width="1.7265625" style="500" customWidth="1"/>
    <col min="14894" max="14894" width="2.1796875" style="500" customWidth="1"/>
    <col min="14895" max="14895" width="1.1796875" style="500" customWidth="1"/>
    <col min="14896" max="14896" width="7.2734375" style="500" customWidth="1"/>
    <col min="14897" max="14898" width="2.1796875" style="500" customWidth="1"/>
    <col min="14899" max="14899" width="1.7265625" style="500" customWidth="1"/>
    <col min="14900" max="14900" width="5.546875" style="500" customWidth="1"/>
    <col min="14901" max="14901" width="2" style="500" customWidth="1"/>
    <col min="14902" max="14902" width="1.453125" style="500" customWidth="1"/>
    <col min="14903" max="14903" width="2" style="500" customWidth="1"/>
    <col min="14904" max="14904" width="6.8203125" style="500" customWidth="1"/>
    <col min="14905" max="14905" width="1.7265625" style="500" customWidth="1"/>
    <col min="14906" max="14906" width="2" style="500" customWidth="1"/>
    <col min="14907" max="14907" width="1.8203125" style="500" customWidth="1"/>
    <col min="14908" max="14908" width="6.8203125" style="500" customWidth="1"/>
    <col min="14909" max="14909" width="1.1796875" style="500" customWidth="1"/>
    <col min="14910" max="14910" width="1.2734375" style="500" customWidth="1"/>
    <col min="14911" max="14911" width="1.8203125" style="500" customWidth="1"/>
    <col min="14912" max="14912" width="6.8203125" style="500" customWidth="1"/>
    <col min="14913" max="14913" width="1.453125" style="500" customWidth="1"/>
    <col min="14914" max="14914" width="1.2734375" style="500" customWidth="1"/>
    <col min="14915" max="14915" width="2.1796875" style="500" customWidth="1"/>
    <col min="14916" max="14916" width="5.1796875" style="500" customWidth="1"/>
    <col min="14917" max="14917" width="5.546875" style="500" customWidth="1"/>
    <col min="14918" max="14918" width="1.1796875" style="500" customWidth="1"/>
    <col min="14919" max="14919" width="1.453125" style="500" customWidth="1"/>
    <col min="14920" max="14920" width="6" style="500" customWidth="1"/>
    <col min="14921" max="14921" width="5.8203125" style="500" customWidth="1"/>
    <col min="14922" max="14922" width="1.7265625" style="500" customWidth="1"/>
    <col min="14923" max="14923" width="2.1796875" style="500" customWidth="1"/>
    <col min="14924" max="14927" width="5.8203125" style="500" customWidth="1"/>
    <col min="14928" max="14928" width="6" style="500" customWidth="1"/>
    <col min="14929" max="14929" width="1.546875" style="500" customWidth="1"/>
    <col min="14930" max="14930" width="2.2734375" style="500" customWidth="1"/>
    <col min="14931" max="14931" width="1.546875" style="500" customWidth="1"/>
    <col min="14932" max="14935" width="6.2734375" style="500" customWidth="1"/>
    <col min="14936" max="14936" width="6.1796875" style="500" customWidth="1"/>
    <col min="14937" max="14938" width="1.1796875" style="500" customWidth="1"/>
    <col min="14939" max="14939" width="1.2734375" style="500" customWidth="1"/>
    <col min="14940" max="14943" width="5.8203125" style="500" customWidth="1"/>
    <col min="14944" max="14944" width="6.8203125" style="500" customWidth="1"/>
    <col min="14945" max="14945" width="1.2734375" style="500" customWidth="1"/>
    <col min="14946" max="14947" width="1.7265625" style="500" customWidth="1"/>
    <col min="14948" max="14949" width="10.7265625" style="500" customWidth="1"/>
    <col min="14950" max="14951" width="8.2734375" style="500" customWidth="1"/>
    <col min="14952" max="14952" width="8.7265625" style="500" customWidth="1"/>
    <col min="14953" max="14953" width="8.1796875" style="500" customWidth="1"/>
    <col min="14954" max="14955" width="11.2734375" style="500" customWidth="1"/>
    <col min="14956" max="14956" width="10" style="500" customWidth="1"/>
    <col min="14957" max="15104" width="9.1796875" style="500"/>
    <col min="15105" max="15105" width="5.546875" style="500" customWidth="1"/>
    <col min="15106" max="15106" width="21.2734375" style="500" customWidth="1"/>
    <col min="15107" max="15107" width="38.8203125" style="500" customWidth="1"/>
    <col min="15108" max="15108" width="8.2734375" style="500" customWidth="1"/>
    <col min="15109" max="15109" width="6.1796875" style="500" customWidth="1"/>
    <col min="15110" max="15110" width="1" style="500" customWidth="1"/>
    <col min="15111" max="15111" width="1.2734375" style="500" customWidth="1"/>
    <col min="15112" max="15112" width="5.1796875" style="500" customWidth="1"/>
    <col min="15113" max="15113" width="6.1796875" style="500" customWidth="1"/>
    <col min="15114" max="15114" width="0.7265625" style="500" customWidth="1"/>
    <col min="15115" max="15115" width="1" style="500" customWidth="1"/>
    <col min="15116" max="15116" width="4.7265625" style="500" customWidth="1"/>
    <col min="15117" max="15117" width="6.2734375" style="500" customWidth="1"/>
    <col min="15118" max="15118" width="0.8203125" style="500" customWidth="1"/>
    <col min="15119" max="15119" width="1.1796875" style="500" customWidth="1"/>
    <col min="15120" max="15120" width="6.546875" style="500" customWidth="1"/>
    <col min="15121" max="15121" width="7.1796875" style="500" customWidth="1"/>
    <col min="15122" max="15123" width="1.546875" style="500" customWidth="1"/>
    <col min="15124" max="15124" width="6.8203125" style="500" customWidth="1"/>
    <col min="15125" max="15125" width="2" style="500" customWidth="1"/>
    <col min="15126" max="15126" width="1.2734375" style="500" customWidth="1"/>
    <col min="15127" max="15127" width="2.1796875" style="500" customWidth="1"/>
    <col min="15128" max="15128" width="6.453125" style="500" customWidth="1"/>
    <col min="15129" max="15131" width="2" style="500" customWidth="1"/>
    <col min="15132" max="15132" width="7.7265625" style="500" customWidth="1"/>
    <col min="15133" max="15133" width="1.2734375" style="500" customWidth="1"/>
    <col min="15134" max="15134" width="1.546875" style="500" customWidth="1"/>
    <col min="15135" max="15135" width="1.453125" style="500" customWidth="1"/>
    <col min="15136" max="15136" width="6.1796875" style="500" customWidth="1"/>
    <col min="15137" max="15139" width="1" style="500" customWidth="1"/>
    <col min="15140" max="15140" width="6.453125" style="500" customWidth="1"/>
    <col min="15141" max="15141" width="5.8203125" style="500" customWidth="1"/>
    <col min="15142" max="15142" width="1.453125" style="500" customWidth="1"/>
    <col min="15143" max="15143" width="1.546875" style="500" customWidth="1"/>
    <col min="15144" max="15144" width="6.1796875" style="500" customWidth="1"/>
    <col min="15145" max="15145" width="7" style="500" customWidth="1"/>
    <col min="15146" max="15146" width="1.1796875" style="500" customWidth="1"/>
    <col min="15147" max="15147" width="1.8203125" style="500" customWidth="1"/>
    <col min="15148" max="15148" width="5.8203125" style="500" customWidth="1"/>
    <col min="15149" max="15149" width="1.7265625" style="500" customWidth="1"/>
    <col min="15150" max="15150" width="2.1796875" style="500" customWidth="1"/>
    <col min="15151" max="15151" width="1.1796875" style="500" customWidth="1"/>
    <col min="15152" max="15152" width="7.2734375" style="500" customWidth="1"/>
    <col min="15153" max="15154" width="2.1796875" style="500" customWidth="1"/>
    <col min="15155" max="15155" width="1.7265625" style="500" customWidth="1"/>
    <col min="15156" max="15156" width="5.546875" style="500" customWidth="1"/>
    <col min="15157" max="15157" width="2" style="500" customWidth="1"/>
    <col min="15158" max="15158" width="1.453125" style="500" customWidth="1"/>
    <col min="15159" max="15159" width="2" style="500" customWidth="1"/>
    <col min="15160" max="15160" width="6.8203125" style="500" customWidth="1"/>
    <col min="15161" max="15161" width="1.7265625" style="500" customWidth="1"/>
    <col min="15162" max="15162" width="2" style="500" customWidth="1"/>
    <col min="15163" max="15163" width="1.8203125" style="500" customWidth="1"/>
    <col min="15164" max="15164" width="6.8203125" style="500" customWidth="1"/>
    <col min="15165" max="15165" width="1.1796875" style="500" customWidth="1"/>
    <col min="15166" max="15166" width="1.2734375" style="500" customWidth="1"/>
    <col min="15167" max="15167" width="1.8203125" style="500" customWidth="1"/>
    <col min="15168" max="15168" width="6.8203125" style="500" customWidth="1"/>
    <col min="15169" max="15169" width="1.453125" style="500" customWidth="1"/>
    <col min="15170" max="15170" width="1.2734375" style="500" customWidth="1"/>
    <col min="15171" max="15171" width="2.1796875" style="500" customWidth="1"/>
    <col min="15172" max="15172" width="5.1796875" style="500" customWidth="1"/>
    <col min="15173" max="15173" width="5.546875" style="500" customWidth="1"/>
    <col min="15174" max="15174" width="1.1796875" style="500" customWidth="1"/>
    <col min="15175" max="15175" width="1.453125" style="500" customWidth="1"/>
    <col min="15176" max="15176" width="6" style="500" customWidth="1"/>
    <col min="15177" max="15177" width="5.8203125" style="500" customWidth="1"/>
    <col min="15178" max="15178" width="1.7265625" style="500" customWidth="1"/>
    <col min="15179" max="15179" width="2.1796875" style="500" customWidth="1"/>
    <col min="15180" max="15183" width="5.8203125" style="500" customWidth="1"/>
    <col min="15184" max="15184" width="6" style="500" customWidth="1"/>
    <col min="15185" max="15185" width="1.546875" style="500" customWidth="1"/>
    <col min="15186" max="15186" width="2.2734375" style="500" customWidth="1"/>
    <col min="15187" max="15187" width="1.546875" style="500" customWidth="1"/>
    <col min="15188" max="15191" width="6.2734375" style="500" customWidth="1"/>
    <col min="15192" max="15192" width="6.1796875" style="500" customWidth="1"/>
    <col min="15193" max="15194" width="1.1796875" style="500" customWidth="1"/>
    <col min="15195" max="15195" width="1.2734375" style="500" customWidth="1"/>
    <col min="15196" max="15199" width="5.8203125" style="500" customWidth="1"/>
    <col min="15200" max="15200" width="6.8203125" style="500" customWidth="1"/>
    <col min="15201" max="15201" width="1.2734375" style="500" customWidth="1"/>
    <col min="15202" max="15203" width="1.7265625" style="500" customWidth="1"/>
    <col min="15204" max="15205" width="10.7265625" style="500" customWidth="1"/>
    <col min="15206" max="15207" width="8.2734375" style="500" customWidth="1"/>
    <col min="15208" max="15208" width="8.7265625" style="500" customWidth="1"/>
    <col min="15209" max="15209" width="8.1796875" style="500" customWidth="1"/>
    <col min="15210" max="15211" width="11.2734375" style="500" customWidth="1"/>
    <col min="15212" max="15212" width="10" style="500" customWidth="1"/>
    <col min="15213" max="15360" width="9.1796875" style="500"/>
    <col min="15361" max="15361" width="5.546875" style="500" customWidth="1"/>
    <col min="15362" max="15362" width="21.2734375" style="500" customWidth="1"/>
    <col min="15363" max="15363" width="38.8203125" style="500" customWidth="1"/>
    <col min="15364" max="15364" width="8.2734375" style="500" customWidth="1"/>
    <col min="15365" max="15365" width="6.1796875" style="500" customWidth="1"/>
    <col min="15366" max="15366" width="1" style="500" customWidth="1"/>
    <col min="15367" max="15367" width="1.2734375" style="500" customWidth="1"/>
    <col min="15368" max="15368" width="5.1796875" style="500" customWidth="1"/>
    <col min="15369" max="15369" width="6.1796875" style="500" customWidth="1"/>
    <col min="15370" max="15370" width="0.7265625" style="500" customWidth="1"/>
    <col min="15371" max="15371" width="1" style="500" customWidth="1"/>
    <col min="15372" max="15372" width="4.7265625" style="500" customWidth="1"/>
    <col min="15373" max="15373" width="6.2734375" style="500" customWidth="1"/>
    <col min="15374" max="15374" width="0.8203125" style="500" customWidth="1"/>
    <col min="15375" max="15375" width="1.1796875" style="500" customWidth="1"/>
    <col min="15376" max="15376" width="6.546875" style="500" customWidth="1"/>
    <col min="15377" max="15377" width="7.1796875" style="500" customWidth="1"/>
    <col min="15378" max="15379" width="1.546875" style="500" customWidth="1"/>
    <col min="15380" max="15380" width="6.8203125" style="500" customWidth="1"/>
    <col min="15381" max="15381" width="2" style="500" customWidth="1"/>
    <col min="15382" max="15382" width="1.2734375" style="500" customWidth="1"/>
    <col min="15383" max="15383" width="2.1796875" style="500" customWidth="1"/>
    <col min="15384" max="15384" width="6.453125" style="500" customWidth="1"/>
    <col min="15385" max="15387" width="2" style="500" customWidth="1"/>
    <col min="15388" max="15388" width="7.7265625" style="500" customWidth="1"/>
    <col min="15389" max="15389" width="1.2734375" style="500" customWidth="1"/>
    <col min="15390" max="15390" width="1.546875" style="500" customWidth="1"/>
    <col min="15391" max="15391" width="1.453125" style="500" customWidth="1"/>
    <col min="15392" max="15392" width="6.1796875" style="500" customWidth="1"/>
    <col min="15393" max="15395" width="1" style="500" customWidth="1"/>
    <col min="15396" max="15396" width="6.453125" style="500" customWidth="1"/>
    <col min="15397" max="15397" width="5.8203125" style="500" customWidth="1"/>
    <col min="15398" max="15398" width="1.453125" style="500" customWidth="1"/>
    <col min="15399" max="15399" width="1.546875" style="500" customWidth="1"/>
    <col min="15400" max="15400" width="6.1796875" style="500" customWidth="1"/>
    <col min="15401" max="15401" width="7" style="500" customWidth="1"/>
    <col min="15402" max="15402" width="1.1796875" style="500" customWidth="1"/>
    <col min="15403" max="15403" width="1.8203125" style="500" customWidth="1"/>
    <col min="15404" max="15404" width="5.8203125" style="500" customWidth="1"/>
    <col min="15405" max="15405" width="1.7265625" style="500" customWidth="1"/>
    <col min="15406" max="15406" width="2.1796875" style="500" customWidth="1"/>
    <col min="15407" max="15407" width="1.1796875" style="500" customWidth="1"/>
    <col min="15408" max="15408" width="7.2734375" style="500" customWidth="1"/>
    <col min="15409" max="15410" width="2.1796875" style="500" customWidth="1"/>
    <col min="15411" max="15411" width="1.7265625" style="500" customWidth="1"/>
    <col min="15412" max="15412" width="5.546875" style="500" customWidth="1"/>
    <col min="15413" max="15413" width="2" style="500" customWidth="1"/>
    <col min="15414" max="15414" width="1.453125" style="500" customWidth="1"/>
    <col min="15415" max="15415" width="2" style="500" customWidth="1"/>
    <col min="15416" max="15416" width="6.8203125" style="500" customWidth="1"/>
    <col min="15417" max="15417" width="1.7265625" style="500" customWidth="1"/>
    <col min="15418" max="15418" width="2" style="500" customWidth="1"/>
    <col min="15419" max="15419" width="1.8203125" style="500" customWidth="1"/>
    <col min="15420" max="15420" width="6.8203125" style="500" customWidth="1"/>
    <col min="15421" max="15421" width="1.1796875" style="500" customWidth="1"/>
    <col min="15422" max="15422" width="1.2734375" style="500" customWidth="1"/>
    <col min="15423" max="15423" width="1.8203125" style="500" customWidth="1"/>
    <col min="15424" max="15424" width="6.8203125" style="500" customWidth="1"/>
    <col min="15425" max="15425" width="1.453125" style="500" customWidth="1"/>
    <col min="15426" max="15426" width="1.2734375" style="500" customWidth="1"/>
    <col min="15427" max="15427" width="2.1796875" style="500" customWidth="1"/>
    <col min="15428" max="15428" width="5.1796875" style="500" customWidth="1"/>
    <col min="15429" max="15429" width="5.546875" style="500" customWidth="1"/>
    <col min="15430" max="15430" width="1.1796875" style="500" customWidth="1"/>
    <col min="15431" max="15431" width="1.453125" style="500" customWidth="1"/>
    <col min="15432" max="15432" width="6" style="500" customWidth="1"/>
    <col min="15433" max="15433" width="5.8203125" style="500" customWidth="1"/>
    <col min="15434" max="15434" width="1.7265625" style="500" customWidth="1"/>
    <col min="15435" max="15435" width="2.1796875" style="500" customWidth="1"/>
    <col min="15436" max="15439" width="5.8203125" style="500" customWidth="1"/>
    <col min="15440" max="15440" width="6" style="500" customWidth="1"/>
    <col min="15441" max="15441" width="1.546875" style="500" customWidth="1"/>
    <col min="15442" max="15442" width="2.2734375" style="500" customWidth="1"/>
    <col min="15443" max="15443" width="1.546875" style="500" customWidth="1"/>
    <col min="15444" max="15447" width="6.2734375" style="500" customWidth="1"/>
    <col min="15448" max="15448" width="6.1796875" style="500" customWidth="1"/>
    <col min="15449" max="15450" width="1.1796875" style="500" customWidth="1"/>
    <col min="15451" max="15451" width="1.2734375" style="500" customWidth="1"/>
    <col min="15452" max="15455" width="5.8203125" style="500" customWidth="1"/>
    <col min="15456" max="15456" width="6.8203125" style="500" customWidth="1"/>
    <col min="15457" max="15457" width="1.2734375" style="500" customWidth="1"/>
    <col min="15458" max="15459" width="1.7265625" style="500" customWidth="1"/>
    <col min="15460" max="15461" width="10.7265625" style="500" customWidth="1"/>
    <col min="15462" max="15463" width="8.2734375" style="500" customWidth="1"/>
    <col min="15464" max="15464" width="8.7265625" style="500" customWidth="1"/>
    <col min="15465" max="15465" width="8.1796875" style="500" customWidth="1"/>
    <col min="15466" max="15467" width="11.2734375" style="500" customWidth="1"/>
    <col min="15468" max="15468" width="10" style="500" customWidth="1"/>
    <col min="15469" max="15616" width="9.1796875" style="500"/>
    <col min="15617" max="15617" width="5.546875" style="500" customWidth="1"/>
    <col min="15618" max="15618" width="21.2734375" style="500" customWidth="1"/>
    <col min="15619" max="15619" width="38.8203125" style="500" customWidth="1"/>
    <col min="15620" max="15620" width="8.2734375" style="500" customWidth="1"/>
    <col min="15621" max="15621" width="6.1796875" style="500" customWidth="1"/>
    <col min="15622" max="15622" width="1" style="500" customWidth="1"/>
    <col min="15623" max="15623" width="1.2734375" style="500" customWidth="1"/>
    <col min="15624" max="15624" width="5.1796875" style="500" customWidth="1"/>
    <col min="15625" max="15625" width="6.1796875" style="500" customWidth="1"/>
    <col min="15626" max="15626" width="0.7265625" style="500" customWidth="1"/>
    <col min="15627" max="15627" width="1" style="500" customWidth="1"/>
    <col min="15628" max="15628" width="4.7265625" style="500" customWidth="1"/>
    <col min="15629" max="15629" width="6.2734375" style="500" customWidth="1"/>
    <col min="15630" max="15630" width="0.8203125" style="500" customWidth="1"/>
    <col min="15631" max="15631" width="1.1796875" style="500" customWidth="1"/>
    <col min="15632" max="15632" width="6.546875" style="500" customWidth="1"/>
    <col min="15633" max="15633" width="7.1796875" style="500" customWidth="1"/>
    <col min="15634" max="15635" width="1.546875" style="500" customWidth="1"/>
    <col min="15636" max="15636" width="6.8203125" style="500" customWidth="1"/>
    <col min="15637" max="15637" width="2" style="500" customWidth="1"/>
    <col min="15638" max="15638" width="1.2734375" style="500" customWidth="1"/>
    <col min="15639" max="15639" width="2.1796875" style="500" customWidth="1"/>
    <col min="15640" max="15640" width="6.453125" style="500" customWidth="1"/>
    <col min="15641" max="15643" width="2" style="500" customWidth="1"/>
    <col min="15644" max="15644" width="7.7265625" style="500" customWidth="1"/>
    <col min="15645" max="15645" width="1.2734375" style="500" customWidth="1"/>
    <col min="15646" max="15646" width="1.546875" style="500" customWidth="1"/>
    <col min="15647" max="15647" width="1.453125" style="500" customWidth="1"/>
    <col min="15648" max="15648" width="6.1796875" style="500" customWidth="1"/>
    <col min="15649" max="15651" width="1" style="500" customWidth="1"/>
    <col min="15652" max="15652" width="6.453125" style="500" customWidth="1"/>
    <col min="15653" max="15653" width="5.8203125" style="500" customWidth="1"/>
    <col min="15654" max="15654" width="1.453125" style="500" customWidth="1"/>
    <col min="15655" max="15655" width="1.546875" style="500" customWidth="1"/>
    <col min="15656" max="15656" width="6.1796875" style="500" customWidth="1"/>
    <col min="15657" max="15657" width="7" style="500" customWidth="1"/>
    <col min="15658" max="15658" width="1.1796875" style="500" customWidth="1"/>
    <col min="15659" max="15659" width="1.8203125" style="500" customWidth="1"/>
    <col min="15660" max="15660" width="5.8203125" style="500" customWidth="1"/>
    <col min="15661" max="15661" width="1.7265625" style="500" customWidth="1"/>
    <col min="15662" max="15662" width="2.1796875" style="500" customWidth="1"/>
    <col min="15663" max="15663" width="1.1796875" style="500" customWidth="1"/>
    <col min="15664" max="15664" width="7.2734375" style="500" customWidth="1"/>
    <col min="15665" max="15666" width="2.1796875" style="500" customWidth="1"/>
    <col min="15667" max="15667" width="1.7265625" style="500" customWidth="1"/>
    <col min="15668" max="15668" width="5.546875" style="500" customWidth="1"/>
    <col min="15669" max="15669" width="2" style="500" customWidth="1"/>
    <col min="15670" max="15670" width="1.453125" style="500" customWidth="1"/>
    <col min="15671" max="15671" width="2" style="500" customWidth="1"/>
    <col min="15672" max="15672" width="6.8203125" style="500" customWidth="1"/>
    <col min="15673" max="15673" width="1.7265625" style="500" customWidth="1"/>
    <col min="15674" max="15674" width="2" style="500" customWidth="1"/>
    <col min="15675" max="15675" width="1.8203125" style="500" customWidth="1"/>
    <col min="15676" max="15676" width="6.8203125" style="500" customWidth="1"/>
    <col min="15677" max="15677" width="1.1796875" style="500" customWidth="1"/>
    <col min="15678" max="15678" width="1.2734375" style="500" customWidth="1"/>
    <col min="15679" max="15679" width="1.8203125" style="500" customWidth="1"/>
    <col min="15680" max="15680" width="6.8203125" style="500" customWidth="1"/>
    <col min="15681" max="15681" width="1.453125" style="500" customWidth="1"/>
    <col min="15682" max="15682" width="1.2734375" style="500" customWidth="1"/>
    <col min="15683" max="15683" width="2.1796875" style="500" customWidth="1"/>
    <col min="15684" max="15684" width="5.1796875" style="500" customWidth="1"/>
    <col min="15685" max="15685" width="5.546875" style="500" customWidth="1"/>
    <col min="15686" max="15686" width="1.1796875" style="500" customWidth="1"/>
    <col min="15687" max="15687" width="1.453125" style="500" customWidth="1"/>
    <col min="15688" max="15688" width="6" style="500" customWidth="1"/>
    <col min="15689" max="15689" width="5.8203125" style="500" customWidth="1"/>
    <col min="15690" max="15690" width="1.7265625" style="500" customWidth="1"/>
    <col min="15691" max="15691" width="2.1796875" style="500" customWidth="1"/>
    <col min="15692" max="15695" width="5.8203125" style="500" customWidth="1"/>
    <col min="15696" max="15696" width="6" style="500" customWidth="1"/>
    <col min="15697" max="15697" width="1.546875" style="500" customWidth="1"/>
    <col min="15698" max="15698" width="2.2734375" style="500" customWidth="1"/>
    <col min="15699" max="15699" width="1.546875" style="500" customWidth="1"/>
    <col min="15700" max="15703" width="6.2734375" style="500" customWidth="1"/>
    <col min="15704" max="15704" width="6.1796875" style="500" customWidth="1"/>
    <col min="15705" max="15706" width="1.1796875" style="500" customWidth="1"/>
    <col min="15707" max="15707" width="1.2734375" style="500" customWidth="1"/>
    <col min="15708" max="15711" width="5.8203125" style="500" customWidth="1"/>
    <col min="15712" max="15712" width="6.8203125" style="500" customWidth="1"/>
    <col min="15713" max="15713" width="1.2734375" style="500" customWidth="1"/>
    <col min="15714" max="15715" width="1.7265625" style="500" customWidth="1"/>
    <col min="15716" max="15717" width="10.7265625" style="500" customWidth="1"/>
    <col min="15718" max="15719" width="8.2734375" style="500" customWidth="1"/>
    <col min="15720" max="15720" width="8.7265625" style="500" customWidth="1"/>
    <col min="15721" max="15721" width="8.1796875" style="500" customWidth="1"/>
    <col min="15722" max="15723" width="11.2734375" style="500" customWidth="1"/>
    <col min="15724" max="15724" width="10" style="500" customWidth="1"/>
    <col min="15725" max="15872" width="9.1796875" style="500"/>
    <col min="15873" max="15873" width="5.546875" style="500" customWidth="1"/>
    <col min="15874" max="15874" width="21.2734375" style="500" customWidth="1"/>
    <col min="15875" max="15875" width="38.8203125" style="500" customWidth="1"/>
    <col min="15876" max="15876" width="8.2734375" style="500" customWidth="1"/>
    <col min="15877" max="15877" width="6.1796875" style="500" customWidth="1"/>
    <col min="15878" max="15878" width="1" style="500" customWidth="1"/>
    <col min="15879" max="15879" width="1.2734375" style="500" customWidth="1"/>
    <col min="15880" max="15880" width="5.1796875" style="500" customWidth="1"/>
    <col min="15881" max="15881" width="6.1796875" style="500" customWidth="1"/>
    <col min="15882" max="15882" width="0.7265625" style="500" customWidth="1"/>
    <col min="15883" max="15883" width="1" style="500" customWidth="1"/>
    <col min="15884" max="15884" width="4.7265625" style="500" customWidth="1"/>
    <col min="15885" max="15885" width="6.2734375" style="500" customWidth="1"/>
    <col min="15886" max="15886" width="0.8203125" style="500" customWidth="1"/>
    <col min="15887" max="15887" width="1.1796875" style="500" customWidth="1"/>
    <col min="15888" max="15888" width="6.546875" style="500" customWidth="1"/>
    <col min="15889" max="15889" width="7.1796875" style="500" customWidth="1"/>
    <col min="15890" max="15891" width="1.546875" style="500" customWidth="1"/>
    <col min="15892" max="15892" width="6.8203125" style="500" customWidth="1"/>
    <col min="15893" max="15893" width="2" style="500" customWidth="1"/>
    <col min="15894" max="15894" width="1.2734375" style="500" customWidth="1"/>
    <col min="15895" max="15895" width="2.1796875" style="500" customWidth="1"/>
    <col min="15896" max="15896" width="6.453125" style="500" customWidth="1"/>
    <col min="15897" max="15899" width="2" style="500" customWidth="1"/>
    <col min="15900" max="15900" width="7.7265625" style="500" customWidth="1"/>
    <col min="15901" max="15901" width="1.2734375" style="500" customWidth="1"/>
    <col min="15902" max="15902" width="1.546875" style="500" customWidth="1"/>
    <col min="15903" max="15903" width="1.453125" style="500" customWidth="1"/>
    <col min="15904" max="15904" width="6.1796875" style="500" customWidth="1"/>
    <col min="15905" max="15907" width="1" style="500" customWidth="1"/>
    <col min="15908" max="15908" width="6.453125" style="500" customWidth="1"/>
    <col min="15909" max="15909" width="5.8203125" style="500" customWidth="1"/>
    <col min="15910" max="15910" width="1.453125" style="500" customWidth="1"/>
    <col min="15911" max="15911" width="1.546875" style="500" customWidth="1"/>
    <col min="15912" max="15912" width="6.1796875" style="500" customWidth="1"/>
    <col min="15913" max="15913" width="7" style="500" customWidth="1"/>
    <col min="15914" max="15914" width="1.1796875" style="500" customWidth="1"/>
    <col min="15915" max="15915" width="1.8203125" style="500" customWidth="1"/>
    <col min="15916" max="15916" width="5.8203125" style="500" customWidth="1"/>
    <col min="15917" max="15917" width="1.7265625" style="500" customWidth="1"/>
    <col min="15918" max="15918" width="2.1796875" style="500" customWidth="1"/>
    <col min="15919" max="15919" width="1.1796875" style="500" customWidth="1"/>
    <col min="15920" max="15920" width="7.2734375" style="500" customWidth="1"/>
    <col min="15921" max="15922" width="2.1796875" style="500" customWidth="1"/>
    <col min="15923" max="15923" width="1.7265625" style="500" customWidth="1"/>
    <col min="15924" max="15924" width="5.546875" style="500" customWidth="1"/>
    <col min="15925" max="15925" width="2" style="500" customWidth="1"/>
    <col min="15926" max="15926" width="1.453125" style="500" customWidth="1"/>
    <col min="15927" max="15927" width="2" style="500" customWidth="1"/>
    <col min="15928" max="15928" width="6.8203125" style="500" customWidth="1"/>
    <col min="15929" max="15929" width="1.7265625" style="500" customWidth="1"/>
    <col min="15930" max="15930" width="2" style="500" customWidth="1"/>
    <col min="15931" max="15931" width="1.8203125" style="500" customWidth="1"/>
    <col min="15932" max="15932" width="6.8203125" style="500" customWidth="1"/>
    <col min="15933" max="15933" width="1.1796875" style="500" customWidth="1"/>
    <col min="15934" max="15934" width="1.2734375" style="500" customWidth="1"/>
    <col min="15935" max="15935" width="1.8203125" style="500" customWidth="1"/>
    <col min="15936" max="15936" width="6.8203125" style="500" customWidth="1"/>
    <col min="15937" max="15937" width="1.453125" style="500" customWidth="1"/>
    <col min="15938" max="15938" width="1.2734375" style="500" customWidth="1"/>
    <col min="15939" max="15939" width="2.1796875" style="500" customWidth="1"/>
    <col min="15940" max="15940" width="5.1796875" style="500" customWidth="1"/>
    <col min="15941" max="15941" width="5.546875" style="500" customWidth="1"/>
    <col min="15942" max="15942" width="1.1796875" style="500" customWidth="1"/>
    <col min="15943" max="15943" width="1.453125" style="500" customWidth="1"/>
    <col min="15944" max="15944" width="6" style="500" customWidth="1"/>
    <col min="15945" max="15945" width="5.8203125" style="500" customWidth="1"/>
    <col min="15946" max="15946" width="1.7265625" style="500" customWidth="1"/>
    <col min="15947" max="15947" width="2.1796875" style="500" customWidth="1"/>
    <col min="15948" max="15951" width="5.8203125" style="500" customWidth="1"/>
    <col min="15952" max="15952" width="6" style="500" customWidth="1"/>
    <col min="15953" max="15953" width="1.546875" style="500" customWidth="1"/>
    <col min="15954" max="15954" width="2.2734375" style="500" customWidth="1"/>
    <col min="15955" max="15955" width="1.546875" style="500" customWidth="1"/>
    <col min="15956" max="15959" width="6.2734375" style="500" customWidth="1"/>
    <col min="15960" max="15960" width="6.1796875" style="500" customWidth="1"/>
    <col min="15961" max="15962" width="1.1796875" style="500" customWidth="1"/>
    <col min="15963" max="15963" width="1.2734375" style="500" customWidth="1"/>
    <col min="15964" max="15967" width="5.8203125" style="500" customWidth="1"/>
    <col min="15968" max="15968" width="6.8203125" style="500" customWidth="1"/>
    <col min="15969" max="15969" width="1.2734375" style="500" customWidth="1"/>
    <col min="15970" max="15971" width="1.7265625" style="500" customWidth="1"/>
    <col min="15972" max="15973" width="10.7265625" style="500" customWidth="1"/>
    <col min="15974" max="15975" width="8.2734375" style="500" customWidth="1"/>
    <col min="15976" max="15976" width="8.7265625" style="500" customWidth="1"/>
    <col min="15977" max="15977" width="8.1796875" style="500" customWidth="1"/>
    <col min="15978" max="15979" width="11.2734375" style="500" customWidth="1"/>
    <col min="15980" max="15980" width="10" style="500" customWidth="1"/>
    <col min="15981" max="16128" width="9.1796875" style="500"/>
    <col min="16129" max="16129" width="5.546875" style="500" customWidth="1"/>
    <col min="16130" max="16130" width="21.2734375" style="500" customWidth="1"/>
    <col min="16131" max="16131" width="38.8203125" style="500" customWidth="1"/>
    <col min="16132" max="16132" width="8.2734375" style="500" customWidth="1"/>
    <col min="16133" max="16133" width="6.1796875" style="500" customWidth="1"/>
    <col min="16134" max="16134" width="1" style="500" customWidth="1"/>
    <col min="16135" max="16135" width="1.2734375" style="500" customWidth="1"/>
    <col min="16136" max="16136" width="5.1796875" style="500" customWidth="1"/>
    <col min="16137" max="16137" width="6.1796875" style="500" customWidth="1"/>
    <col min="16138" max="16138" width="0.7265625" style="500" customWidth="1"/>
    <col min="16139" max="16139" width="1" style="500" customWidth="1"/>
    <col min="16140" max="16140" width="4.7265625" style="500" customWidth="1"/>
    <col min="16141" max="16141" width="6.2734375" style="500" customWidth="1"/>
    <col min="16142" max="16142" width="0.8203125" style="500" customWidth="1"/>
    <col min="16143" max="16143" width="1.1796875" style="500" customWidth="1"/>
    <col min="16144" max="16144" width="6.546875" style="500" customWidth="1"/>
    <col min="16145" max="16145" width="7.1796875" style="500" customWidth="1"/>
    <col min="16146" max="16147" width="1.546875" style="500" customWidth="1"/>
    <col min="16148" max="16148" width="6.8203125" style="500" customWidth="1"/>
    <col min="16149" max="16149" width="2" style="500" customWidth="1"/>
    <col min="16150" max="16150" width="1.2734375" style="500" customWidth="1"/>
    <col min="16151" max="16151" width="2.1796875" style="500" customWidth="1"/>
    <col min="16152" max="16152" width="6.453125" style="500" customWidth="1"/>
    <col min="16153" max="16155" width="2" style="500" customWidth="1"/>
    <col min="16156" max="16156" width="7.7265625" style="500" customWidth="1"/>
    <col min="16157" max="16157" width="1.2734375" style="500" customWidth="1"/>
    <col min="16158" max="16158" width="1.546875" style="500" customWidth="1"/>
    <col min="16159" max="16159" width="1.453125" style="500" customWidth="1"/>
    <col min="16160" max="16160" width="6.1796875" style="500" customWidth="1"/>
    <col min="16161" max="16163" width="1" style="500" customWidth="1"/>
    <col min="16164" max="16164" width="6.453125" style="500" customWidth="1"/>
    <col min="16165" max="16165" width="5.8203125" style="500" customWidth="1"/>
    <col min="16166" max="16166" width="1.453125" style="500" customWidth="1"/>
    <col min="16167" max="16167" width="1.546875" style="500" customWidth="1"/>
    <col min="16168" max="16168" width="6.1796875" style="500" customWidth="1"/>
    <col min="16169" max="16169" width="7" style="500" customWidth="1"/>
    <col min="16170" max="16170" width="1.1796875" style="500" customWidth="1"/>
    <col min="16171" max="16171" width="1.8203125" style="500" customWidth="1"/>
    <col min="16172" max="16172" width="5.8203125" style="500" customWidth="1"/>
    <col min="16173" max="16173" width="1.7265625" style="500" customWidth="1"/>
    <col min="16174" max="16174" width="2.1796875" style="500" customWidth="1"/>
    <col min="16175" max="16175" width="1.1796875" style="500" customWidth="1"/>
    <col min="16176" max="16176" width="7.2734375" style="500" customWidth="1"/>
    <col min="16177" max="16178" width="2.1796875" style="500" customWidth="1"/>
    <col min="16179" max="16179" width="1.7265625" style="500" customWidth="1"/>
    <col min="16180" max="16180" width="5.546875" style="500" customWidth="1"/>
    <col min="16181" max="16181" width="2" style="500" customWidth="1"/>
    <col min="16182" max="16182" width="1.453125" style="500" customWidth="1"/>
    <col min="16183" max="16183" width="2" style="500" customWidth="1"/>
    <col min="16184" max="16184" width="6.8203125" style="500" customWidth="1"/>
    <col min="16185" max="16185" width="1.7265625" style="500" customWidth="1"/>
    <col min="16186" max="16186" width="2" style="500" customWidth="1"/>
    <col min="16187" max="16187" width="1.8203125" style="500" customWidth="1"/>
    <col min="16188" max="16188" width="6.8203125" style="500" customWidth="1"/>
    <col min="16189" max="16189" width="1.1796875" style="500" customWidth="1"/>
    <col min="16190" max="16190" width="1.2734375" style="500" customWidth="1"/>
    <col min="16191" max="16191" width="1.8203125" style="500" customWidth="1"/>
    <col min="16192" max="16192" width="6.8203125" style="500" customWidth="1"/>
    <col min="16193" max="16193" width="1.453125" style="500" customWidth="1"/>
    <col min="16194" max="16194" width="1.2734375" style="500" customWidth="1"/>
    <col min="16195" max="16195" width="2.1796875" style="500" customWidth="1"/>
    <col min="16196" max="16196" width="5.1796875" style="500" customWidth="1"/>
    <col min="16197" max="16197" width="5.546875" style="500" customWidth="1"/>
    <col min="16198" max="16198" width="1.1796875" style="500" customWidth="1"/>
    <col min="16199" max="16199" width="1.453125" style="500" customWidth="1"/>
    <col min="16200" max="16200" width="6" style="500" customWidth="1"/>
    <col min="16201" max="16201" width="5.8203125" style="500" customWidth="1"/>
    <col min="16202" max="16202" width="1.7265625" style="500" customWidth="1"/>
    <col min="16203" max="16203" width="2.1796875" style="500" customWidth="1"/>
    <col min="16204" max="16207" width="5.8203125" style="500" customWidth="1"/>
    <col min="16208" max="16208" width="6" style="500" customWidth="1"/>
    <col min="16209" max="16209" width="1.546875" style="500" customWidth="1"/>
    <col min="16210" max="16210" width="2.2734375" style="500" customWidth="1"/>
    <col min="16211" max="16211" width="1.546875" style="500" customWidth="1"/>
    <col min="16212" max="16215" width="6.2734375" style="500" customWidth="1"/>
    <col min="16216" max="16216" width="6.1796875" style="500" customWidth="1"/>
    <col min="16217" max="16218" width="1.1796875" style="500" customWidth="1"/>
    <col min="16219" max="16219" width="1.2734375" style="500" customWidth="1"/>
    <col min="16220" max="16223" width="5.8203125" style="500" customWidth="1"/>
    <col min="16224" max="16224" width="6.8203125" style="500" customWidth="1"/>
    <col min="16225" max="16225" width="1.2734375" style="500" customWidth="1"/>
    <col min="16226" max="16227" width="1.7265625" style="500" customWidth="1"/>
    <col min="16228" max="16229" width="10.7265625" style="500" customWidth="1"/>
    <col min="16230" max="16231" width="8.2734375" style="500" customWidth="1"/>
    <col min="16232" max="16232" width="8.7265625" style="500" customWidth="1"/>
    <col min="16233" max="16233" width="8.1796875" style="500" customWidth="1"/>
    <col min="16234" max="16235" width="11.2734375" style="500" customWidth="1"/>
    <col min="16236" max="16236" width="10" style="500" customWidth="1"/>
    <col min="16237" max="16384" width="9.1796875" style="500"/>
  </cols>
  <sheetData>
    <row r="1" ht="23.25" customHeight="1" spans="1:29">
      <c r="A1" s="502" t="s">
        <v>0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35"/>
    </row>
    <row r="2" ht="32.25" customHeight="1" spans="1:29">
      <c r="A2" s="504" t="s">
        <v>1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36"/>
    </row>
    <row r="3" ht="23.25" customHeight="1" spans="1:29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</row>
    <row r="4" ht="23.25" customHeight="1" spans="1:29">
      <c r="A4" s="507" t="s">
        <v>2</v>
      </c>
      <c r="B4" s="508"/>
      <c r="C4" s="509"/>
      <c r="D4" s="507" t="s">
        <v>3</v>
      </c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9"/>
      <c r="Q4" s="507" t="s">
        <v>4</v>
      </c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9"/>
    </row>
    <row r="5" ht="23.25" customHeight="1" spans="1:67">
      <c r="A5" s="510" t="s">
        <v>5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37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6"/>
      <c r="BO5" s="516"/>
    </row>
    <row r="6" ht="23.25" customHeight="1" spans="1:67">
      <c r="A6" s="510" t="s">
        <v>6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37"/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6"/>
      <c r="BL6" s="516"/>
      <c r="BM6" s="516"/>
      <c r="BN6" s="516"/>
      <c r="BO6" s="516"/>
    </row>
    <row r="7" ht="23.25" customHeight="1" spans="1:67">
      <c r="A7" s="512" t="s">
        <v>7</v>
      </c>
      <c r="B7" s="512"/>
      <c r="C7" s="512"/>
      <c r="D7" s="339" t="s">
        <v>8</v>
      </c>
      <c r="E7" s="516"/>
      <c r="F7" s="516"/>
      <c r="G7" s="516"/>
      <c r="H7" s="516"/>
      <c r="I7" s="516"/>
      <c r="J7" s="516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6"/>
      <c r="X7" s="516"/>
      <c r="Y7" s="516"/>
      <c r="Z7" s="516"/>
      <c r="AA7" s="516"/>
      <c r="AB7" s="516"/>
      <c r="AC7" s="516"/>
      <c r="AD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</row>
    <row r="8" ht="23.25" customHeight="1" spans="1:67">
      <c r="A8" s="512" t="s">
        <v>9</v>
      </c>
      <c r="B8" s="512"/>
      <c r="C8" s="512"/>
      <c r="D8" s="339" t="s">
        <v>8</v>
      </c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</row>
    <row r="9" ht="23.25" customHeight="1" spans="1:67">
      <c r="A9" s="512" t="s">
        <v>10</v>
      </c>
      <c r="B9" s="512"/>
      <c r="C9" s="512"/>
      <c r="D9" s="339" t="s">
        <v>11</v>
      </c>
      <c r="E9" s="516"/>
      <c r="F9" s="516"/>
      <c r="G9" s="516"/>
      <c r="H9" s="516"/>
      <c r="I9" s="516"/>
      <c r="J9" s="516"/>
      <c r="K9" s="516"/>
      <c r="L9" s="516"/>
      <c r="M9" s="516"/>
      <c r="N9" s="516"/>
      <c r="O9" s="516"/>
      <c r="P9" s="516"/>
      <c r="Q9" s="516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6"/>
      <c r="AC9" s="516"/>
      <c r="AD9" s="516"/>
      <c r="AJ9" s="516"/>
      <c r="AK9" s="516"/>
      <c r="AL9" s="516"/>
      <c r="AM9" s="516"/>
      <c r="AN9" s="516"/>
      <c r="AO9" s="516"/>
      <c r="AP9" s="516"/>
      <c r="AQ9" s="516"/>
      <c r="AR9" s="516"/>
      <c r="AS9" s="516"/>
      <c r="AT9" s="516"/>
      <c r="AU9" s="516"/>
      <c r="AV9" s="516"/>
      <c r="AW9" s="516"/>
      <c r="AX9" s="516"/>
      <c r="AY9" s="516"/>
      <c r="AZ9" s="516"/>
      <c r="BA9" s="516"/>
      <c r="BB9" s="516"/>
      <c r="BC9" s="516"/>
      <c r="BD9" s="516"/>
      <c r="BE9" s="516"/>
      <c r="BF9" s="516"/>
      <c r="BG9" s="516"/>
      <c r="BH9" s="516"/>
      <c r="BI9" s="516"/>
      <c r="BJ9" s="516"/>
      <c r="BK9" s="516"/>
      <c r="BL9" s="516"/>
      <c r="BM9" s="516"/>
      <c r="BN9" s="516"/>
      <c r="BO9" s="516"/>
    </row>
    <row r="10" ht="28.5" customHeight="1" spans="1:68">
      <c r="A10" s="513" t="s">
        <v>12</v>
      </c>
      <c r="B10" s="513"/>
      <c r="C10" s="513"/>
      <c r="D10" s="513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516"/>
      <c r="BC10" s="516"/>
      <c r="BD10" s="516"/>
      <c r="BE10" s="516"/>
      <c r="BF10" s="516"/>
      <c r="BG10" s="516"/>
      <c r="BH10" s="516"/>
      <c r="BI10" s="516"/>
      <c r="BJ10" s="516"/>
      <c r="BK10" s="516"/>
      <c r="BL10" s="516"/>
      <c r="BM10" s="516"/>
      <c r="BN10" s="516"/>
      <c r="BO10" s="516"/>
      <c r="BP10" s="516"/>
    </row>
    <row r="11" ht="36.75" spans="1:104">
      <c r="A11" s="514"/>
      <c r="B11" s="514"/>
      <c r="C11" s="515" t="s">
        <v>13</v>
      </c>
      <c r="D11" s="516"/>
      <c r="E11" s="516"/>
      <c r="F11" s="531"/>
      <c r="G11" s="531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/>
      <c r="AO11" s="516"/>
      <c r="AP11" s="516"/>
      <c r="AQ11" s="516"/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6"/>
      <c r="BG11" s="516"/>
      <c r="BH11" s="516"/>
      <c r="BI11" s="516"/>
      <c r="BJ11" s="516"/>
      <c r="BK11" s="516"/>
      <c r="BL11" s="516"/>
      <c r="BM11" s="516"/>
      <c r="BN11" s="516"/>
      <c r="BO11" s="516"/>
      <c r="BP11" s="516"/>
      <c r="CZ11" s="566"/>
    </row>
    <row r="12" ht="22.5" customHeight="1" spans="1:122">
      <c r="A12" s="514"/>
      <c r="C12" s="517" t="s">
        <v>14</v>
      </c>
      <c r="D12" s="518" t="s">
        <v>15</v>
      </c>
      <c r="E12" s="518"/>
      <c r="F12" s="532"/>
      <c r="G12" s="532"/>
      <c r="H12" s="533" t="s">
        <v>16</v>
      </c>
      <c r="I12" s="533"/>
      <c r="J12" s="533"/>
      <c r="K12" s="533"/>
      <c r="L12" s="533" t="s">
        <v>17</v>
      </c>
      <c r="M12" s="533"/>
      <c r="N12" s="533"/>
      <c r="O12" s="533"/>
      <c r="P12" s="533" t="s">
        <v>17</v>
      </c>
      <c r="Q12" s="533"/>
      <c r="R12" s="533"/>
      <c r="S12" s="533"/>
      <c r="T12" s="533" t="s">
        <v>15</v>
      </c>
      <c r="U12" s="533"/>
      <c r="V12" s="533"/>
      <c r="W12" s="533"/>
      <c r="X12" s="533" t="s">
        <v>15</v>
      </c>
      <c r="Y12" s="533"/>
      <c r="Z12" s="533"/>
      <c r="AA12" s="533"/>
      <c r="AB12" s="533" t="s">
        <v>16</v>
      </c>
      <c r="AC12" s="533"/>
      <c r="AD12" s="533"/>
      <c r="AE12" s="533"/>
      <c r="AF12" s="533" t="s">
        <v>16</v>
      </c>
      <c r="AG12" s="533"/>
      <c r="AH12" s="533"/>
      <c r="AI12" s="533"/>
      <c r="AJ12" s="533" t="s">
        <v>16</v>
      </c>
      <c r="AK12" s="533"/>
      <c r="AL12" s="533"/>
      <c r="AM12" s="533"/>
      <c r="AN12" s="533" t="s">
        <v>18</v>
      </c>
      <c r="AO12" s="533"/>
      <c r="AP12" s="533"/>
      <c r="AQ12" s="533"/>
      <c r="AR12" s="533" t="s">
        <v>16</v>
      </c>
      <c r="AS12" s="533"/>
      <c r="AT12" s="533"/>
      <c r="AU12" s="533"/>
      <c r="AV12" s="533" t="s">
        <v>16</v>
      </c>
      <c r="AW12" s="533"/>
      <c r="AX12" s="533"/>
      <c r="AY12" s="533"/>
      <c r="AZ12" s="533" t="s">
        <v>16</v>
      </c>
      <c r="BA12" s="533"/>
      <c r="BB12" s="533"/>
      <c r="BC12" s="533"/>
      <c r="BD12" s="533" t="s">
        <v>16</v>
      </c>
      <c r="BE12" s="533"/>
      <c r="BF12" s="533"/>
      <c r="BG12" s="533"/>
      <c r="BH12" s="533" t="s">
        <v>18</v>
      </c>
      <c r="BI12" s="533"/>
      <c r="BJ12" s="533"/>
      <c r="BK12" s="533"/>
      <c r="BL12" s="533" t="s">
        <v>18</v>
      </c>
      <c r="BM12" s="533"/>
      <c r="BN12" s="533"/>
      <c r="BO12" s="533"/>
      <c r="BP12" s="549" t="s">
        <v>18</v>
      </c>
      <c r="BQ12" s="549"/>
      <c r="BR12" s="549"/>
      <c r="BS12" s="549"/>
      <c r="BT12" s="549" t="s">
        <v>19</v>
      </c>
      <c r="BU12" s="549"/>
      <c r="BV12" s="549"/>
      <c r="BW12" s="549"/>
      <c r="BX12" s="549" t="s">
        <v>18</v>
      </c>
      <c r="BY12" s="549"/>
      <c r="BZ12" s="549"/>
      <c r="CA12" s="549"/>
      <c r="CB12" s="549" t="s">
        <v>18</v>
      </c>
      <c r="CC12" s="549"/>
      <c r="CD12" s="549"/>
      <c r="CE12" s="549"/>
      <c r="CF12" s="549" t="s">
        <v>19</v>
      </c>
      <c r="CG12" s="549"/>
      <c r="CH12" s="549"/>
      <c r="CI12" s="549"/>
      <c r="CJ12" s="549" t="s">
        <v>19</v>
      </c>
      <c r="CK12" s="549"/>
      <c r="CL12" s="549"/>
      <c r="CM12" s="549"/>
      <c r="CN12" s="549" t="s">
        <v>19</v>
      </c>
      <c r="CO12" s="559"/>
      <c r="CP12" s="559"/>
      <c r="CQ12" s="559"/>
      <c r="CR12" s="559" t="s">
        <v>19</v>
      </c>
      <c r="CS12" s="560"/>
      <c r="CT12" s="560"/>
      <c r="CU12" s="560"/>
      <c r="CV12" s="560" t="s">
        <v>20</v>
      </c>
      <c r="CW12" s="560" t="s">
        <v>20</v>
      </c>
      <c r="DK12" s="580" t="s">
        <v>21</v>
      </c>
      <c r="DL12" s="581"/>
      <c r="DM12" s="581"/>
      <c r="DN12" s="581"/>
      <c r="DO12" s="581"/>
      <c r="DP12" s="581"/>
      <c r="DQ12" s="581"/>
      <c r="DR12" s="586"/>
    </row>
    <row r="13" ht="55.5" customHeight="1" spans="1:122">
      <c r="A13" s="514"/>
      <c r="B13" s="519"/>
      <c r="C13" s="520"/>
      <c r="D13" s="521" t="s">
        <v>22</v>
      </c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40"/>
      <c r="AJ13" s="541" t="s">
        <v>23</v>
      </c>
      <c r="AK13" s="544"/>
      <c r="AL13" s="544"/>
      <c r="AM13" s="544"/>
      <c r="AN13" s="544"/>
      <c r="AO13" s="544"/>
      <c r="AP13" s="544"/>
      <c r="AQ13" s="544"/>
      <c r="AR13" s="544"/>
      <c r="AS13" s="544"/>
      <c r="AT13" s="544"/>
      <c r="AU13" s="544"/>
      <c r="AV13" s="544"/>
      <c r="AW13" s="544"/>
      <c r="AX13" s="544"/>
      <c r="AY13" s="544"/>
      <c r="AZ13" s="544"/>
      <c r="BA13" s="544"/>
      <c r="BB13" s="544"/>
      <c r="BC13" s="544"/>
      <c r="BD13" s="544"/>
      <c r="BE13" s="544"/>
      <c r="BF13" s="544"/>
      <c r="BG13" s="544"/>
      <c r="BH13" s="544"/>
      <c r="BI13" s="544"/>
      <c r="BJ13" s="544"/>
      <c r="BK13" s="544"/>
      <c r="BL13" s="544"/>
      <c r="BM13" s="544"/>
      <c r="BN13" s="544"/>
      <c r="BO13" s="550"/>
      <c r="BP13" s="521" t="s">
        <v>24</v>
      </c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61"/>
      <c r="CV13" s="562" t="s">
        <v>25</v>
      </c>
      <c r="CW13" s="567" t="s">
        <v>26</v>
      </c>
      <c r="DK13" s="582" t="s">
        <v>27</v>
      </c>
      <c r="DL13" s="582" t="s">
        <v>27</v>
      </c>
      <c r="DM13" s="582" t="s">
        <v>27</v>
      </c>
      <c r="DN13" s="582" t="s">
        <v>27</v>
      </c>
      <c r="DO13" s="582" t="s">
        <v>28</v>
      </c>
      <c r="DP13" s="582" t="s">
        <v>29</v>
      </c>
      <c r="DQ13" s="582" t="s">
        <v>30</v>
      </c>
      <c r="DR13" s="582" t="s">
        <v>31</v>
      </c>
    </row>
    <row r="14" ht="27.75" customHeight="1" spans="1:122">
      <c r="A14" s="514"/>
      <c r="B14" s="519"/>
      <c r="C14" s="522" t="s">
        <v>32</v>
      </c>
      <c r="D14" s="523">
        <v>10</v>
      </c>
      <c r="E14" s="523"/>
      <c r="F14" s="523"/>
      <c r="G14" s="523"/>
      <c r="H14" s="523">
        <v>10</v>
      </c>
      <c r="I14" s="523"/>
      <c r="J14" s="523"/>
      <c r="K14" s="523"/>
      <c r="L14" s="523">
        <v>10</v>
      </c>
      <c r="M14" s="523"/>
      <c r="N14" s="523"/>
      <c r="O14" s="523"/>
      <c r="P14" s="523">
        <v>10</v>
      </c>
      <c r="Q14" s="523"/>
      <c r="R14" s="523"/>
      <c r="S14" s="523"/>
      <c r="T14" s="523">
        <v>10</v>
      </c>
      <c r="U14" s="523"/>
      <c r="V14" s="523"/>
      <c r="W14" s="523"/>
      <c r="X14" s="523">
        <v>10</v>
      </c>
      <c r="Y14" s="523"/>
      <c r="Z14" s="523"/>
      <c r="AA14" s="523"/>
      <c r="AB14" s="523">
        <v>10</v>
      </c>
      <c r="AC14" s="523"/>
      <c r="AD14" s="538"/>
      <c r="AE14" s="538"/>
      <c r="AF14" s="523">
        <v>10</v>
      </c>
      <c r="AG14" s="538"/>
      <c r="AH14" s="538"/>
      <c r="AI14" s="538"/>
      <c r="AJ14" s="538">
        <v>10</v>
      </c>
      <c r="AK14" s="523"/>
      <c r="AL14" s="523"/>
      <c r="AM14" s="523"/>
      <c r="AN14" s="523">
        <v>10</v>
      </c>
      <c r="AO14" s="523"/>
      <c r="AP14" s="523"/>
      <c r="AQ14" s="523"/>
      <c r="AR14" s="523">
        <v>10</v>
      </c>
      <c r="AS14" s="523"/>
      <c r="AT14" s="523"/>
      <c r="AU14" s="523"/>
      <c r="AV14" s="523">
        <v>10</v>
      </c>
      <c r="AW14" s="523"/>
      <c r="AX14" s="523"/>
      <c r="AY14" s="523"/>
      <c r="AZ14" s="523">
        <v>10</v>
      </c>
      <c r="BA14" s="523"/>
      <c r="BB14" s="523"/>
      <c r="BC14" s="523"/>
      <c r="BD14" s="523">
        <v>10</v>
      </c>
      <c r="BE14" s="523"/>
      <c r="BF14" s="523"/>
      <c r="BG14" s="523"/>
      <c r="BH14" s="523">
        <v>10</v>
      </c>
      <c r="BI14" s="523"/>
      <c r="BJ14" s="523"/>
      <c r="BK14" s="523"/>
      <c r="BL14" s="523">
        <v>10</v>
      </c>
      <c r="BM14" s="523"/>
      <c r="BN14" s="523"/>
      <c r="BO14" s="523"/>
      <c r="BP14" s="551">
        <v>10</v>
      </c>
      <c r="BQ14" s="551"/>
      <c r="BR14" s="551"/>
      <c r="BS14" s="551"/>
      <c r="BT14" s="551">
        <v>10</v>
      </c>
      <c r="BU14" s="551"/>
      <c r="BV14" s="551"/>
      <c r="BW14" s="551"/>
      <c r="BX14" s="551">
        <v>10</v>
      </c>
      <c r="BY14" s="551"/>
      <c r="BZ14" s="551"/>
      <c r="CA14" s="551"/>
      <c r="CB14" s="551">
        <v>10</v>
      </c>
      <c r="CC14" s="551"/>
      <c r="CD14" s="551"/>
      <c r="CE14" s="551"/>
      <c r="CF14" s="551">
        <v>10</v>
      </c>
      <c r="CG14" s="551"/>
      <c r="CH14" s="551"/>
      <c r="CI14" s="551"/>
      <c r="CJ14" s="551">
        <v>10</v>
      </c>
      <c r="CK14" s="551"/>
      <c r="CL14" s="551"/>
      <c r="CM14" s="551"/>
      <c r="CN14" s="551">
        <v>10</v>
      </c>
      <c r="CO14" s="551"/>
      <c r="CP14" s="551"/>
      <c r="CQ14" s="551"/>
      <c r="CR14" s="551">
        <v>10</v>
      </c>
      <c r="CS14" s="563"/>
      <c r="CT14" s="563"/>
      <c r="CU14" s="563"/>
      <c r="CV14" s="564">
        <v>10</v>
      </c>
      <c r="CW14" s="564">
        <v>10</v>
      </c>
      <c r="CX14" s="564">
        <v>50</v>
      </c>
      <c r="CY14" s="564">
        <v>50</v>
      </c>
      <c r="CZ14" s="564">
        <v>50</v>
      </c>
      <c r="DA14" s="569">
        <v>50</v>
      </c>
      <c r="DB14" s="569">
        <v>50</v>
      </c>
      <c r="DC14" s="570">
        <v>100</v>
      </c>
      <c r="DF14" s="577" t="s">
        <v>33</v>
      </c>
      <c r="DG14" s="577"/>
      <c r="DH14" s="577"/>
      <c r="DI14" s="583" t="s">
        <v>34</v>
      </c>
      <c r="DK14" s="170" t="s">
        <v>35</v>
      </c>
      <c r="DL14" s="170" t="s">
        <v>36</v>
      </c>
      <c r="DM14" s="170" t="s">
        <v>37</v>
      </c>
      <c r="DN14" s="170" t="s">
        <v>38</v>
      </c>
      <c r="DO14" s="393" t="s">
        <v>35</v>
      </c>
      <c r="DP14" s="393" t="s">
        <v>38</v>
      </c>
      <c r="DQ14" s="452"/>
      <c r="DR14" s="453"/>
    </row>
    <row r="15" ht="43.5" customHeight="1" spans="1:122">
      <c r="A15" s="514"/>
      <c r="B15" s="519"/>
      <c r="C15" s="524" t="s">
        <v>39</v>
      </c>
      <c r="D15" s="499">
        <f>PRODUCT(D14,0.6)</f>
        <v>6</v>
      </c>
      <c r="E15" s="499">
        <f>PRODUCT(E14,0.6)</f>
        <v>0.6</v>
      </c>
      <c r="F15" s="499"/>
      <c r="G15" s="499"/>
      <c r="H15" s="499">
        <f>PRODUCT(H14,0.6)</f>
        <v>6</v>
      </c>
      <c r="I15" s="499">
        <f>PRODUCT(I14,0.6)</f>
        <v>0.6</v>
      </c>
      <c r="J15" s="499"/>
      <c r="K15" s="499"/>
      <c r="L15" s="499">
        <f>PRODUCT(L14,0.6)</f>
        <v>6</v>
      </c>
      <c r="M15" s="499">
        <f>PRODUCT(M14,0.6)</f>
        <v>0.6</v>
      </c>
      <c r="N15" s="499"/>
      <c r="O15" s="499"/>
      <c r="P15" s="499">
        <f>PRODUCT(P14,0.6)</f>
        <v>6</v>
      </c>
      <c r="Q15" s="499">
        <f>PRODUCT(Q14,0.6)</f>
        <v>0.6</v>
      </c>
      <c r="R15" s="499"/>
      <c r="S15" s="499"/>
      <c r="T15" s="499">
        <f>PRODUCT(T14,0.6)</f>
        <v>6</v>
      </c>
      <c r="U15" s="499"/>
      <c r="V15" s="499"/>
      <c r="W15" s="499"/>
      <c r="X15" s="499">
        <f>PRODUCT(X14,0.6)</f>
        <v>6</v>
      </c>
      <c r="Y15" s="499"/>
      <c r="Z15" s="499"/>
      <c r="AA15" s="499"/>
      <c r="AB15" s="499">
        <f>PRODUCT(AB14,0.6)</f>
        <v>6</v>
      </c>
      <c r="AC15" s="499"/>
      <c r="AD15" s="499"/>
      <c r="AE15" s="499"/>
      <c r="AF15" s="499">
        <f>PRODUCT(AF14,0.6)</f>
        <v>6</v>
      </c>
      <c r="AG15" s="499"/>
      <c r="AH15" s="499"/>
      <c r="AI15" s="499"/>
      <c r="AJ15" s="499">
        <f>PRODUCT(AJ14,0.6)</f>
        <v>6</v>
      </c>
      <c r="AK15" s="499">
        <f>PRODUCT(AK14,0.6)</f>
        <v>0.6</v>
      </c>
      <c r="AL15" s="499"/>
      <c r="AM15" s="499"/>
      <c r="AN15" s="499">
        <f>PRODUCT(AN14,0.6)</f>
        <v>6</v>
      </c>
      <c r="AO15" s="499">
        <f>PRODUCT(AO14,0.6)</f>
        <v>0.6</v>
      </c>
      <c r="AP15" s="499"/>
      <c r="AQ15" s="499"/>
      <c r="AR15" s="499">
        <f>PRODUCT(AR14,0.6)</f>
        <v>6</v>
      </c>
      <c r="AS15" s="499"/>
      <c r="AT15" s="499"/>
      <c r="AU15" s="499"/>
      <c r="AV15" s="499">
        <f>PRODUCT(AV14,0.6)</f>
        <v>6</v>
      </c>
      <c r="AW15" s="499"/>
      <c r="AX15" s="499"/>
      <c r="AY15" s="499"/>
      <c r="AZ15" s="499">
        <f>PRODUCT(AZ14,0.6)</f>
        <v>6</v>
      </c>
      <c r="BA15" s="499"/>
      <c r="BB15" s="499"/>
      <c r="BC15" s="499"/>
      <c r="BD15" s="499">
        <f>PRODUCT(BD14,0.6)</f>
        <v>6</v>
      </c>
      <c r="BE15" s="499"/>
      <c r="BF15" s="499"/>
      <c r="BG15" s="499"/>
      <c r="BH15" s="499">
        <f>PRODUCT(BH14,0.6)</f>
        <v>6</v>
      </c>
      <c r="BI15" s="499"/>
      <c r="BJ15" s="499"/>
      <c r="BK15" s="499"/>
      <c r="BL15" s="499">
        <f>PRODUCT(BL14,0.6)</f>
        <v>6</v>
      </c>
      <c r="BM15" s="499"/>
      <c r="BN15" s="499"/>
      <c r="BO15" s="499"/>
      <c r="BP15" s="499">
        <f>PRODUCT(BP14,0.6)</f>
        <v>6</v>
      </c>
      <c r="BQ15" s="499">
        <f>PRODUCT(BQ14,0.6)</f>
        <v>0.6</v>
      </c>
      <c r="BR15" s="499"/>
      <c r="BS15" s="499"/>
      <c r="BT15" s="499">
        <f>PRODUCT(BT14,0.6)</f>
        <v>6</v>
      </c>
      <c r="BU15" s="499">
        <f>PRODUCT(BU14,0.6)</f>
        <v>0.6</v>
      </c>
      <c r="BV15" s="499"/>
      <c r="BW15" s="499"/>
      <c r="BX15" s="499">
        <f>PRODUCT(BX14,0.6)</f>
        <v>6</v>
      </c>
      <c r="BY15" s="499"/>
      <c r="BZ15" s="499"/>
      <c r="CA15" s="499"/>
      <c r="CB15" s="499">
        <f>PRODUCT(CB14,0.6)</f>
        <v>6</v>
      </c>
      <c r="CC15" s="499"/>
      <c r="CD15" s="499"/>
      <c r="CE15" s="499"/>
      <c r="CF15" s="499">
        <f>PRODUCT(CF14,0.6)</f>
        <v>6</v>
      </c>
      <c r="CG15" s="499"/>
      <c r="CH15" s="499"/>
      <c r="CI15" s="499"/>
      <c r="CJ15" s="499">
        <f>PRODUCT(CJ14,0.6)</f>
        <v>6</v>
      </c>
      <c r="CK15" s="499"/>
      <c r="CL15" s="499"/>
      <c r="CM15" s="499"/>
      <c r="CN15" s="499">
        <f>PRODUCT(CN14,0.6)</f>
        <v>6</v>
      </c>
      <c r="CO15" s="499"/>
      <c r="CP15" s="499"/>
      <c r="CQ15" s="499"/>
      <c r="CR15" s="499">
        <f>PRODUCT(CR14,0.6)</f>
        <v>6</v>
      </c>
      <c r="CS15" s="499"/>
      <c r="CT15" s="499"/>
      <c r="CU15" s="499"/>
      <c r="CV15" s="499">
        <f t="shared" ref="CV15:DB15" si="0">PRODUCT(CV14,0.6)</f>
        <v>6</v>
      </c>
      <c r="CW15" s="499">
        <f t="shared" si="0"/>
        <v>6</v>
      </c>
      <c r="CX15" s="499">
        <f t="shared" si="0"/>
        <v>30</v>
      </c>
      <c r="CY15" s="499">
        <f t="shared" si="0"/>
        <v>30</v>
      </c>
      <c r="CZ15" s="499">
        <f t="shared" si="0"/>
        <v>30</v>
      </c>
      <c r="DA15" s="499">
        <f t="shared" si="0"/>
        <v>30</v>
      </c>
      <c r="DB15" s="499">
        <f t="shared" si="0"/>
        <v>30</v>
      </c>
      <c r="DC15" s="499">
        <v>60</v>
      </c>
      <c r="DF15" s="460" t="str">
        <f>'CIA MARKS'!DX12</f>
        <v>STAND ALONE THEORY</v>
      </c>
      <c r="DG15" s="460" t="str">
        <f>'CIA MARKS'!EH12</f>
        <v>STAND ALONE LAB</v>
      </c>
      <c r="DH15" s="578" t="str">
        <f>'CIA MARKS'!EJ12</f>
        <v>IPCC</v>
      </c>
      <c r="DI15" s="578" t="str">
        <f>'CIA MARKS'!EK12</f>
        <v>SEE</v>
      </c>
      <c r="DK15" s="329" t="s">
        <v>40</v>
      </c>
      <c r="DL15" s="329" t="s">
        <v>41</v>
      </c>
      <c r="DM15" s="329" t="s">
        <v>42</v>
      </c>
      <c r="DN15" s="329" t="s">
        <v>43</v>
      </c>
      <c r="DO15" s="329" t="s">
        <v>40</v>
      </c>
      <c r="DP15" s="329" t="s">
        <v>44</v>
      </c>
      <c r="DQ15" s="329" t="s">
        <v>45</v>
      </c>
      <c r="DR15" s="162"/>
    </row>
    <row r="16" ht="34.5" customHeight="1" spans="1:122">
      <c r="A16" s="1" t="s">
        <v>46</v>
      </c>
      <c r="B16" s="1" t="s">
        <v>47</v>
      </c>
      <c r="C16" s="525" t="s">
        <v>48</v>
      </c>
      <c r="D16" s="526" t="s">
        <v>49</v>
      </c>
      <c r="E16" s="526" t="s">
        <v>50</v>
      </c>
      <c r="F16" s="526" t="s">
        <v>51</v>
      </c>
      <c r="G16" s="526" t="s">
        <v>52</v>
      </c>
      <c r="H16" s="526" t="s">
        <v>53</v>
      </c>
      <c r="I16" s="526" t="s">
        <v>54</v>
      </c>
      <c r="J16" s="526" t="s">
        <v>55</v>
      </c>
      <c r="K16" s="526" t="s">
        <v>56</v>
      </c>
      <c r="L16" s="526" t="s">
        <v>57</v>
      </c>
      <c r="M16" s="526" t="s">
        <v>58</v>
      </c>
      <c r="N16" s="526" t="s">
        <v>59</v>
      </c>
      <c r="O16" s="526" t="s">
        <v>60</v>
      </c>
      <c r="P16" s="526" t="s">
        <v>61</v>
      </c>
      <c r="Q16" s="526" t="s">
        <v>62</v>
      </c>
      <c r="R16" s="526" t="s">
        <v>63</v>
      </c>
      <c r="S16" s="526" t="s">
        <v>64</v>
      </c>
      <c r="T16" s="526" t="s">
        <v>65</v>
      </c>
      <c r="U16" s="526" t="s">
        <v>66</v>
      </c>
      <c r="V16" s="526" t="s">
        <v>67</v>
      </c>
      <c r="W16" s="526" t="s">
        <v>68</v>
      </c>
      <c r="X16" s="526" t="s">
        <v>69</v>
      </c>
      <c r="Y16" s="526" t="s">
        <v>70</v>
      </c>
      <c r="Z16" s="526" t="s">
        <v>71</v>
      </c>
      <c r="AA16" s="526" t="s">
        <v>72</v>
      </c>
      <c r="AB16" s="526" t="s">
        <v>73</v>
      </c>
      <c r="AC16" s="526" t="s">
        <v>74</v>
      </c>
      <c r="AD16" s="539" t="s">
        <v>75</v>
      </c>
      <c r="AE16" s="539" t="s">
        <v>76</v>
      </c>
      <c r="AF16" s="539" t="s">
        <v>77</v>
      </c>
      <c r="AG16" s="539" t="s">
        <v>78</v>
      </c>
      <c r="AH16" s="539" t="s">
        <v>79</v>
      </c>
      <c r="AI16" s="539" t="s">
        <v>80</v>
      </c>
      <c r="AJ16" s="542" t="s">
        <v>49</v>
      </c>
      <c r="AK16" s="545" t="s">
        <v>49</v>
      </c>
      <c r="AL16" s="545" t="s">
        <v>51</v>
      </c>
      <c r="AM16" s="545" t="s">
        <v>52</v>
      </c>
      <c r="AN16" s="545" t="s">
        <v>53</v>
      </c>
      <c r="AO16" s="545" t="s">
        <v>53</v>
      </c>
      <c r="AP16" s="545" t="s">
        <v>55</v>
      </c>
      <c r="AQ16" s="545" t="s">
        <v>56</v>
      </c>
      <c r="AR16" s="545" t="s">
        <v>57</v>
      </c>
      <c r="AS16" s="548" t="s">
        <v>58</v>
      </c>
      <c r="AT16" s="548" t="s">
        <v>59</v>
      </c>
      <c r="AU16" s="548" t="s">
        <v>60</v>
      </c>
      <c r="AV16" s="545" t="s">
        <v>61</v>
      </c>
      <c r="AW16" s="548" t="s">
        <v>62</v>
      </c>
      <c r="AX16" s="548" t="s">
        <v>63</v>
      </c>
      <c r="AY16" s="548" t="s">
        <v>64</v>
      </c>
      <c r="AZ16" s="548" t="s">
        <v>65</v>
      </c>
      <c r="BA16" s="548" t="s">
        <v>66</v>
      </c>
      <c r="BB16" s="548" t="s">
        <v>67</v>
      </c>
      <c r="BC16" s="548" t="s">
        <v>68</v>
      </c>
      <c r="BD16" s="548" t="s">
        <v>69</v>
      </c>
      <c r="BE16" s="548" t="s">
        <v>70</v>
      </c>
      <c r="BF16" s="548" t="s">
        <v>71</v>
      </c>
      <c r="BG16" s="548" t="s">
        <v>72</v>
      </c>
      <c r="BH16" s="548" t="s">
        <v>73</v>
      </c>
      <c r="BI16" s="548" t="s">
        <v>74</v>
      </c>
      <c r="BJ16" s="542" t="s">
        <v>75</v>
      </c>
      <c r="BK16" s="542" t="s">
        <v>76</v>
      </c>
      <c r="BL16" s="542" t="s">
        <v>77</v>
      </c>
      <c r="BM16" s="542" t="s">
        <v>78</v>
      </c>
      <c r="BN16" s="542" t="s">
        <v>79</v>
      </c>
      <c r="BO16" s="542" t="s">
        <v>80</v>
      </c>
      <c r="BP16" s="539" t="s">
        <v>49</v>
      </c>
      <c r="BQ16" s="555" t="s">
        <v>50</v>
      </c>
      <c r="BR16" s="555" t="s">
        <v>51</v>
      </c>
      <c r="BS16" s="555" t="s">
        <v>52</v>
      </c>
      <c r="BT16" s="555" t="s">
        <v>53</v>
      </c>
      <c r="BU16" s="555" t="s">
        <v>54</v>
      </c>
      <c r="BV16" s="555" t="s">
        <v>55</v>
      </c>
      <c r="BW16" s="555" t="s">
        <v>56</v>
      </c>
      <c r="BX16" s="555" t="s">
        <v>57</v>
      </c>
      <c r="BY16" s="526" t="s">
        <v>58</v>
      </c>
      <c r="BZ16" s="526" t="s">
        <v>59</v>
      </c>
      <c r="CA16" s="526" t="s">
        <v>60</v>
      </c>
      <c r="CB16" s="555" t="s">
        <v>61</v>
      </c>
      <c r="CC16" s="526" t="s">
        <v>62</v>
      </c>
      <c r="CD16" s="526" t="s">
        <v>63</v>
      </c>
      <c r="CE16" s="526" t="s">
        <v>64</v>
      </c>
      <c r="CF16" s="526" t="s">
        <v>65</v>
      </c>
      <c r="CG16" s="526" t="s">
        <v>66</v>
      </c>
      <c r="CH16" s="526" t="s">
        <v>67</v>
      </c>
      <c r="CI16" s="526" t="s">
        <v>68</v>
      </c>
      <c r="CJ16" s="526" t="s">
        <v>69</v>
      </c>
      <c r="CK16" s="526" t="s">
        <v>70</v>
      </c>
      <c r="CL16" s="526" t="s">
        <v>71</v>
      </c>
      <c r="CM16" s="526" t="s">
        <v>72</v>
      </c>
      <c r="CN16" s="526" t="s">
        <v>73</v>
      </c>
      <c r="CO16" s="526" t="s">
        <v>74</v>
      </c>
      <c r="CP16" s="539" t="s">
        <v>75</v>
      </c>
      <c r="CQ16" s="539" t="s">
        <v>76</v>
      </c>
      <c r="CR16" s="539" t="s">
        <v>77</v>
      </c>
      <c r="CS16" s="539" t="s">
        <v>78</v>
      </c>
      <c r="CT16" s="539" t="s">
        <v>79</v>
      </c>
      <c r="CU16" s="539" t="s">
        <v>80</v>
      </c>
      <c r="CV16" s="562" t="s">
        <v>81</v>
      </c>
      <c r="CW16" s="562" t="s">
        <v>81</v>
      </c>
      <c r="CX16" s="562" t="s">
        <v>82</v>
      </c>
      <c r="CY16" s="568" t="s">
        <v>83</v>
      </c>
      <c r="CZ16" s="568" t="s">
        <v>84</v>
      </c>
      <c r="DA16" s="2" t="s">
        <v>85</v>
      </c>
      <c r="DB16" s="2" t="s">
        <v>86</v>
      </c>
      <c r="DC16" s="2" t="s">
        <v>86</v>
      </c>
      <c r="DD16" s="571" t="s">
        <v>87</v>
      </c>
      <c r="DF16" s="577">
        <f>'CIA MARKS'!DX13</f>
        <v>50</v>
      </c>
      <c r="DG16" s="579">
        <f>'CIA MARKS'!EH13</f>
        <v>50</v>
      </c>
      <c r="DH16" s="577">
        <f>'CIA MARKS'!EJ13</f>
        <v>50</v>
      </c>
      <c r="DI16" s="583">
        <f>'CIA MARKS'!EK13</f>
        <v>50</v>
      </c>
      <c r="DK16" s="331">
        <v>12</v>
      </c>
      <c r="DL16" s="331">
        <v>24</v>
      </c>
      <c r="DM16" s="331">
        <v>40</v>
      </c>
      <c r="DN16" s="331">
        <v>52</v>
      </c>
      <c r="DO16" s="331">
        <v>12</v>
      </c>
      <c r="DP16" s="331">
        <v>40</v>
      </c>
      <c r="DQ16" s="331">
        <v>12</v>
      </c>
      <c r="DR16" s="331">
        <f>SUM(DP16:DQ16)</f>
        <v>52</v>
      </c>
    </row>
    <row r="17" ht="18.75" spans="1:122">
      <c r="A17" s="527">
        <v>1</v>
      </c>
      <c r="B17" s="3" t="s">
        <v>88</v>
      </c>
      <c r="C17" s="528" t="s">
        <v>89</v>
      </c>
      <c r="D17" s="529">
        <v>7</v>
      </c>
      <c r="E17" s="529"/>
      <c r="F17" s="529"/>
      <c r="G17" s="529"/>
      <c r="H17" s="529">
        <v>4</v>
      </c>
      <c r="I17" s="529"/>
      <c r="J17" s="529"/>
      <c r="K17" s="529"/>
      <c r="L17" s="529">
        <v>5</v>
      </c>
      <c r="M17" s="529"/>
      <c r="N17" s="529"/>
      <c r="O17" s="529"/>
      <c r="P17" s="529"/>
      <c r="Q17" s="529"/>
      <c r="R17" s="529"/>
      <c r="S17" s="529"/>
      <c r="T17" s="529">
        <v>4</v>
      </c>
      <c r="U17" s="529"/>
      <c r="V17" s="529"/>
      <c r="W17" s="529"/>
      <c r="X17" s="529"/>
      <c r="Y17" s="529"/>
      <c r="Z17" s="529"/>
      <c r="AA17" s="529"/>
      <c r="AB17" s="529">
        <v>9</v>
      </c>
      <c r="AC17" s="529"/>
      <c r="AD17" s="529"/>
      <c r="AE17" s="529"/>
      <c r="AF17" s="529"/>
      <c r="AG17" s="529"/>
      <c r="AH17" s="529"/>
      <c r="AI17" s="529"/>
      <c r="AJ17" s="543">
        <v>5</v>
      </c>
      <c r="AK17" s="543"/>
      <c r="AL17" s="543"/>
      <c r="AM17" s="543"/>
      <c r="AN17" s="543">
        <v>4</v>
      </c>
      <c r="AO17" s="543"/>
      <c r="AP17" s="543"/>
      <c r="AQ17" s="543"/>
      <c r="AR17" s="546"/>
      <c r="AS17" s="546"/>
      <c r="AT17" s="546"/>
      <c r="AU17" s="546"/>
      <c r="AV17" s="546">
        <v>8</v>
      </c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>
        <v>2</v>
      </c>
      <c r="BI17" s="546"/>
      <c r="BJ17" s="546"/>
      <c r="BK17" s="546"/>
      <c r="BL17" s="546"/>
      <c r="BM17" s="546"/>
      <c r="BN17" s="546"/>
      <c r="BO17" s="546"/>
      <c r="BP17" s="552">
        <v>8</v>
      </c>
      <c r="BQ17" s="556"/>
      <c r="BR17" s="556"/>
      <c r="BS17" s="556"/>
      <c r="BT17" s="556">
        <v>8</v>
      </c>
      <c r="BU17" s="556"/>
      <c r="BV17" s="556"/>
      <c r="BW17" s="556"/>
      <c r="BX17" s="556">
        <v>9</v>
      </c>
      <c r="BY17" s="553"/>
      <c r="BZ17" s="553"/>
      <c r="CA17" s="553"/>
      <c r="CB17" s="557"/>
      <c r="CC17" s="557"/>
      <c r="CD17" s="557"/>
      <c r="CE17" s="557"/>
      <c r="CF17" s="552"/>
      <c r="CG17" s="552"/>
      <c r="CH17" s="552"/>
      <c r="CI17" s="552"/>
      <c r="CJ17" s="552">
        <v>9</v>
      </c>
      <c r="CK17" s="557"/>
      <c r="CL17" s="557"/>
      <c r="CM17" s="557"/>
      <c r="CN17" s="557"/>
      <c r="CO17" s="557"/>
      <c r="CP17" s="557"/>
      <c r="CQ17" s="557"/>
      <c r="CR17" s="552">
        <v>3</v>
      </c>
      <c r="CS17" s="552"/>
      <c r="CT17" s="552"/>
      <c r="CU17" s="552"/>
      <c r="CV17" s="565">
        <v>7</v>
      </c>
      <c r="CW17" s="565">
        <v>10</v>
      </c>
      <c r="CX17" s="565">
        <f>VLOOKUP(B17,'CIA MARKS'!C14:DN83,116,FALSE)</f>
        <v>29</v>
      </c>
      <c r="CY17" s="565">
        <f>VLOOKUP(B17,'CIA MARKS'!C14:DO83,117,FALSE)</f>
        <v>19</v>
      </c>
      <c r="CZ17" s="565">
        <f>VLOOKUP(B17,'CIA MARKS'!C14:DP83,118,FALSE)</f>
        <v>37</v>
      </c>
      <c r="DA17" s="572">
        <f>'CIA MARKS'!EJ14</f>
        <v>35</v>
      </c>
      <c r="DB17" s="573">
        <f>DC17/2</f>
        <v>38</v>
      </c>
      <c r="DC17" s="4">
        <v>76</v>
      </c>
      <c r="DD17" s="574" t="s">
        <v>90</v>
      </c>
      <c r="DF17" s="578" t="str">
        <f>IF(D$7="YES",'CIA MARKS'!DX14,"")</f>
        <v/>
      </c>
      <c r="DG17" s="460" t="str">
        <f>IF(D$8="YES",'CIA MARKS'!EH14,"")</f>
        <v/>
      </c>
      <c r="DH17" s="578">
        <f>IF(D$9="YES",'CIA MARKS'!EJ14,"")</f>
        <v>35</v>
      </c>
      <c r="DI17" s="578" cm="1">
        <f t="array" ref="DI17:DI86">IF(D$8="YES",Lab!K9:K78,Theory!DB17:DB86)</f>
        <v>38</v>
      </c>
      <c r="DK17" s="450"/>
      <c r="DL17" s="450"/>
      <c r="DM17" s="450"/>
      <c r="DN17" s="450"/>
      <c r="DO17" s="450"/>
      <c r="DP17" s="451"/>
      <c r="DQ17" s="454"/>
      <c r="DR17" s="455">
        <f t="shared" ref="DR17:DR80" si="1">SUM(DP17:DQ17)</f>
        <v>0</v>
      </c>
    </row>
    <row r="18" ht="18.75" spans="1:122">
      <c r="A18" s="527">
        <v>2</v>
      </c>
      <c r="B18" s="3" t="s">
        <v>91</v>
      </c>
      <c r="C18" s="528" t="s">
        <v>92</v>
      </c>
      <c r="D18" s="530">
        <v>10</v>
      </c>
      <c r="E18" s="530"/>
      <c r="F18" s="530"/>
      <c r="G18" s="530"/>
      <c r="H18" s="530">
        <v>5</v>
      </c>
      <c r="I18" s="530"/>
      <c r="J18" s="530"/>
      <c r="K18" s="530"/>
      <c r="L18" s="530">
        <v>8</v>
      </c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>
        <v>10</v>
      </c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43">
        <v>2</v>
      </c>
      <c r="AK18" s="543"/>
      <c r="AL18" s="543"/>
      <c r="AM18" s="543"/>
      <c r="AN18" s="543">
        <v>6</v>
      </c>
      <c r="AO18" s="543"/>
      <c r="AP18" s="543"/>
      <c r="AQ18" s="543"/>
      <c r="AR18" s="546"/>
      <c r="AS18" s="546"/>
      <c r="AT18" s="546"/>
      <c r="AU18" s="546"/>
      <c r="AV18" s="546">
        <v>8</v>
      </c>
      <c r="AW18" s="546"/>
      <c r="AX18" s="546"/>
      <c r="AY18" s="546"/>
      <c r="AZ18" s="546"/>
      <c r="BA18" s="546"/>
      <c r="BB18" s="546"/>
      <c r="BC18" s="546"/>
      <c r="BD18" s="546">
        <v>2</v>
      </c>
      <c r="BE18" s="546"/>
      <c r="BF18" s="546"/>
      <c r="BG18" s="546"/>
      <c r="BH18" s="546"/>
      <c r="BI18" s="546"/>
      <c r="BJ18" s="546"/>
      <c r="BK18" s="546"/>
      <c r="BL18" s="546">
        <v>4</v>
      </c>
      <c r="BM18" s="546"/>
      <c r="BN18" s="546"/>
      <c r="BO18" s="546"/>
      <c r="BP18" s="551">
        <v>9</v>
      </c>
      <c r="BQ18" s="556"/>
      <c r="BR18" s="556"/>
      <c r="BS18" s="556"/>
      <c r="BT18" s="556">
        <v>9</v>
      </c>
      <c r="BU18" s="556"/>
      <c r="BV18" s="556"/>
      <c r="BW18" s="556"/>
      <c r="BX18" s="556">
        <v>10</v>
      </c>
      <c r="BY18" s="553"/>
      <c r="BZ18" s="553"/>
      <c r="CA18" s="553"/>
      <c r="CB18" s="558"/>
      <c r="CC18" s="558"/>
      <c r="CD18" s="558"/>
      <c r="CE18" s="558"/>
      <c r="CF18" s="551">
        <v>9</v>
      </c>
      <c r="CG18" s="551"/>
      <c r="CH18" s="551"/>
      <c r="CI18" s="551"/>
      <c r="CJ18" s="551"/>
      <c r="CK18" s="558"/>
      <c r="CL18" s="558"/>
      <c r="CM18" s="558"/>
      <c r="CN18" s="558">
        <v>10</v>
      </c>
      <c r="CO18" s="558"/>
      <c r="CP18" s="558"/>
      <c r="CQ18" s="558"/>
      <c r="CR18" s="551"/>
      <c r="CS18" s="551"/>
      <c r="CT18" s="551"/>
      <c r="CU18" s="551"/>
      <c r="CV18" s="565">
        <v>6</v>
      </c>
      <c r="CW18" s="565">
        <v>10</v>
      </c>
      <c r="CX18" s="565">
        <f>VLOOKUP(B18,'CIA MARKS'!C15:DN84,116,FALSE)</f>
        <v>33</v>
      </c>
      <c r="CY18" s="565">
        <f>VLOOKUP(B18,'CIA MARKS'!C15:DO84,117,FALSE)</f>
        <v>22</v>
      </c>
      <c r="CZ18" s="565">
        <f>VLOOKUP(B18,'CIA MARKS'!C15:DP84,118,FALSE)</f>
        <v>47</v>
      </c>
      <c r="DA18" s="572">
        <f>'CIA MARKS'!EJ15</f>
        <v>42</v>
      </c>
      <c r="DB18" s="573">
        <f t="shared" ref="DB18:DB19" si="2">DC18/2</f>
        <v>38.5</v>
      </c>
      <c r="DC18" s="4">
        <v>77</v>
      </c>
      <c r="DD18" s="575" t="s">
        <v>93</v>
      </c>
      <c r="DF18" s="578" t="str">
        <f>IF(D$7="YES",'CIA MARKS'!DX15,"")</f>
        <v/>
      </c>
      <c r="DG18" s="460" t="str">
        <f>IF(D$8="YES",'CIA MARKS'!EH15,"")</f>
        <v/>
      </c>
      <c r="DH18" s="578">
        <f>IF(D$9="YES",'CIA MARKS'!EJ15,"")</f>
        <v>42</v>
      </c>
      <c r="DI18" s="578">
        <v>38.5</v>
      </c>
      <c r="DK18" s="450"/>
      <c r="DL18" s="450"/>
      <c r="DM18" s="450"/>
      <c r="DN18" s="450"/>
      <c r="DO18" s="450"/>
      <c r="DP18" s="451"/>
      <c r="DQ18" s="454"/>
      <c r="DR18" s="455">
        <f t="shared" si="1"/>
        <v>0</v>
      </c>
    </row>
    <row r="19" ht="18.75" spans="1:122">
      <c r="A19" s="527">
        <v>3</v>
      </c>
      <c r="B19" s="3" t="s">
        <v>94</v>
      </c>
      <c r="C19" s="528" t="s">
        <v>95</v>
      </c>
      <c r="D19" s="530"/>
      <c r="E19" s="530"/>
      <c r="F19" s="530"/>
      <c r="G19" s="530"/>
      <c r="H19" s="530">
        <v>5</v>
      </c>
      <c r="I19" s="530"/>
      <c r="J19" s="530"/>
      <c r="K19" s="530"/>
      <c r="L19" s="530">
        <v>5</v>
      </c>
      <c r="M19" s="530"/>
      <c r="N19" s="530"/>
      <c r="O19" s="530"/>
      <c r="P19" s="530"/>
      <c r="Q19" s="530"/>
      <c r="R19" s="530"/>
      <c r="S19" s="530"/>
      <c r="T19" s="530">
        <v>6</v>
      </c>
      <c r="U19" s="530"/>
      <c r="V19" s="530"/>
      <c r="W19" s="530"/>
      <c r="X19" s="530"/>
      <c r="Y19" s="530"/>
      <c r="Z19" s="530"/>
      <c r="AA19" s="530"/>
      <c r="AB19" s="530">
        <v>7</v>
      </c>
      <c r="AC19" s="530"/>
      <c r="AD19" s="530"/>
      <c r="AE19" s="530"/>
      <c r="AF19" s="530"/>
      <c r="AG19" s="530"/>
      <c r="AH19" s="530"/>
      <c r="AI19" s="530"/>
      <c r="AJ19" s="543">
        <v>8</v>
      </c>
      <c r="AK19" s="543"/>
      <c r="AL19" s="543"/>
      <c r="AM19" s="543"/>
      <c r="AN19" s="543">
        <v>9</v>
      </c>
      <c r="AO19" s="543"/>
      <c r="AP19" s="543"/>
      <c r="AQ19" s="543"/>
      <c r="AR19" s="546"/>
      <c r="AS19" s="546"/>
      <c r="AT19" s="546"/>
      <c r="AU19" s="546"/>
      <c r="AV19" s="546">
        <v>9</v>
      </c>
      <c r="AW19" s="546"/>
      <c r="AX19" s="546"/>
      <c r="AY19" s="546"/>
      <c r="AZ19" s="546">
        <v>10</v>
      </c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51">
        <v>8</v>
      </c>
      <c r="BQ19" s="556"/>
      <c r="BR19" s="556"/>
      <c r="BS19" s="556"/>
      <c r="BT19" s="556">
        <v>4</v>
      </c>
      <c r="BU19" s="556"/>
      <c r="BV19" s="556"/>
      <c r="BW19" s="556"/>
      <c r="BX19" s="556"/>
      <c r="BY19" s="553"/>
      <c r="BZ19" s="553"/>
      <c r="CA19" s="553"/>
      <c r="CB19" s="558">
        <v>8</v>
      </c>
      <c r="CC19" s="558"/>
      <c r="CD19" s="558"/>
      <c r="CE19" s="558"/>
      <c r="CF19" s="551"/>
      <c r="CG19" s="551"/>
      <c r="CH19" s="551"/>
      <c r="CI19" s="551"/>
      <c r="CJ19" s="551"/>
      <c r="CK19" s="558"/>
      <c r="CL19" s="558"/>
      <c r="CM19" s="558"/>
      <c r="CN19" s="558">
        <v>5</v>
      </c>
      <c r="CO19" s="558"/>
      <c r="CP19" s="558"/>
      <c r="CQ19" s="558"/>
      <c r="CR19" s="551"/>
      <c r="CS19" s="551"/>
      <c r="CT19" s="551"/>
      <c r="CU19" s="551"/>
      <c r="CV19" s="565">
        <v>6</v>
      </c>
      <c r="CW19" s="565">
        <v>10</v>
      </c>
      <c r="CX19" s="565">
        <f>VLOOKUP(B19,'CIA MARKS'!C16:DN85,116,FALSE)</f>
        <v>23</v>
      </c>
      <c r="CY19" s="565">
        <f>VLOOKUP(B19,'CIA MARKS'!C16:DO85,117,FALSE)</f>
        <v>36</v>
      </c>
      <c r="CZ19" s="565">
        <f>VLOOKUP(B19,'CIA MARKS'!C16:DP85,118,FALSE)</f>
        <v>25</v>
      </c>
      <c r="DA19" s="572">
        <f>'CIA MARKS'!EJ16</f>
        <v>34</v>
      </c>
      <c r="DB19" s="573">
        <f t="shared" si="2"/>
        <v>30</v>
      </c>
      <c r="DC19" s="4">
        <v>60</v>
      </c>
      <c r="DD19" s="575" t="s">
        <v>96</v>
      </c>
      <c r="DF19" s="578" t="str">
        <f>IF(D$7="YES",'CIA MARKS'!DX16,"")</f>
        <v/>
      </c>
      <c r="DG19" s="460" t="str">
        <f>IF(D$8="YES",'CIA MARKS'!EH16,"")</f>
        <v/>
      </c>
      <c r="DH19" s="578">
        <f>IF(D$9="YES",'CIA MARKS'!EJ16,"")</f>
        <v>34</v>
      </c>
      <c r="DI19" s="578">
        <v>30</v>
      </c>
      <c r="DK19" s="450"/>
      <c r="DL19" s="450"/>
      <c r="DM19" s="450"/>
      <c r="DN19" s="450"/>
      <c r="DO19" s="450"/>
      <c r="DP19" s="451"/>
      <c r="DQ19" s="454"/>
      <c r="DR19" s="455">
        <f t="shared" si="1"/>
        <v>0</v>
      </c>
    </row>
    <row r="20" ht="18.75" spans="1:122">
      <c r="A20" s="527">
        <v>4</v>
      </c>
      <c r="B20" s="3" t="s">
        <v>97</v>
      </c>
      <c r="C20" s="528" t="s">
        <v>98</v>
      </c>
      <c r="D20" s="530">
        <v>7</v>
      </c>
      <c r="E20" s="530"/>
      <c r="F20" s="530"/>
      <c r="G20" s="530"/>
      <c r="H20" s="530">
        <v>8</v>
      </c>
      <c r="I20" s="530"/>
      <c r="J20" s="530"/>
      <c r="K20" s="530"/>
      <c r="L20" s="530">
        <v>6</v>
      </c>
      <c r="M20" s="530"/>
      <c r="N20" s="530"/>
      <c r="O20" s="530"/>
      <c r="P20" s="530"/>
      <c r="Q20" s="530"/>
      <c r="R20" s="530"/>
      <c r="S20" s="530"/>
      <c r="T20" s="530">
        <v>7</v>
      </c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>
        <v>10</v>
      </c>
      <c r="AG20" s="530"/>
      <c r="AH20" s="530"/>
      <c r="AI20" s="530"/>
      <c r="AJ20" s="543">
        <v>4</v>
      </c>
      <c r="AK20" s="543"/>
      <c r="AL20" s="543"/>
      <c r="AM20" s="543"/>
      <c r="AN20" s="543">
        <v>7</v>
      </c>
      <c r="AO20" s="543"/>
      <c r="AP20" s="543"/>
      <c r="AQ20" s="543"/>
      <c r="AR20" s="546"/>
      <c r="AS20" s="546"/>
      <c r="AT20" s="546"/>
      <c r="AU20" s="546"/>
      <c r="AV20" s="546">
        <v>8</v>
      </c>
      <c r="AW20" s="546"/>
      <c r="AX20" s="546"/>
      <c r="AY20" s="546"/>
      <c r="AZ20" s="546">
        <v>4</v>
      </c>
      <c r="BA20" s="546"/>
      <c r="BB20" s="546"/>
      <c r="BC20" s="546"/>
      <c r="BD20" s="546"/>
      <c r="BE20" s="546"/>
      <c r="BF20" s="546"/>
      <c r="BG20" s="546"/>
      <c r="BH20" s="546">
        <v>5</v>
      </c>
      <c r="BI20" s="546"/>
      <c r="BJ20" s="546"/>
      <c r="BK20" s="546"/>
      <c r="BL20" s="546"/>
      <c r="BM20" s="546"/>
      <c r="BN20" s="546"/>
      <c r="BO20" s="546"/>
      <c r="BP20" s="551">
        <v>5</v>
      </c>
      <c r="BQ20" s="556"/>
      <c r="BR20" s="556"/>
      <c r="BS20" s="556"/>
      <c r="BT20" s="556">
        <v>8</v>
      </c>
      <c r="BU20" s="556"/>
      <c r="BV20" s="556"/>
      <c r="BW20" s="556"/>
      <c r="BX20" s="556"/>
      <c r="BY20" s="553"/>
      <c r="BZ20" s="553"/>
      <c r="CA20" s="553"/>
      <c r="CB20" s="558">
        <v>1</v>
      </c>
      <c r="CC20" s="558"/>
      <c r="CD20" s="558"/>
      <c r="CE20" s="558"/>
      <c r="CF20" s="551">
        <v>5</v>
      </c>
      <c r="CG20" s="551"/>
      <c r="CH20" s="551"/>
      <c r="CI20" s="551"/>
      <c r="CJ20" s="551"/>
      <c r="CK20" s="558"/>
      <c r="CL20" s="558"/>
      <c r="CM20" s="558"/>
      <c r="CN20" s="558"/>
      <c r="CO20" s="558"/>
      <c r="CP20" s="558"/>
      <c r="CQ20" s="558"/>
      <c r="CR20" s="551"/>
      <c r="CS20" s="551"/>
      <c r="CT20" s="551"/>
      <c r="CU20" s="551"/>
      <c r="CV20" s="565">
        <v>8</v>
      </c>
      <c r="CW20" s="565">
        <v>10</v>
      </c>
      <c r="CX20" s="565">
        <f>VLOOKUP(B20,'CIA MARKS'!C17:DN86,116,FALSE)</f>
        <v>38</v>
      </c>
      <c r="CY20" s="565">
        <f>VLOOKUP(B20,'CIA MARKS'!C17:DO86,117,FALSE)</f>
        <v>28</v>
      </c>
      <c r="CZ20" s="565">
        <f>VLOOKUP(B20,'CIA MARKS'!C17:DP86,118,FALSE)</f>
        <v>19</v>
      </c>
      <c r="DA20" s="572">
        <f>'CIA MARKS'!EJ17</f>
        <v>38</v>
      </c>
      <c r="DB20" s="573">
        <f t="shared" ref="DB20:DB83" si="3">DC20/2</f>
        <v>32.5</v>
      </c>
      <c r="DC20" s="4">
        <v>65</v>
      </c>
      <c r="DD20" s="575" t="s">
        <v>90</v>
      </c>
      <c r="DF20" s="578" t="str">
        <f>IF(D$7="YES",'CIA MARKS'!DX17,"")</f>
        <v/>
      </c>
      <c r="DG20" s="460" t="str">
        <f>IF(D$8="YES",'CIA MARKS'!EH17,"")</f>
        <v/>
      </c>
      <c r="DH20" s="578">
        <f>IF(D$9="YES",'CIA MARKS'!EJ17,"")</f>
        <v>38</v>
      </c>
      <c r="DI20" s="578">
        <v>32.5</v>
      </c>
      <c r="DK20" s="450"/>
      <c r="DL20" s="450"/>
      <c r="DM20" s="450"/>
      <c r="DN20" s="450"/>
      <c r="DO20" s="450"/>
      <c r="DP20" s="451"/>
      <c r="DQ20" s="454"/>
      <c r="DR20" s="455">
        <f t="shared" si="1"/>
        <v>0</v>
      </c>
    </row>
    <row r="21" ht="18.75" spans="1:122">
      <c r="A21" s="527">
        <v>5</v>
      </c>
      <c r="B21" s="3" t="s">
        <v>99</v>
      </c>
      <c r="C21" s="528" t="s">
        <v>100</v>
      </c>
      <c r="D21" s="530">
        <v>7</v>
      </c>
      <c r="E21" s="530"/>
      <c r="F21" s="530"/>
      <c r="G21" s="530"/>
      <c r="H21" s="530">
        <v>6</v>
      </c>
      <c r="I21" s="530"/>
      <c r="J21" s="530"/>
      <c r="K21" s="530"/>
      <c r="L21" s="530">
        <v>5</v>
      </c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>
        <v>10</v>
      </c>
      <c r="Y21" s="530"/>
      <c r="Z21" s="530"/>
      <c r="AA21" s="530"/>
      <c r="AB21" s="530"/>
      <c r="AC21" s="530"/>
      <c r="AD21" s="530"/>
      <c r="AE21" s="530"/>
      <c r="AF21" s="530">
        <v>8</v>
      </c>
      <c r="AG21" s="530"/>
      <c r="AH21" s="530"/>
      <c r="AI21" s="530"/>
      <c r="AJ21" s="543">
        <v>8</v>
      </c>
      <c r="AK21" s="543"/>
      <c r="AL21" s="543"/>
      <c r="AM21" s="543"/>
      <c r="AN21" s="543">
        <v>6</v>
      </c>
      <c r="AO21" s="543"/>
      <c r="AP21" s="543"/>
      <c r="AQ21" s="543"/>
      <c r="AR21" s="546">
        <v>6</v>
      </c>
      <c r="AS21" s="546"/>
      <c r="AT21" s="546"/>
      <c r="AU21" s="546"/>
      <c r="AV21" s="546"/>
      <c r="AW21" s="546"/>
      <c r="AX21" s="546"/>
      <c r="AY21" s="546"/>
      <c r="AZ21" s="546">
        <v>6</v>
      </c>
      <c r="BA21" s="546"/>
      <c r="BB21" s="546"/>
      <c r="BC21" s="546"/>
      <c r="BD21" s="546"/>
      <c r="BE21" s="546"/>
      <c r="BF21" s="546"/>
      <c r="BG21" s="546"/>
      <c r="BH21" s="546">
        <v>8</v>
      </c>
      <c r="BI21" s="546"/>
      <c r="BJ21" s="546"/>
      <c r="BK21" s="546"/>
      <c r="BL21" s="546"/>
      <c r="BM21" s="546"/>
      <c r="BN21" s="546"/>
      <c r="BO21" s="546"/>
      <c r="BP21" s="551">
        <v>8</v>
      </c>
      <c r="BQ21" s="556"/>
      <c r="BR21" s="556"/>
      <c r="BS21" s="556"/>
      <c r="BT21" s="556">
        <v>8</v>
      </c>
      <c r="BU21" s="556"/>
      <c r="BV21" s="556"/>
      <c r="BW21" s="556"/>
      <c r="BX21" s="556"/>
      <c r="BY21" s="553"/>
      <c r="BZ21" s="553"/>
      <c r="CA21" s="553"/>
      <c r="CB21" s="558">
        <v>8</v>
      </c>
      <c r="CC21" s="558"/>
      <c r="CD21" s="558"/>
      <c r="CE21" s="558"/>
      <c r="CF21" s="551">
        <v>7</v>
      </c>
      <c r="CG21" s="551"/>
      <c r="CH21" s="551"/>
      <c r="CI21" s="551"/>
      <c r="CJ21" s="551"/>
      <c r="CK21" s="558"/>
      <c r="CL21" s="558"/>
      <c r="CM21" s="558"/>
      <c r="CN21" s="558">
        <v>8</v>
      </c>
      <c r="CO21" s="558"/>
      <c r="CP21" s="558"/>
      <c r="CQ21" s="558"/>
      <c r="CR21" s="551"/>
      <c r="CS21" s="551"/>
      <c r="CT21" s="551"/>
      <c r="CU21" s="551"/>
      <c r="CV21" s="565">
        <v>7</v>
      </c>
      <c r="CW21" s="565">
        <v>10</v>
      </c>
      <c r="CX21" s="565">
        <f>VLOOKUP(B21,'CIA MARKS'!C18:DN86,116,FALSE)</f>
        <v>36</v>
      </c>
      <c r="CY21" s="565">
        <v>39</v>
      </c>
      <c r="CZ21" s="565">
        <f>VLOOKUP(B21,'CIA MARKS'!C18:DP86,118,FALSE)</f>
        <v>39</v>
      </c>
      <c r="DA21" s="572">
        <f>'CIA MARKS'!EJ18</f>
        <v>41</v>
      </c>
      <c r="DB21" s="573">
        <f t="shared" si="3"/>
        <v>45.5</v>
      </c>
      <c r="DC21" s="4">
        <v>91</v>
      </c>
      <c r="DD21" s="575" t="s">
        <v>93</v>
      </c>
      <c r="DF21" s="578" t="str">
        <f>IF(D$7="YES",'CIA MARKS'!DX18,"")</f>
        <v/>
      </c>
      <c r="DG21" s="460" t="str">
        <f>IF(D$8="YES",'CIA MARKS'!EH18,"")</f>
        <v/>
      </c>
      <c r="DH21" s="578">
        <f>IF(D$9="YES",'CIA MARKS'!EJ18,"")</f>
        <v>41</v>
      </c>
      <c r="DI21" s="578">
        <v>45.5</v>
      </c>
      <c r="DK21" s="450"/>
      <c r="DL21" s="450"/>
      <c r="DM21" s="450"/>
      <c r="DN21" s="450"/>
      <c r="DO21" s="450"/>
      <c r="DP21" s="451"/>
      <c r="DQ21" s="454"/>
      <c r="DR21" s="455">
        <f t="shared" si="1"/>
        <v>0</v>
      </c>
    </row>
    <row r="22" ht="18.75" spans="1:122">
      <c r="A22" s="527">
        <v>6</v>
      </c>
      <c r="B22" s="3" t="s">
        <v>101</v>
      </c>
      <c r="C22" s="528" t="s">
        <v>102</v>
      </c>
      <c r="D22" s="530">
        <v>1</v>
      </c>
      <c r="E22" s="530"/>
      <c r="F22" s="530"/>
      <c r="G22" s="530"/>
      <c r="H22" s="530">
        <v>4</v>
      </c>
      <c r="I22" s="530"/>
      <c r="J22" s="530"/>
      <c r="K22" s="530"/>
      <c r="L22" s="530">
        <v>8</v>
      </c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>
        <v>0</v>
      </c>
      <c r="Y22" s="530"/>
      <c r="Z22" s="530"/>
      <c r="AA22" s="530"/>
      <c r="AB22" s="530"/>
      <c r="AC22" s="530"/>
      <c r="AD22" s="530"/>
      <c r="AE22" s="530"/>
      <c r="AF22" s="530">
        <v>4</v>
      </c>
      <c r="AG22" s="530"/>
      <c r="AH22" s="530"/>
      <c r="AI22" s="530"/>
      <c r="AJ22" s="543">
        <v>2</v>
      </c>
      <c r="AK22" s="543"/>
      <c r="AL22" s="543"/>
      <c r="AM22" s="543"/>
      <c r="AN22" s="543"/>
      <c r="AO22" s="543"/>
      <c r="AP22" s="543"/>
      <c r="AQ22" s="543"/>
      <c r="AR22" s="546"/>
      <c r="AS22" s="546"/>
      <c r="AT22" s="546"/>
      <c r="AU22" s="546"/>
      <c r="AV22" s="546">
        <v>5</v>
      </c>
      <c r="AW22" s="546"/>
      <c r="AX22" s="546"/>
      <c r="AY22" s="546"/>
      <c r="AZ22" s="546"/>
      <c r="BA22" s="546"/>
      <c r="BB22" s="546"/>
      <c r="BC22" s="546"/>
      <c r="BD22" s="546">
        <v>3</v>
      </c>
      <c r="BE22" s="546"/>
      <c r="BF22" s="546"/>
      <c r="BG22" s="546"/>
      <c r="BH22" s="546"/>
      <c r="BI22" s="546"/>
      <c r="BJ22" s="546"/>
      <c r="BK22" s="546"/>
      <c r="BL22" s="546">
        <v>3</v>
      </c>
      <c r="BM22" s="546"/>
      <c r="BN22" s="546"/>
      <c r="BO22" s="546"/>
      <c r="BP22" s="551">
        <v>2</v>
      </c>
      <c r="BQ22" s="556"/>
      <c r="BR22" s="556"/>
      <c r="BS22" s="556"/>
      <c r="BT22" s="556">
        <v>2</v>
      </c>
      <c r="BU22" s="556"/>
      <c r="BV22" s="556"/>
      <c r="BW22" s="556"/>
      <c r="BX22" s="556"/>
      <c r="BY22" s="553"/>
      <c r="BZ22" s="553"/>
      <c r="CA22" s="553"/>
      <c r="CB22" s="558">
        <v>7</v>
      </c>
      <c r="CC22" s="558"/>
      <c r="CD22" s="558"/>
      <c r="CE22" s="558"/>
      <c r="CF22" s="551">
        <v>6</v>
      </c>
      <c r="CG22" s="551"/>
      <c r="CH22" s="551"/>
      <c r="CI22" s="551"/>
      <c r="CJ22" s="551"/>
      <c r="CK22" s="558"/>
      <c r="CL22" s="558"/>
      <c r="CM22" s="558"/>
      <c r="CN22" s="558">
        <v>5</v>
      </c>
      <c r="CO22" s="558"/>
      <c r="CP22" s="558"/>
      <c r="CQ22" s="558"/>
      <c r="CR22" s="551"/>
      <c r="CS22" s="551"/>
      <c r="CT22" s="551"/>
      <c r="CU22" s="551"/>
      <c r="CV22" s="565">
        <v>5</v>
      </c>
      <c r="CW22" s="565">
        <v>10</v>
      </c>
      <c r="CX22" s="565">
        <f>VLOOKUP(B22,'CIA MARKS'!C19:DN87,116,FALSE)</f>
        <v>17</v>
      </c>
      <c r="CY22" s="565">
        <f>VLOOKUP(B22,'CIA MARKS'!C19:DO87,117,FALSE)</f>
        <v>13</v>
      </c>
      <c r="CZ22" s="565">
        <f>VLOOKUP(B22,'CIA MARKS'!C19:DP87,118,FALSE)</f>
        <v>22</v>
      </c>
      <c r="DA22" s="572">
        <f>'CIA MARKS'!EJ19</f>
        <v>28</v>
      </c>
      <c r="DB22" s="573">
        <f t="shared" si="3"/>
        <v>26.5</v>
      </c>
      <c r="DC22" s="4">
        <v>53</v>
      </c>
      <c r="DD22" s="575" t="s">
        <v>103</v>
      </c>
      <c r="DF22" s="578" t="str">
        <f>IF(D$7="YES",'CIA MARKS'!DX19,"")</f>
        <v/>
      </c>
      <c r="DG22" s="460" t="str">
        <f>IF(D$8="YES",'CIA MARKS'!EH19,"")</f>
        <v/>
      </c>
      <c r="DH22" s="578">
        <f>IF(D$9="YES",'CIA MARKS'!EJ19,"")</f>
        <v>28</v>
      </c>
      <c r="DI22" s="578">
        <v>26.5</v>
      </c>
      <c r="DK22" s="450"/>
      <c r="DL22" s="450"/>
      <c r="DM22" s="450"/>
      <c r="DN22" s="450"/>
      <c r="DO22" s="450"/>
      <c r="DP22" s="451"/>
      <c r="DQ22" s="454"/>
      <c r="DR22" s="455">
        <f t="shared" si="1"/>
        <v>0</v>
      </c>
    </row>
    <row r="23" ht="18.75" spans="1:122">
      <c r="A23" s="527">
        <v>7</v>
      </c>
      <c r="B23" s="3" t="s">
        <v>104</v>
      </c>
      <c r="C23" s="528" t="s">
        <v>105</v>
      </c>
      <c r="D23" s="530"/>
      <c r="E23" s="530"/>
      <c r="F23" s="530"/>
      <c r="G23" s="530"/>
      <c r="H23" s="530">
        <v>3</v>
      </c>
      <c r="I23" s="530"/>
      <c r="J23" s="530"/>
      <c r="K23" s="530"/>
      <c r="L23" s="530">
        <v>3</v>
      </c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>
        <v>3</v>
      </c>
      <c r="AG23" s="530"/>
      <c r="AH23" s="530"/>
      <c r="AI23" s="530"/>
      <c r="AJ23" s="543"/>
      <c r="AK23" s="543"/>
      <c r="AL23" s="543"/>
      <c r="AM23" s="543"/>
      <c r="AN23" s="543">
        <v>4</v>
      </c>
      <c r="AO23" s="543"/>
      <c r="AP23" s="543"/>
      <c r="AQ23" s="543"/>
      <c r="AR23" s="546"/>
      <c r="AS23" s="546"/>
      <c r="AT23" s="546"/>
      <c r="AU23" s="546"/>
      <c r="AV23" s="546">
        <v>6</v>
      </c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>
        <v>0</v>
      </c>
      <c r="BI23" s="546"/>
      <c r="BJ23" s="546"/>
      <c r="BK23" s="546"/>
      <c r="BL23" s="546"/>
      <c r="BM23" s="546"/>
      <c r="BN23" s="546"/>
      <c r="BO23" s="546"/>
      <c r="BP23" s="551">
        <v>6</v>
      </c>
      <c r="BQ23" s="556"/>
      <c r="BR23" s="556"/>
      <c r="BS23" s="556"/>
      <c r="BT23" s="556">
        <v>8</v>
      </c>
      <c r="BU23" s="556"/>
      <c r="BV23" s="556"/>
      <c r="BW23" s="556"/>
      <c r="BX23" s="556">
        <v>9</v>
      </c>
      <c r="BY23" s="553"/>
      <c r="BZ23" s="553"/>
      <c r="CA23" s="553"/>
      <c r="CB23" s="558"/>
      <c r="CC23" s="558"/>
      <c r="CD23" s="558"/>
      <c r="CE23" s="558"/>
      <c r="CF23" s="551">
        <v>10</v>
      </c>
      <c r="CG23" s="551"/>
      <c r="CH23" s="551"/>
      <c r="CI23" s="551"/>
      <c r="CJ23" s="551"/>
      <c r="CK23" s="558"/>
      <c r="CL23" s="558"/>
      <c r="CM23" s="558"/>
      <c r="CN23" s="558">
        <v>6</v>
      </c>
      <c r="CO23" s="558"/>
      <c r="CP23" s="558"/>
      <c r="CQ23" s="558"/>
      <c r="CR23" s="551"/>
      <c r="CS23" s="551"/>
      <c r="CT23" s="551"/>
      <c r="CU23" s="551"/>
      <c r="CV23" s="565">
        <v>8</v>
      </c>
      <c r="CW23" s="565">
        <v>10</v>
      </c>
      <c r="CX23" s="565">
        <f>VLOOKUP(B23,'CIA MARKS'!C20:DN88,116,FALSE)</f>
        <v>9</v>
      </c>
      <c r="CY23" s="565">
        <f>VLOOKUP(B23,'CIA MARKS'!C20:DO88,117,FALSE)</f>
        <v>10</v>
      </c>
      <c r="CZ23" s="565">
        <f>VLOOKUP(B23,'CIA MARKS'!C20:DP88,118,FALSE)</f>
        <v>39</v>
      </c>
      <c r="DA23" s="572">
        <f>'CIA MARKS'!EJ20</f>
        <v>30</v>
      </c>
      <c r="DB23" s="573">
        <f t="shared" si="3"/>
        <v>28.5</v>
      </c>
      <c r="DC23" s="4">
        <v>57</v>
      </c>
      <c r="DD23" s="575" t="s">
        <v>103</v>
      </c>
      <c r="DF23" s="578" t="str">
        <f>IF(D$7="YES",'CIA MARKS'!DX20,"")</f>
        <v/>
      </c>
      <c r="DG23" s="460" t="str">
        <f>IF(D$8="YES",'CIA MARKS'!EH20,"")</f>
        <v/>
      </c>
      <c r="DH23" s="578">
        <f>IF(D$9="YES",'CIA MARKS'!EJ20,"")</f>
        <v>30</v>
      </c>
      <c r="DI23" s="578">
        <v>28.5</v>
      </c>
      <c r="DK23" s="450"/>
      <c r="DL23" s="450"/>
      <c r="DM23" s="450"/>
      <c r="DN23" s="450"/>
      <c r="DO23" s="450"/>
      <c r="DP23" s="451"/>
      <c r="DQ23" s="454"/>
      <c r="DR23" s="455">
        <f t="shared" si="1"/>
        <v>0</v>
      </c>
    </row>
    <row r="24" ht="18.75" spans="1:122">
      <c r="A24" s="527">
        <v>8</v>
      </c>
      <c r="B24" s="3" t="s">
        <v>106</v>
      </c>
      <c r="C24" s="528" t="s">
        <v>107</v>
      </c>
      <c r="D24" s="530">
        <v>6</v>
      </c>
      <c r="E24" s="530"/>
      <c r="F24" s="530"/>
      <c r="G24" s="530"/>
      <c r="H24" s="530">
        <v>3</v>
      </c>
      <c r="I24" s="530"/>
      <c r="J24" s="530"/>
      <c r="K24" s="530"/>
      <c r="L24" s="530">
        <v>4</v>
      </c>
      <c r="M24" s="530"/>
      <c r="N24" s="530"/>
      <c r="O24" s="530"/>
      <c r="P24" s="530"/>
      <c r="Q24" s="530"/>
      <c r="R24" s="530"/>
      <c r="S24" s="530"/>
      <c r="T24" s="530">
        <v>8</v>
      </c>
      <c r="U24" s="530"/>
      <c r="V24" s="530"/>
      <c r="W24" s="530"/>
      <c r="X24" s="530"/>
      <c r="Y24" s="530"/>
      <c r="Z24" s="530"/>
      <c r="AA24" s="530"/>
      <c r="AB24" s="530">
        <v>0</v>
      </c>
      <c r="AC24" s="530"/>
      <c r="AD24" s="530"/>
      <c r="AE24" s="530"/>
      <c r="AF24" s="530"/>
      <c r="AG24" s="530"/>
      <c r="AH24" s="530"/>
      <c r="AI24" s="530"/>
      <c r="AJ24" s="543"/>
      <c r="AK24" s="543"/>
      <c r="AL24" s="543"/>
      <c r="AM24" s="543"/>
      <c r="AN24" s="543">
        <v>4</v>
      </c>
      <c r="AO24" s="543"/>
      <c r="AP24" s="543"/>
      <c r="AQ24" s="543"/>
      <c r="AR24" s="546">
        <v>4</v>
      </c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6"/>
      <c r="BP24" s="551">
        <v>2</v>
      </c>
      <c r="BQ24" s="556"/>
      <c r="BR24" s="556"/>
      <c r="BS24" s="556"/>
      <c r="BT24" s="556">
        <v>3</v>
      </c>
      <c r="BU24" s="556"/>
      <c r="BV24" s="556"/>
      <c r="BW24" s="556"/>
      <c r="BX24" s="556">
        <v>4</v>
      </c>
      <c r="BY24" s="553"/>
      <c r="BZ24" s="553"/>
      <c r="CA24" s="553"/>
      <c r="CB24" s="558"/>
      <c r="CC24" s="558"/>
      <c r="CD24" s="558"/>
      <c r="CE24" s="558"/>
      <c r="CF24" s="551">
        <v>7</v>
      </c>
      <c r="CG24" s="551"/>
      <c r="CH24" s="551"/>
      <c r="CI24" s="551"/>
      <c r="CJ24" s="551"/>
      <c r="CK24" s="558"/>
      <c r="CL24" s="558"/>
      <c r="CM24" s="558"/>
      <c r="CN24" s="558"/>
      <c r="CO24" s="558"/>
      <c r="CP24" s="558"/>
      <c r="CQ24" s="558"/>
      <c r="CR24" s="551">
        <v>4</v>
      </c>
      <c r="CS24" s="551"/>
      <c r="CT24" s="551"/>
      <c r="CU24" s="551"/>
      <c r="CV24" s="565">
        <v>7</v>
      </c>
      <c r="CW24" s="565">
        <v>10</v>
      </c>
      <c r="CX24" s="565">
        <f>VLOOKUP(B24,'CIA MARKS'!C21:DN89,116,FALSE)</f>
        <v>21</v>
      </c>
      <c r="CY24" s="565">
        <f>VLOOKUP(B24,'CIA MARKS'!C21:DO89,117,FALSE)</f>
        <v>8</v>
      </c>
      <c r="CZ24" s="565">
        <f>VLOOKUP(B24,'CIA MARKS'!C21:DP89,118,FALSE)</f>
        <v>20</v>
      </c>
      <c r="DA24" s="572">
        <f>'CIA MARKS'!EJ21</f>
        <v>29</v>
      </c>
      <c r="DB24" s="573">
        <f t="shared" si="3"/>
        <v>30.5</v>
      </c>
      <c r="DC24" s="4">
        <v>61</v>
      </c>
      <c r="DD24" s="575" t="s">
        <v>96</v>
      </c>
      <c r="DF24" s="578" t="str">
        <f>IF(D$7="YES",'CIA MARKS'!DX21,"")</f>
        <v/>
      </c>
      <c r="DG24" s="460" t="str">
        <f>IF(D$8="YES",'CIA MARKS'!EH21,"")</f>
        <v/>
      </c>
      <c r="DH24" s="578">
        <f>IF(D$9="YES",'CIA MARKS'!EJ21,"")</f>
        <v>29</v>
      </c>
      <c r="DI24" s="578">
        <v>30.5</v>
      </c>
      <c r="DK24" s="450"/>
      <c r="DL24" s="450"/>
      <c r="DM24" s="450"/>
      <c r="DN24" s="450"/>
      <c r="DO24" s="450"/>
      <c r="DP24" s="451"/>
      <c r="DQ24" s="454"/>
      <c r="DR24" s="455">
        <f t="shared" si="1"/>
        <v>0</v>
      </c>
    </row>
    <row r="25" ht="18.75" spans="1:122">
      <c r="A25" s="527">
        <v>9</v>
      </c>
      <c r="B25" s="3" t="s">
        <v>108</v>
      </c>
      <c r="C25" s="528" t="s">
        <v>109</v>
      </c>
      <c r="D25" s="530"/>
      <c r="E25" s="530"/>
      <c r="F25" s="530"/>
      <c r="G25" s="530"/>
      <c r="H25" s="530"/>
      <c r="I25" s="530"/>
      <c r="J25" s="530"/>
      <c r="K25" s="530"/>
      <c r="L25" s="530">
        <v>4</v>
      </c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>
        <v>3</v>
      </c>
      <c r="AG25" s="530"/>
      <c r="AH25" s="530"/>
      <c r="AI25" s="530"/>
      <c r="AJ25" s="543">
        <v>4</v>
      </c>
      <c r="AK25" s="543"/>
      <c r="AL25" s="543"/>
      <c r="AM25" s="543"/>
      <c r="AN25" s="543">
        <v>0</v>
      </c>
      <c r="AO25" s="543"/>
      <c r="AP25" s="543"/>
      <c r="AQ25" s="543"/>
      <c r="AR25" s="546"/>
      <c r="AS25" s="546"/>
      <c r="AT25" s="546"/>
      <c r="AU25" s="546"/>
      <c r="AV25" s="546">
        <v>2</v>
      </c>
      <c r="AW25" s="546"/>
      <c r="AX25" s="546"/>
      <c r="AY25" s="546"/>
      <c r="AZ25" s="546"/>
      <c r="BA25" s="546"/>
      <c r="BB25" s="546"/>
      <c r="BC25" s="546"/>
      <c r="BD25" s="546">
        <v>0</v>
      </c>
      <c r="BE25" s="546"/>
      <c r="BF25" s="546"/>
      <c r="BG25" s="546"/>
      <c r="BH25" s="546"/>
      <c r="BI25" s="546"/>
      <c r="BJ25" s="546"/>
      <c r="BK25" s="546"/>
      <c r="BL25" s="546">
        <v>0</v>
      </c>
      <c r="BM25" s="546"/>
      <c r="BN25" s="546"/>
      <c r="BO25" s="546"/>
      <c r="BP25" s="551"/>
      <c r="BQ25" s="556"/>
      <c r="BR25" s="556"/>
      <c r="BS25" s="556"/>
      <c r="BT25" s="556">
        <v>8</v>
      </c>
      <c r="BU25" s="556"/>
      <c r="BV25" s="556"/>
      <c r="BW25" s="556"/>
      <c r="BX25" s="556"/>
      <c r="BY25" s="553"/>
      <c r="BZ25" s="553"/>
      <c r="CA25" s="553"/>
      <c r="CB25" s="558">
        <v>8</v>
      </c>
      <c r="CC25" s="558"/>
      <c r="CD25" s="558"/>
      <c r="CE25" s="558"/>
      <c r="CF25" s="551">
        <v>6</v>
      </c>
      <c r="CG25" s="551"/>
      <c r="CH25" s="551"/>
      <c r="CI25" s="551"/>
      <c r="CJ25" s="551"/>
      <c r="CK25" s="558"/>
      <c r="CL25" s="558"/>
      <c r="CM25" s="558"/>
      <c r="CN25" s="558"/>
      <c r="CO25" s="558"/>
      <c r="CP25" s="558"/>
      <c r="CQ25" s="558"/>
      <c r="CR25" s="551"/>
      <c r="CS25" s="551"/>
      <c r="CT25" s="551"/>
      <c r="CU25" s="551"/>
      <c r="CV25" s="565">
        <v>5</v>
      </c>
      <c r="CW25" s="565">
        <v>5</v>
      </c>
      <c r="CX25" s="565">
        <f>VLOOKUP(B25,'CIA MARKS'!C22:DN90,116,FALSE)</f>
        <v>7</v>
      </c>
      <c r="CY25" s="565">
        <f>VLOOKUP(B25,'CIA MARKS'!C22:DO90,117,FALSE)</f>
        <v>6</v>
      </c>
      <c r="CZ25" s="565">
        <f>VLOOKUP(B25,'CIA MARKS'!C22:DP90,118,FALSE)</f>
        <v>22</v>
      </c>
      <c r="DA25" s="572">
        <f>'CIA MARKS'!EJ22</f>
        <v>23</v>
      </c>
      <c r="DB25" s="573">
        <f t="shared" si="3"/>
        <v>20.5</v>
      </c>
      <c r="DC25" s="4">
        <v>41</v>
      </c>
      <c r="DD25" s="575" t="s">
        <v>110</v>
      </c>
      <c r="DF25" s="578" t="str">
        <f>IF(D$7="YES",'CIA MARKS'!DX22,"")</f>
        <v/>
      </c>
      <c r="DG25" s="460" t="str">
        <f>IF(D$8="YES",'CIA MARKS'!EH22,"")</f>
        <v/>
      </c>
      <c r="DH25" s="578">
        <f>IF(D$9="YES",'CIA MARKS'!EJ22,"")</f>
        <v>23</v>
      </c>
      <c r="DI25" s="578">
        <v>20.5</v>
      </c>
      <c r="DK25" s="450"/>
      <c r="DL25" s="450"/>
      <c r="DM25" s="450"/>
      <c r="DN25" s="450"/>
      <c r="DO25" s="450"/>
      <c r="DP25" s="451"/>
      <c r="DQ25" s="454"/>
      <c r="DR25" s="455">
        <f t="shared" si="1"/>
        <v>0</v>
      </c>
    </row>
    <row r="26" ht="18.75" spans="1:122">
      <c r="A26" s="527">
        <v>10</v>
      </c>
      <c r="B26" s="3" t="s">
        <v>111</v>
      </c>
      <c r="C26" s="528" t="s">
        <v>112</v>
      </c>
      <c r="D26" s="530">
        <v>9</v>
      </c>
      <c r="E26" s="530"/>
      <c r="F26" s="530"/>
      <c r="G26" s="530"/>
      <c r="H26" s="530">
        <v>4</v>
      </c>
      <c r="I26" s="530"/>
      <c r="J26" s="530"/>
      <c r="K26" s="530"/>
      <c r="L26" s="530">
        <v>6</v>
      </c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>
        <v>3</v>
      </c>
      <c r="Y26" s="530"/>
      <c r="Z26" s="530"/>
      <c r="AA26" s="530"/>
      <c r="AB26" s="530"/>
      <c r="AC26" s="530"/>
      <c r="AD26" s="530"/>
      <c r="AE26" s="530"/>
      <c r="AF26" s="530">
        <v>4</v>
      </c>
      <c r="AG26" s="530"/>
      <c r="AH26" s="530"/>
      <c r="AI26" s="530"/>
      <c r="AJ26" s="543">
        <v>2</v>
      </c>
      <c r="AK26" s="543"/>
      <c r="AL26" s="543"/>
      <c r="AM26" s="543"/>
      <c r="AN26" s="543">
        <v>6</v>
      </c>
      <c r="AO26" s="543"/>
      <c r="AP26" s="543"/>
      <c r="AQ26" s="543"/>
      <c r="AR26" s="546"/>
      <c r="AS26" s="546"/>
      <c r="AT26" s="546"/>
      <c r="AU26" s="546"/>
      <c r="AV26" s="546">
        <v>8</v>
      </c>
      <c r="AW26" s="546"/>
      <c r="AX26" s="546"/>
      <c r="AY26" s="546"/>
      <c r="AZ26" s="546">
        <v>3</v>
      </c>
      <c r="BA26" s="546"/>
      <c r="BB26" s="546"/>
      <c r="BC26" s="546"/>
      <c r="BD26" s="546"/>
      <c r="BE26" s="546"/>
      <c r="BF26" s="546"/>
      <c r="BG26" s="546"/>
      <c r="BH26" s="546">
        <v>7</v>
      </c>
      <c r="BI26" s="546"/>
      <c r="BJ26" s="546"/>
      <c r="BK26" s="546"/>
      <c r="BL26" s="546"/>
      <c r="BM26" s="546"/>
      <c r="BN26" s="546"/>
      <c r="BO26" s="546"/>
      <c r="BP26" s="551">
        <v>9</v>
      </c>
      <c r="BQ26" s="556"/>
      <c r="BR26" s="556"/>
      <c r="BS26" s="556"/>
      <c r="BT26" s="556">
        <v>9</v>
      </c>
      <c r="BU26" s="556"/>
      <c r="BV26" s="556"/>
      <c r="BW26" s="556"/>
      <c r="BX26" s="556">
        <v>9</v>
      </c>
      <c r="BY26" s="553"/>
      <c r="BZ26" s="553"/>
      <c r="CA26" s="553"/>
      <c r="CB26" s="558"/>
      <c r="CC26" s="558"/>
      <c r="CD26" s="558"/>
      <c r="CE26" s="558"/>
      <c r="CF26" s="551">
        <v>8</v>
      </c>
      <c r="CG26" s="551"/>
      <c r="CH26" s="551"/>
      <c r="CI26" s="551"/>
      <c r="CJ26" s="551"/>
      <c r="CK26" s="558"/>
      <c r="CL26" s="558"/>
      <c r="CM26" s="558"/>
      <c r="CN26" s="558">
        <v>9</v>
      </c>
      <c r="CO26" s="558"/>
      <c r="CP26" s="558"/>
      <c r="CQ26" s="558"/>
      <c r="CR26" s="551"/>
      <c r="CS26" s="551"/>
      <c r="CT26" s="551"/>
      <c r="CU26" s="551"/>
      <c r="CV26" s="565">
        <v>7</v>
      </c>
      <c r="CW26" s="565">
        <v>10</v>
      </c>
      <c r="CX26" s="565">
        <f>VLOOKUP(B26,'CIA MARKS'!C23:DN91,116,FALSE)</f>
        <v>26</v>
      </c>
      <c r="CY26" s="565">
        <f>VLOOKUP(B26,'CIA MARKS'!C23:DO91,117,FALSE)</f>
        <v>26</v>
      </c>
      <c r="CZ26" s="565">
        <f>VLOOKUP(B26,'CIA MARKS'!C23:DP91,118,FALSE)</f>
        <v>44</v>
      </c>
      <c r="DA26" s="572">
        <f>'CIA MARKS'!EJ23</f>
        <v>39</v>
      </c>
      <c r="DB26" s="573">
        <f t="shared" si="3"/>
        <v>41</v>
      </c>
      <c r="DC26" s="4">
        <v>82</v>
      </c>
      <c r="DD26" s="575" t="s">
        <v>93</v>
      </c>
      <c r="DF26" s="578" t="str">
        <f>IF(D$7="YES",'CIA MARKS'!DX23,"")</f>
        <v/>
      </c>
      <c r="DG26" s="460" t="str">
        <f>IF(D$8="YES",'CIA MARKS'!EH23,"")</f>
        <v/>
      </c>
      <c r="DH26" s="578">
        <f>IF(D$9="YES",'CIA MARKS'!EJ23,"")</f>
        <v>39</v>
      </c>
      <c r="DI26" s="578">
        <v>41</v>
      </c>
      <c r="DK26" s="450"/>
      <c r="DL26" s="450"/>
      <c r="DM26" s="450"/>
      <c r="DN26" s="450"/>
      <c r="DO26" s="450"/>
      <c r="DP26" s="451"/>
      <c r="DQ26" s="454"/>
      <c r="DR26" s="455">
        <f t="shared" si="1"/>
        <v>0</v>
      </c>
    </row>
    <row r="27" ht="18.75" spans="1:122">
      <c r="A27" s="527">
        <v>11</v>
      </c>
      <c r="B27" s="3" t="s">
        <v>113</v>
      </c>
      <c r="C27" s="528" t="s">
        <v>114</v>
      </c>
      <c r="D27" s="530">
        <v>9</v>
      </c>
      <c r="E27" s="530"/>
      <c r="F27" s="530"/>
      <c r="G27" s="530"/>
      <c r="H27" s="530">
        <v>8</v>
      </c>
      <c r="I27" s="530"/>
      <c r="J27" s="530"/>
      <c r="K27" s="530"/>
      <c r="L27" s="530">
        <v>6</v>
      </c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>
        <v>8</v>
      </c>
      <c r="Y27" s="530"/>
      <c r="Z27" s="530"/>
      <c r="AA27" s="530"/>
      <c r="AB27" s="530">
        <v>9</v>
      </c>
      <c r="AC27" s="530"/>
      <c r="AD27" s="530"/>
      <c r="AE27" s="530"/>
      <c r="AF27" s="530"/>
      <c r="AG27" s="530"/>
      <c r="AH27" s="530"/>
      <c r="AI27" s="530"/>
      <c r="AJ27" s="543">
        <v>8</v>
      </c>
      <c r="AK27" s="543"/>
      <c r="AL27" s="543"/>
      <c r="AM27" s="543"/>
      <c r="AN27" s="543">
        <v>6</v>
      </c>
      <c r="AO27" s="543"/>
      <c r="AP27" s="543"/>
      <c r="AQ27" s="543"/>
      <c r="AR27" s="546"/>
      <c r="AS27" s="546"/>
      <c r="AT27" s="546"/>
      <c r="AU27" s="546"/>
      <c r="AV27" s="546">
        <v>9</v>
      </c>
      <c r="AW27" s="546"/>
      <c r="AX27" s="546"/>
      <c r="AY27" s="546"/>
      <c r="AZ27" s="546"/>
      <c r="BA27" s="546"/>
      <c r="BB27" s="546"/>
      <c r="BC27" s="546"/>
      <c r="BD27" s="546">
        <v>2</v>
      </c>
      <c r="BE27" s="546"/>
      <c r="BF27" s="546"/>
      <c r="BG27" s="546"/>
      <c r="BH27" s="546"/>
      <c r="BI27" s="546"/>
      <c r="BJ27" s="546"/>
      <c r="BK27" s="546"/>
      <c r="BL27" s="546">
        <v>6</v>
      </c>
      <c r="BM27" s="546"/>
      <c r="BN27" s="546"/>
      <c r="BO27" s="546"/>
      <c r="BP27" s="551">
        <v>8</v>
      </c>
      <c r="BQ27" s="556"/>
      <c r="BR27" s="556"/>
      <c r="BS27" s="556"/>
      <c r="BT27" s="556">
        <v>7</v>
      </c>
      <c r="BU27" s="556"/>
      <c r="BV27" s="556"/>
      <c r="BW27" s="556"/>
      <c r="BX27" s="556">
        <v>7</v>
      </c>
      <c r="BY27" s="553"/>
      <c r="BZ27" s="553"/>
      <c r="CA27" s="553"/>
      <c r="CB27" s="558"/>
      <c r="CC27" s="558"/>
      <c r="CD27" s="558"/>
      <c r="CE27" s="558"/>
      <c r="CF27" s="551">
        <v>8</v>
      </c>
      <c r="CG27" s="551"/>
      <c r="CH27" s="551"/>
      <c r="CI27" s="551"/>
      <c r="CJ27" s="551"/>
      <c r="CK27" s="558"/>
      <c r="CL27" s="558"/>
      <c r="CM27" s="558"/>
      <c r="CN27" s="558">
        <v>3</v>
      </c>
      <c r="CO27" s="558"/>
      <c r="CP27" s="558"/>
      <c r="CQ27" s="558"/>
      <c r="CR27" s="551"/>
      <c r="CS27" s="551"/>
      <c r="CT27" s="551"/>
      <c r="CU27" s="551"/>
      <c r="CV27" s="565">
        <v>8</v>
      </c>
      <c r="CW27" s="565">
        <v>10</v>
      </c>
      <c r="CX27" s="565">
        <f>VLOOKUP(B27,'CIA MARKS'!C24:DN92,116,FALSE)</f>
        <v>40</v>
      </c>
      <c r="CY27" s="565">
        <f>VLOOKUP(B27,'CIA MARKS'!C24:DO92,117,FALSE)</f>
        <v>31</v>
      </c>
      <c r="CZ27" s="565">
        <f>VLOOKUP(B27,'CIA MARKS'!C24:DP92,118,FALSE)</f>
        <v>33</v>
      </c>
      <c r="DA27" s="572">
        <f>'CIA MARKS'!EJ24</f>
        <v>37</v>
      </c>
      <c r="DB27" s="573">
        <f t="shared" si="3"/>
        <v>32.5</v>
      </c>
      <c r="DC27" s="4">
        <v>65</v>
      </c>
      <c r="DD27" s="575" t="s">
        <v>90</v>
      </c>
      <c r="DF27" s="578" t="str">
        <f>IF(D$7="YES",'CIA MARKS'!DX24,"")</f>
        <v/>
      </c>
      <c r="DG27" s="460" t="str">
        <f>IF(D$8="YES",'CIA MARKS'!EH24,"")</f>
        <v/>
      </c>
      <c r="DH27" s="578">
        <f>IF(D$9="YES",'CIA MARKS'!EJ24,"")</f>
        <v>37</v>
      </c>
      <c r="DI27" s="578">
        <v>32.5</v>
      </c>
      <c r="DK27" s="450"/>
      <c r="DL27" s="450"/>
      <c r="DM27" s="450"/>
      <c r="DN27" s="450"/>
      <c r="DO27" s="450"/>
      <c r="DP27" s="451"/>
      <c r="DQ27" s="454"/>
      <c r="DR27" s="455">
        <f t="shared" si="1"/>
        <v>0</v>
      </c>
    </row>
    <row r="28" ht="18.75" spans="1:122">
      <c r="A28" s="527">
        <v>12</v>
      </c>
      <c r="B28" s="3" t="s">
        <v>115</v>
      </c>
      <c r="C28" s="528" t="s">
        <v>116</v>
      </c>
      <c r="D28" s="530">
        <v>8</v>
      </c>
      <c r="E28" s="530"/>
      <c r="F28" s="530"/>
      <c r="G28" s="530"/>
      <c r="H28" s="530">
        <v>4</v>
      </c>
      <c r="I28" s="530"/>
      <c r="J28" s="530"/>
      <c r="K28" s="530"/>
      <c r="L28" s="530">
        <v>4</v>
      </c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>
        <v>10</v>
      </c>
      <c r="Y28" s="530"/>
      <c r="Z28" s="530"/>
      <c r="AA28" s="530"/>
      <c r="AB28" s="530"/>
      <c r="AC28" s="530"/>
      <c r="AD28" s="530"/>
      <c r="AE28" s="530"/>
      <c r="AF28" s="530">
        <v>4</v>
      </c>
      <c r="AG28" s="530"/>
      <c r="AH28" s="530"/>
      <c r="AI28" s="530"/>
      <c r="AJ28" s="543">
        <v>4</v>
      </c>
      <c r="AK28" s="543"/>
      <c r="AL28" s="543"/>
      <c r="AM28" s="543"/>
      <c r="AN28" s="543">
        <v>8</v>
      </c>
      <c r="AO28" s="543"/>
      <c r="AP28" s="543"/>
      <c r="AQ28" s="543"/>
      <c r="AR28" s="546"/>
      <c r="AS28" s="546"/>
      <c r="AT28" s="546"/>
      <c r="AU28" s="546"/>
      <c r="AV28" s="546">
        <v>8</v>
      </c>
      <c r="AW28" s="546"/>
      <c r="AX28" s="546"/>
      <c r="AY28" s="546"/>
      <c r="AZ28" s="546">
        <v>9</v>
      </c>
      <c r="BA28" s="546"/>
      <c r="BB28" s="546"/>
      <c r="BC28" s="546"/>
      <c r="BD28" s="546"/>
      <c r="BE28" s="546"/>
      <c r="BF28" s="546"/>
      <c r="BG28" s="546"/>
      <c r="BH28" s="546">
        <v>8</v>
      </c>
      <c r="BI28" s="546"/>
      <c r="BJ28" s="546"/>
      <c r="BK28" s="546"/>
      <c r="BL28" s="546"/>
      <c r="BM28" s="546"/>
      <c r="BN28" s="546"/>
      <c r="BO28" s="546"/>
      <c r="BP28" s="551">
        <v>7</v>
      </c>
      <c r="BQ28" s="556"/>
      <c r="BR28" s="556"/>
      <c r="BS28" s="556"/>
      <c r="BT28" s="556">
        <v>8</v>
      </c>
      <c r="BU28" s="556"/>
      <c r="BV28" s="556"/>
      <c r="BW28" s="556"/>
      <c r="BX28" s="556">
        <v>7</v>
      </c>
      <c r="BY28" s="553"/>
      <c r="BZ28" s="553"/>
      <c r="CA28" s="553"/>
      <c r="CB28" s="558"/>
      <c r="CC28" s="558"/>
      <c r="CD28" s="558"/>
      <c r="CE28" s="558"/>
      <c r="CF28" s="551">
        <v>8</v>
      </c>
      <c r="CG28" s="551"/>
      <c r="CH28" s="551"/>
      <c r="CI28" s="551"/>
      <c r="CJ28" s="551"/>
      <c r="CK28" s="558"/>
      <c r="CL28" s="558"/>
      <c r="CM28" s="558"/>
      <c r="CN28" s="558">
        <v>9</v>
      </c>
      <c r="CO28" s="558"/>
      <c r="CP28" s="558"/>
      <c r="CQ28" s="558"/>
      <c r="CR28" s="551"/>
      <c r="CS28" s="551"/>
      <c r="CT28" s="551"/>
      <c r="CU28" s="551"/>
      <c r="CV28" s="565">
        <v>9</v>
      </c>
      <c r="CW28" s="565">
        <v>10</v>
      </c>
      <c r="CX28" s="565">
        <f>VLOOKUP(B28,'CIA MARKS'!C25:DN93,116,FALSE)</f>
        <v>30</v>
      </c>
      <c r="CY28" s="565">
        <f>VLOOKUP(B28,'CIA MARKS'!C25:DO93,117,FALSE)</f>
        <v>37</v>
      </c>
      <c r="CZ28" s="565">
        <f>VLOOKUP(B28,'CIA MARKS'!C25:DP93,118,FALSE)</f>
        <v>39</v>
      </c>
      <c r="DA28" s="572">
        <f>'CIA MARKS'!EJ25</f>
        <v>42</v>
      </c>
      <c r="DB28" s="573">
        <f t="shared" si="3"/>
        <v>43</v>
      </c>
      <c r="DC28" s="4">
        <v>86</v>
      </c>
      <c r="DD28" s="575" t="s">
        <v>93</v>
      </c>
      <c r="DF28" s="578" t="str">
        <f>IF(D$7="YES",'CIA MARKS'!DX25,"")</f>
        <v/>
      </c>
      <c r="DG28" s="460" t="str">
        <f>IF(D$8="YES",'CIA MARKS'!EH25,"")</f>
        <v/>
      </c>
      <c r="DH28" s="578">
        <f>IF(D$9="YES",'CIA MARKS'!EJ25,"")</f>
        <v>42</v>
      </c>
      <c r="DI28" s="578">
        <v>43</v>
      </c>
      <c r="DK28" s="450"/>
      <c r="DL28" s="450"/>
      <c r="DM28" s="450"/>
      <c r="DN28" s="450"/>
      <c r="DO28" s="450"/>
      <c r="DP28" s="451"/>
      <c r="DQ28" s="454"/>
      <c r="DR28" s="455">
        <f t="shared" si="1"/>
        <v>0</v>
      </c>
    </row>
    <row r="29" ht="18.75" spans="1:122">
      <c r="A29" s="527">
        <v>13</v>
      </c>
      <c r="B29" s="3" t="s">
        <v>117</v>
      </c>
      <c r="C29" s="528" t="s">
        <v>118</v>
      </c>
      <c r="D29" s="530">
        <v>9</v>
      </c>
      <c r="E29" s="530"/>
      <c r="F29" s="530"/>
      <c r="G29" s="530"/>
      <c r="H29" s="530">
        <v>8</v>
      </c>
      <c r="I29" s="530"/>
      <c r="J29" s="530"/>
      <c r="K29" s="530"/>
      <c r="L29" s="530">
        <v>6</v>
      </c>
      <c r="M29" s="530"/>
      <c r="N29" s="530"/>
      <c r="O29" s="530"/>
      <c r="P29" s="530"/>
      <c r="Q29" s="530"/>
      <c r="R29" s="530"/>
      <c r="S29" s="530"/>
      <c r="T29" s="530">
        <v>8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>
        <v>9</v>
      </c>
      <c r="AG29" s="530"/>
      <c r="AH29" s="530"/>
      <c r="AI29" s="530"/>
      <c r="AJ29" s="543">
        <v>9</v>
      </c>
      <c r="AK29" s="543"/>
      <c r="AL29" s="543"/>
      <c r="AM29" s="543"/>
      <c r="AN29" s="543">
        <v>8</v>
      </c>
      <c r="AO29" s="543"/>
      <c r="AP29" s="543"/>
      <c r="AQ29" s="543"/>
      <c r="AR29" s="546"/>
      <c r="AS29" s="546"/>
      <c r="AT29" s="546"/>
      <c r="AU29" s="546"/>
      <c r="AV29" s="546">
        <v>10</v>
      </c>
      <c r="AW29" s="546"/>
      <c r="AX29" s="546"/>
      <c r="AY29" s="546"/>
      <c r="AZ29" s="546"/>
      <c r="BA29" s="546"/>
      <c r="BB29" s="546"/>
      <c r="BC29" s="546"/>
      <c r="BD29" s="546">
        <v>0</v>
      </c>
      <c r="BE29" s="546"/>
      <c r="BF29" s="546"/>
      <c r="BG29" s="546"/>
      <c r="BH29" s="546"/>
      <c r="BI29" s="546"/>
      <c r="BJ29" s="546"/>
      <c r="BK29" s="546"/>
      <c r="BL29" s="546">
        <v>8</v>
      </c>
      <c r="BM29" s="546"/>
      <c r="BN29" s="546"/>
      <c r="BO29" s="546"/>
      <c r="BP29" s="551">
        <v>9</v>
      </c>
      <c r="BQ29" s="556"/>
      <c r="BR29" s="556"/>
      <c r="BS29" s="556"/>
      <c r="BT29" s="556">
        <v>10</v>
      </c>
      <c r="BU29" s="556"/>
      <c r="BV29" s="556"/>
      <c r="BW29" s="556"/>
      <c r="BX29" s="556"/>
      <c r="BY29" s="553"/>
      <c r="BZ29" s="553"/>
      <c r="CA29" s="553"/>
      <c r="CB29" s="558">
        <v>10</v>
      </c>
      <c r="CC29" s="558"/>
      <c r="CD29" s="558"/>
      <c r="CE29" s="558"/>
      <c r="CF29" s="551">
        <v>10</v>
      </c>
      <c r="CG29" s="551"/>
      <c r="CH29" s="551"/>
      <c r="CI29" s="551"/>
      <c r="CJ29" s="551"/>
      <c r="CK29" s="558"/>
      <c r="CL29" s="558"/>
      <c r="CM29" s="558"/>
      <c r="CN29" s="558"/>
      <c r="CO29" s="558"/>
      <c r="CP29" s="558"/>
      <c r="CQ29" s="558"/>
      <c r="CR29" s="551">
        <v>9</v>
      </c>
      <c r="CS29" s="551"/>
      <c r="CT29" s="551"/>
      <c r="CU29" s="551"/>
      <c r="CV29" s="565">
        <v>7</v>
      </c>
      <c r="CW29" s="565">
        <v>10</v>
      </c>
      <c r="CX29" s="565">
        <f>VLOOKUP(B29,'CIA MARKS'!C26:DN94,116,FALSE)</f>
        <v>40</v>
      </c>
      <c r="CY29" s="565">
        <f>VLOOKUP(B29,'CIA MARKS'!C26:DO94,117,FALSE)</f>
        <v>35</v>
      </c>
      <c r="CZ29" s="565">
        <f>VLOOKUP(B29,'CIA MARKS'!C26:DP94,118,FALSE)</f>
        <v>48</v>
      </c>
      <c r="DA29" s="572">
        <f>'CIA MARKS'!EJ26</f>
        <v>43</v>
      </c>
      <c r="DB29" s="573">
        <f t="shared" si="3"/>
        <v>46</v>
      </c>
      <c r="DC29" s="4">
        <v>92</v>
      </c>
      <c r="DD29" s="575" t="s">
        <v>93</v>
      </c>
      <c r="DF29" s="578" t="str">
        <f>IF(D$7="YES",'CIA MARKS'!DX26,"")</f>
        <v/>
      </c>
      <c r="DG29" s="460" t="str">
        <f>IF(D$8="YES",'CIA MARKS'!EH26,"")</f>
        <v/>
      </c>
      <c r="DH29" s="578">
        <f>IF(D$9="YES",'CIA MARKS'!EJ26,"")</f>
        <v>43</v>
      </c>
      <c r="DI29" s="578">
        <v>46</v>
      </c>
      <c r="DK29" s="450"/>
      <c r="DL29" s="450"/>
      <c r="DM29" s="450"/>
      <c r="DN29" s="450"/>
      <c r="DO29" s="450"/>
      <c r="DP29" s="451"/>
      <c r="DQ29" s="454"/>
      <c r="DR29" s="455">
        <f t="shared" si="1"/>
        <v>0</v>
      </c>
    </row>
    <row r="30" ht="18.75" spans="1:122">
      <c r="A30" s="527">
        <v>14</v>
      </c>
      <c r="B30" s="3" t="s">
        <v>119</v>
      </c>
      <c r="C30" s="528" t="s">
        <v>120</v>
      </c>
      <c r="D30" s="530">
        <v>8</v>
      </c>
      <c r="E30" s="530"/>
      <c r="F30" s="530"/>
      <c r="G30" s="530"/>
      <c r="H30" s="530">
        <v>9</v>
      </c>
      <c r="I30" s="530"/>
      <c r="J30" s="530"/>
      <c r="K30" s="530"/>
      <c r="L30" s="530"/>
      <c r="M30" s="530"/>
      <c r="N30" s="530"/>
      <c r="O30" s="530"/>
      <c r="P30" s="530">
        <v>9</v>
      </c>
      <c r="Q30" s="530"/>
      <c r="R30" s="530"/>
      <c r="S30" s="530"/>
      <c r="T30" s="530"/>
      <c r="U30" s="530"/>
      <c r="V30" s="530"/>
      <c r="W30" s="530"/>
      <c r="X30" s="530">
        <v>10</v>
      </c>
      <c r="Y30" s="530"/>
      <c r="Z30" s="530"/>
      <c r="AA30" s="530"/>
      <c r="AB30" s="530"/>
      <c r="AC30" s="530"/>
      <c r="AD30" s="530"/>
      <c r="AE30" s="530"/>
      <c r="AF30" s="530">
        <v>8</v>
      </c>
      <c r="AG30" s="530"/>
      <c r="AH30" s="530"/>
      <c r="AI30" s="530"/>
      <c r="AJ30" s="543">
        <v>10</v>
      </c>
      <c r="AK30" s="543"/>
      <c r="AL30" s="543"/>
      <c r="AM30" s="543"/>
      <c r="AN30" s="543">
        <v>9</v>
      </c>
      <c r="AO30" s="543"/>
      <c r="AP30" s="543"/>
      <c r="AQ30" s="543"/>
      <c r="AR30" s="546"/>
      <c r="AS30" s="546"/>
      <c r="AT30" s="546"/>
      <c r="AU30" s="546"/>
      <c r="AV30" s="546">
        <v>10</v>
      </c>
      <c r="AW30" s="546"/>
      <c r="AX30" s="546"/>
      <c r="AY30" s="546"/>
      <c r="AZ30" s="546">
        <v>8</v>
      </c>
      <c r="BA30" s="546"/>
      <c r="BB30" s="546"/>
      <c r="BC30" s="546"/>
      <c r="BD30" s="546"/>
      <c r="BE30" s="546"/>
      <c r="BF30" s="546"/>
      <c r="BG30" s="546"/>
      <c r="BH30" s="546">
        <v>10</v>
      </c>
      <c r="BI30" s="546"/>
      <c r="BJ30" s="546"/>
      <c r="BK30" s="546"/>
      <c r="BL30" s="546"/>
      <c r="BM30" s="546"/>
      <c r="BN30" s="546"/>
      <c r="BO30" s="546"/>
      <c r="BP30" s="551">
        <v>10</v>
      </c>
      <c r="BQ30" s="556"/>
      <c r="BR30" s="556"/>
      <c r="BS30" s="556"/>
      <c r="BT30" s="556">
        <v>10</v>
      </c>
      <c r="BU30" s="556"/>
      <c r="BV30" s="556"/>
      <c r="BW30" s="556"/>
      <c r="BX30" s="556">
        <v>9</v>
      </c>
      <c r="BY30" s="553"/>
      <c r="BZ30" s="553"/>
      <c r="CA30" s="553"/>
      <c r="CB30" s="558"/>
      <c r="CC30" s="558"/>
      <c r="CD30" s="558"/>
      <c r="CE30" s="558"/>
      <c r="CF30" s="551">
        <v>10</v>
      </c>
      <c r="CG30" s="551"/>
      <c r="CH30" s="551"/>
      <c r="CI30" s="551"/>
      <c r="CJ30" s="551"/>
      <c r="CK30" s="558"/>
      <c r="CL30" s="558"/>
      <c r="CM30" s="558"/>
      <c r="CN30" s="558"/>
      <c r="CO30" s="558"/>
      <c r="CP30" s="558"/>
      <c r="CQ30" s="558"/>
      <c r="CR30" s="551">
        <v>6</v>
      </c>
      <c r="CS30" s="551"/>
      <c r="CT30" s="551"/>
      <c r="CU30" s="551"/>
      <c r="CV30" s="565">
        <v>8</v>
      </c>
      <c r="CW30" s="565">
        <v>10</v>
      </c>
      <c r="CX30" s="565">
        <f>VLOOKUP(B30,'CIA MARKS'!C27:DN95,116,FALSE)</f>
        <v>44</v>
      </c>
      <c r="CY30" s="565">
        <f>VLOOKUP(B30,'CIA MARKS'!C27:DO95,117,FALSE)</f>
        <v>47</v>
      </c>
      <c r="CZ30" s="565">
        <f>VLOOKUP(B30,'CIA MARKS'!C27:DP95,118,FALSE)</f>
        <v>45</v>
      </c>
      <c r="DA30" s="572">
        <f>'CIA MARKS'!EJ27</f>
        <v>46</v>
      </c>
      <c r="DB30" s="573">
        <f t="shared" si="3"/>
        <v>44</v>
      </c>
      <c r="DC30" s="4">
        <v>88</v>
      </c>
      <c r="DD30" s="575" t="s">
        <v>121</v>
      </c>
      <c r="DF30" s="578" t="str">
        <f>IF(D$7="YES",'CIA MARKS'!DX27,"")</f>
        <v/>
      </c>
      <c r="DG30" s="460" t="str">
        <f>IF(D$8="YES",'CIA MARKS'!EH27,"")</f>
        <v/>
      </c>
      <c r="DH30" s="578">
        <f>IF(D$9="YES",'CIA MARKS'!EJ27,"")</f>
        <v>46</v>
      </c>
      <c r="DI30" s="578">
        <v>44</v>
      </c>
      <c r="DK30" s="450"/>
      <c r="DL30" s="450"/>
      <c r="DM30" s="450"/>
      <c r="DN30" s="450"/>
      <c r="DO30" s="450"/>
      <c r="DP30" s="451"/>
      <c r="DQ30" s="454"/>
      <c r="DR30" s="455">
        <f t="shared" si="1"/>
        <v>0</v>
      </c>
    </row>
    <row r="31" ht="18.75" spans="1:122">
      <c r="A31" s="527">
        <v>15</v>
      </c>
      <c r="B31" s="3" t="s">
        <v>122</v>
      </c>
      <c r="C31" s="528" t="s">
        <v>123</v>
      </c>
      <c r="D31" s="530">
        <v>10</v>
      </c>
      <c r="E31" s="530"/>
      <c r="F31" s="530"/>
      <c r="G31" s="530"/>
      <c r="H31" s="530">
        <v>8</v>
      </c>
      <c r="I31" s="530"/>
      <c r="J31" s="530"/>
      <c r="K31" s="530"/>
      <c r="L31" s="530">
        <v>7</v>
      </c>
      <c r="M31" s="530"/>
      <c r="N31" s="530"/>
      <c r="O31" s="530"/>
      <c r="P31" s="530"/>
      <c r="Q31" s="530"/>
      <c r="R31" s="530"/>
      <c r="S31" s="530"/>
      <c r="T31" s="530">
        <v>8</v>
      </c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>
        <v>10</v>
      </c>
      <c r="AG31" s="530"/>
      <c r="AH31" s="530"/>
      <c r="AI31" s="530"/>
      <c r="AJ31" s="543">
        <v>6</v>
      </c>
      <c r="AK31" s="543"/>
      <c r="AL31" s="543"/>
      <c r="AM31" s="543"/>
      <c r="AN31" s="543">
        <v>10</v>
      </c>
      <c r="AO31" s="543"/>
      <c r="AP31" s="543"/>
      <c r="AQ31" s="543"/>
      <c r="AR31" s="546"/>
      <c r="AS31" s="546"/>
      <c r="AT31" s="546"/>
      <c r="AU31" s="546"/>
      <c r="AV31" s="546">
        <v>10</v>
      </c>
      <c r="AW31" s="546"/>
      <c r="AX31" s="546"/>
      <c r="AY31" s="546"/>
      <c r="AZ31" s="546"/>
      <c r="BA31" s="546"/>
      <c r="BB31" s="546"/>
      <c r="BC31" s="546"/>
      <c r="BD31" s="546">
        <v>8</v>
      </c>
      <c r="BE31" s="546"/>
      <c r="BF31" s="546"/>
      <c r="BG31" s="546"/>
      <c r="BH31" s="546"/>
      <c r="BI31" s="546"/>
      <c r="BJ31" s="546"/>
      <c r="BK31" s="546"/>
      <c r="BL31" s="546">
        <v>6</v>
      </c>
      <c r="BM31" s="546"/>
      <c r="BN31" s="546"/>
      <c r="BO31" s="546"/>
      <c r="BP31" s="551">
        <v>10</v>
      </c>
      <c r="BQ31" s="556"/>
      <c r="BR31" s="556"/>
      <c r="BS31" s="556"/>
      <c r="BT31" s="556">
        <v>10</v>
      </c>
      <c r="BU31" s="556"/>
      <c r="BV31" s="556"/>
      <c r="BW31" s="556"/>
      <c r="BX31" s="556">
        <v>10</v>
      </c>
      <c r="BY31" s="553"/>
      <c r="BZ31" s="553"/>
      <c r="CA31" s="553"/>
      <c r="CB31" s="558"/>
      <c r="CC31" s="558"/>
      <c r="CD31" s="558"/>
      <c r="CE31" s="558"/>
      <c r="CF31" s="551">
        <v>7</v>
      </c>
      <c r="CG31" s="551"/>
      <c r="CH31" s="551"/>
      <c r="CI31" s="551"/>
      <c r="CJ31" s="551"/>
      <c r="CK31" s="558"/>
      <c r="CL31" s="558"/>
      <c r="CM31" s="558"/>
      <c r="CN31" s="558">
        <v>8</v>
      </c>
      <c r="CO31" s="558"/>
      <c r="CP31" s="558"/>
      <c r="CQ31" s="558"/>
      <c r="CR31" s="551"/>
      <c r="CS31" s="551"/>
      <c r="CT31" s="551"/>
      <c r="CU31" s="551"/>
      <c r="CV31" s="565">
        <v>7</v>
      </c>
      <c r="CW31" s="565">
        <v>10</v>
      </c>
      <c r="CX31" s="565">
        <f>VLOOKUP(B31,'CIA MARKS'!C28:DN96,116,FALSE)</f>
        <v>43</v>
      </c>
      <c r="CY31" s="565">
        <f>VLOOKUP(B31,'CIA MARKS'!C28:DO96,117,FALSE)</f>
        <v>40</v>
      </c>
      <c r="CZ31" s="565">
        <f>VLOOKUP(B31,'CIA MARKS'!C28:DP96,118,FALSE)</f>
        <v>45</v>
      </c>
      <c r="DA31" s="572">
        <f>'CIA MARKS'!EJ28</f>
        <v>45</v>
      </c>
      <c r="DB31" s="573">
        <f t="shared" si="3"/>
        <v>41.5</v>
      </c>
      <c r="DC31" s="4">
        <v>83</v>
      </c>
      <c r="DD31" s="575" t="s">
        <v>93</v>
      </c>
      <c r="DF31" s="578" t="str">
        <f>IF(D$7="YES",'CIA MARKS'!DX28,"")</f>
        <v/>
      </c>
      <c r="DG31" s="460" t="str">
        <f>IF(D$8="YES",'CIA MARKS'!EH28,"")</f>
        <v/>
      </c>
      <c r="DH31" s="578">
        <f>IF(D$9="YES",'CIA MARKS'!EJ28,"")</f>
        <v>45</v>
      </c>
      <c r="DI31" s="578">
        <v>41.5</v>
      </c>
      <c r="DK31" s="450"/>
      <c r="DL31" s="450"/>
      <c r="DM31" s="450"/>
      <c r="DN31" s="450"/>
      <c r="DO31" s="450"/>
      <c r="DP31" s="451"/>
      <c r="DQ31" s="454"/>
      <c r="DR31" s="455">
        <f t="shared" si="1"/>
        <v>0</v>
      </c>
    </row>
    <row r="32" ht="18.75" spans="1:122">
      <c r="A32" s="527">
        <v>16</v>
      </c>
      <c r="B32" s="3" t="s">
        <v>124</v>
      </c>
      <c r="C32" s="528" t="s">
        <v>125</v>
      </c>
      <c r="D32" s="530">
        <v>9</v>
      </c>
      <c r="E32" s="530"/>
      <c r="F32" s="530"/>
      <c r="G32" s="530"/>
      <c r="H32" s="530">
        <v>10</v>
      </c>
      <c r="I32" s="530"/>
      <c r="J32" s="530"/>
      <c r="K32" s="530"/>
      <c r="L32" s="530">
        <v>8</v>
      </c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>
        <v>8</v>
      </c>
      <c r="Y32" s="530"/>
      <c r="Z32" s="530"/>
      <c r="AA32" s="530"/>
      <c r="AB32" s="530">
        <v>10</v>
      </c>
      <c r="AC32" s="530"/>
      <c r="AD32" s="530"/>
      <c r="AE32" s="530"/>
      <c r="AF32" s="530"/>
      <c r="AG32" s="530"/>
      <c r="AH32" s="530"/>
      <c r="AI32" s="530"/>
      <c r="AJ32" s="543">
        <v>10</v>
      </c>
      <c r="AK32" s="543"/>
      <c r="AL32" s="543"/>
      <c r="AM32" s="543"/>
      <c r="AN32" s="543">
        <v>9</v>
      </c>
      <c r="AO32" s="543"/>
      <c r="AP32" s="543"/>
      <c r="AQ32" s="543"/>
      <c r="AR32" s="546">
        <v>5</v>
      </c>
      <c r="AS32" s="546"/>
      <c r="AT32" s="546"/>
      <c r="AU32" s="546"/>
      <c r="AV32" s="546"/>
      <c r="AW32" s="546"/>
      <c r="AX32" s="546"/>
      <c r="AY32" s="546"/>
      <c r="AZ32" s="546">
        <v>8</v>
      </c>
      <c r="BA32" s="546"/>
      <c r="BB32" s="546"/>
      <c r="BC32" s="546"/>
      <c r="BD32" s="546"/>
      <c r="BE32" s="546"/>
      <c r="BF32" s="546"/>
      <c r="BG32" s="546"/>
      <c r="BH32" s="546">
        <v>4</v>
      </c>
      <c r="BI32" s="546"/>
      <c r="BJ32" s="546"/>
      <c r="BK32" s="546"/>
      <c r="BL32" s="546"/>
      <c r="BM32" s="546"/>
      <c r="BN32" s="546"/>
      <c r="BO32" s="546"/>
      <c r="BP32" s="551">
        <v>10</v>
      </c>
      <c r="BQ32" s="556"/>
      <c r="BR32" s="556"/>
      <c r="BS32" s="556"/>
      <c r="BT32" s="556">
        <v>10</v>
      </c>
      <c r="BU32" s="556"/>
      <c r="BV32" s="556"/>
      <c r="BW32" s="556"/>
      <c r="BX32" s="556">
        <v>9</v>
      </c>
      <c r="BY32" s="553"/>
      <c r="BZ32" s="553"/>
      <c r="CA32" s="553"/>
      <c r="CB32" s="558"/>
      <c r="CC32" s="558"/>
      <c r="CD32" s="558"/>
      <c r="CE32" s="558"/>
      <c r="CF32" s="551">
        <v>8</v>
      </c>
      <c r="CG32" s="551"/>
      <c r="CH32" s="551"/>
      <c r="CI32" s="551"/>
      <c r="CJ32" s="551"/>
      <c r="CK32" s="558"/>
      <c r="CL32" s="558"/>
      <c r="CM32" s="558"/>
      <c r="CN32" s="558">
        <v>7</v>
      </c>
      <c r="CO32" s="558"/>
      <c r="CP32" s="558"/>
      <c r="CQ32" s="558"/>
      <c r="CR32" s="551"/>
      <c r="CS32" s="551"/>
      <c r="CT32" s="551"/>
      <c r="CU32" s="551"/>
      <c r="CV32" s="565">
        <v>7</v>
      </c>
      <c r="CW32" s="565">
        <v>10</v>
      </c>
      <c r="CX32" s="565">
        <f>VLOOKUP(B32,'CIA MARKS'!C29:DN97,116,FALSE)</f>
        <v>45</v>
      </c>
      <c r="CY32" s="565">
        <f>VLOOKUP(B32,'CIA MARKS'!C29:DO97,117,FALSE)</f>
        <v>36</v>
      </c>
      <c r="CZ32" s="565">
        <f>VLOOKUP(B32,'CIA MARKS'!C29:DP97,118,FALSE)</f>
        <v>44</v>
      </c>
      <c r="DA32" s="572">
        <f>'CIA MARKS'!EJ29</f>
        <v>45</v>
      </c>
      <c r="DB32" s="573">
        <f t="shared" si="3"/>
        <v>41</v>
      </c>
      <c r="DC32" s="4">
        <v>82</v>
      </c>
      <c r="DD32" s="575" t="s">
        <v>93</v>
      </c>
      <c r="DF32" s="578" t="str">
        <f>IF(D$7="YES",'CIA MARKS'!DX29,"")</f>
        <v/>
      </c>
      <c r="DG32" s="460" t="str">
        <f>IF(D$8="YES",'CIA MARKS'!EH29,"")</f>
        <v/>
      </c>
      <c r="DH32" s="578">
        <f>IF(D$9="YES",'CIA MARKS'!EJ29,"")</f>
        <v>45</v>
      </c>
      <c r="DI32" s="578">
        <v>41</v>
      </c>
      <c r="DK32" s="450"/>
      <c r="DL32" s="450"/>
      <c r="DM32" s="450"/>
      <c r="DN32" s="450"/>
      <c r="DO32" s="450"/>
      <c r="DP32" s="451"/>
      <c r="DQ32" s="454"/>
      <c r="DR32" s="455">
        <f t="shared" si="1"/>
        <v>0</v>
      </c>
    </row>
    <row r="33" ht="18.75" spans="1:122">
      <c r="A33" s="527">
        <v>17</v>
      </c>
      <c r="B33" s="3" t="s">
        <v>126</v>
      </c>
      <c r="C33" s="528" t="s">
        <v>127</v>
      </c>
      <c r="D33" s="530">
        <v>8</v>
      </c>
      <c r="E33" s="530"/>
      <c r="F33" s="530"/>
      <c r="G33" s="530"/>
      <c r="H33" s="530"/>
      <c r="I33" s="530"/>
      <c r="J33" s="530"/>
      <c r="K33" s="530"/>
      <c r="L33" s="530">
        <v>3</v>
      </c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>
        <v>9</v>
      </c>
      <c r="Y33" s="530"/>
      <c r="Z33" s="530"/>
      <c r="AA33" s="530"/>
      <c r="AB33" s="530">
        <v>0</v>
      </c>
      <c r="AC33" s="530"/>
      <c r="AD33" s="530"/>
      <c r="AE33" s="530"/>
      <c r="AF33" s="530">
        <v>2</v>
      </c>
      <c r="AG33" s="530"/>
      <c r="AH33" s="530"/>
      <c r="AI33" s="530"/>
      <c r="AJ33" s="543"/>
      <c r="AK33" s="543"/>
      <c r="AL33" s="543"/>
      <c r="AM33" s="543"/>
      <c r="AN33" s="543">
        <v>5</v>
      </c>
      <c r="AO33" s="543"/>
      <c r="AP33" s="543"/>
      <c r="AQ33" s="543"/>
      <c r="AR33" s="546">
        <v>4</v>
      </c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>
        <v>2</v>
      </c>
      <c r="BI33" s="546"/>
      <c r="BJ33" s="546"/>
      <c r="BK33" s="546"/>
      <c r="BL33" s="546"/>
      <c r="BM33" s="546"/>
      <c r="BN33" s="546"/>
      <c r="BO33" s="546"/>
      <c r="BP33" s="551">
        <v>8</v>
      </c>
      <c r="BQ33" s="556"/>
      <c r="BR33" s="556"/>
      <c r="BS33" s="556"/>
      <c r="BT33" s="556">
        <v>6</v>
      </c>
      <c r="BU33" s="556"/>
      <c r="BV33" s="556"/>
      <c r="BW33" s="556"/>
      <c r="BX33" s="556">
        <v>6</v>
      </c>
      <c r="BY33" s="553"/>
      <c r="BZ33" s="553"/>
      <c r="CA33" s="553"/>
      <c r="CB33" s="558"/>
      <c r="CC33" s="558"/>
      <c r="CD33" s="558"/>
      <c r="CE33" s="558"/>
      <c r="CF33" s="551">
        <v>6</v>
      </c>
      <c r="CG33" s="551"/>
      <c r="CH33" s="551"/>
      <c r="CI33" s="551"/>
      <c r="CJ33" s="551"/>
      <c r="CK33" s="558"/>
      <c r="CL33" s="558"/>
      <c r="CM33" s="558"/>
      <c r="CN33" s="558"/>
      <c r="CO33" s="558"/>
      <c r="CP33" s="558"/>
      <c r="CQ33" s="558"/>
      <c r="CR33" s="551">
        <v>7</v>
      </c>
      <c r="CS33" s="551"/>
      <c r="CT33" s="551"/>
      <c r="CU33" s="551"/>
      <c r="CV33" s="565">
        <v>6</v>
      </c>
      <c r="CW33" s="565">
        <v>10</v>
      </c>
      <c r="CX33" s="565">
        <f>VLOOKUP(B33,'CIA MARKS'!C30:DN98,116,FALSE)</f>
        <v>22</v>
      </c>
      <c r="CY33" s="565">
        <f>VLOOKUP(B33,'CIA MARKS'!C30:DO98,117,FALSE)</f>
        <v>11</v>
      </c>
      <c r="CZ33" s="565">
        <f>VLOOKUP(B33,'CIA MARKS'!C30:DP98,118,FALSE)</f>
        <v>33</v>
      </c>
      <c r="DA33" s="572">
        <f>'CIA MARKS'!EJ30</f>
        <v>34</v>
      </c>
      <c r="DB33" s="573">
        <f t="shared" si="3"/>
        <v>38.5</v>
      </c>
      <c r="DC33" s="4">
        <v>77</v>
      </c>
      <c r="DD33" s="575" t="s">
        <v>90</v>
      </c>
      <c r="DF33" s="578" t="str">
        <f>IF(D$7="YES",'CIA MARKS'!DX30,"")</f>
        <v/>
      </c>
      <c r="DG33" s="460" t="str">
        <f>IF(D$8="YES",'CIA MARKS'!EH30,"")</f>
        <v/>
      </c>
      <c r="DH33" s="578">
        <f>IF(D$9="YES",'CIA MARKS'!EJ30,"")</f>
        <v>34</v>
      </c>
      <c r="DI33" s="578">
        <v>38.5</v>
      </c>
      <c r="DK33" s="450"/>
      <c r="DL33" s="450"/>
      <c r="DM33" s="450"/>
      <c r="DN33" s="450"/>
      <c r="DO33" s="450"/>
      <c r="DP33" s="451"/>
      <c r="DQ33" s="454"/>
      <c r="DR33" s="455">
        <f t="shared" si="1"/>
        <v>0</v>
      </c>
    </row>
    <row r="34" ht="18.75" spans="1:122">
      <c r="A34" s="527">
        <v>18</v>
      </c>
      <c r="B34" s="3" t="s">
        <v>128</v>
      </c>
      <c r="C34" s="528" t="s">
        <v>129</v>
      </c>
      <c r="D34" s="530">
        <v>9</v>
      </c>
      <c r="E34" s="530"/>
      <c r="F34" s="530"/>
      <c r="G34" s="530"/>
      <c r="H34" s="530">
        <v>6</v>
      </c>
      <c r="I34" s="530"/>
      <c r="J34" s="530"/>
      <c r="K34" s="530"/>
      <c r="L34" s="530"/>
      <c r="M34" s="530"/>
      <c r="N34" s="530"/>
      <c r="O34" s="530"/>
      <c r="P34" s="530">
        <v>8</v>
      </c>
      <c r="Q34" s="530"/>
      <c r="R34" s="530"/>
      <c r="S34" s="530"/>
      <c r="T34" s="530"/>
      <c r="U34" s="530"/>
      <c r="V34" s="530"/>
      <c r="W34" s="530"/>
      <c r="X34" s="530">
        <v>9</v>
      </c>
      <c r="Y34" s="530"/>
      <c r="Z34" s="530"/>
      <c r="AA34" s="530"/>
      <c r="AB34" s="530"/>
      <c r="AC34" s="530"/>
      <c r="AD34" s="530"/>
      <c r="AE34" s="530"/>
      <c r="AF34" s="530">
        <v>5</v>
      </c>
      <c r="AG34" s="530"/>
      <c r="AH34" s="530"/>
      <c r="AI34" s="530"/>
      <c r="AJ34" s="543"/>
      <c r="AK34" s="543"/>
      <c r="AL34" s="543"/>
      <c r="AM34" s="543"/>
      <c r="AN34" s="543">
        <v>9</v>
      </c>
      <c r="AO34" s="543"/>
      <c r="AP34" s="543"/>
      <c r="AQ34" s="543"/>
      <c r="AR34" s="546"/>
      <c r="AS34" s="546"/>
      <c r="AT34" s="546"/>
      <c r="AU34" s="546"/>
      <c r="AV34" s="546">
        <v>9</v>
      </c>
      <c r="AW34" s="546"/>
      <c r="AX34" s="546"/>
      <c r="AY34" s="546"/>
      <c r="AZ34" s="546"/>
      <c r="BA34" s="546"/>
      <c r="BB34" s="546"/>
      <c r="BC34" s="546"/>
      <c r="BD34" s="546">
        <v>4</v>
      </c>
      <c r="BE34" s="546"/>
      <c r="BF34" s="546"/>
      <c r="BG34" s="546"/>
      <c r="BH34" s="546"/>
      <c r="BI34" s="546"/>
      <c r="BJ34" s="546"/>
      <c r="BK34" s="546"/>
      <c r="BL34" s="546">
        <v>4</v>
      </c>
      <c r="BM34" s="546"/>
      <c r="BN34" s="546"/>
      <c r="BO34" s="546"/>
      <c r="BP34" s="551">
        <v>10</v>
      </c>
      <c r="BQ34" s="556"/>
      <c r="BR34" s="556"/>
      <c r="BS34" s="556"/>
      <c r="BT34" s="556">
        <v>9</v>
      </c>
      <c r="BU34" s="556"/>
      <c r="BV34" s="556"/>
      <c r="BW34" s="556"/>
      <c r="BX34" s="556"/>
      <c r="BY34" s="553"/>
      <c r="BZ34" s="553"/>
      <c r="CA34" s="553"/>
      <c r="CB34" s="558">
        <v>9</v>
      </c>
      <c r="CC34" s="558"/>
      <c r="CD34" s="558"/>
      <c r="CE34" s="558"/>
      <c r="CF34" s="551">
        <v>7</v>
      </c>
      <c r="CG34" s="551"/>
      <c r="CH34" s="551"/>
      <c r="CI34" s="551"/>
      <c r="CJ34" s="551"/>
      <c r="CK34" s="558"/>
      <c r="CL34" s="558"/>
      <c r="CM34" s="558"/>
      <c r="CN34" s="558"/>
      <c r="CO34" s="558"/>
      <c r="CP34" s="558"/>
      <c r="CQ34" s="558"/>
      <c r="CR34" s="551">
        <v>8</v>
      </c>
      <c r="CS34" s="551"/>
      <c r="CT34" s="551"/>
      <c r="CU34" s="551"/>
      <c r="CV34" s="565">
        <v>8</v>
      </c>
      <c r="CW34" s="565">
        <v>10</v>
      </c>
      <c r="CX34" s="565">
        <f>VLOOKUP(B34,'CIA MARKS'!C31:DN99,116,FALSE)</f>
        <v>37</v>
      </c>
      <c r="CY34" s="565">
        <f>VLOOKUP(B34,'CIA MARKS'!C31:DO99,117,FALSE)</f>
        <v>26</v>
      </c>
      <c r="CZ34" s="565">
        <f>VLOOKUP(B34,'CIA MARKS'!C31:DP99,118,FALSE)</f>
        <v>43</v>
      </c>
      <c r="DA34" s="572">
        <f>'CIA MARKS'!EJ31</f>
        <v>43</v>
      </c>
      <c r="DB34" s="573">
        <f t="shared" si="3"/>
        <v>41.5</v>
      </c>
      <c r="DC34" s="4">
        <v>83</v>
      </c>
      <c r="DD34" s="575" t="s">
        <v>93</v>
      </c>
      <c r="DF34" s="578" t="str">
        <f>IF(D$7="YES",'CIA MARKS'!DX31,"")</f>
        <v/>
      </c>
      <c r="DG34" s="460" t="str">
        <f>IF(D$8="YES",'CIA MARKS'!EH31,"")</f>
        <v/>
      </c>
      <c r="DH34" s="578">
        <f>IF(D$9="YES",'CIA MARKS'!EJ31,"")</f>
        <v>43</v>
      </c>
      <c r="DI34" s="578">
        <v>41.5</v>
      </c>
      <c r="DK34" s="450"/>
      <c r="DL34" s="450"/>
      <c r="DM34" s="450"/>
      <c r="DN34" s="450"/>
      <c r="DO34" s="450"/>
      <c r="DP34" s="451"/>
      <c r="DQ34" s="454"/>
      <c r="DR34" s="455">
        <f t="shared" si="1"/>
        <v>0</v>
      </c>
    </row>
    <row r="35" ht="18.75" spans="1:122">
      <c r="A35" s="527">
        <v>19</v>
      </c>
      <c r="B35" s="3" t="s">
        <v>130</v>
      </c>
      <c r="C35" s="528" t="s">
        <v>131</v>
      </c>
      <c r="D35" s="530">
        <v>0</v>
      </c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>
        <v>6</v>
      </c>
      <c r="Q35" s="530"/>
      <c r="R35" s="530"/>
      <c r="S35" s="530"/>
      <c r="T35" s="530">
        <v>2</v>
      </c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>
        <v>3</v>
      </c>
      <c r="AG35" s="530"/>
      <c r="AH35" s="530"/>
      <c r="AI35" s="530"/>
      <c r="AJ35" s="543">
        <v>7</v>
      </c>
      <c r="AK35" s="543"/>
      <c r="AL35" s="543"/>
      <c r="AM35" s="543"/>
      <c r="AN35" s="543">
        <v>9</v>
      </c>
      <c r="AO35" s="543"/>
      <c r="AP35" s="543"/>
      <c r="AQ35" s="543"/>
      <c r="AR35" s="546"/>
      <c r="AS35" s="546"/>
      <c r="AT35" s="546"/>
      <c r="AU35" s="546"/>
      <c r="AV35" s="546">
        <v>8</v>
      </c>
      <c r="AW35" s="546"/>
      <c r="AX35" s="546"/>
      <c r="AY35" s="546"/>
      <c r="AZ35" s="546">
        <v>6</v>
      </c>
      <c r="BA35" s="546"/>
      <c r="BB35" s="546"/>
      <c r="BC35" s="546"/>
      <c r="BD35" s="546"/>
      <c r="BE35" s="546"/>
      <c r="BF35" s="546"/>
      <c r="BG35" s="546"/>
      <c r="BH35" s="546">
        <v>7</v>
      </c>
      <c r="BI35" s="546"/>
      <c r="BJ35" s="546"/>
      <c r="BK35" s="546"/>
      <c r="BL35" s="546"/>
      <c r="BM35" s="546"/>
      <c r="BN35" s="546"/>
      <c r="BO35" s="546"/>
      <c r="BP35" s="551">
        <v>7</v>
      </c>
      <c r="BQ35" s="556"/>
      <c r="BR35" s="556"/>
      <c r="BS35" s="556"/>
      <c r="BT35" s="556">
        <v>6</v>
      </c>
      <c r="BU35" s="556"/>
      <c r="BV35" s="556"/>
      <c r="BW35" s="556"/>
      <c r="BX35" s="556">
        <v>8</v>
      </c>
      <c r="BY35" s="553"/>
      <c r="BZ35" s="553"/>
      <c r="CA35" s="553"/>
      <c r="CB35" s="558"/>
      <c r="CC35" s="558"/>
      <c r="CD35" s="558"/>
      <c r="CE35" s="558"/>
      <c r="CF35" s="551">
        <v>8</v>
      </c>
      <c r="CG35" s="551"/>
      <c r="CH35" s="551"/>
      <c r="CI35" s="551"/>
      <c r="CJ35" s="551"/>
      <c r="CK35" s="558"/>
      <c r="CL35" s="558"/>
      <c r="CM35" s="558"/>
      <c r="CN35" s="558"/>
      <c r="CO35" s="558"/>
      <c r="CP35" s="558"/>
      <c r="CQ35" s="558"/>
      <c r="CR35" s="551">
        <v>5</v>
      </c>
      <c r="CS35" s="551"/>
      <c r="CT35" s="551"/>
      <c r="CU35" s="551"/>
      <c r="CV35" s="565">
        <v>8</v>
      </c>
      <c r="CW35" s="565">
        <v>10</v>
      </c>
      <c r="CX35" s="565">
        <f>VLOOKUP(B35,'CIA MARKS'!C32:DN100,116,FALSE)</f>
        <v>11</v>
      </c>
      <c r="CY35" s="565">
        <f>VLOOKUP(B35,'CIA MARKS'!C32:DO100,117,FALSE)</f>
        <v>37</v>
      </c>
      <c r="CZ35" s="565">
        <f>VLOOKUP(B35,'CIA MARKS'!C32:DP100,118,FALSE)</f>
        <v>34</v>
      </c>
      <c r="DA35" s="572">
        <f>'CIA MARKS'!EJ32</f>
        <v>39</v>
      </c>
      <c r="DB35" s="573">
        <f t="shared" si="3"/>
        <v>40</v>
      </c>
      <c r="DC35" s="4">
        <v>80</v>
      </c>
      <c r="DD35" s="575" t="s">
        <v>90</v>
      </c>
      <c r="DF35" s="578" t="str">
        <f>IF(D$7="YES",'CIA MARKS'!DX32,"")</f>
        <v/>
      </c>
      <c r="DG35" s="460" t="str">
        <f>IF(D$8="YES",'CIA MARKS'!EH32,"")</f>
        <v/>
      </c>
      <c r="DH35" s="578">
        <f>IF(D$9="YES",'CIA MARKS'!EJ32,"")</f>
        <v>39</v>
      </c>
      <c r="DI35" s="578">
        <v>40</v>
      </c>
      <c r="DK35" s="450"/>
      <c r="DL35" s="450"/>
      <c r="DM35" s="450"/>
      <c r="DN35" s="450"/>
      <c r="DO35" s="450"/>
      <c r="DP35" s="451"/>
      <c r="DQ35" s="454"/>
      <c r="DR35" s="455">
        <f t="shared" si="1"/>
        <v>0</v>
      </c>
    </row>
    <row r="36" ht="18.75" spans="1:122">
      <c r="A36" s="527">
        <v>20</v>
      </c>
      <c r="B36" s="3" t="s">
        <v>132</v>
      </c>
      <c r="C36" s="528" t="s">
        <v>133</v>
      </c>
      <c r="D36" s="530">
        <v>7</v>
      </c>
      <c r="E36" s="530"/>
      <c r="F36" s="530"/>
      <c r="G36" s="530"/>
      <c r="H36" s="530"/>
      <c r="I36" s="530"/>
      <c r="J36" s="530"/>
      <c r="K36" s="530"/>
      <c r="L36" s="530">
        <v>4</v>
      </c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>
        <v>1</v>
      </c>
      <c r="AG36" s="530"/>
      <c r="AH36" s="530"/>
      <c r="AI36" s="530"/>
      <c r="AJ36" s="543"/>
      <c r="AK36" s="543"/>
      <c r="AL36" s="543"/>
      <c r="AM36" s="543"/>
      <c r="AN36" s="543">
        <v>2</v>
      </c>
      <c r="AO36" s="543"/>
      <c r="AP36" s="543"/>
      <c r="AQ36" s="543"/>
      <c r="AR36" s="546"/>
      <c r="AS36" s="546"/>
      <c r="AT36" s="546"/>
      <c r="AU36" s="546"/>
      <c r="AV36" s="546">
        <v>6</v>
      </c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>
        <v>2</v>
      </c>
      <c r="BI36" s="546"/>
      <c r="BJ36" s="546"/>
      <c r="BK36" s="546"/>
      <c r="BL36" s="546"/>
      <c r="BM36" s="546"/>
      <c r="BN36" s="546"/>
      <c r="BO36" s="546"/>
      <c r="BP36" s="551">
        <v>7</v>
      </c>
      <c r="BQ36" s="556"/>
      <c r="BR36" s="556"/>
      <c r="BS36" s="556"/>
      <c r="BT36" s="556">
        <v>6</v>
      </c>
      <c r="BU36" s="556"/>
      <c r="BV36" s="556"/>
      <c r="BW36" s="556"/>
      <c r="BX36" s="556">
        <v>8</v>
      </c>
      <c r="BY36" s="553"/>
      <c r="BZ36" s="553"/>
      <c r="CA36" s="553"/>
      <c r="CB36" s="558"/>
      <c r="CC36" s="558"/>
      <c r="CD36" s="558"/>
      <c r="CE36" s="558"/>
      <c r="CF36" s="551">
        <v>6</v>
      </c>
      <c r="CG36" s="551"/>
      <c r="CH36" s="551"/>
      <c r="CI36" s="551"/>
      <c r="CJ36" s="551"/>
      <c r="CK36" s="558"/>
      <c r="CL36" s="558"/>
      <c r="CM36" s="558"/>
      <c r="CN36" s="558">
        <v>6</v>
      </c>
      <c r="CO36" s="558"/>
      <c r="CP36" s="558"/>
      <c r="CQ36" s="558"/>
      <c r="CR36" s="551"/>
      <c r="CS36" s="551"/>
      <c r="CT36" s="551"/>
      <c r="CU36" s="551"/>
      <c r="CV36" s="565">
        <v>6</v>
      </c>
      <c r="CW36" s="565">
        <v>10</v>
      </c>
      <c r="CX36" s="565">
        <f>VLOOKUP(B36,'CIA MARKS'!C33:DN101,116,FALSE)</f>
        <v>12</v>
      </c>
      <c r="CY36" s="565">
        <f>VLOOKUP(B36,'CIA MARKS'!C33:DO101,117,FALSE)</f>
        <v>10</v>
      </c>
      <c r="CZ36" s="565">
        <f>VLOOKUP(B36,'CIA MARKS'!C33:DP101,118,FALSE)</f>
        <v>33</v>
      </c>
      <c r="DA36" s="572">
        <f>'CIA MARKS'!EJ33</f>
        <v>32</v>
      </c>
      <c r="DB36" s="573">
        <f t="shared" si="3"/>
        <v>28</v>
      </c>
      <c r="DC36" s="4">
        <v>56</v>
      </c>
      <c r="DD36" s="575" t="s">
        <v>96</v>
      </c>
      <c r="DF36" s="578" t="str">
        <f>IF(D$7="YES",'CIA MARKS'!DX33,"")</f>
        <v/>
      </c>
      <c r="DG36" s="460" t="str">
        <f>IF(D$8="YES",'CIA MARKS'!EH33,"")</f>
        <v/>
      </c>
      <c r="DH36" s="578">
        <f>IF(D$9="YES",'CIA MARKS'!EJ33,"")</f>
        <v>32</v>
      </c>
      <c r="DI36" s="578">
        <v>28</v>
      </c>
      <c r="DK36" s="450"/>
      <c r="DL36" s="450"/>
      <c r="DM36" s="450"/>
      <c r="DN36" s="450"/>
      <c r="DO36" s="450"/>
      <c r="DP36" s="451"/>
      <c r="DQ36" s="454"/>
      <c r="DR36" s="455">
        <f t="shared" si="1"/>
        <v>0</v>
      </c>
    </row>
    <row r="37" ht="18.75" spans="1:122">
      <c r="A37" s="527">
        <v>21</v>
      </c>
      <c r="B37" s="3" t="s">
        <v>134</v>
      </c>
      <c r="C37" s="528" t="s">
        <v>135</v>
      </c>
      <c r="D37" s="530">
        <v>8</v>
      </c>
      <c r="E37" s="530"/>
      <c r="F37" s="530"/>
      <c r="G37" s="530"/>
      <c r="H37" s="530">
        <v>3</v>
      </c>
      <c r="I37" s="530"/>
      <c r="J37" s="530"/>
      <c r="K37" s="530"/>
      <c r="L37" s="530">
        <v>6</v>
      </c>
      <c r="M37" s="530"/>
      <c r="N37" s="530"/>
      <c r="O37" s="530"/>
      <c r="P37" s="530"/>
      <c r="Q37" s="530"/>
      <c r="R37" s="530"/>
      <c r="S37" s="530"/>
      <c r="T37" s="530">
        <v>8</v>
      </c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>
        <v>1</v>
      </c>
      <c r="AG37" s="530"/>
      <c r="AH37" s="530"/>
      <c r="AI37" s="530"/>
      <c r="AJ37" s="543">
        <v>0</v>
      </c>
      <c r="AK37" s="543"/>
      <c r="AL37" s="543"/>
      <c r="AM37" s="543"/>
      <c r="AN37" s="543">
        <v>0</v>
      </c>
      <c r="AO37" s="543"/>
      <c r="AP37" s="543"/>
      <c r="AQ37" s="543"/>
      <c r="AR37" s="546">
        <v>0</v>
      </c>
      <c r="AS37" s="546"/>
      <c r="AT37" s="546"/>
      <c r="AU37" s="546"/>
      <c r="AV37" s="546"/>
      <c r="AW37" s="546"/>
      <c r="AX37" s="546"/>
      <c r="AY37" s="546"/>
      <c r="AZ37" s="546">
        <v>3</v>
      </c>
      <c r="BA37" s="546"/>
      <c r="BB37" s="546"/>
      <c r="BC37" s="546"/>
      <c r="BD37" s="546"/>
      <c r="BE37" s="546"/>
      <c r="BF37" s="546"/>
      <c r="BG37" s="546"/>
      <c r="BH37" s="546">
        <v>1</v>
      </c>
      <c r="BI37" s="546"/>
      <c r="BJ37" s="546"/>
      <c r="BK37" s="546"/>
      <c r="BL37" s="546"/>
      <c r="BM37" s="546"/>
      <c r="BN37" s="546"/>
      <c r="BO37" s="546"/>
      <c r="BP37" s="551">
        <v>8</v>
      </c>
      <c r="BQ37" s="556"/>
      <c r="BR37" s="556"/>
      <c r="BS37" s="556"/>
      <c r="BT37" s="556">
        <v>6</v>
      </c>
      <c r="BU37" s="556"/>
      <c r="BV37" s="556"/>
      <c r="BW37" s="556"/>
      <c r="BX37" s="556">
        <v>8</v>
      </c>
      <c r="BY37" s="553"/>
      <c r="BZ37" s="553"/>
      <c r="CA37" s="553"/>
      <c r="CB37" s="558"/>
      <c r="CC37" s="558"/>
      <c r="CD37" s="558"/>
      <c r="CE37" s="558"/>
      <c r="CF37" s="551">
        <v>8</v>
      </c>
      <c r="CG37" s="551"/>
      <c r="CH37" s="551"/>
      <c r="CI37" s="551"/>
      <c r="CJ37" s="551"/>
      <c r="CK37" s="558"/>
      <c r="CL37" s="558"/>
      <c r="CM37" s="558"/>
      <c r="CN37" s="558">
        <v>6</v>
      </c>
      <c r="CO37" s="558"/>
      <c r="CP37" s="558"/>
      <c r="CQ37" s="558"/>
      <c r="CR37" s="551"/>
      <c r="CS37" s="551"/>
      <c r="CT37" s="551"/>
      <c r="CU37" s="551"/>
      <c r="CV37" s="565">
        <v>8</v>
      </c>
      <c r="CW37" s="565">
        <v>10</v>
      </c>
      <c r="CX37" s="565">
        <f>VLOOKUP(B37,'CIA MARKS'!C34:DN102,116,FALSE)</f>
        <v>26</v>
      </c>
      <c r="CY37" s="565">
        <f>VLOOKUP(B37,'CIA MARKS'!C34:DO102,117,FALSE)</f>
        <v>4</v>
      </c>
      <c r="CZ37" s="565">
        <f>VLOOKUP(B37,'CIA MARKS'!C34:DP102,118,FALSE)</f>
        <v>36</v>
      </c>
      <c r="DA37" s="572">
        <f>'CIA MARKS'!EJ34</f>
        <v>33</v>
      </c>
      <c r="DB37" s="573">
        <f t="shared" si="3"/>
        <v>32.5</v>
      </c>
      <c r="DC37" s="4">
        <v>65</v>
      </c>
      <c r="DD37" s="575" t="s">
        <v>96</v>
      </c>
      <c r="DF37" s="578" t="str">
        <f>IF(D$7="YES",'CIA MARKS'!DX34,"")</f>
        <v/>
      </c>
      <c r="DG37" s="460" t="str">
        <f>IF(D$8="YES",'CIA MARKS'!EH34,"")</f>
        <v/>
      </c>
      <c r="DH37" s="578">
        <f>IF(D$9="YES",'CIA MARKS'!EJ34,"")</f>
        <v>33</v>
      </c>
      <c r="DI37" s="578">
        <v>32.5</v>
      </c>
      <c r="DK37" s="450"/>
      <c r="DL37" s="450"/>
      <c r="DM37" s="450"/>
      <c r="DN37" s="450"/>
      <c r="DO37" s="450"/>
      <c r="DP37" s="451"/>
      <c r="DQ37" s="454"/>
      <c r="DR37" s="455">
        <f t="shared" si="1"/>
        <v>0</v>
      </c>
    </row>
    <row r="38" ht="18.75" spans="1:122">
      <c r="A38" s="527">
        <v>22</v>
      </c>
      <c r="B38" s="3" t="s">
        <v>136</v>
      </c>
      <c r="C38" s="528" t="s">
        <v>137</v>
      </c>
      <c r="D38" s="530">
        <v>10</v>
      </c>
      <c r="E38" s="530"/>
      <c r="F38" s="530"/>
      <c r="G38" s="530"/>
      <c r="H38" s="530">
        <v>9</v>
      </c>
      <c r="I38" s="530"/>
      <c r="J38" s="530"/>
      <c r="K38" s="530"/>
      <c r="L38" s="530">
        <v>9</v>
      </c>
      <c r="M38" s="530"/>
      <c r="N38" s="530"/>
      <c r="O38" s="530"/>
      <c r="P38" s="530"/>
      <c r="Q38" s="530"/>
      <c r="R38" s="530"/>
      <c r="S38" s="530"/>
      <c r="T38" s="530">
        <v>9</v>
      </c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>
        <v>7</v>
      </c>
      <c r="AG38" s="530"/>
      <c r="AH38" s="530"/>
      <c r="AI38" s="530"/>
      <c r="AJ38" s="543"/>
      <c r="AK38" s="543"/>
      <c r="AL38" s="543"/>
      <c r="AM38" s="543"/>
      <c r="AN38" s="543">
        <v>7</v>
      </c>
      <c r="AO38" s="543"/>
      <c r="AP38" s="543"/>
      <c r="AQ38" s="543"/>
      <c r="AR38" s="546"/>
      <c r="AS38" s="546"/>
      <c r="AT38" s="546"/>
      <c r="AU38" s="546"/>
      <c r="AV38" s="546">
        <v>8</v>
      </c>
      <c r="AW38" s="546"/>
      <c r="AX38" s="546"/>
      <c r="AY38" s="546"/>
      <c r="AZ38" s="546">
        <v>9</v>
      </c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>
        <v>10</v>
      </c>
      <c r="BM38" s="546"/>
      <c r="BN38" s="546"/>
      <c r="BO38" s="546"/>
      <c r="BP38" s="551">
        <v>10</v>
      </c>
      <c r="BQ38" s="556"/>
      <c r="BR38" s="556"/>
      <c r="BS38" s="556"/>
      <c r="BT38" s="556">
        <v>9</v>
      </c>
      <c r="BU38" s="556"/>
      <c r="BV38" s="556"/>
      <c r="BW38" s="556"/>
      <c r="BX38" s="556">
        <v>10</v>
      </c>
      <c r="BY38" s="553"/>
      <c r="BZ38" s="553"/>
      <c r="CA38" s="553"/>
      <c r="CB38" s="558"/>
      <c r="CC38" s="558"/>
      <c r="CD38" s="558"/>
      <c r="CE38" s="558"/>
      <c r="CF38" s="551"/>
      <c r="CG38" s="551"/>
      <c r="CH38" s="551"/>
      <c r="CI38" s="551"/>
      <c r="CJ38" s="551">
        <v>9</v>
      </c>
      <c r="CK38" s="558"/>
      <c r="CL38" s="558"/>
      <c r="CM38" s="558"/>
      <c r="CN38" s="558">
        <v>9</v>
      </c>
      <c r="CO38" s="558"/>
      <c r="CP38" s="558"/>
      <c r="CQ38" s="558"/>
      <c r="CR38" s="551"/>
      <c r="CS38" s="551"/>
      <c r="CT38" s="551"/>
      <c r="CU38" s="551"/>
      <c r="CV38" s="565">
        <v>8</v>
      </c>
      <c r="CW38" s="565">
        <v>10</v>
      </c>
      <c r="CX38" s="565">
        <f>VLOOKUP(B38,'CIA MARKS'!C35:DN103,116,FALSE)</f>
        <v>44</v>
      </c>
      <c r="CY38" s="565">
        <f>VLOOKUP(B38,'CIA MARKS'!C35:DO103,117,FALSE)</f>
        <v>34</v>
      </c>
      <c r="CZ38" s="565">
        <f>VLOOKUP(B38,'CIA MARKS'!C35:DP103,118,FALSE)</f>
        <v>47</v>
      </c>
      <c r="DA38" s="572">
        <f>'CIA MARKS'!EJ35</f>
        <v>46</v>
      </c>
      <c r="DB38" s="573">
        <f t="shared" si="3"/>
        <v>39</v>
      </c>
      <c r="DC38" s="4">
        <v>78</v>
      </c>
      <c r="DD38" s="575" t="s">
        <v>93</v>
      </c>
      <c r="DF38" s="578" t="str">
        <f>IF(D$7="YES",'CIA MARKS'!DX35,"")</f>
        <v/>
      </c>
      <c r="DG38" s="460" t="str">
        <f>IF(D$8="YES",'CIA MARKS'!EH35,"")</f>
        <v/>
      </c>
      <c r="DH38" s="578">
        <f>IF(D$9="YES",'CIA MARKS'!EJ35,"")</f>
        <v>46</v>
      </c>
      <c r="DI38" s="578">
        <v>39</v>
      </c>
      <c r="DK38" s="450"/>
      <c r="DL38" s="450"/>
      <c r="DM38" s="450"/>
      <c r="DN38" s="450"/>
      <c r="DO38" s="450"/>
      <c r="DP38" s="451"/>
      <c r="DQ38" s="454"/>
      <c r="DR38" s="455">
        <f t="shared" si="1"/>
        <v>0</v>
      </c>
    </row>
    <row r="39" ht="18.75" spans="1:122">
      <c r="A39" s="527">
        <v>23</v>
      </c>
      <c r="B39" s="3" t="s">
        <v>138</v>
      </c>
      <c r="C39" s="528" t="s">
        <v>139</v>
      </c>
      <c r="D39" s="530">
        <v>9</v>
      </c>
      <c r="E39" s="530"/>
      <c r="F39" s="530"/>
      <c r="G39" s="530"/>
      <c r="H39" s="530">
        <v>5</v>
      </c>
      <c r="I39" s="530"/>
      <c r="J39" s="530"/>
      <c r="K39" s="530"/>
      <c r="L39" s="530">
        <v>6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>
        <v>9</v>
      </c>
      <c r="Y39" s="530"/>
      <c r="Z39" s="530"/>
      <c r="AA39" s="530"/>
      <c r="AB39" s="530">
        <v>3</v>
      </c>
      <c r="AC39" s="530"/>
      <c r="AD39" s="530"/>
      <c r="AE39" s="530"/>
      <c r="AF39" s="530"/>
      <c r="AG39" s="530"/>
      <c r="AH39" s="530"/>
      <c r="AI39" s="530"/>
      <c r="AJ39" s="543"/>
      <c r="AK39" s="543"/>
      <c r="AL39" s="543"/>
      <c r="AM39" s="543"/>
      <c r="AN39" s="543">
        <v>9</v>
      </c>
      <c r="AO39" s="543"/>
      <c r="AP39" s="543"/>
      <c r="AQ39" s="543"/>
      <c r="AR39" s="546"/>
      <c r="AS39" s="546"/>
      <c r="AT39" s="546"/>
      <c r="AU39" s="546"/>
      <c r="AV39" s="546">
        <v>9</v>
      </c>
      <c r="AW39" s="546"/>
      <c r="AX39" s="546"/>
      <c r="AY39" s="546"/>
      <c r="AZ39" s="546">
        <v>4</v>
      </c>
      <c r="BA39" s="546"/>
      <c r="BB39" s="546"/>
      <c r="BC39" s="546"/>
      <c r="BD39" s="546"/>
      <c r="BE39" s="546"/>
      <c r="BF39" s="546"/>
      <c r="BG39" s="546"/>
      <c r="BH39" s="546">
        <v>6</v>
      </c>
      <c r="BI39" s="546"/>
      <c r="BJ39" s="546"/>
      <c r="BK39" s="546"/>
      <c r="BL39" s="546"/>
      <c r="BM39" s="546"/>
      <c r="BN39" s="546"/>
      <c r="BO39" s="546"/>
      <c r="BP39" s="551">
        <v>10</v>
      </c>
      <c r="BQ39" s="556"/>
      <c r="BR39" s="556"/>
      <c r="BS39" s="556"/>
      <c r="BT39" s="556"/>
      <c r="BU39" s="556"/>
      <c r="BV39" s="556"/>
      <c r="BW39" s="556"/>
      <c r="BX39" s="556">
        <v>8</v>
      </c>
      <c r="BY39" s="553"/>
      <c r="BZ39" s="553"/>
      <c r="CA39" s="553"/>
      <c r="CB39" s="558"/>
      <c r="CC39" s="558"/>
      <c r="CD39" s="558"/>
      <c r="CE39" s="558"/>
      <c r="CF39" s="551">
        <v>9</v>
      </c>
      <c r="CG39" s="551"/>
      <c r="CH39" s="551"/>
      <c r="CI39" s="551"/>
      <c r="CJ39" s="551"/>
      <c r="CK39" s="558"/>
      <c r="CL39" s="558"/>
      <c r="CM39" s="558"/>
      <c r="CN39" s="558"/>
      <c r="CO39" s="558"/>
      <c r="CP39" s="558"/>
      <c r="CQ39" s="558"/>
      <c r="CR39" s="551">
        <v>6</v>
      </c>
      <c r="CS39" s="551"/>
      <c r="CT39" s="551"/>
      <c r="CU39" s="551"/>
      <c r="CV39" s="565">
        <v>6</v>
      </c>
      <c r="CW39" s="565">
        <v>10</v>
      </c>
      <c r="CX39" s="565">
        <f>VLOOKUP(B39,'CIA MARKS'!C36:DN104,116,FALSE)</f>
        <v>32</v>
      </c>
      <c r="CY39" s="565">
        <f>VLOOKUP(B39,'CIA MARKS'!C36:DO104,117,FALSE)</f>
        <v>28</v>
      </c>
      <c r="CZ39" s="565">
        <f>VLOOKUP(B39,'CIA MARKS'!C36:DP104,118,FALSE)</f>
        <v>33</v>
      </c>
      <c r="DA39" s="572">
        <f>'CIA MARKS'!EJ36</f>
        <v>39</v>
      </c>
      <c r="DB39" s="573">
        <f t="shared" si="3"/>
        <v>28</v>
      </c>
      <c r="DC39" s="4">
        <v>56</v>
      </c>
      <c r="DD39" s="575" t="s">
        <v>96</v>
      </c>
      <c r="DF39" s="578" t="str">
        <f>IF(D$7="YES",'CIA MARKS'!DX36,"")</f>
        <v/>
      </c>
      <c r="DG39" s="460" t="str">
        <f>IF(D$8="YES",'CIA MARKS'!EH36,"")</f>
        <v/>
      </c>
      <c r="DH39" s="578">
        <f>IF(D$9="YES",'CIA MARKS'!EJ36,"")</f>
        <v>39</v>
      </c>
      <c r="DI39" s="578">
        <v>28</v>
      </c>
      <c r="DK39" s="450"/>
      <c r="DL39" s="450"/>
      <c r="DM39" s="450"/>
      <c r="DN39" s="450"/>
      <c r="DO39" s="450"/>
      <c r="DP39" s="451"/>
      <c r="DQ39" s="454"/>
      <c r="DR39" s="455">
        <f t="shared" si="1"/>
        <v>0</v>
      </c>
    </row>
    <row r="40" ht="15.75" customHeight="1" spans="1:122">
      <c r="A40" s="527">
        <v>24</v>
      </c>
      <c r="B40" s="3" t="s">
        <v>140</v>
      </c>
      <c r="C40" s="528" t="s">
        <v>141</v>
      </c>
      <c r="D40" s="530">
        <v>8</v>
      </c>
      <c r="E40" s="530"/>
      <c r="F40" s="530"/>
      <c r="G40" s="530"/>
      <c r="H40" s="530">
        <v>4</v>
      </c>
      <c r="I40" s="530"/>
      <c r="J40" s="530"/>
      <c r="K40" s="530"/>
      <c r="L40" s="530">
        <v>5</v>
      </c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>
        <v>9</v>
      </c>
      <c r="Y40" s="530"/>
      <c r="Z40" s="530"/>
      <c r="AA40" s="530"/>
      <c r="AB40" s="530"/>
      <c r="AC40" s="530"/>
      <c r="AD40" s="530"/>
      <c r="AE40" s="530"/>
      <c r="AF40" s="530">
        <v>8</v>
      </c>
      <c r="AG40" s="530"/>
      <c r="AH40" s="530"/>
      <c r="AI40" s="530"/>
      <c r="AJ40" s="543">
        <v>6</v>
      </c>
      <c r="AK40" s="543"/>
      <c r="AL40" s="543"/>
      <c r="AM40" s="543"/>
      <c r="AN40" s="543">
        <v>10</v>
      </c>
      <c r="AO40" s="543"/>
      <c r="AP40" s="543"/>
      <c r="AQ40" s="543"/>
      <c r="AR40" s="546"/>
      <c r="AS40" s="546"/>
      <c r="AT40" s="546"/>
      <c r="AU40" s="546"/>
      <c r="AV40" s="546">
        <v>8</v>
      </c>
      <c r="AW40" s="546"/>
      <c r="AX40" s="546"/>
      <c r="AY40" s="546"/>
      <c r="AZ40" s="546">
        <v>6</v>
      </c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>
        <v>2</v>
      </c>
      <c r="BM40" s="546"/>
      <c r="BN40" s="546"/>
      <c r="BO40" s="546"/>
      <c r="BP40" s="551"/>
      <c r="BQ40" s="556"/>
      <c r="BR40" s="556"/>
      <c r="BS40" s="556"/>
      <c r="BT40" s="556">
        <v>8</v>
      </c>
      <c r="BU40" s="556"/>
      <c r="BV40" s="556"/>
      <c r="BW40" s="556"/>
      <c r="BX40" s="556">
        <v>8</v>
      </c>
      <c r="BY40" s="553"/>
      <c r="BZ40" s="553"/>
      <c r="CA40" s="553"/>
      <c r="CB40" s="558">
        <v>8</v>
      </c>
      <c r="CC40" s="558"/>
      <c r="CD40" s="558"/>
      <c r="CE40" s="558"/>
      <c r="CF40" s="551">
        <v>8</v>
      </c>
      <c r="CG40" s="551"/>
      <c r="CH40" s="551"/>
      <c r="CI40" s="551"/>
      <c r="CJ40" s="551"/>
      <c r="CK40" s="558"/>
      <c r="CL40" s="558"/>
      <c r="CM40" s="558"/>
      <c r="CN40" s="558"/>
      <c r="CO40" s="558"/>
      <c r="CP40" s="558"/>
      <c r="CQ40" s="558"/>
      <c r="CR40" s="551">
        <v>3</v>
      </c>
      <c r="CS40" s="551"/>
      <c r="CT40" s="551"/>
      <c r="CU40" s="551"/>
      <c r="CV40" s="565">
        <v>6</v>
      </c>
      <c r="CW40" s="565">
        <v>10</v>
      </c>
      <c r="CX40" s="565">
        <f>VLOOKUP(B40,'CIA MARKS'!C37:DN105,116,FALSE)</f>
        <v>34</v>
      </c>
      <c r="CY40" s="565">
        <f>VLOOKUP(B40,'CIA MARKS'!C37:DO105,117,FALSE)</f>
        <v>32</v>
      </c>
      <c r="CZ40" s="565">
        <f>VLOOKUP(B40,'CIA MARKS'!C37:DP105,118,FALSE)</f>
        <v>27</v>
      </c>
      <c r="DA40" s="572">
        <f>'CIA MARKS'!EJ37</f>
        <v>39</v>
      </c>
      <c r="DB40" s="573">
        <f t="shared" si="3"/>
        <v>32.5</v>
      </c>
      <c r="DC40" s="4">
        <v>65</v>
      </c>
      <c r="DD40" s="575" t="s">
        <v>90</v>
      </c>
      <c r="DF40" s="578" t="str">
        <f>IF(D$7="YES",'CIA MARKS'!DX37,"")</f>
        <v/>
      </c>
      <c r="DG40" s="460" t="str">
        <f>IF(D$8="YES",'CIA MARKS'!EH37,"")</f>
        <v/>
      </c>
      <c r="DH40" s="578">
        <f>IF(D$9="YES",'CIA MARKS'!EJ37,"")</f>
        <v>39</v>
      </c>
      <c r="DI40" s="578">
        <v>32.5</v>
      </c>
      <c r="DK40" s="450"/>
      <c r="DL40" s="450"/>
      <c r="DM40" s="450"/>
      <c r="DN40" s="450"/>
      <c r="DO40" s="450"/>
      <c r="DP40" s="451"/>
      <c r="DQ40" s="454"/>
      <c r="DR40" s="455">
        <f t="shared" si="1"/>
        <v>0</v>
      </c>
    </row>
    <row r="41" ht="18.75" spans="1:122">
      <c r="A41" s="527">
        <v>25</v>
      </c>
      <c r="B41" s="3" t="s">
        <v>142</v>
      </c>
      <c r="C41" s="528" t="s">
        <v>143</v>
      </c>
      <c r="D41" s="530">
        <v>7</v>
      </c>
      <c r="E41" s="530"/>
      <c r="F41" s="530"/>
      <c r="G41" s="530"/>
      <c r="H41" s="530">
        <v>2</v>
      </c>
      <c r="I41" s="530"/>
      <c r="J41" s="530"/>
      <c r="K41" s="530"/>
      <c r="L41" s="530">
        <v>2</v>
      </c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>
        <v>9</v>
      </c>
      <c r="Y41" s="530"/>
      <c r="Z41" s="530"/>
      <c r="AA41" s="530"/>
      <c r="AB41" s="530"/>
      <c r="AC41" s="530"/>
      <c r="AD41" s="530"/>
      <c r="AE41" s="530"/>
      <c r="AF41" s="530">
        <v>3</v>
      </c>
      <c r="AG41" s="530"/>
      <c r="AH41" s="530"/>
      <c r="AI41" s="530"/>
      <c r="AJ41" s="543">
        <v>6</v>
      </c>
      <c r="AK41" s="543"/>
      <c r="AL41" s="543"/>
      <c r="AM41" s="543"/>
      <c r="AN41" s="543"/>
      <c r="AO41" s="543"/>
      <c r="AP41" s="543"/>
      <c r="AQ41" s="543"/>
      <c r="AR41" s="546">
        <v>8</v>
      </c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>
        <v>0</v>
      </c>
      <c r="BE41" s="546"/>
      <c r="BF41" s="546"/>
      <c r="BG41" s="546"/>
      <c r="BH41" s="546">
        <v>4</v>
      </c>
      <c r="BI41" s="546"/>
      <c r="BJ41" s="546"/>
      <c r="BK41" s="546"/>
      <c r="BL41" s="546"/>
      <c r="BM41" s="546"/>
      <c r="BN41" s="546"/>
      <c r="BO41" s="546"/>
      <c r="BP41" s="551">
        <v>8</v>
      </c>
      <c r="BQ41" s="556"/>
      <c r="BR41" s="556"/>
      <c r="BS41" s="556"/>
      <c r="BT41" s="556">
        <v>6</v>
      </c>
      <c r="BU41" s="556"/>
      <c r="BV41" s="556"/>
      <c r="BW41" s="556"/>
      <c r="BX41" s="556">
        <v>8</v>
      </c>
      <c r="BY41" s="553"/>
      <c r="BZ41" s="553"/>
      <c r="CA41" s="553"/>
      <c r="CB41" s="558"/>
      <c r="CC41" s="558"/>
      <c r="CD41" s="558"/>
      <c r="CE41" s="558"/>
      <c r="CF41" s="551">
        <v>8</v>
      </c>
      <c r="CG41" s="551"/>
      <c r="CH41" s="551"/>
      <c r="CI41" s="551"/>
      <c r="CJ41" s="551"/>
      <c r="CK41" s="558"/>
      <c r="CL41" s="558"/>
      <c r="CM41" s="558"/>
      <c r="CN41" s="558">
        <v>2</v>
      </c>
      <c r="CO41" s="558"/>
      <c r="CP41" s="558"/>
      <c r="CQ41" s="558"/>
      <c r="CR41" s="551"/>
      <c r="CS41" s="551"/>
      <c r="CT41" s="551"/>
      <c r="CU41" s="551"/>
      <c r="CV41" s="565">
        <v>6</v>
      </c>
      <c r="CW41" s="565">
        <v>10</v>
      </c>
      <c r="CX41" s="565">
        <f>VLOOKUP(B41,'CIA MARKS'!C38:DN106,116,FALSE)</f>
        <v>23</v>
      </c>
      <c r="CY41" s="565">
        <f>VLOOKUP(B41,'CIA MARKS'!C38:DO106,117,FALSE)</f>
        <v>18</v>
      </c>
      <c r="CZ41" s="565">
        <f>VLOOKUP(B41,'CIA MARKS'!C38:DP106,118,FALSE)</f>
        <v>32</v>
      </c>
      <c r="DA41" s="572">
        <f>'CIA MARKS'!EJ38</f>
        <v>37</v>
      </c>
      <c r="DB41" s="573">
        <f t="shared" si="3"/>
        <v>25.5</v>
      </c>
      <c r="DC41" s="4">
        <v>51</v>
      </c>
      <c r="DD41" s="575" t="s">
        <v>96</v>
      </c>
      <c r="DF41" s="578" t="str">
        <f>IF(D$7="YES",'CIA MARKS'!DX38,"")</f>
        <v/>
      </c>
      <c r="DG41" s="460" t="str">
        <f>IF(D$8="YES",'CIA MARKS'!EH38,"")</f>
        <v/>
      </c>
      <c r="DH41" s="578">
        <f>IF(D$9="YES",'CIA MARKS'!EJ38,"")</f>
        <v>37</v>
      </c>
      <c r="DI41" s="578">
        <v>25.5</v>
      </c>
      <c r="DK41" s="450"/>
      <c r="DL41" s="450"/>
      <c r="DM41" s="450"/>
      <c r="DN41" s="450"/>
      <c r="DO41" s="450"/>
      <c r="DP41" s="451"/>
      <c r="DQ41" s="454"/>
      <c r="DR41" s="455">
        <f t="shared" si="1"/>
        <v>0</v>
      </c>
    </row>
    <row r="42" ht="18.75" spans="1:122">
      <c r="A42" s="527">
        <v>26</v>
      </c>
      <c r="B42" s="3" t="s">
        <v>144</v>
      </c>
      <c r="C42" s="528" t="s">
        <v>145</v>
      </c>
      <c r="D42" s="530">
        <v>9</v>
      </c>
      <c r="E42" s="530"/>
      <c r="F42" s="530"/>
      <c r="G42" s="530"/>
      <c r="H42" s="530">
        <v>4</v>
      </c>
      <c r="I42" s="530"/>
      <c r="J42" s="530"/>
      <c r="K42" s="530"/>
      <c r="L42" s="530"/>
      <c r="M42" s="530"/>
      <c r="N42" s="530"/>
      <c r="O42" s="530"/>
      <c r="P42" s="530">
        <v>3</v>
      </c>
      <c r="Q42" s="530"/>
      <c r="R42" s="530"/>
      <c r="S42" s="530"/>
      <c r="T42" s="530"/>
      <c r="U42" s="530"/>
      <c r="V42" s="530"/>
      <c r="W42" s="530"/>
      <c r="X42" s="530">
        <v>8</v>
      </c>
      <c r="Y42" s="530"/>
      <c r="Z42" s="530"/>
      <c r="AA42" s="530"/>
      <c r="AB42" s="530"/>
      <c r="AC42" s="530"/>
      <c r="AD42" s="530"/>
      <c r="AE42" s="530"/>
      <c r="AF42" s="530">
        <v>9</v>
      </c>
      <c r="AG42" s="530"/>
      <c r="AH42" s="530"/>
      <c r="AI42" s="530"/>
      <c r="AJ42" s="543">
        <v>8</v>
      </c>
      <c r="AK42" s="543"/>
      <c r="AL42" s="543"/>
      <c r="AM42" s="543"/>
      <c r="AN42" s="543"/>
      <c r="AO42" s="543"/>
      <c r="AP42" s="543"/>
      <c r="AQ42" s="543"/>
      <c r="AR42" s="546">
        <v>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>
        <v>2</v>
      </c>
      <c r="BE42" s="546"/>
      <c r="BF42" s="546"/>
      <c r="BG42" s="546"/>
      <c r="BH42" s="546">
        <v>8</v>
      </c>
      <c r="BI42" s="546"/>
      <c r="BJ42" s="546"/>
      <c r="BK42" s="546"/>
      <c r="BL42" s="546"/>
      <c r="BM42" s="546"/>
      <c r="BN42" s="546"/>
      <c r="BO42" s="546"/>
      <c r="BP42" s="551">
        <v>4</v>
      </c>
      <c r="BQ42" s="556"/>
      <c r="BR42" s="556"/>
      <c r="BS42" s="556"/>
      <c r="BT42" s="556">
        <v>6</v>
      </c>
      <c r="BU42" s="556"/>
      <c r="BV42" s="556"/>
      <c r="BW42" s="556"/>
      <c r="BX42" s="556"/>
      <c r="BY42" s="553"/>
      <c r="BZ42" s="553"/>
      <c r="CA42" s="553"/>
      <c r="CB42" s="558">
        <v>5</v>
      </c>
      <c r="CC42" s="558"/>
      <c r="CD42" s="558"/>
      <c r="CE42" s="558"/>
      <c r="CF42" s="551"/>
      <c r="CG42" s="551"/>
      <c r="CH42" s="551"/>
      <c r="CI42" s="551"/>
      <c r="CJ42" s="551">
        <v>7</v>
      </c>
      <c r="CK42" s="558"/>
      <c r="CL42" s="558"/>
      <c r="CM42" s="558"/>
      <c r="CN42" s="558"/>
      <c r="CO42" s="558"/>
      <c r="CP42" s="558"/>
      <c r="CQ42" s="558"/>
      <c r="CR42" s="551">
        <v>8</v>
      </c>
      <c r="CS42" s="551"/>
      <c r="CT42" s="551"/>
      <c r="CU42" s="551"/>
      <c r="CV42" s="565">
        <v>8</v>
      </c>
      <c r="CW42" s="565">
        <v>10</v>
      </c>
      <c r="CX42" s="565">
        <f>VLOOKUP(B42,'CIA MARKS'!C39:DN107,116,FALSE)</f>
        <v>33</v>
      </c>
      <c r="CY42" s="565">
        <f>VLOOKUP(B42,'CIA MARKS'!C39:DO107,117,FALSE)</f>
        <v>26</v>
      </c>
      <c r="CZ42" s="565">
        <f>VLOOKUP(B42,'CIA MARKS'!C39:DP107,118,FALSE)</f>
        <v>30</v>
      </c>
      <c r="DA42" s="572">
        <f>'CIA MARKS'!EJ39</f>
        <v>39</v>
      </c>
      <c r="DB42" s="573">
        <f t="shared" si="3"/>
        <v>31</v>
      </c>
      <c r="DC42" s="4">
        <v>62</v>
      </c>
      <c r="DD42" s="575" t="s">
        <v>90</v>
      </c>
      <c r="DF42" s="578" t="str">
        <f>IF(D$7="YES",'CIA MARKS'!DX39,"")</f>
        <v/>
      </c>
      <c r="DG42" s="460" t="str">
        <f>IF(D$8="YES",'CIA MARKS'!EH39,"")</f>
        <v/>
      </c>
      <c r="DH42" s="578">
        <f>IF(D$9="YES",'CIA MARKS'!EJ39,"")</f>
        <v>39</v>
      </c>
      <c r="DI42" s="578">
        <v>31</v>
      </c>
      <c r="DK42" s="450"/>
      <c r="DL42" s="450"/>
      <c r="DM42" s="450"/>
      <c r="DN42" s="450"/>
      <c r="DO42" s="450"/>
      <c r="DP42" s="451"/>
      <c r="DQ42" s="454"/>
      <c r="DR42" s="455">
        <f t="shared" si="1"/>
        <v>0</v>
      </c>
    </row>
    <row r="43" ht="18.75" spans="1:122">
      <c r="A43" s="527">
        <v>27</v>
      </c>
      <c r="B43" s="3" t="s">
        <v>146</v>
      </c>
      <c r="C43" s="528" t="s">
        <v>147</v>
      </c>
      <c r="D43" s="530">
        <v>5</v>
      </c>
      <c r="E43" s="530"/>
      <c r="F43" s="530"/>
      <c r="G43" s="530"/>
      <c r="H43" s="530">
        <v>6</v>
      </c>
      <c r="I43" s="530"/>
      <c r="J43" s="530"/>
      <c r="K43" s="530"/>
      <c r="L43" s="530">
        <v>3</v>
      </c>
      <c r="M43" s="530"/>
      <c r="N43" s="530"/>
      <c r="O43" s="530"/>
      <c r="P43" s="530"/>
      <c r="Q43" s="530"/>
      <c r="R43" s="530"/>
      <c r="S43" s="530"/>
      <c r="T43" s="530">
        <v>5</v>
      </c>
      <c r="U43" s="530"/>
      <c r="V43" s="530"/>
      <c r="W43" s="530"/>
      <c r="X43" s="530"/>
      <c r="Y43" s="530"/>
      <c r="Z43" s="530"/>
      <c r="AA43" s="530"/>
      <c r="AB43" s="530">
        <v>7</v>
      </c>
      <c r="AC43" s="530"/>
      <c r="AD43" s="530"/>
      <c r="AE43" s="530"/>
      <c r="AF43" s="530"/>
      <c r="AG43" s="530"/>
      <c r="AH43" s="530"/>
      <c r="AI43" s="530"/>
      <c r="AJ43" s="530">
        <v>0</v>
      </c>
      <c r="AK43" s="530"/>
      <c r="AL43" s="530"/>
      <c r="AM43" s="530"/>
      <c r="AN43" s="530">
        <v>4</v>
      </c>
      <c r="AO43" s="530"/>
      <c r="AP43" s="530"/>
      <c r="AQ43" s="530"/>
      <c r="AR43" s="530"/>
      <c r="AS43" s="530"/>
      <c r="AT43" s="530"/>
      <c r="AU43" s="530"/>
      <c r="AV43" s="530">
        <v>8</v>
      </c>
      <c r="AW43" s="530"/>
      <c r="AX43" s="530"/>
      <c r="AY43" s="530"/>
      <c r="AZ43" s="530">
        <v>8</v>
      </c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>
        <v>10</v>
      </c>
      <c r="BM43" s="530"/>
      <c r="BN43" s="530"/>
      <c r="BO43" s="530"/>
      <c r="BP43" s="553">
        <v>9</v>
      </c>
      <c r="BQ43" s="553"/>
      <c r="BR43" s="553"/>
      <c r="BS43" s="553"/>
      <c r="BT43" s="553">
        <v>10</v>
      </c>
      <c r="BU43" s="553"/>
      <c r="BV43" s="553"/>
      <c r="BW43" s="553"/>
      <c r="BX43" s="553"/>
      <c r="BY43" s="553"/>
      <c r="BZ43" s="553"/>
      <c r="CA43" s="553"/>
      <c r="CB43" s="553">
        <v>6</v>
      </c>
      <c r="CC43" s="553"/>
      <c r="CD43" s="553"/>
      <c r="CE43" s="553"/>
      <c r="CF43" s="553">
        <v>6</v>
      </c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65">
        <v>6</v>
      </c>
      <c r="CW43" s="565">
        <v>10</v>
      </c>
      <c r="CX43" s="565">
        <f>VLOOKUP(B43,'CIA MARKS'!C40:DN108,116,FALSE)</f>
        <v>26</v>
      </c>
      <c r="CY43" s="565">
        <f>VLOOKUP(B43,'CIA MARKS'!C40:DO108,117,FALSE)</f>
        <v>30</v>
      </c>
      <c r="CZ43" s="565">
        <f>VLOOKUP(B43,'CIA MARKS'!C40:DP108,118,FALSE)</f>
        <v>31</v>
      </c>
      <c r="DA43" s="572">
        <f>'CIA MARKS'!EJ40</f>
        <v>34</v>
      </c>
      <c r="DB43" s="573">
        <f t="shared" si="3"/>
        <v>31.5</v>
      </c>
      <c r="DC43" s="4">
        <v>63</v>
      </c>
      <c r="DD43" s="575" t="s">
        <v>96</v>
      </c>
      <c r="DF43" s="578" t="str">
        <f>IF(D$7="YES",'CIA MARKS'!DX40,"")</f>
        <v/>
      </c>
      <c r="DG43" s="460" t="str">
        <f>IF(D$8="YES",'CIA MARKS'!EH40,"")</f>
        <v/>
      </c>
      <c r="DH43" s="578">
        <f>IF(D$9="YES",'CIA MARKS'!EJ40,"")</f>
        <v>34</v>
      </c>
      <c r="DI43" s="578">
        <v>31.5</v>
      </c>
      <c r="DK43" s="584"/>
      <c r="DL43" s="450"/>
      <c r="DM43" s="450"/>
      <c r="DN43" s="450"/>
      <c r="DO43" s="450"/>
      <c r="DP43" s="585"/>
      <c r="DQ43" s="587"/>
      <c r="DR43" s="455">
        <f t="shared" si="1"/>
        <v>0</v>
      </c>
    </row>
    <row r="44" ht="18.75" spans="1:122">
      <c r="A44" s="527">
        <v>28</v>
      </c>
      <c r="B44" s="3" t="s">
        <v>148</v>
      </c>
      <c r="C44" s="528" t="s">
        <v>149</v>
      </c>
      <c r="D44" s="530">
        <v>8</v>
      </c>
      <c r="E44" s="530"/>
      <c r="F44" s="530"/>
      <c r="G44" s="530"/>
      <c r="H44" s="530">
        <v>8</v>
      </c>
      <c r="I44" s="530"/>
      <c r="J44" s="530"/>
      <c r="K44" s="530"/>
      <c r="L44" s="530">
        <v>8</v>
      </c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>
        <v>6</v>
      </c>
      <c r="Y44" s="530"/>
      <c r="Z44" s="530"/>
      <c r="AA44" s="530"/>
      <c r="AB44" s="530">
        <v>9</v>
      </c>
      <c r="AC44" s="530"/>
      <c r="AD44" s="530"/>
      <c r="AE44" s="530"/>
      <c r="AF44" s="530"/>
      <c r="AG44" s="530"/>
      <c r="AH44" s="530"/>
      <c r="AI44" s="530"/>
      <c r="AJ44" s="543">
        <v>9</v>
      </c>
      <c r="AK44" s="543"/>
      <c r="AL44" s="543"/>
      <c r="AM44" s="543"/>
      <c r="AN44" s="543">
        <v>8</v>
      </c>
      <c r="AO44" s="543"/>
      <c r="AP44" s="543"/>
      <c r="AQ44" s="543"/>
      <c r="AR44" s="546"/>
      <c r="AS44" s="546"/>
      <c r="AT44" s="546"/>
      <c r="AU44" s="546"/>
      <c r="AV44" s="546">
        <v>9</v>
      </c>
      <c r="AW44" s="546"/>
      <c r="AX44" s="546"/>
      <c r="AY44" s="546"/>
      <c r="AZ44" s="546">
        <v>3</v>
      </c>
      <c r="BA44" s="546"/>
      <c r="BB44" s="546"/>
      <c r="BC44" s="546"/>
      <c r="BD44" s="546"/>
      <c r="BE44" s="546"/>
      <c r="BF44" s="546"/>
      <c r="BG44" s="546"/>
      <c r="BH44" s="546">
        <v>9</v>
      </c>
      <c r="BI44" s="546"/>
      <c r="BJ44" s="546"/>
      <c r="BK44" s="546"/>
      <c r="BL44" s="546"/>
      <c r="BM44" s="546"/>
      <c r="BN44" s="546"/>
      <c r="BO44" s="546"/>
      <c r="BP44" s="551">
        <v>9</v>
      </c>
      <c r="BQ44" s="556"/>
      <c r="BR44" s="556"/>
      <c r="BS44" s="556"/>
      <c r="BT44" s="556">
        <v>8</v>
      </c>
      <c r="BU44" s="556"/>
      <c r="BV44" s="556"/>
      <c r="BW44" s="556"/>
      <c r="BX44" s="556"/>
      <c r="BY44" s="553"/>
      <c r="BZ44" s="553"/>
      <c r="CA44" s="553"/>
      <c r="CB44" s="558">
        <v>10</v>
      </c>
      <c r="CC44" s="558"/>
      <c r="CD44" s="558"/>
      <c r="CE44" s="558"/>
      <c r="CF44" s="551"/>
      <c r="CG44" s="551"/>
      <c r="CH44" s="551"/>
      <c r="CI44" s="551"/>
      <c r="CJ44" s="551">
        <v>10</v>
      </c>
      <c r="CK44" s="558"/>
      <c r="CL44" s="558"/>
      <c r="CM44" s="558"/>
      <c r="CN44" s="558"/>
      <c r="CO44" s="558"/>
      <c r="CP44" s="558"/>
      <c r="CQ44" s="558"/>
      <c r="CR44" s="551">
        <v>8</v>
      </c>
      <c r="CS44" s="551"/>
      <c r="CT44" s="551"/>
      <c r="CU44" s="551"/>
      <c r="CV44" s="565">
        <v>9</v>
      </c>
      <c r="CW44" s="565">
        <v>10</v>
      </c>
      <c r="CX44" s="565">
        <f>VLOOKUP(B44,'CIA MARKS'!C41:DN109,116,FALSE)</f>
        <v>39</v>
      </c>
      <c r="CY44" s="565">
        <f>VLOOKUP(B44,'CIA MARKS'!C41:DO109,117,FALSE)</f>
        <v>38</v>
      </c>
      <c r="CZ44" s="565">
        <f>VLOOKUP(B44,'CIA MARKS'!C41:DP109,118,FALSE)</f>
        <v>45</v>
      </c>
      <c r="DA44" s="572">
        <f>'CIA MARKS'!EJ41</f>
        <v>46</v>
      </c>
      <c r="DB44" s="573">
        <f t="shared" si="3"/>
        <v>33.5</v>
      </c>
      <c r="DC44" s="4">
        <v>67</v>
      </c>
      <c r="DD44" s="575" t="s">
        <v>93</v>
      </c>
      <c r="DF44" s="578" t="str">
        <f>IF(D$7="YES",'CIA MARKS'!DX41,"")</f>
        <v/>
      </c>
      <c r="DG44" s="460" t="str">
        <f>IF(D$8="YES",'CIA MARKS'!EH41,"")</f>
        <v/>
      </c>
      <c r="DH44" s="578">
        <f>IF(D$9="YES",'CIA MARKS'!EJ41,"")</f>
        <v>46</v>
      </c>
      <c r="DI44" s="578">
        <v>33.5</v>
      </c>
      <c r="DK44" s="450"/>
      <c r="DL44" s="450"/>
      <c r="DM44" s="450"/>
      <c r="DN44" s="450"/>
      <c r="DO44" s="450"/>
      <c r="DP44" s="451"/>
      <c r="DQ44" s="454"/>
      <c r="DR44" s="455">
        <f t="shared" si="1"/>
        <v>0</v>
      </c>
    </row>
    <row r="45" ht="18.75" spans="1:122">
      <c r="A45" s="527">
        <v>29</v>
      </c>
      <c r="B45" s="3" t="s">
        <v>150</v>
      </c>
      <c r="C45" s="528" t="s">
        <v>151</v>
      </c>
      <c r="D45" s="530"/>
      <c r="E45" s="530"/>
      <c r="F45" s="530"/>
      <c r="G45" s="530"/>
      <c r="H45" s="530">
        <v>5</v>
      </c>
      <c r="I45" s="530"/>
      <c r="J45" s="530"/>
      <c r="K45" s="530"/>
      <c r="L45" s="530">
        <v>3</v>
      </c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>
        <v>6</v>
      </c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43"/>
      <c r="AK45" s="543"/>
      <c r="AL45" s="543"/>
      <c r="AM45" s="543"/>
      <c r="AN45" s="543">
        <v>10</v>
      </c>
      <c r="AO45" s="543"/>
      <c r="AP45" s="543"/>
      <c r="AQ45" s="543"/>
      <c r="AR45" s="546"/>
      <c r="AS45" s="546"/>
      <c r="AT45" s="546"/>
      <c r="AU45" s="546"/>
      <c r="AV45" s="546"/>
      <c r="AW45" s="546"/>
      <c r="AX45" s="546"/>
      <c r="AY45" s="546"/>
      <c r="AZ45" s="546">
        <v>1</v>
      </c>
      <c r="BA45" s="546"/>
      <c r="BB45" s="546"/>
      <c r="BC45" s="546"/>
      <c r="BD45" s="546"/>
      <c r="BE45" s="546"/>
      <c r="BF45" s="546"/>
      <c r="BG45" s="546"/>
      <c r="BH45" s="546">
        <v>1</v>
      </c>
      <c r="BI45" s="546"/>
      <c r="BJ45" s="546"/>
      <c r="BK45" s="546"/>
      <c r="BL45" s="546"/>
      <c r="BM45" s="546"/>
      <c r="BN45" s="546"/>
      <c r="BO45" s="546"/>
      <c r="BP45" s="551"/>
      <c r="BQ45" s="556"/>
      <c r="BR45" s="556"/>
      <c r="BS45" s="556"/>
      <c r="BT45" s="556"/>
      <c r="BU45" s="556"/>
      <c r="BV45" s="556"/>
      <c r="BW45" s="556"/>
      <c r="BX45" s="556"/>
      <c r="BY45" s="553"/>
      <c r="BZ45" s="553"/>
      <c r="CA45" s="553"/>
      <c r="CB45" s="558"/>
      <c r="CC45" s="558"/>
      <c r="CD45" s="558"/>
      <c r="CE45" s="558"/>
      <c r="CF45" s="551"/>
      <c r="CG45" s="551"/>
      <c r="CH45" s="551"/>
      <c r="CI45" s="551"/>
      <c r="CJ45" s="551"/>
      <c r="CK45" s="558"/>
      <c r="CL45" s="558"/>
      <c r="CM45" s="558"/>
      <c r="CN45" s="558"/>
      <c r="CO45" s="558"/>
      <c r="CP45" s="558"/>
      <c r="CQ45" s="558"/>
      <c r="CR45" s="551"/>
      <c r="CS45" s="551"/>
      <c r="CT45" s="551"/>
      <c r="CU45" s="551"/>
      <c r="CV45" s="565">
        <v>7</v>
      </c>
      <c r="CW45" s="565">
        <v>10</v>
      </c>
      <c r="CX45" s="565">
        <f>VLOOKUP(B45,'CIA MARKS'!C42:DN110,116,FALSE)</f>
        <v>14</v>
      </c>
      <c r="CY45" s="565">
        <f>VLOOKUP(B45,'CIA MARKS'!C42:DO110,117,FALSE)</f>
        <v>12</v>
      </c>
      <c r="CZ45" s="565">
        <f>VLOOKUP(B45,'CIA MARKS'!C42:DP110,118,FALSE)</f>
        <v>0</v>
      </c>
      <c r="DA45" s="572">
        <f>'CIA MARKS'!EJ42</f>
        <v>26</v>
      </c>
      <c r="DB45" s="573">
        <f t="shared" si="3"/>
        <v>27.5</v>
      </c>
      <c r="DC45" s="4">
        <v>55</v>
      </c>
      <c r="DD45" s="575" t="s">
        <v>152</v>
      </c>
      <c r="DF45" s="578" t="str">
        <f>IF(D$7="YES",'CIA MARKS'!DX42,"")</f>
        <v/>
      </c>
      <c r="DG45" s="460" t="str">
        <f>IF(D$8="YES",'CIA MARKS'!EH42,"")</f>
        <v/>
      </c>
      <c r="DH45" s="578">
        <f>IF(D$9="YES",'CIA MARKS'!EJ42,"")</f>
        <v>26</v>
      </c>
      <c r="DI45" s="578">
        <v>27.5</v>
      </c>
      <c r="DK45" s="450"/>
      <c r="DL45" s="450"/>
      <c r="DM45" s="450"/>
      <c r="DN45" s="450"/>
      <c r="DO45" s="450"/>
      <c r="DP45" s="451"/>
      <c r="DQ45" s="454"/>
      <c r="DR45" s="455">
        <f t="shared" si="1"/>
        <v>0</v>
      </c>
    </row>
    <row r="46" ht="18.75" spans="1:122">
      <c r="A46" s="527">
        <v>30</v>
      </c>
      <c r="B46" s="3" t="s">
        <v>153</v>
      </c>
      <c r="C46" s="528" t="s">
        <v>154</v>
      </c>
      <c r="D46" s="530">
        <v>8</v>
      </c>
      <c r="E46" s="530"/>
      <c r="F46" s="530"/>
      <c r="G46" s="530"/>
      <c r="H46" s="530">
        <v>4</v>
      </c>
      <c r="I46" s="530"/>
      <c r="J46" s="530"/>
      <c r="K46" s="530"/>
      <c r="L46" s="530">
        <v>6</v>
      </c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>
        <v>8</v>
      </c>
      <c r="Y46" s="530"/>
      <c r="Z46" s="530"/>
      <c r="AA46" s="530"/>
      <c r="AB46" s="530"/>
      <c r="AC46" s="530"/>
      <c r="AD46" s="530"/>
      <c r="AE46" s="530"/>
      <c r="AF46" s="530">
        <v>9</v>
      </c>
      <c r="AG46" s="530"/>
      <c r="AH46" s="530"/>
      <c r="AI46" s="530"/>
      <c r="AJ46" s="543">
        <v>0</v>
      </c>
      <c r="AK46" s="543"/>
      <c r="AL46" s="543"/>
      <c r="AM46" s="543"/>
      <c r="AN46" s="543">
        <v>5</v>
      </c>
      <c r="AO46" s="543"/>
      <c r="AP46" s="543"/>
      <c r="AQ46" s="543"/>
      <c r="AR46" s="546">
        <v>6</v>
      </c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>
        <v>8</v>
      </c>
      <c r="BE46" s="546"/>
      <c r="BF46" s="546"/>
      <c r="BG46" s="546"/>
      <c r="BH46" s="546"/>
      <c r="BI46" s="546"/>
      <c r="BJ46" s="546"/>
      <c r="BK46" s="546"/>
      <c r="BL46" s="546">
        <v>8</v>
      </c>
      <c r="BM46" s="546"/>
      <c r="BN46" s="546"/>
      <c r="BO46" s="546"/>
      <c r="BP46" s="551">
        <v>7</v>
      </c>
      <c r="BQ46" s="556"/>
      <c r="BR46" s="556"/>
      <c r="BS46" s="556"/>
      <c r="BT46" s="556">
        <v>8</v>
      </c>
      <c r="BU46" s="556"/>
      <c r="BV46" s="556"/>
      <c r="BW46" s="556"/>
      <c r="BX46" s="556"/>
      <c r="BY46" s="553"/>
      <c r="BZ46" s="553"/>
      <c r="CA46" s="553"/>
      <c r="CB46" s="558">
        <v>6</v>
      </c>
      <c r="CC46" s="558"/>
      <c r="CD46" s="558"/>
      <c r="CE46" s="558"/>
      <c r="CF46" s="551">
        <v>8</v>
      </c>
      <c r="CG46" s="551"/>
      <c r="CH46" s="551"/>
      <c r="CI46" s="551"/>
      <c r="CJ46" s="551"/>
      <c r="CK46" s="558"/>
      <c r="CL46" s="558"/>
      <c r="CM46" s="558"/>
      <c r="CN46" s="558">
        <v>4</v>
      </c>
      <c r="CO46" s="558"/>
      <c r="CP46" s="558"/>
      <c r="CQ46" s="558"/>
      <c r="CR46" s="551"/>
      <c r="CS46" s="551"/>
      <c r="CT46" s="551"/>
      <c r="CU46" s="551"/>
      <c r="CV46" s="565">
        <v>7</v>
      </c>
      <c r="CW46" s="565">
        <v>10</v>
      </c>
      <c r="CX46" s="565">
        <f>VLOOKUP(B46,'CIA MARKS'!C43:DN111,116,FALSE)</f>
        <v>35</v>
      </c>
      <c r="CY46" s="565">
        <f>VLOOKUP(B46,'CIA MARKS'!C43:DO111,117,FALSE)</f>
        <v>27</v>
      </c>
      <c r="CZ46" s="565">
        <f>VLOOKUP(B46,'CIA MARKS'!C43:DP111,118,FALSE)</f>
        <v>33</v>
      </c>
      <c r="DA46" s="572">
        <f>'CIA MARKS'!EJ43</f>
        <v>42</v>
      </c>
      <c r="DB46" s="573">
        <f t="shared" si="3"/>
        <v>31</v>
      </c>
      <c r="DC46" s="4">
        <v>62</v>
      </c>
      <c r="DD46" s="575" t="s">
        <v>90</v>
      </c>
      <c r="DF46" s="578" t="str">
        <f>IF(D$7="YES",'CIA MARKS'!DX43,"")</f>
        <v/>
      </c>
      <c r="DG46" s="460" t="str">
        <f>IF(D$8="YES",'CIA MARKS'!EH43,"")</f>
        <v/>
      </c>
      <c r="DH46" s="578">
        <f>IF(D$9="YES",'CIA MARKS'!EJ43,"")</f>
        <v>42</v>
      </c>
      <c r="DI46" s="578">
        <v>31</v>
      </c>
      <c r="DK46" s="450"/>
      <c r="DL46" s="450"/>
      <c r="DM46" s="450"/>
      <c r="DN46" s="450"/>
      <c r="DO46" s="450"/>
      <c r="DP46" s="451"/>
      <c r="DQ46" s="454"/>
      <c r="DR46" s="455">
        <f t="shared" si="1"/>
        <v>0</v>
      </c>
    </row>
    <row r="47" ht="18.75" spans="1:122">
      <c r="A47" s="527">
        <v>31</v>
      </c>
      <c r="B47" s="3" t="s">
        <v>155</v>
      </c>
      <c r="C47" s="528" t="s">
        <v>156</v>
      </c>
      <c r="D47" s="530"/>
      <c r="E47" s="530"/>
      <c r="F47" s="530"/>
      <c r="G47" s="530"/>
      <c r="H47" s="530">
        <v>6</v>
      </c>
      <c r="I47" s="530"/>
      <c r="J47" s="530"/>
      <c r="K47" s="530"/>
      <c r="L47" s="530"/>
      <c r="M47" s="530"/>
      <c r="N47" s="530"/>
      <c r="O47" s="530"/>
      <c r="P47" s="530">
        <v>4</v>
      </c>
      <c r="Q47" s="530"/>
      <c r="R47" s="530"/>
      <c r="S47" s="530"/>
      <c r="T47" s="530">
        <v>9</v>
      </c>
      <c r="U47" s="530"/>
      <c r="V47" s="530"/>
      <c r="W47" s="530"/>
      <c r="X47" s="530"/>
      <c r="Y47" s="530"/>
      <c r="Z47" s="530"/>
      <c r="AA47" s="530"/>
      <c r="AB47" s="530">
        <v>6</v>
      </c>
      <c r="AC47" s="530"/>
      <c r="AD47" s="530"/>
      <c r="AE47" s="530"/>
      <c r="AF47" s="530"/>
      <c r="AG47" s="530"/>
      <c r="AH47" s="530"/>
      <c r="AI47" s="530"/>
      <c r="AJ47" s="543"/>
      <c r="AK47" s="543"/>
      <c r="AL47" s="543"/>
      <c r="AM47" s="543"/>
      <c r="AN47" s="543"/>
      <c r="AO47" s="543"/>
      <c r="AP47" s="543"/>
      <c r="AQ47" s="543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6"/>
      <c r="BP47" s="551">
        <v>5</v>
      </c>
      <c r="BQ47" s="556"/>
      <c r="BR47" s="556"/>
      <c r="BS47" s="556"/>
      <c r="BT47" s="556">
        <v>8</v>
      </c>
      <c r="BU47" s="556"/>
      <c r="BV47" s="556"/>
      <c r="BW47" s="556"/>
      <c r="BX47" s="556"/>
      <c r="BY47" s="553"/>
      <c r="BZ47" s="553"/>
      <c r="CA47" s="553"/>
      <c r="CB47" s="558">
        <v>3</v>
      </c>
      <c r="CC47" s="558"/>
      <c r="CD47" s="558"/>
      <c r="CE47" s="558"/>
      <c r="CF47" s="551">
        <v>10</v>
      </c>
      <c r="CG47" s="551"/>
      <c r="CH47" s="551"/>
      <c r="CI47" s="551"/>
      <c r="CJ47" s="551"/>
      <c r="CK47" s="558"/>
      <c r="CL47" s="558"/>
      <c r="CM47" s="558"/>
      <c r="CN47" s="558"/>
      <c r="CO47" s="558"/>
      <c r="CP47" s="558"/>
      <c r="CQ47" s="558"/>
      <c r="CR47" s="551">
        <v>7</v>
      </c>
      <c r="CS47" s="551"/>
      <c r="CT47" s="551"/>
      <c r="CU47" s="551"/>
      <c r="CV47" s="565">
        <v>7</v>
      </c>
      <c r="CW47" s="565">
        <v>10</v>
      </c>
      <c r="CX47" s="565">
        <f>VLOOKUP(B47,'CIA MARKS'!C44:DN112,116,FALSE)</f>
        <v>25</v>
      </c>
      <c r="CY47" s="565">
        <f>VLOOKUP(B47,'CIA MARKS'!C44:DO112,117,FALSE)</f>
        <v>0</v>
      </c>
      <c r="CZ47" s="565">
        <f>VLOOKUP(B47,'CIA MARKS'!C44:DP112,118,FALSE)</f>
        <v>33</v>
      </c>
      <c r="DA47" s="572">
        <f>'CIA MARKS'!EJ44</f>
        <v>32</v>
      </c>
      <c r="DB47" s="573">
        <f t="shared" si="3"/>
        <v>25.5</v>
      </c>
      <c r="DC47" s="4">
        <v>51</v>
      </c>
      <c r="DD47" s="575" t="s">
        <v>103</v>
      </c>
      <c r="DF47" s="578" t="str">
        <f>IF(D$7="YES",'CIA MARKS'!DX44,"")</f>
        <v/>
      </c>
      <c r="DG47" s="460" t="str">
        <f>IF(D$8="YES",'CIA MARKS'!EH44,"")</f>
        <v/>
      </c>
      <c r="DH47" s="578">
        <f>IF(D$9="YES",'CIA MARKS'!EJ44,"")</f>
        <v>32</v>
      </c>
      <c r="DI47" s="578">
        <v>25.5</v>
      </c>
      <c r="DK47" s="450"/>
      <c r="DL47" s="450"/>
      <c r="DM47" s="450"/>
      <c r="DN47" s="450"/>
      <c r="DO47" s="450"/>
      <c r="DP47" s="451"/>
      <c r="DQ47" s="454"/>
      <c r="DR47" s="455">
        <f t="shared" si="1"/>
        <v>0</v>
      </c>
    </row>
    <row r="48" ht="18.75" spans="1:122">
      <c r="A48" s="527">
        <v>32</v>
      </c>
      <c r="B48" s="3" t="s">
        <v>157</v>
      </c>
      <c r="C48" s="528" t="s">
        <v>158</v>
      </c>
      <c r="D48" s="530">
        <v>9</v>
      </c>
      <c r="E48" s="530"/>
      <c r="F48" s="530"/>
      <c r="G48" s="530"/>
      <c r="H48" s="530">
        <v>6</v>
      </c>
      <c r="I48" s="530"/>
      <c r="J48" s="530"/>
      <c r="K48" s="530"/>
      <c r="L48" s="530">
        <v>3</v>
      </c>
      <c r="M48" s="530"/>
      <c r="N48" s="530"/>
      <c r="O48" s="530"/>
      <c r="P48" s="530"/>
      <c r="Q48" s="530"/>
      <c r="R48" s="530"/>
      <c r="S48" s="530"/>
      <c r="T48" s="530">
        <v>7</v>
      </c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>
        <v>8</v>
      </c>
      <c r="AG48" s="530"/>
      <c r="AH48" s="530"/>
      <c r="AI48" s="530"/>
      <c r="AJ48" s="543">
        <v>2</v>
      </c>
      <c r="AK48" s="543"/>
      <c r="AL48" s="543"/>
      <c r="AM48" s="543"/>
      <c r="AN48" s="543">
        <v>10</v>
      </c>
      <c r="AO48" s="543"/>
      <c r="AP48" s="543"/>
      <c r="AQ48" s="543"/>
      <c r="AR48" s="546"/>
      <c r="AS48" s="546"/>
      <c r="AT48" s="546"/>
      <c r="AU48" s="546"/>
      <c r="AV48" s="546">
        <v>8</v>
      </c>
      <c r="AW48" s="546"/>
      <c r="AX48" s="546"/>
      <c r="AY48" s="546"/>
      <c r="AZ48" s="546">
        <v>6</v>
      </c>
      <c r="BA48" s="546"/>
      <c r="BB48" s="546"/>
      <c r="BC48" s="546"/>
      <c r="BD48" s="546"/>
      <c r="BE48" s="546"/>
      <c r="BF48" s="546"/>
      <c r="BG48" s="546"/>
      <c r="BH48" s="546">
        <v>9</v>
      </c>
      <c r="BI48" s="546"/>
      <c r="BJ48" s="546"/>
      <c r="BK48" s="546"/>
      <c r="BL48" s="546"/>
      <c r="BM48" s="546"/>
      <c r="BN48" s="546"/>
      <c r="BO48" s="546"/>
      <c r="BP48" s="551">
        <v>8</v>
      </c>
      <c r="BQ48" s="556"/>
      <c r="BR48" s="556"/>
      <c r="BS48" s="556"/>
      <c r="BT48" s="556">
        <v>8</v>
      </c>
      <c r="BU48" s="556"/>
      <c r="BV48" s="556"/>
      <c r="BW48" s="556"/>
      <c r="BX48" s="556"/>
      <c r="BY48" s="553"/>
      <c r="BZ48" s="553"/>
      <c r="CA48" s="553"/>
      <c r="CB48" s="558">
        <v>6</v>
      </c>
      <c r="CC48" s="558"/>
      <c r="CD48" s="558"/>
      <c r="CE48" s="558"/>
      <c r="CF48" s="551">
        <v>8</v>
      </c>
      <c r="CG48" s="551"/>
      <c r="CH48" s="551"/>
      <c r="CI48" s="551"/>
      <c r="CJ48" s="551"/>
      <c r="CK48" s="558"/>
      <c r="CL48" s="558"/>
      <c r="CM48" s="558"/>
      <c r="CN48" s="558">
        <v>6</v>
      </c>
      <c r="CO48" s="558"/>
      <c r="CP48" s="558"/>
      <c r="CQ48" s="558"/>
      <c r="CR48" s="551"/>
      <c r="CS48" s="551"/>
      <c r="CT48" s="551"/>
      <c r="CU48" s="551"/>
      <c r="CV48" s="565">
        <v>9</v>
      </c>
      <c r="CW48" s="565">
        <v>10</v>
      </c>
      <c r="CX48" s="565">
        <f>VLOOKUP(B48,'CIA MARKS'!C45:DN113,116,FALSE)</f>
        <v>33</v>
      </c>
      <c r="CY48" s="565">
        <f>VLOOKUP(B48,'CIA MARKS'!C45:DO113,117,FALSE)</f>
        <v>35</v>
      </c>
      <c r="CZ48" s="565">
        <f>VLOOKUP(B48,'CIA MARKS'!C45:DP113,118,FALSE)</f>
        <v>36</v>
      </c>
      <c r="DA48" s="572">
        <f>'CIA MARKS'!EJ45</f>
        <v>43</v>
      </c>
      <c r="DB48" s="573">
        <f t="shared" si="3"/>
        <v>32</v>
      </c>
      <c r="DC48" s="4">
        <v>64</v>
      </c>
      <c r="DD48" s="575" t="s">
        <v>90</v>
      </c>
      <c r="DF48" s="578" t="str">
        <f>IF(D$7="YES",'CIA MARKS'!DX45,"")</f>
        <v/>
      </c>
      <c r="DG48" s="460" t="str">
        <f>IF(D$8="YES",'CIA MARKS'!EH45,"")</f>
        <v/>
      </c>
      <c r="DH48" s="578">
        <f>IF(D$9="YES",'CIA MARKS'!EJ45,"")</f>
        <v>43</v>
      </c>
      <c r="DI48" s="578">
        <v>32</v>
      </c>
      <c r="DK48" s="450"/>
      <c r="DL48" s="450"/>
      <c r="DM48" s="450"/>
      <c r="DN48" s="450"/>
      <c r="DO48" s="450"/>
      <c r="DP48" s="451"/>
      <c r="DQ48" s="454"/>
      <c r="DR48" s="455">
        <f t="shared" si="1"/>
        <v>0</v>
      </c>
    </row>
    <row r="49" ht="18.75" spans="1:122">
      <c r="A49" s="527">
        <v>33</v>
      </c>
      <c r="B49" s="3" t="s">
        <v>159</v>
      </c>
      <c r="C49" s="528" t="s">
        <v>160</v>
      </c>
      <c r="D49" s="530">
        <v>8</v>
      </c>
      <c r="E49" s="530"/>
      <c r="F49" s="530"/>
      <c r="G49" s="530"/>
      <c r="H49" s="530">
        <v>3</v>
      </c>
      <c r="I49" s="530"/>
      <c r="J49" s="530"/>
      <c r="K49" s="530"/>
      <c r="L49" s="530"/>
      <c r="M49" s="530"/>
      <c r="N49" s="530"/>
      <c r="O49" s="530"/>
      <c r="P49" s="530">
        <v>7</v>
      </c>
      <c r="Q49" s="530"/>
      <c r="R49" s="530"/>
      <c r="S49" s="530"/>
      <c r="T49" s="530">
        <v>8</v>
      </c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>
        <v>3</v>
      </c>
      <c r="AG49" s="530"/>
      <c r="AH49" s="530"/>
      <c r="AI49" s="530"/>
      <c r="AJ49" s="543">
        <v>3</v>
      </c>
      <c r="AK49" s="543"/>
      <c r="AL49" s="543"/>
      <c r="AM49" s="543"/>
      <c r="AN49" s="543">
        <v>8</v>
      </c>
      <c r="AO49" s="543"/>
      <c r="AP49" s="543"/>
      <c r="AQ49" s="543"/>
      <c r="AR49" s="546"/>
      <c r="AS49" s="546"/>
      <c r="AT49" s="546"/>
      <c r="AU49" s="546"/>
      <c r="AV49" s="546">
        <v>10</v>
      </c>
      <c r="AW49" s="546"/>
      <c r="AX49" s="546"/>
      <c r="AY49" s="546"/>
      <c r="AZ49" s="546">
        <v>6</v>
      </c>
      <c r="BA49" s="546"/>
      <c r="BB49" s="546"/>
      <c r="BC49" s="546"/>
      <c r="BD49" s="546"/>
      <c r="BE49" s="546"/>
      <c r="BF49" s="546"/>
      <c r="BG49" s="546"/>
      <c r="BH49" s="546">
        <v>10</v>
      </c>
      <c r="BI49" s="546"/>
      <c r="BJ49" s="546"/>
      <c r="BK49" s="546"/>
      <c r="BL49" s="546"/>
      <c r="BM49" s="546"/>
      <c r="BN49" s="546"/>
      <c r="BO49" s="546"/>
      <c r="BP49" s="551">
        <v>8</v>
      </c>
      <c r="BQ49" s="556"/>
      <c r="BR49" s="556"/>
      <c r="BS49" s="556"/>
      <c r="BT49" s="556">
        <v>8</v>
      </c>
      <c r="BU49" s="556"/>
      <c r="BV49" s="556"/>
      <c r="BW49" s="556"/>
      <c r="BX49" s="556">
        <v>4</v>
      </c>
      <c r="BY49" s="553"/>
      <c r="BZ49" s="553"/>
      <c r="CA49" s="553"/>
      <c r="CB49" s="558"/>
      <c r="CC49" s="558"/>
      <c r="CD49" s="558"/>
      <c r="CE49" s="558"/>
      <c r="CF49" s="551">
        <v>6</v>
      </c>
      <c r="CG49" s="551"/>
      <c r="CH49" s="551"/>
      <c r="CI49" s="551"/>
      <c r="CJ49" s="551"/>
      <c r="CK49" s="558"/>
      <c r="CL49" s="558"/>
      <c r="CM49" s="558"/>
      <c r="CN49" s="558"/>
      <c r="CO49" s="558"/>
      <c r="CP49" s="558"/>
      <c r="CQ49" s="558"/>
      <c r="CR49" s="551">
        <v>9</v>
      </c>
      <c r="CS49" s="551"/>
      <c r="CT49" s="551"/>
      <c r="CU49" s="551"/>
      <c r="CV49" s="565">
        <v>8</v>
      </c>
      <c r="CW49" s="565">
        <v>10</v>
      </c>
      <c r="CX49" s="565">
        <f>VLOOKUP(B49,'CIA MARKS'!C46:DN114,116,FALSE)</f>
        <v>29</v>
      </c>
      <c r="CY49" s="565">
        <f>VLOOKUP(B49,'CIA MARKS'!C46:DO114,117,FALSE)</f>
        <v>37</v>
      </c>
      <c r="CZ49" s="565">
        <f>VLOOKUP(B49,'CIA MARKS'!C46:DP114,118,FALSE)</f>
        <v>35</v>
      </c>
      <c r="DA49" s="572">
        <f>'CIA MARKS'!EJ46</f>
        <v>42</v>
      </c>
      <c r="DB49" s="573">
        <f t="shared" si="3"/>
        <v>33.5</v>
      </c>
      <c r="DC49" s="4">
        <v>67</v>
      </c>
      <c r="DD49" s="575" t="s">
        <v>90</v>
      </c>
      <c r="DF49" s="578" t="str">
        <f>IF(D$7="YES",'CIA MARKS'!DX46,"")</f>
        <v/>
      </c>
      <c r="DG49" s="460" t="str">
        <f>IF(D$8="YES",'CIA MARKS'!EH46,"")</f>
        <v/>
      </c>
      <c r="DH49" s="578">
        <f>IF(D$9="YES",'CIA MARKS'!EJ46,"")</f>
        <v>42</v>
      </c>
      <c r="DI49" s="578">
        <v>33.5</v>
      </c>
      <c r="DK49" s="450"/>
      <c r="DL49" s="450"/>
      <c r="DM49" s="450"/>
      <c r="DN49" s="450"/>
      <c r="DO49" s="450"/>
      <c r="DP49" s="451"/>
      <c r="DQ49" s="454"/>
      <c r="DR49" s="455">
        <f t="shared" si="1"/>
        <v>0</v>
      </c>
    </row>
    <row r="50" ht="18.75" spans="1:122">
      <c r="A50" s="527">
        <v>34</v>
      </c>
      <c r="B50" s="3" t="s">
        <v>161</v>
      </c>
      <c r="C50" s="528" t="s">
        <v>162</v>
      </c>
      <c r="D50" s="530">
        <v>10</v>
      </c>
      <c r="E50" s="530"/>
      <c r="F50" s="530"/>
      <c r="G50" s="530"/>
      <c r="H50" s="530">
        <v>10</v>
      </c>
      <c r="I50" s="530"/>
      <c r="J50" s="530"/>
      <c r="K50" s="530"/>
      <c r="L50" s="530"/>
      <c r="M50" s="530"/>
      <c r="N50" s="530"/>
      <c r="O50" s="530"/>
      <c r="P50" s="530">
        <v>10</v>
      </c>
      <c r="Q50" s="530"/>
      <c r="R50" s="530"/>
      <c r="S50" s="530"/>
      <c r="T50" s="530"/>
      <c r="U50" s="530"/>
      <c r="V50" s="530"/>
      <c r="W50" s="530"/>
      <c r="X50" s="530">
        <v>9</v>
      </c>
      <c r="Y50" s="530"/>
      <c r="Z50" s="530"/>
      <c r="AA50" s="530"/>
      <c r="AB50" s="530">
        <v>10</v>
      </c>
      <c r="AC50" s="530"/>
      <c r="AD50" s="530"/>
      <c r="AE50" s="530"/>
      <c r="AF50" s="530"/>
      <c r="AG50" s="530"/>
      <c r="AH50" s="530"/>
      <c r="AI50" s="530"/>
      <c r="AJ50" s="543">
        <v>8</v>
      </c>
      <c r="AK50" s="543"/>
      <c r="AL50" s="543"/>
      <c r="AM50" s="543"/>
      <c r="AN50" s="543">
        <v>8</v>
      </c>
      <c r="AO50" s="543"/>
      <c r="AP50" s="543"/>
      <c r="AQ50" s="543"/>
      <c r="AR50" s="546"/>
      <c r="AS50" s="546"/>
      <c r="AT50" s="546"/>
      <c r="AU50" s="546"/>
      <c r="AV50" s="546">
        <v>10</v>
      </c>
      <c r="AW50" s="546"/>
      <c r="AX50" s="546"/>
      <c r="AY50" s="546"/>
      <c r="AZ50" s="546">
        <v>6</v>
      </c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>
        <v>8</v>
      </c>
      <c r="BM50" s="546"/>
      <c r="BN50" s="546"/>
      <c r="BO50" s="546"/>
      <c r="BP50" s="551">
        <v>10</v>
      </c>
      <c r="BQ50" s="556"/>
      <c r="BR50" s="556"/>
      <c r="BS50" s="556"/>
      <c r="BT50" s="556">
        <v>9</v>
      </c>
      <c r="BU50" s="556"/>
      <c r="BV50" s="556"/>
      <c r="BW50" s="556"/>
      <c r="BX50" s="556"/>
      <c r="BY50" s="553"/>
      <c r="BZ50" s="553"/>
      <c r="CA50" s="553"/>
      <c r="CB50" s="558">
        <v>8</v>
      </c>
      <c r="CC50" s="558"/>
      <c r="CD50" s="558"/>
      <c r="CE50" s="558"/>
      <c r="CF50" s="551">
        <v>10</v>
      </c>
      <c r="CG50" s="551"/>
      <c r="CH50" s="551"/>
      <c r="CI50" s="551"/>
      <c r="CJ50" s="551"/>
      <c r="CK50" s="558"/>
      <c r="CL50" s="558"/>
      <c r="CM50" s="558"/>
      <c r="CN50" s="558">
        <v>9</v>
      </c>
      <c r="CO50" s="558"/>
      <c r="CP50" s="558"/>
      <c r="CQ50" s="558"/>
      <c r="CR50" s="551"/>
      <c r="CS50" s="551"/>
      <c r="CT50" s="551"/>
      <c r="CU50" s="551"/>
      <c r="CV50" s="565">
        <v>10</v>
      </c>
      <c r="CW50" s="565">
        <v>10</v>
      </c>
      <c r="CX50" s="565">
        <f>VLOOKUP(B50,'CIA MARKS'!C47:DN115,116,FALSE)</f>
        <v>49</v>
      </c>
      <c r="CY50" s="565">
        <f>VLOOKUP(B50,'CIA MARKS'!C47:DO115,117,FALSE)</f>
        <v>40</v>
      </c>
      <c r="CZ50" s="565">
        <f>VLOOKUP(B50,'CIA MARKS'!C47:DP115,118,FALSE)</f>
        <v>46</v>
      </c>
      <c r="DA50" s="572">
        <f>'CIA MARKS'!EJ47</f>
        <v>48</v>
      </c>
      <c r="DB50" s="573">
        <f t="shared" si="3"/>
        <v>35</v>
      </c>
      <c r="DC50" s="4">
        <v>70</v>
      </c>
      <c r="DD50" s="575" t="s">
        <v>93</v>
      </c>
      <c r="DF50" s="578" t="str">
        <f>IF(D$7="YES",'CIA MARKS'!DX47,"")</f>
        <v/>
      </c>
      <c r="DG50" s="460" t="str">
        <f>IF(D$8="YES",'CIA MARKS'!EH47,"")</f>
        <v/>
      </c>
      <c r="DH50" s="578">
        <f>IF(D$9="YES",'CIA MARKS'!EJ47,"")</f>
        <v>48</v>
      </c>
      <c r="DI50" s="578">
        <v>35</v>
      </c>
      <c r="DK50" s="450"/>
      <c r="DL50" s="450"/>
      <c r="DM50" s="450"/>
      <c r="DN50" s="450"/>
      <c r="DO50" s="450"/>
      <c r="DP50" s="451"/>
      <c r="DQ50" s="454"/>
      <c r="DR50" s="455">
        <f t="shared" si="1"/>
        <v>0</v>
      </c>
    </row>
    <row r="51" ht="18.75" spans="1:122">
      <c r="A51" s="527">
        <v>35</v>
      </c>
      <c r="B51" s="3" t="s">
        <v>163</v>
      </c>
      <c r="C51" s="528" t="s">
        <v>164</v>
      </c>
      <c r="D51" s="530">
        <v>8</v>
      </c>
      <c r="E51" s="530"/>
      <c r="F51" s="530"/>
      <c r="G51" s="530"/>
      <c r="H51" s="530">
        <v>7</v>
      </c>
      <c r="I51" s="530"/>
      <c r="J51" s="530"/>
      <c r="K51" s="530"/>
      <c r="L51" s="530">
        <v>7</v>
      </c>
      <c r="M51" s="530"/>
      <c r="N51" s="530"/>
      <c r="O51" s="530"/>
      <c r="P51" s="530"/>
      <c r="Q51" s="530"/>
      <c r="R51" s="530"/>
      <c r="S51" s="530"/>
      <c r="T51" s="530">
        <v>9</v>
      </c>
      <c r="U51" s="530"/>
      <c r="V51" s="530"/>
      <c r="W51" s="530"/>
      <c r="X51" s="530"/>
      <c r="Y51" s="530"/>
      <c r="Z51" s="530"/>
      <c r="AA51" s="530"/>
      <c r="AB51" s="530">
        <v>9</v>
      </c>
      <c r="AC51" s="530"/>
      <c r="AD51" s="530"/>
      <c r="AE51" s="530"/>
      <c r="AF51" s="530"/>
      <c r="AG51" s="530"/>
      <c r="AH51" s="530"/>
      <c r="AI51" s="530"/>
      <c r="AJ51" s="543">
        <v>2</v>
      </c>
      <c r="AK51" s="543"/>
      <c r="AL51" s="543"/>
      <c r="AM51" s="543"/>
      <c r="AN51" s="543">
        <v>8</v>
      </c>
      <c r="AO51" s="543"/>
      <c r="AP51" s="543"/>
      <c r="AQ51" s="543"/>
      <c r="AR51" s="546"/>
      <c r="AS51" s="546"/>
      <c r="AT51" s="546"/>
      <c r="AU51" s="546"/>
      <c r="AV51" s="546">
        <v>10</v>
      </c>
      <c r="AW51" s="546"/>
      <c r="AX51" s="546"/>
      <c r="AY51" s="546"/>
      <c r="AZ51" s="546">
        <v>6</v>
      </c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>
        <v>10</v>
      </c>
      <c r="BM51" s="546"/>
      <c r="BN51" s="546"/>
      <c r="BO51" s="546"/>
      <c r="BP51" s="551">
        <v>8</v>
      </c>
      <c r="BQ51" s="556"/>
      <c r="BR51" s="556"/>
      <c r="BS51" s="556"/>
      <c r="BT51" s="556">
        <v>9</v>
      </c>
      <c r="BU51" s="556"/>
      <c r="BV51" s="556"/>
      <c r="BW51" s="556"/>
      <c r="BX51" s="556">
        <v>9</v>
      </c>
      <c r="BY51" s="553"/>
      <c r="BZ51" s="553"/>
      <c r="CA51" s="553"/>
      <c r="CB51" s="558"/>
      <c r="CC51" s="558"/>
      <c r="CD51" s="558"/>
      <c r="CE51" s="558"/>
      <c r="CF51" s="551">
        <v>10</v>
      </c>
      <c r="CG51" s="551"/>
      <c r="CH51" s="551"/>
      <c r="CI51" s="551"/>
      <c r="CJ51" s="551"/>
      <c r="CK51" s="558"/>
      <c r="CL51" s="558"/>
      <c r="CM51" s="558"/>
      <c r="CN51" s="558">
        <v>5</v>
      </c>
      <c r="CO51" s="558"/>
      <c r="CP51" s="558"/>
      <c r="CQ51" s="558"/>
      <c r="CR51" s="551"/>
      <c r="CS51" s="551"/>
      <c r="CT51" s="551"/>
      <c r="CU51" s="551"/>
      <c r="CV51" s="565">
        <v>9</v>
      </c>
      <c r="CW51" s="565">
        <v>10</v>
      </c>
      <c r="CX51" s="565">
        <f>VLOOKUP(B51,'CIA MARKS'!C48:DN116,116,FALSE)</f>
        <v>40</v>
      </c>
      <c r="CY51" s="565">
        <f>VLOOKUP(B51,'CIA MARKS'!C48:DO116,117,FALSE)</f>
        <v>36</v>
      </c>
      <c r="CZ51" s="565">
        <f>VLOOKUP(B51,'CIA MARKS'!C48:DP116,118,FALSE)</f>
        <v>41</v>
      </c>
      <c r="DA51" s="572">
        <f>'CIA MARKS'!EJ48</f>
        <v>45</v>
      </c>
      <c r="DB51" s="573">
        <f t="shared" si="3"/>
        <v>34.5</v>
      </c>
      <c r="DC51" s="4">
        <v>69</v>
      </c>
      <c r="DD51" s="575" t="s">
        <v>93</v>
      </c>
      <c r="DF51" s="578" t="str">
        <f>IF(D$7="YES",'CIA MARKS'!DX48,"")</f>
        <v/>
      </c>
      <c r="DG51" s="460" t="str">
        <f>IF(D$8="YES",'CIA MARKS'!EH48,"")</f>
        <v/>
      </c>
      <c r="DH51" s="578">
        <f>IF(D$9="YES",'CIA MARKS'!EJ48,"")</f>
        <v>45</v>
      </c>
      <c r="DI51" s="578">
        <v>34.5</v>
      </c>
      <c r="DK51" s="450"/>
      <c r="DL51" s="450"/>
      <c r="DM51" s="450"/>
      <c r="DN51" s="450"/>
      <c r="DO51" s="450"/>
      <c r="DP51" s="451"/>
      <c r="DQ51" s="454"/>
      <c r="DR51" s="455">
        <f t="shared" si="1"/>
        <v>0</v>
      </c>
    </row>
    <row r="52" ht="18.75" spans="1:122">
      <c r="A52" s="527">
        <v>36</v>
      </c>
      <c r="B52" s="3" t="s">
        <v>165</v>
      </c>
      <c r="C52" s="528" t="s">
        <v>166</v>
      </c>
      <c r="D52" s="530">
        <v>8</v>
      </c>
      <c r="E52" s="530"/>
      <c r="F52" s="530"/>
      <c r="G52" s="530"/>
      <c r="H52" s="530">
        <v>8</v>
      </c>
      <c r="I52" s="530"/>
      <c r="J52" s="530"/>
      <c r="K52" s="530"/>
      <c r="L52" s="530">
        <v>7</v>
      </c>
      <c r="M52" s="530"/>
      <c r="N52" s="530"/>
      <c r="O52" s="530"/>
      <c r="P52" s="530"/>
      <c r="Q52" s="530"/>
      <c r="R52" s="530"/>
      <c r="S52" s="530"/>
      <c r="T52" s="530">
        <v>9</v>
      </c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>
        <v>8</v>
      </c>
      <c r="AG52" s="530"/>
      <c r="AH52" s="530"/>
      <c r="AI52" s="530"/>
      <c r="AJ52" s="543">
        <v>10</v>
      </c>
      <c r="AK52" s="543"/>
      <c r="AL52" s="543"/>
      <c r="AM52" s="543"/>
      <c r="AN52" s="543">
        <v>10</v>
      </c>
      <c r="AO52" s="543"/>
      <c r="AP52" s="543"/>
      <c r="AQ52" s="543"/>
      <c r="AR52" s="546"/>
      <c r="AS52" s="546"/>
      <c r="AT52" s="546"/>
      <c r="AU52" s="546"/>
      <c r="AV52" s="546">
        <v>10</v>
      </c>
      <c r="AW52" s="546"/>
      <c r="AX52" s="546"/>
      <c r="AY52" s="546"/>
      <c r="AZ52" s="546">
        <v>8</v>
      </c>
      <c r="BA52" s="546"/>
      <c r="BB52" s="546"/>
      <c r="BC52" s="546"/>
      <c r="BD52" s="546"/>
      <c r="BE52" s="546"/>
      <c r="BF52" s="546"/>
      <c r="BG52" s="546"/>
      <c r="BH52" s="546">
        <v>5</v>
      </c>
      <c r="BI52" s="546"/>
      <c r="BJ52" s="546"/>
      <c r="BK52" s="546"/>
      <c r="BL52" s="546"/>
      <c r="BM52" s="546"/>
      <c r="BN52" s="546"/>
      <c r="BO52" s="546"/>
      <c r="BP52" s="551">
        <v>6</v>
      </c>
      <c r="BQ52" s="556"/>
      <c r="BR52" s="556"/>
      <c r="BS52" s="556"/>
      <c r="BT52" s="556">
        <v>7</v>
      </c>
      <c r="BU52" s="556"/>
      <c r="BV52" s="556"/>
      <c r="BW52" s="556"/>
      <c r="BX52" s="556"/>
      <c r="BY52" s="553"/>
      <c r="BZ52" s="553"/>
      <c r="CA52" s="553"/>
      <c r="CB52" s="558">
        <v>8</v>
      </c>
      <c r="CC52" s="558"/>
      <c r="CD52" s="558"/>
      <c r="CE52" s="558"/>
      <c r="CF52" s="551">
        <v>8</v>
      </c>
      <c r="CG52" s="551"/>
      <c r="CH52" s="551"/>
      <c r="CI52" s="551"/>
      <c r="CJ52" s="551"/>
      <c r="CK52" s="558"/>
      <c r="CL52" s="558"/>
      <c r="CM52" s="558"/>
      <c r="CN52" s="558">
        <v>8</v>
      </c>
      <c r="CO52" s="558"/>
      <c r="CP52" s="558"/>
      <c r="CQ52" s="558"/>
      <c r="CR52" s="551"/>
      <c r="CS52" s="551"/>
      <c r="CT52" s="551"/>
      <c r="CU52" s="551"/>
      <c r="CV52" s="565">
        <v>8</v>
      </c>
      <c r="CW52" s="565">
        <v>10</v>
      </c>
      <c r="CX52" s="565">
        <f>VLOOKUP(B52,'CIA MARKS'!C49:DN117,116,FALSE)</f>
        <v>40</v>
      </c>
      <c r="CY52" s="565">
        <f>VLOOKUP(B52,'CIA MARKS'!C49:DO117,117,FALSE)</f>
        <v>43</v>
      </c>
      <c r="CZ52" s="565">
        <f>VLOOKUP(B52,'CIA MARKS'!C49:DP117,118,FALSE)</f>
        <v>37</v>
      </c>
      <c r="DA52" s="572">
        <f>'CIA MARKS'!EJ49</f>
        <v>44</v>
      </c>
      <c r="DB52" s="573">
        <f t="shared" si="3"/>
        <v>32.5</v>
      </c>
      <c r="DC52" s="4">
        <v>65</v>
      </c>
      <c r="DD52" s="575" t="s">
        <v>90</v>
      </c>
      <c r="DF52" s="578" t="str">
        <f>IF(D$7="YES",'CIA MARKS'!DX49,"")</f>
        <v/>
      </c>
      <c r="DG52" s="460" t="str">
        <f>IF(D$8="YES",'CIA MARKS'!EH49,"")</f>
        <v/>
      </c>
      <c r="DH52" s="578">
        <f>IF(D$9="YES",'CIA MARKS'!EJ49,"")</f>
        <v>44</v>
      </c>
      <c r="DI52" s="578">
        <v>32.5</v>
      </c>
      <c r="DK52" s="450"/>
      <c r="DL52" s="450"/>
      <c r="DM52" s="450"/>
      <c r="DN52" s="450"/>
      <c r="DO52" s="450"/>
      <c r="DP52" s="451"/>
      <c r="DQ52" s="454"/>
      <c r="DR52" s="455">
        <f t="shared" si="1"/>
        <v>0</v>
      </c>
    </row>
    <row r="53" ht="18.75" spans="1:122">
      <c r="A53" s="527">
        <v>37</v>
      </c>
      <c r="B53" s="3" t="s">
        <v>167</v>
      </c>
      <c r="C53" s="528" t="s">
        <v>168</v>
      </c>
      <c r="D53" s="530">
        <v>9</v>
      </c>
      <c r="E53" s="530"/>
      <c r="F53" s="530"/>
      <c r="G53" s="530"/>
      <c r="H53" s="530">
        <v>7</v>
      </c>
      <c r="I53" s="530"/>
      <c r="J53" s="530"/>
      <c r="K53" s="530"/>
      <c r="L53" s="530">
        <v>9</v>
      </c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>
        <v>9</v>
      </c>
      <c r="Y53" s="530"/>
      <c r="Z53" s="530"/>
      <c r="AA53" s="530"/>
      <c r="AB53" s="530"/>
      <c r="AC53" s="530"/>
      <c r="AD53" s="530"/>
      <c r="AE53" s="530"/>
      <c r="AF53" s="530">
        <v>8</v>
      </c>
      <c r="AG53" s="530"/>
      <c r="AH53" s="530"/>
      <c r="AI53" s="530"/>
      <c r="AJ53" s="543">
        <v>7</v>
      </c>
      <c r="AK53" s="543"/>
      <c r="AL53" s="543"/>
      <c r="AM53" s="543"/>
      <c r="AN53" s="543">
        <v>6</v>
      </c>
      <c r="AO53" s="543"/>
      <c r="AP53" s="543"/>
      <c r="AQ53" s="543"/>
      <c r="AR53" s="546"/>
      <c r="AS53" s="546"/>
      <c r="AT53" s="546"/>
      <c r="AU53" s="546"/>
      <c r="AV53" s="546">
        <v>9</v>
      </c>
      <c r="AW53" s="546"/>
      <c r="AX53" s="546"/>
      <c r="AY53" s="546"/>
      <c r="AZ53" s="546"/>
      <c r="BA53" s="546"/>
      <c r="BB53" s="546"/>
      <c r="BC53" s="546"/>
      <c r="BD53" s="546">
        <v>6</v>
      </c>
      <c r="BE53" s="546"/>
      <c r="BF53" s="546"/>
      <c r="BG53" s="546"/>
      <c r="BH53" s="546">
        <v>6</v>
      </c>
      <c r="BI53" s="546"/>
      <c r="BJ53" s="546"/>
      <c r="BK53" s="546"/>
      <c r="BL53" s="546"/>
      <c r="BM53" s="546"/>
      <c r="BN53" s="546"/>
      <c r="BO53" s="546"/>
      <c r="BP53" s="551">
        <v>8</v>
      </c>
      <c r="BQ53" s="556"/>
      <c r="BR53" s="556"/>
      <c r="BS53" s="556"/>
      <c r="BT53" s="556">
        <v>9</v>
      </c>
      <c r="BU53" s="556"/>
      <c r="BV53" s="556"/>
      <c r="BW53" s="556"/>
      <c r="BX53" s="556"/>
      <c r="BY53" s="553"/>
      <c r="BZ53" s="553"/>
      <c r="CA53" s="553"/>
      <c r="CB53" s="558">
        <v>8</v>
      </c>
      <c r="CC53" s="558"/>
      <c r="CD53" s="558"/>
      <c r="CE53" s="558"/>
      <c r="CF53" s="551">
        <v>8</v>
      </c>
      <c r="CG53" s="551"/>
      <c r="CH53" s="551"/>
      <c r="CI53" s="551"/>
      <c r="CJ53" s="551"/>
      <c r="CK53" s="558"/>
      <c r="CL53" s="558"/>
      <c r="CM53" s="558"/>
      <c r="CN53" s="558"/>
      <c r="CO53" s="558"/>
      <c r="CP53" s="558"/>
      <c r="CQ53" s="558"/>
      <c r="CR53" s="551">
        <v>10</v>
      </c>
      <c r="CS53" s="551"/>
      <c r="CT53" s="551"/>
      <c r="CU53" s="551"/>
      <c r="CV53" s="565">
        <v>8</v>
      </c>
      <c r="CW53" s="565">
        <v>10</v>
      </c>
      <c r="CX53" s="565">
        <f>VLOOKUP(B53,'CIA MARKS'!C50:DN118,116,FALSE)</f>
        <v>42</v>
      </c>
      <c r="CY53" s="565">
        <f>VLOOKUP(B53,'CIA MARKS'!C50:DO118,117,FALSE)</f>
        <v>34</v>
      </c>
      <c r="CZ53" s="565">
        <f>VLOOKUP(B53,'CIA MARKS'!C50:DP118,118,FALSE)</f>
        <v>43</v>
      </c>
      <c r="DA53" s="572">
        <f>'CIA MARKS'!EJ50</f>
        <v>45</v>
      </c>
      <c r="DB53" s="573">
        <f t="shared" si="3"/>
        <v>40</v>
      </c>
      <c r="DC53" s="4">
        <v>80</v>
      </c>
      <c r="DD53" s="575" t="s">
        <v>93</v>
      </c>
      <c r="DF53" s="578" t="str">
        <f>IF(D$7="YES",'CIA MARKS'!DX50,"")</f>
        <v/>
      </c>
      <c r="DG53" s="460" t="str">
        <f>IF(D$8="YES",'CIA MARKS'!EH50,"")</f>
        <v/>
      </c>
      <c r="DH53" s="578">
        <f>IF(D$9="YES",'CIA MARKS'!EJ50,"")</f>
        <v>45</v>
      </c>
      <c r="DI53" s="578">
        <v>40</v>
      </c>
      <c r="DK53" s="450"/>
      <c r="DL53" s="450"/>
      <c r="DM53" s="450"/>
      <c r="DN53" s="450"/>
      <c r="DO53" s="450"/>
      <c r="DP53" s="451"/>
      <c r="DQ53" s="454"/>
      <c r="DR53" s="455">
        <f t="shared" si="1"/>
        <v>0</v>
      </c>
    </row>
    <row r="54" ht="18.75" spans="1:122">
      <c r="A54" s="527">
        <v>38</v>
      </c>
      <c r="B54" s="3" t="s">
        <v>169</v>
      </c>
      <c r="C54" s="528" t="s">
        <v>170</v>
      </c>
      <c r="D54" s="530">
        <v>4</v>
      </c>
      <c r="E54" s="530"/>
      <c r="F54" s="530"/>
      <c r="G54" s="530"/>
      <c r="H54" s="530">
        <v>7</v>
      </c>
      <c r="I54" s="530"/>
      <c r="J54" s="530"/>
      <c r="K54" s="530"/>
      <c r="L54" s="530">
        <v>4</v>
      </c>
      <c r="M54" s="530"/>
      <c r="N54" s="530"/>
      <c r="O54" s="530"/>
      <c r="P54" s="530"/>
      <c r="Q54" s="530"/>
      <c r="R54" s="530"/>
      <c r="S54" s="530"/>
      <c r="T54" s="530">
        <v>8</v>
      </c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>
        <v>3</v>
      </c>
      <c r="AG54" s="530"/>
      <c r="AH54" s="530"/>
      <c r="AI54" s="530"/>
      <c r="AJ54" s="543">
        <v>6</v>
      </c>
      <c r="AK54" s="543"/>
      <c r="AL54" s="543"/>
      <c r="AM54" s="543"/>
      <c r="AN54" s="543">
        <v>6</v>
      </c>
      <c r="AO54" s="543"/>
      <c r="AP54" s="543"/>
      <c r="AQ54" s="543"/>
      <c r="AR54" s="546">
        <v>8</v>
      </c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>
        <v>6</v>
      </c>
      <c r="BE54" s="546"/>
      <c r="BF54" s="546"/>
      <c r="BG54" s="546"/>
      <c r="BH54" s="546">
        <v>8</v>
      </c>
      <c r="BI54" s="546"/>
      <c r="BJ54" s="546"/>
      <c r="BK54" s="546"/>
      <c r="BL54" s="546"/>
      <c r="BM54" s="546"/>
      <c r="BN54" s="546"/>
      <c r="BO54" s="546"/>
      <c r="BP54" s="551">
        <v>8</v>
      </c>
      <c r="BQ54" s="556"/>
      <c r="BR54" s="556"/>
      <c r="BS54" s="556"/>
      <c r="BT54" s="556">
        <v>6</v>
      </c>
      <c r="BU54" s="556"/>
      <c r="BV54" s="556"/>
      <c r="BW54" s="556"/>
      <c r="BX54" s="556"/>
      <c r="BY54" s="553"/>
      <c r="BZ54" s="553"/>
      <c r="CA54" s="553"/>
      <c r="CB54" s="558">
        <v>7</v>
      </c>
      <c r="CC54" s="558"/>
      <c r="CD54" s="558"/>
      <c r="CE54" s="558"/>
      <c r="CF54" s="551">
        <v>8</v>
      </c>
      <c r="CG54" s="551"/>
      <c r="CH54" s="551"/>
      <c r="CI54" s="551"/>
      <c r="CJ54" s="551"/>
      <c r="CK54" s="558"/>
      <c r="CL54" s="558"/>
      <c r="CM54" s="558"/>
      <c r="CN54" s="558"/>
      <c r="CO54" s="558"/>
      <c r="CP54" s="558"/>
      <c r="CQ54" s="558"/>
      <c r="CR54" s="551">
        <v>8</v>
      </c>
      <c r="CS54" s="551"/>
      <c r="CT54" s="551"/>
      <c r="CU54" s="551"/>
      <c r="CV54" s="565">
        <v>8</v>
      </c>
      <c r="CW54" s="565">
        <v>10</v>
      </c>
      <c r="CX54" s="565">
        <f>VLOOKUP(B54,'CIA MARKS'!C51:DN119,116,FALSE)</f>
        <v>26</v>
      </c>
      <c r="CY54" s="565">
        <f>VLOOKUP(B54,'CIA MARKS'!C51:DO119,117,FALSE)</f>
        <v>34</v>
      </c>
      <c r="CZ54" s="565">
        <f>VLOOKUP(B54,'CIA MARKS'!C51:DP119,118,FALSE)</f>
        <v>37</v>
      </c>
      <c r="DA54" s="572">
        <f>'CIA MARKS'!EJ51</f>
        <v>39</v>
      </c>
      <c r="DB54" s="573">
        <f t="shared" si="3"/>
        <v>29.5</v>
      </c>
      <c r="DC54" s="4">
        <v>59</v>
      </c>
      <c r="DD54" s="575" t="s">
        <v>96</v>
      </c>
      <c r="DF54" s="578" t="str">
        <f>IF(D$7="YES",'CIA MARKS'!DX51,"")</f>
        <v/>
      </c>
      <c r="DG54" s="460" t="str">
        <f>IF(D$8="YES",'CIA MARKS'!EH51,"")</f>
        <v/>
      </c>
      <c r="DH54" s="578">
        <f>IF(D$9="YES",'CIA MARKS'!EJ51,"")</f>
        <v>39</v>
      </c>
      <c r="DI54" s="578">
        <v>29.5</v>
      </c>
      <c r="DK54" s="450"/>
      <c r="DL54" s="450"/>
      <c r="DM54" s="450"/>
      <c r="DN54" s="450"/>
      <c r="DO54" s="450"/>
      <c r="DP54" s="451"/>
      <c r="DQ54" s="454"/>
      <c r="DR54" s="455">
        <f t="shared" si="1"/>
        <v>0</v>
      </c>
    </row>
    <row r="55" ht="18.75" spans="1:122">
      <c r="A55" s="527">
        <v>39</v>
      </c>
      <c r="B55" s="3" t="s">
        <v>171</v>
      </c>
      <c r="C55" s="528" t="s">
        <v>172</v>
      </c>
      <c r="D55" s="530">
        <v>8</v>
      </c>
      <c r="E55" s="530"/>
      <c r="F55" s="530"/>
      <c r="G55" s="530"/>
      <c r="H55" s="530">
        <v>4</v>
      </c>
      <c r="I55" s="530"/>
      <c r="J55" s="530"/>
      <c r="K55" s="530"/>
      <c r="L55" s="530">
        <v>4</v>
      </c>
      <c r="M55" s="530"/>
      <c r="N55" s="530"/>
      <c r="O55" s="530"/>
      <c r="P55" s="530"/>
      <c r="Q55" s="530"/>
      <c r="R55" s="530"/>
      <c r="S55" s="530"/>
      <c r="T55" s="530">
        <v>0</v>
      </c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>
        <v>3</v>
      </c>
      <c r="AG55" s="530"/>
      <c r="AH55" s="530"/>
      <c r="AI55" s="530"/>
      <c r="AJ55" s="543">
        <v>8</v>
      </c>
      <c r="AK55" s="543"/>
      <c r="AL55" s="543"/>
      <c r="AM55" s="543"/>
      <c r="AN55" s="543">
        <v>5</v>
      </c>
      <c r="AO55" s="543"/>
      <c r="AP55" s="543"/>
      <c r="AQ55" s="543"/>
      <c r="AR55" s="546"/>
      <c r="AS55" s="546"/>
      <c r="AT55" s="546"/>
      <c r="AU55" s="546"/>
      <c r="AV55" s="546">
        <v>6</v>
      </c>
      <c r="AW55" s="546"/>
      <c r="AX55" s="546"/>
      <c r="AY55" s="546"/>
      <c r="AZ55" s="546"/>
      <c r="BA55" s="546"/>
      <c r="BB55" s="546"/>
      <c r="BC55" s="546"/>
      <c r="BD55" s="546">
        <v>0</v>
      </c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51"/>
      <c r="BQ55" s="556"/>
      <c r="BR55" s="556"/>
      <c r="BS55" s="556"/>
      <c r="BT55" s="556">
        <v>10</v>
      </c>
      <c r="BU55" s="556"/>
      <c r="BV55" s="556"/>
      <c r="BW55" s="556"/>
      <c r="BX55" s="556"/>
      <c r="BY55" s="553"/>
      <c r="BZ55" s="553"/>
      <c r="CA55" s="553"/>
      <c r="CB55" s="558"/>
      <c r="CC55" s="558"/>
      <c r="CD55" s="558"/>
      <c r="CE55" s="558"/>
      <c r="CF55" s="551">
        <v>7</v>
      </c>
      <c r="CG55" s="551"/>
      <c r="CH55" s="551"/>
      <c r="CI55" s="551"/>
      <c r="CJ55" s="551"/>
      <c r="CK55" s="558"/>
      <c r="CL55" s="558"/>
      <c r="CM55" s="558"/>
      <c r="CN55" s="558">
        <v>3</v>
      </c>
      <c r="CO55" s="558"/>
      <c r="CP55" s="558"/>
      <c r="CQ55" s="558"/>
      <c r="CR55" s="551"/>
      <c r="CS55" s="551"/>
      <c r="CT55" s="551"/>
      <c r="CU55" s="551"/>
      <c r="CV55" s="565">
        <v>7</v>
      </c>
      <c r="CW55" s="565">
        <v>10</v>
      </c>
      <c r="CX55" s="565">
        <f>VLOOKUP(B55,'CIA MARKS'!C52:DN120,116,FALSE)</f>
        <v>19</v>
      </c>
      <c r="CY55" s="565">
        <f>VLOOKUP(B55,'CIA MARKS'!C52:DO120,117,FALSE)</f>
        <v>19</v>
      </c>
      <c r="CZ55" s="565">
        <f>VLOOKUP(B55,'CIA MARKS'!C52:DP120,118,FALSE)</f>
        <v>20</v>
      </c>
      <c r="DA55" s="572">
        <f>'CIA MARKS'!EJ52</f>
        <v>32</v>
      </c>
      <c r="DB55" s="573">
        <f t="shared" si="3"/>
        <v>16.5</v>
      </c>
      <c r="DC55" s="4">
        <v>33</v>
      </c>
      <c r="DD55" s="576" t="s">
        <v>173</v>
      </c>
      <c r="DF55" s="578" t="str">
        <f>IF(D$7="YES",'CIA MARKS'!DX52,"")</f>
        <v/>
      </c>
      <c r="DG55" s="460" t="str">
        <f>IF(D$8="YES",'CIA MARKS'!EH52,"")</f>
        <v/>
      </c>
      <c r="DH55" s="578">
        <f>IF(D$9="YES",'CIA MARKS'!EJ52,"")</f>
        <v>32</v>
      </c>
      <c r="DI55" s="578">
        <v>16.5</v>
      </c>
      <c r="DK55" s="450"/>
      <c r="DL55" s="450"/>
      <c r="DM55" s="450"/>
      <c r="DN55" s="450"/>
      <c r="DO55" s="450"/>
      <c r="DP55" s="451"/>
      <c r="DQ55" s="454"/>
      <c r="DR55" s="455">
        <f t="shared" si="1"/>
        <v>0</v>
      </c>
    </row>
    <row r="56" ht="18.75" spans="1:122">
      <c r="A56" s="527">
        <v>40</v>
      </c>
      <c r="B56" s="3" t="s">
        <v>174</v>
      </c>
      <c r="C56" s="528" t="s">
        <v>175</v>
      </c>
      <c r="D56" s="530">
        <v>10</v>
      </c>
      <c r="E56" s="530"/>
      <c r="F56" s="530"/>
      <c r="G56" s="530"/>
      <c r="H56" s="530">
        <v>5</v>
      </c>
      <c r="I56" s="530"/>
      <c r="J56" s="530"/>
      <c r="K56" s="530"/>
      <c r="L56" s="530">
        <v>7</v>
      </c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>
        <v>8</v>
      </c>
      <c r="Y56" s="530"/>
      <c r="Z56" s="530"/>
      <c r="AA56" s="530"/>
      <c r="AB56" s="530"/>
      <c r="AC56" s="530"/>
      <c r="AD56" s="530"/>
      <c r="AE56" s="530"/>
      <c r="AF56" s="530">
        <v>8</v>
      </c>
      <c r="AG56" s="530"/>
      <c r="AH56" s="530"/>
      <c r="AI56" s="530"/>
      <c r="AJ56" s="543">
        <v>6</v>
      </c>
      <c r="AK56" s="543"/>
      <c r="AL56" s="543"/>
      <c r="AM56" s="543"/>
      <c r="AN56" s="543">
        <v>8</v>
      </c>
      <c r="AO56" s="543"/>
      <c r="AP56" s="543"/>
      <c r="AQ56" s="543"/>
      <c r="AR56" s="546"/>
      <c r="AS56" s="546"/>
      <c r="AT56" s="546"/>
      <c r="AU56" s="546"/>
      <c r="AV56" s="546">
        <v>10</v>
      </c>
      <c r="AW56" s="546"/>
      <c r="AX56" s="546"/>
      <c r="AY56" s="546"/>
      <c r="AZ56" s="546">
        <v>5</v>
      </c>
      <c r="BA56" s="546"/>
      <c r="BB56" s="546"/>
      <c r="BC56" s="546"/>
      <c r="BD56" s="546"/>
      <c r="BE56" s="546"/>
      <c r="BF56" s="546"/>
      <c r="BG56" s="546"/>
      <c r="BH56" s="546">
        <v>10</v>
      </c>
      <c r="BI56" s="546"/>
      <c r="BJ56" s="546"/>
      <c r="BK56" s="546"/>
      <c r="BL56" s="546"/>
      <c r="BM56" s="546"/>
      <c r="BN56" s="546"/>
      <c r="BO56" s="546"/>
      <c r="BP56" s="551">
        <v>9</v>
      </c>
      <c r="BQ56" s="556"/>
      <c r="BR56" s="556"/>
      <c r="BS56" s="556"/>
      <c r="BT56" s="556">
        <v>9</v>
      </c>
      <c r="BU56" s="556"/>
      <c r="BV56" s="556"/>
      <c r="BW56" s="556"/>
      <c r="BX56" s="556">
        <v>9</v>
      </c>
      <c r="BY56" s="553"/>
      <c r="BZ56" s="553"/>
      <c r="CA56" s="553"/>
      <c r="CB56" s="558"/>
      <c r="CC56" s="558"/>
      <c r="CD56" s="558"/>
      <c r="CE56" s="558"/>
      <c r="CF56" s="551">
        <v>8</v>
      </c>
      <c r="CG56" s="551"/>
      <c r="CH56" s="551"/>
      <c r="CI56" s="551"/>
      <c r="CJ56" s="551"/>
      <c r="CK56" s="558"/>
      <c r="CL56" s="558"/>
      <c r="CM56" s="558"/>
      <c r="CN56" s="558">
        <v>8</v>
      </c>
      <c r="CO56" s="558"/>
      <c r="CP56" s="558"/>
      <c r="CQ56" s="558"/>
      <c r="CR56" s="551"/>
      <c r="CS56" s="551"/>
      <c r="CT56" s="551"/>
      <c r="CU56" s="551"/>
      <c r="CV56" s="565">
        <v>8</v>
      </c>
      <c r="CW56" s="565">
        <v>10</v>
      </c>
      <c r="CX56" s="565">
        <f>VLOOKUP(B56,'CIA MARKS'!C53:DN121,116,FALSE)</f>
        <v>38</v>
      </c>
      <c r="CY56" s="565">
        <f>VLOOKUP(B56,'CIA MARKS'!C53:DO121,117,FALSE)</f>
        <v>39</v>
      </c>
      <c r="CZ56" s="565">
        <f>VLOOKUP(B56,'CIA MARKS'!C53:DP121,118,FALSE)</f>
        <v>43</v>
      </c>
      <c r="DA56" s="572">
        <f>'CIA MARKS'!EJ53</f>
        <v>45</v>
      </c>
      <c r="DB56" s="573">
        <f t="shared" si="3"/>
        <v>34.5</v>
      </c>
      <c r="DC56" s="4">
        <v>69</v>
      </c>
      <c r="DD56" s="575" t="s">
        <v>93</v>
      </c>
      <c r="DF56" s="578" t="str">
        <f>IF(D$7="YES",'CIA MARKS'!DX53,"")</f>
        <v/>
      </c>
      <c r="DG56" s="460" t="str">
        <f>IF(D$8="YES",'CIA MARKS'!EH53,"")</f>
        <v/>
      </c>
      <c r="DH56" s="578">
        <f>IF(D$9="YES",'CIA MARKS'!EJ53,"")</f>
        <v>45</v>
      </c>
      <c r="DI56" s="578">
        <v>34.5</v>
      </c>
      <c r="DK56" s="450"/>
      <c r="DL56" s="450"/>
      <c r="DM56" s="450"/>
      <c r="DN56" s="450"/>
      <c r="DO56" s="450"/>
      <c r="DP56" s="451"/>
      <c r="DQ56" s="454"/>
      <c r="DR56" s="455">
        <f t="shared" si="1"/>
        <v>0</v>
      </c>
    </row>
    <row r="57" ht="18.75" spans="1:122">
      <c r="A57" s="527">
        <v>41</v>
      </c>
      <c r="B57" s="3" t="s">
        <v>176</v>
      </c>
      <c r="C57" s="528" t="s">
        <v>177</v>
      </c>
      <c r="D57" s="530">
        <v>7</v>
      </c>
      <c r="E57" s="530"/>
      <c r="F57" s="530"/>
      <c r="G57" s="530"/>
      <c r="H57" s="530">
        <v>5</v>
      </c>
      <c r="I57" s="530"/>
      <c r="J57" s="530"/>
      <c r="K57" s="530"/>
      <c r="L57" s="530">
        <v>6</v>
      </c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>
        <v>6</v>
      </c>
      <c r="Y57" s="530"/>
      <c r="Z57" s="530"/>
      <c r="AA57" s="530"/>
      <c r="AB57" s="530"/>
      <c r="AC57" s="530"/>
      <c r="AD57" s="530"/>
      <c r="AE57" s="530"/>
      <c r="AF57" s="530">
        <v>3</v>
      </c>
      <c r="AG57" s="530"/>
      <c r="AH57" s="530"/>
      <c r="AI57" s="530"/>
      <c r="AJ57" s="543">
        <v>2</v>
      </c>
      <c r="AK57" s="543"/>
      <c r="AL57" s="543"/>
      <c r="AM57" s="543"/>
      <c r="AN57" s="543">
        <v>8</v>
      </c>
      <c r="AO57" s="543"/>
      <c r="AP57" s="543"/>
      <c r="AQ57" s="543"/>
      <c r="AR57" s="546"/>
      <c r="AS57" s="546"/>
      <c r="AT57" s="546"/>
      <c r="AU57" s="546"/>
      <c r="AV57" s="546">
        <v>10</v>
      </c>
      <c r="AW57" s="546"/>
      <c r="AX57" s="546"/>
      <c r="AY57" s="546"/>
      <c r="AZ57" s="546">
        <v>8</v>
      </c>
      <c r="BA57" s="546"/>
      <c r="BB57" s="546"/>
      <c r="BC57" s="546"/>
      <c r="BD57" s="546"/>
      <c r="BE57" s="546"/>
      <c r="BF57" s="546"/>
      <c r="BG57" s="546"/>
      <c r="BH57" s="546">
        <v>9</v>
      </c>
      <c r="BI57" s="546"/>
      <c r="BJ57" s="546"/>
      <c r="BK57" s="546"/>
      <c r="BL57" s="546"/>
      <c r="BM57" s="546"/>
      <c r="BN57" s="546"/>
      <c r="BO57" s="546"/>
      <c r="BP57" s="551">
        <v>8</v>
      </c>
      <c r="BQ57" s="556"/>
      <c r="BR57" s="556"/>
      <c r="BS57" s="556"/>
      <c r="BT57" s="556">
        <v>6</v>
      </c>
      <c r="BU57" s="556"/>
      <c r="BV57" s="556"/>
      <c r="BW57" s="556"/>
      <c r="BX57" s="556">
        <v>6</v>
      </c>
      <c r="BY57" s="553"/>
      <c r="BZ57" s="553"/>
      <c r="CA57" s="553"/>
      <c r="CB57" s="558"/>
      <c r="CC57" s="558"/>
      <c r="CD57" s="558"/>
      <c r="CE57" s="558"/>
      <c r="CF57" s="551">
        <v>5</v>
      </c>
      <c r="CG57" s="551"/>
      <c r="CH57" s="551"/>
      <c r="CI57" s="551"/>
      <c r="CJ57" s="551"/>
      <c r="CK57" s="558"/>
      <c r="CL57" s="558"/>
      <c r="CM57" s="558"/>
      <c r="CN57" s="558">
        <v>4</v>
      </c>
      <c r="CO57" s="558"/>
      <c r="CP57" s="558"/>
      <c r="CQ57" s="558"/>
      <c r="CR57" s="551"/>
      <c r="CS57" s="551"/>
      <c r="CT57" s="551"/>
      <c r="CU57" s="551"/>
      <c r="CV57" s="565">
        <v>7</v>
      </c>
      <c r="CW57" s="565">
        <v>10</v>
      </c>
      <c r="CX57" s="565">
        <f>VLOOKUP(B57,'CIA MARKS'!C54:DN122,116,FALSE)</f>
        <v>27</v>
      </c>
      <c r="CY57" s="565">
        <f>VLOOKUP(B57,'CIA MARKS'!C54:DO122,117,FALSE)</f>
        <v>37</v>
      </c>
      <c r="CZ57" s="565">
        <f>VLOOKUP(B57,'CIA MARKS'!C54:DP122,118,FALSE)</f>
        <v>29</v>
      </c>
      <c r="DA57" s="572">
        <f>'CIA MARKS'!EJ54</f>
        <v>40</v>
      </c>
      <c r="DB57" s="573">
        <f t="shared" si="3"/>
        <v>38.5</v>
      </c>
      <c r="DC57" s="4">
        <v>77</v>
      </c>
      <c r="DD57" s="575" t="s">
        <v>90</v>
      </c>
      <c r="DF57" s="578" t="str">
        <f>IF(D$7="YES",'CIA MARKS'!DX54,"")</f>
        <v/>
      </c>
      <c r="DG57" s="460" t="str">
        <f>IF(D$8="YES",'CIA MARKS'!EH54,"")</f>
        <v/>
      </c>
      <c r="DH57" s="578">
        <f>IF(D$9="YES",'CIA MARKS'!EJ54,"")</f>
        <v>40</v>
      </c>
      <c r="DI57" s="578">
        <v>38.5</v>
      </c>
      <c r="DK57" s="450"/>
      <c r="DL57" s="450"/>
      <c r="DM57" s="450"/>
      <c r="DN57" s="450"/>
      <c r="DO57" s="450"/>
      <c r="DP57" s="451"/>
      <c r="DQ57" s="454"/>
      <c r="DR57" s="455">
        <f t="shared" si="1"/>
        <v>0</v>
      </c>
    </row>
    <row r="58" ht="18.75" spans="1:122">
      <c r="A58" s="527">
        <v>42</v>
      </c>
      <c r="B58" s="3" t="s">
        <v>178</v>
      </c>
      <c r="C58" s="528" t="s">
        <v>179</v>
      </c>
      <c r="D58" s="530">
        <v>8</v>
      </c>
      <c r="E58" s="530"/>
      <c r="F58" s="530"/>
      <c r="G58" s="530"/>
      <c r="H58" s="530">
        <v>4</v>
      </c>
      <c r="I58" s="530"/>
      <c r="J58" s="530"/>
      <c r="K58" s="530"/>
      <c r="L58" s="530">
        <v>3</v>
      </c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>
        <v>8</v>
      </c>
      <c r="Y58" s="530"/>
      <c r="Z58" s="530"/>
      <c r="AA58" s="530"/>
      <c r="AB58" s="530">
        <v>0</v>
      </c>
      <c r="AC58" s="530"/>
      <c r="AD58" s="530"/>
      <c r="AE58" s="530"/>
      <c r="AF58" s="530"/>
      <c r="AG58" s="530"/>
      <c r="AH58" s="530"/>
      <c r="AI58" s="530"/>
      <c r="AJ58" s="543">
        <v>2</v>
      </c>
      <c r="AK58" s="543"/>
      <c r="AL58" s="543"/>
      <c r="AM58" s="543"/>
      <c r="AN58" s="543">
        <v>4</v>
      </c>
      <c r="AO58" s="543"/>
      <c r="AP58" s="543"/>
      <c r="AQ58" s="543"/>
      <c r="AR58" s="546"/>
      <c r="AS58" s="546"/>
      <c r="AT58" s="546"/>
      <c r="AU58" s="546"/>
      <c r="AV58" s="546">
        <v>8</v>
      </c>
      <c r="AW58" s="546"/>
      <c r="AX58" s="546"/>
      <c r="AY58" s="546"/>
      <c r="AZ58" s="546"/>
      <c r="BA58" s="546"/>
      <c r="BB58" s="546"/>
      <c r="BC58" s="546"/>
      <c r="BD58" s="546">
        <v>4</v>
      </c>
      <c r="BE58" s="546"/>
      <c r="BF58" s="546"/>
      <c r="BG58" s="546"/>
      <c r="BH58" s="546">
        <v>6</v>
      </c>
      <c r="BI58" s="546"/>
      <c r="BJ58" s="546"/>
      <c r="BK58" s="546"/>
      <c r="BL58" s="546"/>
      <c r="BM58" s="546"/>
      <c r="BN58" s="546"/>
      <c r="BO58" s="546"/>
      <c r="BP58" s="551">
        <v>6</v>
      </c>
      <c r="BQ58" s="556"/>
      <c r="BR58" s="556"/>
      <c r="BS58" s="556"/>
      <c r="BT58" s="556">
        <v>5</v>
      </c>
      <c r="BU58" s="556"/>
      <c r="BV58" s="556"/>
      <c r="BW58" s="556"/>
      <c r="BX58" s="556">
        <v>5</v>
      </c>
      <c r="BY58" s="553"/>
      <c r="BZ58" s="553"/>
      <c r="CA58" s="553"/>
      <c r="CB58" s="558"/>
      <c r="CC58" s="558"/>
      <c r="CD58" s="558"/>
      <c r="CE58" s="558"/>
      <c r="CF58" s="551"/>
      <c r="CG58" s="551"/>
      <c r="CH58" s="551"/>
      <c r="CI58" s="551"/>
      <c r="CJ58" s="551">
        <v>7</v>
      </c>
      <c r="CK58" s="558"/>
      <c r="CL58" s="558"/>
      <c r="CM58" s="558"/>
      <c r="CN58" s="558"/>
      <c r="CO58" s="558"/>
      <c r="CP58" s="558"/>
      <c r="CQ58" s="558"/>
      <c r="CR58" s="551">
        <v>7</v>
      </c>
      <c r="CS58" s="551"/>
      <c r="CT58" s="551"/>
      <c r="CU58" s="551"/>
      <c r="CV58" s="565">
        <v>7</v>
      </c>
      <c r="CW58" s="565">
        <v>10</v>
      </c>
      <c r="CX58" s="565">
        <f>VLOOKUP(B58,'CIA MARKS'!C55:DN123,116,FALSE)</f>
        <v>23</v>
      </c>
      <c r="CY58" s="565">
        <f>VLOOKUP(B58,'CIA MARKS'!C55:DO123,117,FALSE)</f>
        <v>24</v>
      </c>
      <c r="CZ58" s="565">
        <f>VLOOKUP(B58,'CIA MARKS'!C55:DP123,118,FALSE)</f>
        <v>30</v>
      </c>
      <c r="DA58" s="572">
        <f>'CIA MARKS'!EJ55</f>
        <v>35</v>
      </c>
      <c r="DB58" s="573">
        <f t="shared" si="3"/>
        <v>38.5</v>
      </c>
      <c r="DC58" s="4">
        <v>77</v>
      </c>
      <c r="DD58" s="575" t="s">
        <v>90</v>
      </c>
      <c r="DF58" s="578" t="str">
        <f>IF(D$7="YES",'CIA MARKS'!DX55,"")</f>
        <v/>
      </c>
      <c r="DG58" s="460" t="str">
        <f>IF(D$8="YES",'CIA MARKS'!EH55,"")</f>
        <v/>
      </c>
      <c r="DH58" s="578">
        <f>IF(D$9="YES",'CIA MARKS'!EJ55,"")</f>
        <v>35</v>
      </c>
      <c r="DI58" s="578">
        <v>38.5</v>
      </c>
      <c r="DK58" s="450"/>
      <c r="DL58" s="450"/>
      <c r="DM58" s="450"/>
      <c r="DN58" s="450"/>
      <c r="DO58" s="450"/>
      <c r="DP58" s="451"/>
      <c r="DQ58" s="454"/>
      <c r="DR58" s="455">
        <f t="shared" si="1"/>
        <v>0</v>
      </c>
    </row>
    <row r="59" ht="16.5" customHeight="1" spans="1:122">
      <c r="A59" s="527">
        <v>43</v>
      </c>
      <c r="B59" s="3" t="s">
        <v>180</v>
      </c>
      <c r="C59" s="528" t="s">
        <v>181</v>
      </c>
      <c r="D59" s="530">
        <v>7</v>
      </c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>
        <v>4</v>
      </c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43"/>
      <c r="AK59" s="543"/>
      <c r="AL59" s="543"/>
      <c r="AM59" s="543"/>
      <c r="AN59" s="543">
        <v>6</v>
      </c>
      <c r="AO59" s="543"/>
      <c r="AP59" s="543"/>
      <c r="AQ59" s="543"/>
      <c r="AR59" s="546"/>
      <c r="AS59" s="546"/>
      <c r="AT59" s="546"/>
      <c r="AU59" s="546"/>
      <c r="AV59" s="546">
        <v>4</v>
      </c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>
        <v>5</v>
      </c>
      <c r="BI59" s="546"/>
      <c r="BJ59" s="546"/>
      <c r="BK59" s="546"/>
      <c r="BL59" s="546"/>
      <c r="BM59" s="546"/>
      <c r="BN59" s="546"/>
      <c r="BO59" s="546"/>
      <c r="BP59" s="551">
        <v>10</v>
      </c>
      <c r="BQ59" s="556"/>
      <c r="BR59" s="556"/>
      <c r="BS59" s="556"/>
      <c r="BT59" s="556">
        <v>10</v>
      </c>
      <c r="BU59" s="556"/>
      <c r="BV59" s="556"/>
      <c r="BW59" s="556"/>
      <c r="BX59" s="556">
        <v>9</v>
      </c>
      <c r="BY59" s="553"/>
      <c r="BZ59" s="553"/>
      <c r="CA59" s="553"/>
      <c r="CB59" s="558"/>
      <c r="CC59" s="558"/>
      <c r="CD59" s="558"/>
      <c r="CE59" s="558"/>
      <c r="CF59" s="551">
        <v>10</v>
      </c>
      <c r="CG59" s="551"/>
      <c r="CH59" s="551"/>
      <c r="CI59" s="551"/>
      <c r="CJ59" s="551"/>
      <c r="CK59" s="558"/>
      <c r="CL59" s="558"/>
      <c r="CM59" s="558"/>
      <c r="CN59" s="558"/>
      <c r="CO59" s="558"/>
      <c r="CP59" s="558"/>
      <c r="CQ59" s="558"/>
      <c r="CR59" s="551"/>
      <c r="CS59" s="551"/>
      <c r="CT59" s="551"/>
      <c r="CU59" s="551"/>
      <c r="CV59" s="565">
        <v>7</v>
      </c>
      <c r="CW59" s="565">
        <v>10</v>
      </c>
      <c r="CX59" s="565">
        <f>VLOOKUP(B59,'CIA MARKS'!C56:DN124,116,FALSE)</f>
        <v>11</v>
      </c>
      <c r="CY59" s="565">
        <f>VLOOKUP(B59,'CIA MARKS'!C56:DO124,117,FALSE)</f>
        <v>15</v>
      </c>
      <c r="CZ59" s="565">
        <f>VLOOKUP(B59,'CIA MARKS'!C56:DP124,118,FALSE)</f>
        <v>39</v>
      </c>
      <c r="DA59" s="572">
        <f>'CIA MARKS'!EJ56</f>
        <v>34</v>
      </c>
      <c r="DB59" s="573">
        <f t="shared" si="3"/>
        <v>33.5</v>
      </c>
      <c r="DC59" s="4">
        <v>67</v>
      </c>
      <c r="DD59" s="575" t="s">
        <v>96</v>
      </c>
      <c r="DF59" s="578" t="str">
        <f>IF(D$7="YES",'CIA MARKS'!DX56,"")</f>
        <v/>
      </c>
      <c r="DG59" s="460" t="str">
        <f>IF(D$8="YES",'CIA MARKS'!EH56,"")</f>
        <v/>
      </c>
      <c r="DH59" s="578">
        <f>IF(D$9="YES",'CIA MARKS'!EJ56,"")</f>
        <v>34</v>
      </c>
      <c r="DI59" s="578">
        <v>33.5</v>
      </c>
      <c r="DK59" s="450"/>
      <c r="DL59" s="450"/>
      <c r="DM59" s="450"/>
      <c r="DN59" s="450"/>
      <c r="DO59" s="450"/>
      <c r="DP59" s="451"/>
      <c r="DQ59" s="454"/>
      <c r="DR59" s="455">
        <f t="shared" si="1"/>
        <v>0</v>
      </c>
    </row>
    <row r="60" ht="18.75" spans="1:122">
      <c r="A60" s="527">
        <v>44</v>
      </c>
      <c r="B60" s="3" t="s">
        <v>182</v>
      </c>
      <c r="C60" s="528" t="s">
        <v>183</v>
      </c>
      <c r="D60" s="530">
        <v>9</v>
      </c>
      <c r="E60" s="530"/>
      <c r="F60" s="530"/>
      <c r="G60" s="530"/>
      <c r="H60" s="530">
        <v>9</v>
      </c>
      <c r="I60" s="530"/>
      <c r="J60" s="530"/>
      <c r="K60" s="530"/>
      <c r="L60" s="530"/>
      <c r="M60" s="530"/>
      <c r="N60" s="530"/>
      <c r="O60" s="530"/>
      <c r="P60" s="530">
        <v>10</v>
      </c>
      <c r="Q60" s="530"/>
      <c r="R60" s="530"/>
      <c r="S60" s="530"/>
      <c r="T60" s="530"/>
      <c r="U60" s="530"/>
      <c r="V60" s="530"/>
      <c r="W60" s="530"/>
      <c r="X60" s="530">
        <v>9</v>
      </c>
      <c r="Y60" s="530"/>
      <c r="Z60" s="530"/>
      <c r="AA60" s="530"/>
      <c r="AB60" s="530">
        <v>10</v>
      </c>
      <c r="AC60" s="530"/>
      <c r="AD60" s="530"/>
      <c r="AE60" s="530"/>
      <c r="AF60" s="530"/>
      <c r="AG60" s="530"/>
      <c r="AH60" s="530"/>
      <c r="AI60" s="530"/>
      <c r="AJ60" s="543">
        <v>4</v>
      </c>
      <c r="AK60" s="543"/>
      <c r="AL60" s="543"/>
      <c r="AM60" s="543"/>
      <c r="AN60" s="543">
        <v>2</v>
      </c>
      <c r="AO60" s="543"/>
      <c r="AP60" s="543"/>
      <c r="AQ60" s="543"/>
      <c r="AR60" s="546"/>
      <c r="AS60" s="546"/>
      <c r="AT60" s="546"/>
      <c r="AU60" s="546"/>
      <c r="AV60" s="546">
        <v>10</v>
      </c>
      <c r="AW60" s="546"/>
      <c r="AX60" s="546"/>
      <c r="AY60" s="546"/>
      <c r="AZ60" s="546">
        <v>6</v>
      </c>
      <c r="BA60" s="546"/>
      <c r="BB60" s="546"/>
      <c r="BC60" s="546"/>
      <c r="BD60" s="546"/>
      <c r="BE60" s="546"/>
      <c r="BF60" s="546"/>
      <c r="BG60" s="546"/>
      <c r="BH60" s="546">
        <v>10</v>
      </c>
      <c r="BI60" s="546"/>
      <c r="BJ60" s="546"/>
      <c r="BK60" s="546"/>
      <c r="BL60" s="546"/>
      <c r="BM60" s="546"/>
      <c r="BN60" s="546"/>
      <c r="BO60" s="546"/>
      <c r="BP60" s="551">
        <v>9</v>
      </c>
      <c r="BQ60" s="556"/>
      <c r="BR60" s="556"/>
      <c r="BS60" s="556"/>
      <c r="BT60" s="556">
        <v>10</v>
      </c>
      <c r="BU60" s="556"/>
      <c r="BV60" s="556"/>
      <c r="BW60" s="556"/>
      <c r="BX60" s="556">
        <v>10</v>
      </c>
      <c r="BY60" s="553"/>
      <c r="BZ60" s="553"/>
      <c r="CA60" s="553"/>
      <c r="CB60" s="558"/>
      <c r="CC60" s="558"/>
      <c r="CD60" s="558"/>
      <c r="CE60" s="558"/>
      <c r="CF60" s="551">
        <v>10</v>
      </c>
      <c r="CG60" s="551"/>
      <c r="CH60" s="551"/>
      <c r="CI60" s="551"/>
      <c r="CJ60" s="551"/>
      <c r="CK60" s="558"/>
      <c r="CL60" s="558"/>
      <c r="CM60" s="558"/>
      <c r="CN60" s="558">
        <v>10</v>
      </c>
      <c r="CO60" s="558"/>
      <c r="CP60" s="558"/>
      <c r="CQ60" s="558"/>
      <c r="CR60" s="551"/>
      <c r="CS60" s="551"/>
      <c r="CT60" s="551"/>
      <c r="CU60" s="551"/>
      <c r="CV60" s="565">
        <v>10</v>
      </c>
      <c r="CW60" s="565">
        <v>10</v>
      </c>
      <c r="CX60" s="565">
        <f>VLOOKUP(B60,'CIA MARKS'!C57:DN125,116,FALSE)</f>
        <v>47</v>
      </c>
      <c r="CY60" s="565">
        <f>VLOOKUP(B60,'CIA MARKS'!C57:DO125,117,FALSE)</f>
        <v>32</v>
      </c>
      <c r="CZ60" s="565">
        <f>VLOOKUP(B60,'CIA MARKS'!C57:DP125,118,FALSE)</f>
        <v>49</v>
      </c>
      <c r="DA60" s="572">
        <f>'CIA MARKS'!EJ57</f>
        <v>47</v>
      </c>
      <c r="DB60" s="573">
        <f t="shared" si="3"/>
        <v>41</v>
      </c>
      <c r="DC60" s="4">
        <v>82</v>
      </c>
      <c r="DD60" s="575" t="s">
        <v>93</v>
      </c>
      <c r="DF60" s="578" t="str">
        <f>IF(D$7="YES",'CIA MARKS'!DX57,"")</f>
        <v/>
      </c>
      <c r="DG60" s="460" t="str">
        <f>IF(D$8="YES",'CIA MARKS'!EH57,"")</f>
        <v/>
      </c>
      <c r="DH60" s="578">
        <f>IF(D$9="YES",'CIA MARKS'!EJ57,"")</f>
        <v>47</v>
      </c>
      <c r="DI60" s="578">
        <v>41</v>
      </c>
      <c r="DK60" s="450"/>
      <c r="DL60" s="450"/>
      <c r="DM60" s="450"/>
      <c r="DN60" s="450"/>
      <c r="DO60" s="450"/>
      <c r="DP60" s="451"/>
      <c r="DQ60" s="454"/>
      <c r="DR60" s="455">
        <f t="shared" si="1"/>
        <v>0</v>
      </c>
    </row>
    <row r="61" ht="18.75" spans="1:122">
      <c r="A61" s="527">
        <v>45</v>
      </c>
      <c r="B61" s="3" t="s">
        <v>184</v>
      </c>
      <c r="C61" s="528" t="s">
        <v>185</v>
      </c>
      <c r="D61" s="530">
        <v>7</v>
      </c>
      <c r="E61" s="530"/>
      <c r="F61" s="530"/>
      <c r="G61" s="530"/>
      <c r="H61" s="530">
        <v>2</v>
      </c>
      <c r="I61" s="530"/>
      <c r="J61" s="530"/>
      <c r="K61" s="530"/>
      <c r="L61" s="530">
        <v>1</v>
      </c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>
        <v>9</v>
      </c>
      <c r="Y61" s="530"/>
      <c r="Z61" s="530"/>
      <c r="AA61" s="530"/>
      <c r="AB61" s="530"/>
      <c r="AC61" s="530"/>
      <c r="AD61" s="530"/>
      <c r="AE61" s="530"/>
      <c r="AF61" s="530">
        <v>2</v>
      </c>
      <c r="AG61" s="530"/>
      <c r="AH61" s="530"/>
      <c r="AI61" s="530"/>
      <c r="AJ61" s="543">
        <v>4</v>
      </c>
      <c r="AK61" s="543"/>
      <c r="AL61" s="543"/>
      <c r="AM61" s="543"/>
      <c r="AN61" s="543"/>
      <c r="AO61" s="543"/>
      <c r="AP61" s="543"/>
      <c r="AQ61" s="543"/>
      <c r="AR61" s="546">
        <v>4</v>
      </c>
      <c r="AS61" s="546"/>
      <c r="AT61" s="546"/>
      <c r="AU61" s="546"/>
      <c r="AV61" s="546">
        <v>8</v>
      </c>
      <c r="AW61" s="546"/>
      <c r="AX61" s="546"/>
      <c r="AY61" s="546"/>
      <c r="AZ61" s="546">
        <v>4</v>
      </c>
      <c r="BA61" s="546"/>
      <c r="BB61" s="546"/>
      <c r="BC61" s="546"/>
      <c r="BD61" s="546"/>
      <c r="BE61" s="546"/>
      <c r="BF61" s="546"/>
      <c r="BG61" s="546"/>
      <c r="BH61" s="546">
        <v>8</v>
      </c>
      <c r="BI61" s="546"/>
      <c r="BJ61" s="546"/>
      <c r="BK61" s="546"/>
      <c r="BL61" s="546"/>
      <c r="BM61" s="546"/>
      <c r="BN61" s="546"/>
      <c r="BO61" s="546"/>
      <c r="BP61" s="551">
        <v>8</v>
      </c>
      <c r="BQ61" s="556"/>
      <c r="BR61" s="556"/>
      <c r="BS61" s="556"/>
      <c r="BT61" s="556">
        <v>8</v>
      </c>
      <c r="BU61" s="556"/>
      <c r="BV61" s="556"/>
      <c r="BW61" s="556"/>
      <c r="BX61" s="556">
        <v>8</v>
      </c>
      <c r="BY61" s="553"/>
      <c r="BZ61" s="553"/>
      <c r="CA61" s="553"/>
      <c r="CB61" s="558"/>
      <c r="CC61" s="558"/>
      <c r="CD61" s="558"/>
      <c r="CE61" s="558"/>
      <c r="CF61" s="551">
        <v>8</v>
      </c>
      <c r="CG61" s="551"/>
      <c r="CH61" s="551"/>
      <c r="CI61" s="551"/>
      <c r="CJ61" s="551"/>
      <c r="CK61" s="558"/>
      <c r="CL61" s="558"/>
      <c r="CM61" s="558"/>
      <c r="CN61" s="558">
        <v>8</v>
      </c>
      <c r="CO61" s="558"/>
      <c r="CP61" s="558"/>
      <c r="CQ61" s="558"/>
      <c r="CR61" s="551"/>
      <c r="CS61" s="551"/>
      <c r="CT61" s="551"/>
      <c r="CU61" s="551"/>
      <c r="CV61" s="565">
        <v>7</v>
      </c>
      <c r="CW61" s="565">
        <v>10</v>
      </c>
      <c r="CX61" s="565">
        <f>VLOOKUP(B61,'CIA MARKS'!C58:DN126,116,FALSE)</f>
        <v>21</v>
      </c>
      <c r="CY61" s="565">
        <f>VLOOKUP(B61,'CIA MARKS'!C58:DO126,117,FALSE)</f>
        <v>24</v>
      </c>
      <c r="CZ61" s="565">
        <f>VLOOKUP(B61,'CIA MARKS'!C58:DP126,118,FALSE)</f>
        <v>40</v>
      </c>
      <c r="DA61" s="572">
        <f>'CIA MARKS'!EJ58</f>
        <v>38</v>
      </c>
      <c r="DB61" s="573">
        <f t="shared" si="3"/>
        <v>31</v>
      </c>
      <c r="DC61" s="4">
        <v>62</v>
      </c>
      <c r="DD61" s="575" t="s">
        <v>90</v>
      </c>
      <c r="DF61" s="578" t="str">
        <f>IF(D$7="YES",'CIA MARKS'!DX58,"")</f>
        <v/>
      </c>
      <c r="DG61" s="460" t="str">
        <f>IF(D$8="YES",'CIA MARKS'!EH58,"")</f>
        <v/>
      </c>
      <c r="DH61" s="578">
        <f>IF(D$9="YES",'CIA MARKS'!EJ58,"")</f>
        <v>38</v>
      </c>
      <c r="DI61" s="578">
        <v>31</v>
      </c>
      <c r="DK61" s="450"/>
      <c r="DL61" s="450"/>
      <c r="DM61" s="450"/>
      <c r="DN61" s="450"/>
      <c r="DO61" s="450"/>
      <c r="DP61" s="451"/>
      <c r="DQ61" s="454"/>
      <c r="DR61" s="455">
        <f t="shared" si="1"/>
        <v>0</v>
      </c>
    </row>
    <row r="62" ht="18.75" spans="1:122">
      <c r="A62" s="527">
        <v>46</v>
      </c>
      <c r="B62" s="3" t="s">
        <v>186</v>
      </c>
      <c r="C62" s="528" t="s">
        <v>187</v>
      </c>
      <c r="D62" s="530">
        <v>10</v>
      </c>
      <c r="E62" s="530"/>
      <c r="F62" s="530"/>
      <c r="G62" s="530"/>
      <c r="H62" s="530">
        <v>6</v>
      </c>
      <c r="I62" s="530"/>
      <c r="J62" s="530"/>
      <c r="K62" s="530"/>
      <c r="L62" s="530"/>
      <c r="M62" s="530"/>
      <c r="N62" s="530"/>
      <c r="O62" s="530"/>
      <c r="P62" s="530">
        <v>9</v>
      </c>
      <c r="Q62" s="530"/>
      <c r="R62" s="530"/>
      <c r="S62" s="530"/>
      <c r="T62" s="530"/>
      <c r="U62" s="530"/>
      <c r="V62" s="530"/>
      <c r="W62" s="530"/>
      <c r="X62" s="530">
        <v>9</v>
      </c>
      <c r="Y62" s="530"/>
      <c r="Z62" s="530"/>
      <c r="AA62" s="530"/>
      <c r="AB62" s="530"/>
      <c r="AC62" s="530"/>
      <c r="AD62" s="530"/>
      <c r="AE62" s="530"/>
      <c r="AF62" s="530">
        <v>10</v>
      </c>
      <c r="AG62" s="530"/>
      <c r="AH62" s="530"/>
      <c r="AI62" s="530"/>
      <c r="AJ62" s="543">
        <v>9</v>
      </c>
      <c r="AK62" s="543"/>
      <c r="AL62" s="543"/>
      <c r="AM62" s="543"/>
      <c r="AN62" s="543">
        <v>8</v>
      </c>
      <c r="AO62" s="543"/>
      <c r="AP62" s="543"/>
      <c r="AQ62" s="543"/>
      <c r="AR62" s="547"/>
      <c r="AS62" s="547"/>
      <c r="AT62" s="547"/>
      <c r="AU62" s="547"/>
      <c r="AV62" s="547">
        <v>10</v>
      </c>
      <c r="AW62" s="547"/>
      <c r="AX62" s="547"/>
      <c r="AY62" s="547"/>
      <c r="AZ62" s="547"/>
      <c r="BA62" s="547"/>
      <c r="BB62" s="547"/>
      <c r="BC62" s="547"/>
      <c r="BD62" s="547">
        <v>0</v>
      </c>
      <c r="BE62" s="547"/>
      <c r="BF62" s="547"/>
      <c r="BG62" s="547"/>
      <c r="BH62" s="547">
        <v>10</v>
      </c>
      <c r="BI62" s="547"/>
      <c r="BJ62" s="547"/>
      <c r="BK62" s="547"/>
      <c r="BL62" s="547"/>
      <c r="BM62" s="547"/>
      <c r="BN62" s="547"/>
      <c r="BO62" s="547"/>
      <c r="BP62" s="551">
        <v>9</v>
      </c>
      <c r="BQ62" s="556"/>
      <c r="BR62" s="556"/>
      <c r="BS62" s="556"/>
      <c r="BT62" s="556">
        <v>9</v>
      </c>
      <c r="BU62" s="556"/>
      <c r="BV62" s="556"/>
      <c r="BW62" s="556"/>
      <c r="BX62" s="556">
        <v>9</v>
      </c>
      <c r="BY62" s="553"/>
      <c r="BZ62" s="553"/>
      <c r="CA62" s="553"/>
      <c r="CB62" s="558"/>
      <c r="CC62" s="558"/>
      <c r="CD62" s="558"/>
      <c r="CE62" s="558"/>
      <c r="CF62" s="551">
        <v>9</v>
      </c>
      <c r="CG62" s="551"/>
      <c r="CH62" s="551"/>
      <c r="CI62" s="551"/>
      <c r="CJ62" s="551"/>
      <c r="CK62" s="558"/>
      <c r="CL62" s="558"/>
      <c r="CM62" s="558"/>
      <c r="CN62" s="558">
        <v>8</v>
      </c>
      <c r="CO62" s="558"/>
      <c r="CP62" s="558"/>
      <c r="CQ62" s="558"/>
      <c r="CR62" s="551"/>
      <c r="CS62" s="551"/>
      <c r="CT62" s="551"/>
      <c r="CU62" s="551"/>
      <c r="CV62" s="565">
        <v>6</v>
      </c>
      <c r="CW62" s="565">
        <v>10</v>
      </c>
      <c r="CX62" s="565">
        <f>VLOOKUP(B62,'CIA MARKS'!C59:DN127,116,FALSE)</f>
        <v>44</v>
      </c>
      <c r="CY62" s="565">
        <f>VLOOKUP(B62,'CIA MARKS'!C59:DO127,117,FALSE)</f>
        <v>37</v>
      </c>
      <c r="CZ62" s="565">
        <f>VLOOKUP(B62,'CIA MARKS'!C59:DP127,118,FALSE)</f>
        <v>44</v>
      </c>
      <c r="DA62" s="572">
        <f>'CIA MARKS'!EJ59</f>
        <v>44</v>
      </c>
      <c r="DB62" s="573">
        <f t="shared" si="3"/>
        <v>39</v>
      </c>
      <c r="DC62" s="4">
        <v>78</v>
      </c>
      <c r="DD62" s="575" t="s">
        <v>93</v>
      </c>
      <c r="DF62" s="578" t="str">
        <f>IF(D$7="YES",'CIA MARKS'!DX59,"")</f>
        <v/>
      </c>
      <c r="DG62" s="460" t="str">
        <f>IF(D$8="YES",'CIA MARKS'!EH59,"")</f>
        <v/>
      </c>
      <c r="DH62" s="578">
        <f>IF(D$9="YES",'CIA MARKS'!EJ59,"")</f>
        <v>44</v>
      </c>
      <c r="DI62" s="578">
        <v>39</v>
      </c>
      <c r="DK62" s="450"/>
      <c r="DL62" s="450"/>
      <c r="DM62" s="450"/>
      <c r="DN62" s="450"/>
      <c r="DO62" s="450"/>
      <c r="DP62" s="451"/>
      <c r="DQ62" s="454"/>
      <c r="DR62" s="455">
        <f t="shared" si="1"/>
        <v>0</v>
      </c>
    </row>
    <row r="63" ht="18.75" spans="1:122">
      <c r="A63" s="527">
        <v>47</v>
      </c>
      <c r="B63" s="3" t="s">
        <v>188</v>
      </c>
      <c r="C63" s="528" t="s">
        <v>189</v>
      </c>
      <c r="D63" s="530">
        <v>8</v>
      </c>
      <c r="E63" s="530"/>
      <c r="F63" s="530"/>
      <c r="G63" s="530"/>
      <c r="H63" s="530">
        <v>8</v>
      </c>
      <c r="I63" s="530"/>
      <c r="J63" s="530"/>
      <c r="K63" s="530"/>
      <c r="L63" s="530">
        <v>7</v>
      </c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>
        <v>8</v>
      </c>
      <c r="Y63" s="530"/>
      <c r="Z63" s="530"/>
      <c r="AA63" s="530"/>
      <c r="AB63" s="530"/>
      <c r="AC63" s="530"/>
      <c r="AD63" s="530"/>
      <c r="AE63" s="530"/>
      <c r="AF63" s="530">
        <v>8</v>
      </c>
      <c r="AG63" s="530"/>
      <c r="AH63" s="530"/>
      <c r="AI63" s="530"/>
      <c r="AJ63" s="543">
        <v>9</v>
      </c>
      <c r="AK63" s="543"/>
      <c r="AL63" s="543"/>
      <c r="AM63" s="543"/>
      <c r="AN63" s="543">
        <v>8</v>
      </c>
      <c r="AO63" s="543"/>
      <c r="AP63" s="543"/>
      <c r="AQ63" s="543"/>
      <c r="AR63" s="546"/>
      <c r="AS63" s="546"/>
      <c r="AT63" s="546"/>
      <c r="AU63" s="546"/>
      <c r="AV63" s="546">
        <v>9</v>
      </c>
      <c r="AW63" s="546"/>
      <c r="AX63" s="546"/>
      <c r="AY63" s="546"/>
      <c r="AZ63" s="546"/>
      <c r="BA63" s="546"/>
      <c r="BB63" s="546"/>
      <c r="BC63" s="546"/>
      <c r="BD63" s="546">
        <v>4</v>
      </c>
      <c r="BE63" s="546"/>
      <c r="BF63" s="546"/>
      <c r="BG63" s="546"/>
      <c r="BH63" s="546"/>
      <c r="BI63" s="546"/>
      <c r="BJ63" s="546"/>
      <c r="BK63" s="546"/>
      <c r="BL63" s="546">
        <v>9</v>
      </c>
      <c r="BM63" s="546"/>
      <c r="BN63" s="546"/>
      <c r="BO63" s="546"/>
      <c r="BP63" s="551">
        <v>8</v>
      </c>
      <c r="BQ63" s="556"/>
      <c r="BR63" s="556"/>
      <c r="BS63" s="556"/>
      <c r="BT63" s="556">
        <v>8</v>
      </c>
      <c r="BU63" s="556"/>
      <c r="BV63" s="556"/>
      <c r="BW63" s="556"/>
      <c r="BX63" s="556">
        <v>8</v>
      </c>
      <c r="BY63" s="553"/>
      <c r="BZ63" s="553"/>
      <c r="CA63" s="553"/>
      <c r="CB63" s="558"/>
      <c r="CC63" s="558"/>
      <c r="CD63" s="558"/>
      <c r="CE63" s="558"/>
      <c r="CF63" s="551">
        <v>8</v>
      </c>
      <c r="CG63" s="551"/>
      <c r="CH63" s="551"/>
      <c r="CI63" s="551"/>
      <c r="CJ63" s="551"/>
      <c r="CK63" s="558"/>
      <c r="CL63" s="558"/>
      <c r="CM63" s="558"/>
      <c r="CN63" s="558"/>
      <c r="CO63" s="558"/>
      <c r="CP63" s="558"/>
      <c r="CQ63" s="558"/>
      <c r="CR63" s="551">
        <v>3</v>
      </c>
      <c r="CS63" s="551"/>
      <c r="CT63" s="551"/>
      <c r="CU63" s="551"/>
      <c r="CV63" s="565">
        <v>6</v>
      </c>
      <c r="CW63" s="565">
        <v>10</v>
      </c>
      <c r="CX63" s="565">
        <f>VLOOKUP(B63,'CIA MARKS'!C60:DN128,116,FALSE)</f>
        <v>39</v>
      </c>
      <c r="CY63" s="565">
        <f>VLOOKUP(B63,'CIA MARKS'!C60:DO128,117,FALSE)</f>
        <v>39</v>
      </c>
      <c r="CZ63" s="565">
        <f>VLOOKUP(B63,'CIA MARKS'!C60:DP128,118,FALSE)</f>
        <v>35</v>
      </c>
      <c r="DA63" s="572">
        <f>'CIA MARKS'!EJ60</f>
        <v>43</v>
      </c>
      <c r="DB63" s="573">
        <f t="shared" si="3"/>
        <v>37</v>
      </c>
      <c r="DC63" s="4">
        <v>74</v>
      </c>
      <c r="DD63" s="575" t="s">
        <v>93</v>
      </c>
      <c r="DF63" s="578" t="str">
        <f>IF(D$7="YES",'CIA MARKS'!DX60,"")</f>
        <v/>
      </c>
      <c r="DG63" s="460" t="str">
        <f>IF(D$8="YES",'CIA MARKS'!EH60,"")</f>
        <v/>
      </c>
      <c r="DH63" s="578">
        <f>IF(D$9="YES",'CIA MARKS'!EJ60,"")</f>
        <v>43</v>
      </c>
      <c r="DI63" s="578">
        <v>37</v>
      </c>
      <c r="DK63" s="450"/>
      <c r="DL63" s="450"/>
      <c r="DM63" s="450"/>
      <c r="DN63" s="450"/>
      <c r="DO63" s="450"/>
      <c r="DP63" s="451"/>
      <c r="DQ63" s="454"/>
      <c r="DR63" s="455">
        <f t="shared" si="1"/>
        <v>0</v>
      </c>
    </row>
    <row r="64" ht="18.75" spans="1:122">
      <c r="A64" s="527">
        <v>48</v>
      </c>
      <c r="B64" s="3" t="s">
        <v>190</v>
      </c>
      <c r="C64" s="528" t="s">
        <v>191</v>
      </c>
      <c r="D64" s="530">
        <v>5</v>
      </c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>
        <v>6</v>
      </c>
      <c r="Q64" s="530"/>
      <c r="R64" s="530"/>
      <c r="S64" s="530"/>
      <c r="T64" s="530">
        <v>5</v>
      </c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43"/>
      <c r="AK64" s="543"/>
      <c r="AL64" s="543"/>
      <c r="AM64" s="543"/>
      <c r="AN64" s="543">
        <v>6</v>
      </c>
      <c r="AO64" s="543"/>
      <c r="AP64" s="543"/>
      <c r="AQ64" s="543"/>
      <c r="AR64" s="546"/>
      <c r="AS64" s="546"/>
      <c r="AT64" s="546"/>
      <c r="AU64" s="546"/>
      <c r="AV64" s="546">
        <v>5</v>
      </c>
      <c r="AW64" s="546"/>
      <c r="AX64" s="546"/>
      <c r="AY64" s="546"/>
      <c r="AZ64" s="546"/>
      <c r="BA64" s="546"/>
      <c r="BB64" s="546"/>
      <c r="BC64" s="546"/>
      <c r="BD64" s="546">
        <v>0</v>
      </c>
      <c r="BE64" s="546"/>
      <c r="BF64" s="546"/>
      <c r="BG64" s="546"/>
      <c r="BH64" s="546">
        <v>0</v>
      </c>
      <c r="BI64" s="546"/>
      <c r="BJ64" s="546"/>
      <c r="BK64" s="546"/>
      <c r="BL64" s="546"/>
      <c r="BM64" s="546"/>
      <c r="BN64" s="546"/>
      <c r="BO64" s="546"/>
      <c r="BP64" s="551">
        <v>6</v>
      </c>
      <c r="BQ64" s="556"/>
      <c r="BR64" s="556"/>
      <c r="BS64" s="556"/>
      <c r="BT64" s="556">
        <v>8</v>
      </c>
      <c r="BU64" s="556"/>
      <c r="BV64" s="556"/>
      <c r="BW64" s="556"/>
      <c r="BX64" s="556">
        <v>4</v>
      </c>
      <c r="BY64" s="553"/>
      <c r="BZ64" s="553"/>
      <c r="CA64" s="553"/>
      <c r="CB64" s="558"/>
      <c r="CC64" s="558"/>
      <c r="CD64" s="558"/>
      <c r="CE64" s="558"/>
      <c r="CF64" s="551">
        <v>6</v>
      </c>
      <c r="CG64" s="551"/>
      <c r="CH64" s="551"/>
      <c r="CI64" s="551"/>
      <c r="CJ64" s="551"/>
      <c r="CK64" s="558"/>
      <c r="CL64" s="558"/>
      <c r="CM64" s="558"/>
      <c r="CN64" s="558"/>
      <c r="CO64" s="558"/>
      <c r="CP64" s="558"/>
      <c r="CQ64" s="558"/>
      <c r="CR64" s="551">
        <v>5</v>
      </c>
      <c r="CS64" s="551"/>
      <c r="CT64" s="551"/>
      <c r="CU64" s="551"/>
      <c r="CV64" s="565">
        <v>8</v>
      </c>
      <c r="CW64" s="565">
        <v>10</v>
      </c>
      <c r="CX64" s="565">
        <f>VLOOKUP(B64,'CIA MARKS'!C61:DN129,116,FALSE)</f>
        <v>16</v>
      </c>
      <c r="CY64" s="565">
        <f>VLOOKUP(B64,'CIA MARKS'!C61:DO129,117,FALSE)</f>
        <v>11</v>
      </c>
      <c r="CZ64" s="565">
        <f>VLOOKUP(B64,'CIA MARKS'!C61:DP129,118,FALSE)</f>
        <v>29</v>
      </c>
      <c r="DA64" s="572">
        <f>'CIA MARKS'!EJ61</f>
        <v>33</v>
      </c>
      <c r="DB64" s="573">
        <f t="shared" si="3"/>
        <v>32.5</v>
      </c>
      <c r="DC64" s="4">
        <v>65</v>
      </c>
      <c r="DD64" s="575" t="s">
        <v>96</v>
      </c>
      <c r="DF64" s="578" t="str">
        <f>IF(D$7="YES",'CIA MARKS'!DX61,"")</f>
        <v/>
      </c>
      <c r="DG64" s="460" t="str">
        <f>IF(D$8="YES",'CIA MARKS'!EH61,"")</f>
        <v/>
      </c>
      <c r="DH64" s="578">
        <f>IF(D$9="YES",'CIA MARKS'!EJ61,"")</f>
        <v>33</v>
      </c>
      <c r="DI64" s="578">
        <v>32.5</v>
      </c>
      <c r="DK64" s="450"/>
      <c r="DL64" s="450"/>
      <c r="DM64" s="450"/>
      <c r="DN64" s="450"/>
      <c r="DO64" s="450"/>
      <c r="DP64" s="451"/>
      <c r="DQ64" s="454"/>
      <c r="DR64" s="455">
        <f t="shared" si="1"/>
        <v>0</v>
      </c>
    </row>
    <row r="65" ht="18.75" spans="1:122">
      <c r="A65" s="527">
        <v>49</v>
      </c>
      <c r="B65" s="3" t="s">
        <v>192</v>
      </c>
      <c r="C65" s="528" t="s">
        <v>193</v>
      </c>
      <c r="D65" s="530">
        <v>9</v>
      </c>
      <c r="E65" s="530"/>
      <c r="F65" s="530"/>
      <c r="G65" s="530"/>
      <c r="H65" s="530">
        <v>10</v>
      </c>
      <c r="I65" s="530"/>
      <c r="J65" s="530"/>
      <c r="K65" s="530"/>
      <c r="L65" s="530"/>
      <c r="M65" s="530"/>
      <c r="N65" s="530"/>
      <c r="O65" s="530"/>
      <c r="P65" s="530">
        <v>9</v>
      </c>
      <c r="Q65" s="530"/>
      <c r="R65" s="530"/>
      <c r="S65" s="530"/>
      <c r="T65" s="530">
        <v>10</v>
      </c>
      <c r="U65" s="530"/>
      <c r="V65" s="530"/>
      <c r="W65" s="530"/>
      <c r="X65" s="530"/>
      <c r="Y65" s="530"/>
      <c r="Z65" s="530"/>
      <c r="AA65" s="530"/>
      <c r="AB65" s="530">
        <v>8</v>
      </c>
      <c r="AC65" s="530"/>
      <c r="AD65" s="530"/>
      <c r="AE65" s="530"/>
      <c r="AF65" s="530"/>
      <c r="AG65" s="530"/>
      <c r="AH65" s="530"/>
      <c r="AI65" s="530"/>
      <c r="AJ65" s="543">
        <v>10</v>
      </c>
      <c r="AK65" s="543"/>
      <c r="AL65" s="543"/>
      <c r="AM65" s="543"/>
      <c r="AN65" s="543">
        <v>10</v>
      </c>
      <c r="AO65" s="543"/>
      <c r="AP65" s="543"/>
      <c r="AQ65" s="543"/>
      <c r="AR65" s="546"/>
      <c r="AS65" s="546"/>
      <c r="AT65" s="546"/>
      <c r="AU65" s="546"/>
      <c r="AV65" s="546">
        <v>10</v>
      </c>
      <c r="AW65" s="546"/>
      <c r="AX65" s="546"/>
      <c r="AY65" s="546"/>
      <c r="AZ65" s="546">
        <v>8</v>
      </c>
      <c r="BA65" s="546"/>
      <c r="BB65" s="546"/>
      <c r="BC65" s="546"/>
      <c r="BD65" s="546"/>
      <c r="BE65" s="546"/>
      <c r="BF65" s="546"/>
      <c r="BG65" s="546"/>
      <c r="BH65" s="546"/>
      <c r="BI65" s="546"/>
      <c r="BJ65" s="546"/>
      <c r="BK65" s="546"/>
      <c r="BL65" s="546">
        <v>10</v>
      </c>
      <c r="BM65" s="546"/>
      <c r="BN65" s="546"/>
      <c r="BO65" s="546"/>
      <c r="BP65" s="551">
        <v>10</v>
      </c>
      <c r="BQ65" s="556"/>
      <c r="BR65" s="556"/>
      <c r="BS65" s="556"/>
      <c r="BT65" s="556">
        <v>10</v>
      </c>
      <c r="BU65" s="556"/>
      <c r="BV65" s="556"/>
      <c r="BW65" s="556"/>
      <c r="BX65" s="556">
        <v>9</v>
      </c>
      <c r="BY65" s="553"/>
      <c r="BZ65" s="553"/>
      <c r="CA65" s="553"/>
      <c r="CB65" s="558"/>
      <c r="CC65" s="558"/>
      <c r="CD65" s="558"/>
      <c r="CE65" s="558"/>
      <c r="CF65" s="551">
        <v>10</v>
      </c>
      <c r="CG65" s="551"/>
      <c r="CH65" s="551"/>
      <c r="CI65" s="551"/>
      <c r="CJ65" s="551"/>
      <c r="CK65" s="558"/>
      <c r="CL65" s="558"/>
      <c r="CM65" s="558"/>
      <c r="CN65" s="558">
        <v>10</v>
      </c>
      <c r="CO65" s="558"/>
      <c r="CP65" s="558"/>
      <c r="CQ65" s="558"/>
      <c r="CR65" s="551"/>
      <c r="CS65" s="551"/>
      <c r="CT65" s="551"/>
      <c r="CU65" s="551"/>
      <c r="CV65" s="565">
        <v>9</v>
      </c>
      <c r="CW65" s="565">
        <v>10</v>
      </c>
      <c r="CX65" s="565">
        <f>VLOOKUP(B65,'CIA MARKS'!C62:DN130,116,FALSE)</f>
        <v>46</v>
      </c>
      <c r="CY65" s="565">
        <f>VLOOKUP(B65,'CIA MARKS'!C62:DO130,117,FALSE)</f>
        <v>48</v>
      </c>
      <c r="CZ65" s="565">
        <f>VLOOKUP(B65,'CIA MARKS'!C62:DP130,118,FALSE)</f>
        <v>49</v>
      </c>
      <c r="DA65" s="572">
        <f>'CIA MARKS'!EJ62</f>
        <v>49</v>
      </c>
      <c r="DB65" s="573">
        <f t="shared" si="3"/>
        <v>37.5</v>
      </c>
      <c r="DC65" s="4">
        <v>75</v>
      </c>
      <c r="DD65" s="575" t="s">
        <v>93</v>
      </c>
      <c r="DF65" s="578" t="str">
        <f>IF(D$7="YES",'CIA MARKS'!DX62,"")</f>
        <v/>
      </c>
      <c r="DG65" s="460" t="str">
        <f>IF(D$8="YES",'CIA MARKS'!EH62,"")</f>
        <v/>
      </c>
      <c r="DH65" s="578">
        <f>IF(D$9="YES",'CIA MARKS'!EJ62,"")</f>
        <v>49</v>
      </c>
      <c r="DI65" s="578">
        <v>37.5</v>
      </c>
      <c r="DK65" s="450"/>
      <c r="DL65" s="450"/>
      <c r="DM65" s="450"/>
      <c r="DN65" s="450"/>
      <c r="DO65" s="450"/>
      <c r="DP65" s="451"/>
      <c r="DQ65" s="454"/>
      <c r="DR65" s="455">
        <f t="shared" si="1"/>
        <v>0</v>
      </c>
    </row>
    <row r="66" ht="18.75" spans="1:122">
      <c r="A66" s="527">
        <v>50</v>
      </c>
      <c r="B66" s="3" t="s">
        <v>194</v>
      </c>
      <c r="C66" s="528" t="s">
        <v>195</v>
      </c>
      <c r="D66" s="530">
        <v>8</v>
      </c>
      <c r="E66" s="530"/>
      <c r="F66" s="530"/>
      <c r="G66" s="530"/>
      <c r="H66" s="530">
        <v>5</v>
      </c>
      <c r="I66" s="530"/>
      <c r="J66" s="530"/>
      <c r="K66" s="530"/>
      <c r="L66" s="530">
        <v>2</v>
      </c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>
        <v>9</v>
      </c>
      <c r="Y66" s="530"/>
      <c r="Z66" s="530"/>
      <c r="AA66" s="530"/>
      <c r="AB66" s="530"/>
      <c r="AC66" s="530"/>
      <c r="AD66" s="530"/>
      <c r="AE66" s="530"/>
      <c r="AF66" s="530">
        <v>3</v>
      </c>
      <c r="AG66" s="530"/>
      <c r="AH66" s="530"/>
      <c r="AI66" s="530"/>
      <c r="AJ66" s="543">
        <v>0</v>
      </c>
      <c r="AK66" s="543"/>
      <c r="AL66" s="543"/>
      <c r="AM66" s="543"/>
      <c r="AN66" s="543">
        <v>8</v>
      </c>
      <c r="AO66" s="543"/>
      <c r="AP66" s="543"/>
      <c r="AQ66" s="543"/>
      <c r="AR66" s="546"/>
      <c r="AS66" s="546"/>
      <c r="AT66" s="546"/>
      <c r="AU66" s="546"/>
      <c r="AV66" s="546">
        <v>8</v>
      </c>
      <c r="AW66" s="546"/>
      <c r="AX66" s="546"/>
      <c r="AY66" s="546"/>
      <c r="AZ66" s="546">
        <v>6</v>
      </c>
      <c r="BA66" s="546"/>
      <c r="BB66" s="546"/>
      <c r="BC66" s="546"/>
      <c r="BD66" s="546"/>
      <c r="BE66" s="546"/>
      <c r="BF66" s="546"/>
      <c r="BG66" s="546"/>
      <c r="BH66" s="546">
        <v>10</v>
      </c>
      <c r="BI66" s="546"/>
      <c r="BJ66" s="546"/>
      <c r="BK66" s="546"/>
      <c r="BL66" s="546"/>
      <c r="BM66" s="546"/>
      <c r="BN66" s="546"/>
      <c r="BO66" s="546"/>
      <c r="BP66" s="551">
        <v>10</v>
      </c>
      <c r="BQ66" s="556"/>
      <c r="BR66" s="556"/>
      <c r="BS66" s="556"/>
      <c r="BT66" s="556">
        <v>7</v>
      </c>
      <c r="BU66" s="556"/>
      <c r="BV66" s="556"/>
      <c r="BW66" s="556"/>
      <c r="BX66" s="556">
        <v>9</v>
      </c>
      <c r="BY66" s="553"/>
      <c r="BZ66" s="553"/>
      <c r="CA66" s="553"/>
      <c r="CB66" s="558"/>
      <c r="CC66" s="558"/>
      <c r="CD66" s="558"/>
      <c r="CE66" s="558"/>
      <c r="CF66" s="551"/>
      <c r="CG66" s="551"/>
      <c r="CH66" s="551"/>
      <c r="CI66" s="551"/>
      <c r="CJ66" s="551">
        <v>9</v>
      </c>
      <c r="CK66" s="558"/>
      <c r="CL66" s="558"/>
      <c r="CM66" s="558"/>
      <c r="CN66" s="558">
        <v>8</v>
      </c>
      <c r="CO66" s="558"/>
      <c r="CP66" s="558"/>
      <c r="CQ66" s="558"/>
      <c r="CR66" s="551"/>
      <c r="CS66" s="551"/>
      <c r="CT66" s="551"/>
      <c r="CU66" s="551"/>
      <c r="CV66" s="565">
        <v>6</v>
      </c>
      <c r="CW66" s="565">
        <v>10</v>
      </c>
      <c r="CX66" s="565">
        <f>VLOOKUP(B66,'CIA MARKS'!C63:DN131,116,FALSE)</f>
        <v>27</v>
      </c>
      <c r="CY66" s="565">
        <f>VLOOKUP(B66,'CIA MARKS'!C63:DO131,117,FALSE)</f>
        <v>32</v>
      </c>
      <c r="CZ66" s="565">
        <f>VLOOKUP(B66,'CIA MARKS'!C63:DP131,118,FALSE)</f>
        <v>43</v>
      </c>
      <c r="DA66" s="572">
        <f>'CIA MARKS'!EJ63</f>
        <v>39</v>
      </c>
      <c r="DB66" s="573">
        <f t="shared" si="3"/>
        <v>34.5</v>
      </c>
      <c r="DC66" s="4">
        <v>69</v>
      </c>
      <c r="DD66" s="575" t="s">
        <v>90</v>
      </c>
      <c r="DF66" s="578" t="str">
        <f>IF(D$7="YES",'CIA MARKS'!DX63,"")</f>
        <v/>
      </c>
      <c r="DG66" s="460" t="str">
        <f>IF(D$8="YES",'CIA MARKS'!EH63,"")</f>
        <v/>
      </c>
      <c r="DH66" s="578">
        <f>IF(D$9="YES",'CIA MARKS'!EJ63,"")</f>
        <v>39</v>
      </c>
      <c r="DI66" s="578">
        <v>34.5</v>
      </c>
      <c r="DK66" s="450"/>
      <c r="DL66" s="450"/>
      <c r="DM66" s="450"/>
      <c r="DN66" s="450"/>
      <c r="DO66" s="450"/>
      <c r="DP66" s="451"/>
      <c r="DQ66" s="454"/>
      <c r="DR66" s="455">
        <f t="shared" si="1"/>
        <v>0</v>
      </c>
    </row>
    <row r="67" ht="18.75" spans="1:122">
      <c r="A67" s="527">
        <v>51</v>
      </c>
      <c r="B67" s="3" t="s">
        <v>196</v>
      </c>
      <c r="C67" s="528" t="s">
        <v>197</v>
      </c>
      <c r="D67" s="530">
        <v>9</v>
      </c>
      <c r="E67" s="530"/>
      <c r="F67" s="530"/>
      <c r="G67" s="530"/>
      <c r="H67" s="530">
        <v>8</v>
      </c>
      <c r="I67" s="530"/>
      <c r="J67" s="530"/>
      <c r="K67" s="530"/>
      <c r="L67" s="530"/>
      <c r="M67" s="530"/>
      <c r="N67" s="530"/>
      <c r="O67" s="530"/>
      <c r="P67" s="530">
        <v>2</v>
      </c>
      <c r="Q67" s="530"/>
      <c r="R67" s="530"/>
      <c r="S67" s="530"/>
      <c r="T67" s="530">
        <v>8</v>
      </c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43">
        <v>0</v>
      </c>
      <c r="AK67" s="543"/>
      <c r="AL67" s="543"/>
      <c r="AM67" s="543"/>
      <c r="AN67" s="543">
        <v>4</v>
      </c>
      <c r="AO67" s="543"/>
      <c r="AP67" s="543"/>
      <c r="AQ67" s="543"/>
      <c r="AR67" s="546"/>
      <c r="AS67" s="546"/>
      <c r="AT67" s="546"/>
      <c r="AU67" s="546"/>
      <c r="AV67" s="546">
        <v>0</v>
      </c>
      <c r="AW67" s="546"/>
      <c r="AX67" s="546"/>
      <c r="AY67" s="546"/>
      <c r="AZ67" s="546"/>
      <c r="BA67" s="546"/>
      <c r="BB67" s="546"/>
      <c r="BC67" s="546"/>
      <c r="BD67" s="546"/>
      <c r="BE67" s="546"/>
      <c r="BF67" s="546"/>
      <c r="BG67" s="546"/>
      <c r="BH67" s="546">
        <v>2</v>
      </c>
      <c r="BI67" s="546"/>
      <c r="BJ67" s="546"/>
      <c r="BK67" s="546"/>
      <c r="BL67" s="546"/>
      <c r="BM67" s="546"/>
      <c r="BN67" s="546"/>
      <c r="BO67" s="546"/>
      <c r="BP67" s="551">
        <v>8</v>
      </c>
      <c r="BQ67" s="556"/>
      <c r="BR67" s="556"/>
      <c r="BS67" s="556"/>
      <c r="BT67" s="556">
        <v>10</v>
      </c>
      <c r="BU67" s="556"/>
      <c r="BV67" s="556"/>
      <c r="BW67" s="556"/>
      <c r="BX67" s="556">
        <v>8</v>
      </c>
      <c r="BY67" s="553"/>
      <c r="BZ67" s="553"/>
      <c r="CA67" s="553"/>
      <c r="CB67" s="558"/>
      <c r="CC67" s="558"/>
      <c r="CD67" s="558"/>
      <c r="CE67" s="558"/>
      <c r="CF67" s="551">
        <v>8</v>
      </c>
      <c r="CG67" s="551"/>
      <c r="CH67" s="551"/>
      <c r="CI67" s="551"/>
      <c r="CJ67" s="551"/>
      <c r="CK67" s="558"/>
      <c r="CL67" s="558"/>
      <c r="CM67" s="558"/>
      <c r="CN67" s="558">
        <v>8</v>
      </c>
      <c r="CO67" s="558"/>
      <c r="CP67" s="558"/>
      <c r="CQ67" s="558"/>
      <c r="CR67" s="551"/>
      <c r="CS67" s="551"/>
      <c r="CT67" s="551"/>
      <c r="CU67" s="551"/>
      <c r="CV67" s="565">
        <v>9</v>
      </c>
      <c r="CW67" s="565">
        <v>10</v>
      </c>
      <c r="CX67" s="565">
        <f>VLOOKUP(B67,'CIA MARKS'!C64:DN132,116,FALSE)</f>
        <v>27</v>
      </c>
      <c r="CY67" s="565">
        <f>VLOOKUP(B67,'CIA MARKS'!C64:DO132,117,FALSE)</f>
        <v>6</v>
      </c>
      <c r="CZ67" s="565">
        <f>VLOOKUP(B67,'CIA MARKS'!C64:DP132,118,FALSE)</f>
        <v>42</v>
      </c>
      <c r="DA67" s="572">
        <f>'CIA MARKS'!EJ64</f>
        <v>34</v>
      </c>
      <c r="DB67" s="573">
        <f t="shared" si="3"/>
        <v>35.5</v>
      </c>
      <c r="DC67" s="4">
        <v>71</v>
      </c>
      <c r="DD67" s="575" t="s">
        <v>90</v>
      </c>
      <c r="DF67" s="578" t="str">
        <f>IF(D$7="YES",'CIA MARKS'!DX64,"")</f>
        <v/>
      </c>
      <c r="DG67" s="460" t="str">
        <f>IF(D$8="YES",'CIA MARKS'!EH64,"")</f>
        <v/>
      </c>
      <c r="DH67" s="578">
        <f>IF(D$9="YES",'CIA MARKS'!EJ64,"")</f>
        <v>34</v>
      </c>
      <c r="DI67" s="578">
        <v>35.5</v>
      </c>
      <c r="DK67" s="450"/>
      <c r="DL67" s="450"/>
      <c r="DM67" s="450"/>
      <c r="DN67" s="450"/>
      <c r="DO67" s="450"/>
      <c r="DP67" s="451"/>
      <c r="DQ67" s="454"/>
      <c r="DR67" s="455">
        <f t="shared" si="1"/>
        <v>0</v>
      </c>
    </row>
    <row r="68" ht="18.75" spans="1:122">
      <c r="A68" s="527">
        <v>52</v>
      </c>
      <c r="B68" s="3" t="s">
        <v>198</v>
      </c>
      <c r="C68" s="528" t="s">
        <v>199</v>
      </c>
      <c r="D68" s="530">
        <v>6</v>
      </c>
      <c r="E68" s="530"/>
      <c r="F68" s="530"/>
      <c r="G68" s="530"/>
      <c r="H68" s="530"/>
      <c r="I68" s="530"/>
      <c r="J68" s="530"/>
      <c r="K68" s="530"/>
      <c r="L68" s="530">
        <v>3</v>
      </c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>
        <v>9</v>
      </c>
      <c r="Y68" s="530"/>
      <c r="Z68" s="530"/>
      <c r="AA68" s="530"/>
      <c r="AB68" s="530"/>
      <c r="AC68" s="530"/>
      <c r="AD68" s="530"/>
      <c r="AE68" s="530"/>
      <c r="AF68" s="530">
        <v>3</v>
      </c>
      <c r="AG68" s="530"/>
      <c r="AH68" s="530"/>
      <c r="AI68" s="530"/>
      <c r="AJ68" s="543">
        <v>6</v>
      </c>
      <c r="AK68" s="543"/>
      <c r="AL68" s="543"/>
      <c r="AM68" s="543"/>
      <c r="AN68" s="543">
        <v>5</v>
      </c>
      <c r="AO68" s="543"/>
      <c r="AP68" s="543"/>
      <c r="AQ68" s="543"/>
      <c r="AR68" s="546">
        <v>8</v>
      </c>
      <c r="AS68" s="546"/>
      <c r="AT68" s="546"/>
      <c r="AU68" s="546"/>
      <c r="AV68" s="546"/>
      <c r="AW68" s="546"/>
      <c r="AX68" s="546"/>
      <c r="AY68" s="546"/>
      <c r="AZ68" s="546">
        <v>2</v>
      </c>
      <c r="BA68" s="546"/>
      <c r="BB68" s="546"/>
      <c r="BC68" s="546"/>
      <c r="BD68" s="546"/>
      <c r="BE68" s="546"/>
      <c r="BF68" s="546"/>
      <c r="BG68" s="546"/>
      <c r="BH68" s="546">
        <v>6</v>
      </c>
      <c r="BI68" s="546"/>
      <c r="BJ68" s="546"/>
      <c r="BK68" s="546"/>
      <c r="BL68" s="546"/>
      <c r="BM68" s="546"/>
      <c r="BN68" s="546"/>
      <c r="BO68" s="546"/>
      <c r="BP68" s="551">
        <v>8</v>
      </c>
      <c r="BQ68" s="556"/>
      <c r="BR68" s="556"/>
      <c r="BS68" s="556"/>
      <c r="BT68" s="556">
        <v>6</v>
      </c>
      <c r="BU68" s="556"/>
      <c r="BV68" s="556"/>
      <c r="BW68" s="556"/>
      <c r="BX68" s="556">
        <v>8</v>
      </c>
      <c r="BY68" s="553"/>
      <c r="BZ68" s="553"/>
      <c r="CA68" s="553"/>
      <c r="CB68" s="558"/>
      <c r="CC68" s="558"/>
      <c r="CD68" s="558"/>
      <c r="CE68" s="558"/>
      <c r="CF68" s="551">
        <v>9</v>
      </c>
      <c r="CG68" s="551"/>
      <c r="CH68" s="551"/>
      <c r="CI68" s="551"/>
      <c r="CJ68" s="551"/>
      <c r="CK68" s="558"/>
      <c r="CL68" s="558"/>
      <c r="CM68" s="558"/>
      <c r="CN68" s="558"/>
      <c r="CO68" s="558"/>
      <c r="CP68" s="558"/>
      <c r="CQ68" s="558"/>
      <c r="CR68" s="551">
        <v>5</v>
      </c>
      <c r="CS68" s="551"/>
      <c r="CT68" s="551"/>
      <c r="CU68" s="551"/>
      <c r="CV68" s="565">
        <v>8</v>
      </c>
      <c r="CW68" s="565">
        <v>10</v>
      </c>
      <c r="CX68" s="565">
        <f>VLOOKUP(B68,'CIA MARKS'!C65:DN133,116,FALSE)</f>
        <v>21</v>
      </c>
      <c r="CY68" s="565">
        <f>VLOOKUP(B68,'CIA MARKS'!C65:DO133,117,FALSE)</f>
        <v>27</v>
      </c>
      <c r="CZ68" s="565">
        <f>VLOOKUP(B68,'CIA MARKS'!C65:DP133,118,FALSE)</f>
        <v>36</v>
      </c>
      <c r="DA68" s="572">
        <f>'CIA MARKS'!EJ65</f>
        <v>36</v>
      </c>
      <c r="DB68" s="573">
        <f t="shared" si="3"/>
        <v>40.5</v>
      </c>
      <c r="DC68" s="4">
        <v>81</v>
      </c>
      <c r="DD68" s="575" t="s">
        <v>90</v>
      </c>
      <c r="DF68" s="578" t="str">
        <f>IF(D$7="YES",'CIA MARKS'!DX65,"")</f>
        <v/>
      </c>
      <c r="DG68" s="460" t="str">
        <f>IF(D$8="YES",'CIA MARKS'!EH65,"")</f>
        <v/>
      </c>
      <c r="DH68" s="578">
        <f>IF(D$9="YES",'CIA MARKS'!EJ65,"")</f>
        <v>36</v>
      </c>
      <c r="DI68" s="578">
        <v>40.5</v>
      </c>
      <c r="DK68" s="450"/>
      <c r="DL68" s="450"/>
      <c r="DM68" s="450"/>
      <c r="DN68" s="450"/>
      <c r="DO68" s="450"/>
      <c r="DP68" s="451"/>
      <c r="DQ68" s="454"/>
      <c r="DR68" s="455">
        <f t="shared" si="1"/>
        <v>0</v>
      </c>
    </row>
    <row r="69" ht="18.75" spans="1:122">
      <c r="A69" s="527">
        <v>53</v>
      </c>
      <c r="B69" s="3" t="s">
        <v>200</v>
      </c>
      <c r="C69" s="528" t="s">
        <v>201</v>
      </c>
      <c r="D69" s="530">
        <v>8</v>
      </c>
      <c r="E69" s="530"/>
      <c r="F69" s="530"/>
      <c r="G69" s="530"/>
      <c r="H69" s="530">
        <v>0</v>
      </c>
      <c r="I69" s="530"/>
      <c r="J69" s="530"/>
      <c r="K69" s="530"/>
      <c r="L69" s="530">
        <v>5</v>
      </c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>
        <v>9</v>
      </c>
      <c r="Y69" s="530"/>
      <c r="Z69" s="530"/>
      <c r="AA69" s="530"/>
      <c r="AB69" s="530">
        <v>0</v>
      </c>
      <c r="AC69" s="530"/>
      <c r="AD69" s="530"/>
      <c r="AE69" s="530"/>
      <c r="AF69" s="530"/>
      <c r="AG69" s="530"/>
      <c r="AH69" s="530"/>
      <c r="AI69" s="530"/>
      <c r="AJ69" s="543">
        <v>2</v>
      </c>
      <c r="AK69" s="543"/>
      <c r="AL69" s="543"/>
      <c r="AM69" s="543"/>
      <c r="AN69" s="543">
        <v>3</v>
      </c>
      <c r="AO69" s="543"/>
      <c r="AP69" s="543"/>
      <c r="AQ69" s="543"/>
      <c r="AR69" s="546">
        <v>2</v>
      </c>
      <c r="AS69" s="546"/>
      <c r="AT69" s="546"/>
      <c r="AU69" s="546"/>
      <c r="AV69" s="546"/>
      <c r="AW69" s="546"/>
      <c r="AX69" s="546"/>
      <c r="AY69" s="546"/>
      <c r="AZ69" s="546">
        <v>0</v>
      </c>
      <c r="BA69" s="546"/>
      <c r="BB69" s="546"/>
      <c r="BC69" s="546"/>
      <c r="BD69" s="546"/>
      <c r="BE69" s="546"/>
      <c r="BF69" s="546"/>
      <c r="BG69" s="546"/>
      <c r="BH69" s="546">
        <v>6</v>
      </c>
      <c r="BI69" s="546"/>
      <c r="BJ69" s="546"/>
      <c r="BK69" s="546"/>
      <c r="BL69" s="546"/>
      <c r="BM69" s="546"/>
      <c r="BN69" s="546"/>
      <c r="BO69" s="546"/>
      <c r="BP69" s="551">
        <v>6</v>
      </c>
      <c r="BQ69" s="556"/>
      <c r="BR69" s="556"/>
      <c r="BS69" s="556"/>
      <c r="BT69" s="556">
        <v>10</v>
      </c>
      <c r="BU69" s="556"/>
      <c r="BV69" s="556"/>
      <c r="BW69" s="556"/>
      <c r="BX69" s="556">
        <v>10</v>
      </c>
      <c r="BY69" s="553"/>
      <c r="BZ69" s="553"/>
      <c r="CA69" s="553"/>
      <c r="CB69" s="558"/>
      <c r="CC69" s="558"/>
      <c r="CD69" s="558"/>
      <c r="CE69" s="558"/>
      <c r="CF69" s="551">
        <v>8</v>
      </c>
      <c r="CG69" s="551"/>
      <c r="CH69" s="551"/>
      <c r="CI69" s="551"/>
      <c r="CJ69" s="551"/>
      <c r="CK69" s="558"/>
      <c r="CL69" s="558"/>
      <c r="CM69" s="558"/>
      <c r="CN69" s="558"/>
      <c r="CO69" s="558"/>
      <c r="CP69" s="558"/>
      <c r="CQ69" s="558"/>
      <c r="CR69" s="551">
        <v>8</v>
      </c>
      <c r="CS69" s="551"/>
      <c r="CT69" s="551"/>
      <c r="CU69" s="551"/>
      <c r="CV69" s="565">
        <v>8</v>
      </c>
      <c r="CW69" s="565">
        <v>10</v>
      </c>
      <c r="CX69" s="565">
        <f>VLOOKUP(B69,'CIA MARKS'!C66:DN134,116,FALSE)</f>
        <v>22</v>
      </c>
      <c r="CY69" s="565">
        <f>VLOOKUP(B69,'CIA MARKS'!C66:DO134,117,FALSE)</f>
        <v>13</v>
      </c>
      <c r="CZ69" s="565">
        <f>VLOOKUP(B69,'CIA MARKS'!C66:DP134,118,FALSE)</f>
        <v>42</v>
      </c>
      <c r="DA69" s="572">
        <f>'CIA MARKS'!EJ66</f>
        <v>34</v>
      </c>
      <c r="DB69" s="573">
        <f t="shared" si="3"/>
        <v>32.5</v>
      </c>
      <c r="DC69" s="4">
        <v>65</v>
      </c>
      <c r="DD69" s="575" t="s">
        <v>96</v>
      </c>
      <c r="DF69" s="578" t="str">
        <f>IF(D$7="YES",'CIA MARKS'!DX66,"")</f>
        <v/>
      </c>
      <c r="DG69" s="460" t="str">
        <f>IF(D$8="YES",'CIA MARKS'!EH66,"")</f>
        <v/>
      </c>
      <c r="DH69" s="578">
        <f>IF(D$9="YES",'CIA MARKS'!EJ66,"")</f>
        <v>34</v>
      </c>
      <c r="DI69" s="578">
        <v>32.5</v>
      </c>
      <c r="DK69" s="450"/>
      <c r="DL69" s="450"/>
      <c r="DM69" s="450"/>
      <c r="DN69" s="450"/>
      <c r="DO69" s="450"/>
      <c r="DP69" s="451"/>
      <c r="DQ69" s="454"/>
      <c r="DR69" s="455">
        <f t="shared" si="1"/>
        <v>0</v>
      </c>
    </row>
    <row r="70" ht="18.75" spans="1:122">
      <c r="A70" s="527">
        <v>54</v>
      </c>
      <c r="B70" s="3" t="s">
        <v>202</v>
      </c>
      <c r="C70" s="528" t="s">
        <v>203</v>
      </c>
      <c r="D70" s="530">
        <v>8</v>
      </c>
      <c r="E70" s="530"/>
      <c r="F70" s="530"/>
      <c r="G70" s="530"/>
      <c r="H70" s="530">
        <v>8</v>
      </c>
      <c r="I70" s="530"/>
      <c r="J70" s="530"/>
      <c r="K70" s="530"/>
      <c r="L70" s="530">
        <v>9</v>
      </c>
      <c r="M70" s="530"/>
      <c r="N70" s="530"/>
      <c r="O70" s="530"/>
      <c r="P70" s="530"/>
      <c r="Q70" s="530"/>
      <c r="R70" s="530"/>
      <c r="S70" s="530"/>
      <c r="T70" s="530">
        <v>8</v>
      </c>
      <c r="U70" s="530"/>
      <c r="V70" s="530"/>
      <c r="W70" s="530"/>
      <c r="X70" s="530"/>
      <c r="Y70" s="530"/>
      <c r="Z70" s="530"/>
      <c r="AA70" s="530"/>
      <c r="AB70" s="530">
        <v>9</v>
      </c>
      <c r="AC70" s="530"/>
      <c r="AD70" s="530"/>
      <c r="AE70" s="530"/>
      <c r="AF70" s="530"/>
      <c r="AG70" s="530"/>
      <c r="AH70" s="530"/>
      <c r="AI70" s="530"/>
      <c r="AJ70" s="543">
        <v>6</v>
      </c>
      <c r="AK70" s="543"/>
      <c r="AL70" s="543"/>
      <c r="AM70" s="543"/>
      <c r="AN70" s="543">
        <v>8</v>
      </c>
      <c r="AO70" s="543"/>
      <c r="AP70" s="543"/>
      <c r="AQ70" s="543"/>
      <c r="AR70" s="546"/>
      <c r="AS70" s="546"/>
      <c r="AT70" s="546"/>
      <c r="AU70" s="546"/>
      <c r="AV70" s="546">
        <v>9</v>
      </c>
      <c r="AW70" s="546"/>
      <c r="AX70" s="546"/>
      <c r="AY70" s="546"/>
      <c r="AZ70" s="546"/>
      <c r="BA70" s="546"/>
      <c r="BB70" s="546"/>
      <c r="BC70" s="546"/>
      <c r="BD70" s="546">
        <v>8</v>
      </c>
      <c r="BE70" s="546"/>
      <c r="BF70" s="546"/>
      <c r="BG70" s="546"/>
      <c r="BH70" s="546"/>
      <c r="BI70" s="546"/>
      <c r="BJ70" s="546"/>
      <c r="BK70" s="546"/>
      <c r="BL70" s="546">
        <v>9</v>
      </c>
      <c r="BM70" s="546"/>
      <c r="BN70" s="546"/>
      <c r="BO70" s="546"/>
      <c r="BP70" s="551">
        <v>8</v>
      </c>
      <c r="BQ70" s="556"/>
      <c r="BR70" s="556"/>
      <c r="BS70" s="556"/>
      <c r="BT70" s="556">
        <v>6</v>
      </c>
      <c r="BU70" s="556"/>
      <c r="BV70" s="556"/>
      <c r="BW70" s="556"/>
      <c r="BX70" s="556"/>
      <c r="BY70" s="553"/>
      <c r="BZ70" s="553"/>
      <c r="CA70" s="553"/>
      <c r="CB70" s="558">
        <v>10</v>
      </c>
      <c r="CC70" s="558"/>
      <c r="CD70" s="558"/>
      <c r="CE70" s="558"/>
      <c r="CF70" s="551">
        <v>8</v>
      </c>
      <c r="CG70" s="551"/>
      <c r="CH70" s="551"/>
      <c r="CI70" s="551"/>
      <c r="CJ70" s="551"/>
      <c r="CK70" s="558"/>
      <c r="CL70" s="558"/>
      <c r="CM70" s="558"/>
      <c r="CN70" s="558">
        <v>8</v>
      </c>
      <c r="CO70" s="558"/>
      <c r="CP70" s="558"/>
      <c r="CQ70" s="558"/>
      <c r="CR70" s="551"/>
      <c r="CS70" s="551"/>
      <c r="CT70" s="551"/>
      <c r="CU70" s="551"/>
      <c r="CV70" s="565">
        <v>9</v>
      </c>
      <c r="CW70" s="565">
        <v>10</v>
      </c>
      <c r="CX70" s="565">
        <f>VLOOKUP(B70,'CIA MARKS'!C67:DN135,116,FALSE)</f>
        <v>42</v>
      </c>
      <c r="CY70" s="565">
        <f>VLOOKUP(B70,'CIA MARKS'!C67:DO135,117,FALSE)</f>
        <v>40</v>
      </c>
      <c r="CZ70" s="565">
        <f>VLOOKUP(B70,'CIA MARKS'!C67:DP135,118,FALSE)</f>
        <v>40</v>
      </c>
      <c r="DA70" s="572">
        <f>'CIA MARKS'!EJ67</f>
        <v>46</v>
      </c>
      <c r="DB70" s="573">
        <f t="shared" si="3"/>
        <v>39</v>
      </c>
      <c r="DC70" s="4">
        <v>78</v>
      </c>
      <c r="DD70" s="575" t="s">
        <v>93</v>
      </c>
      <c r="DF70" s="578" t="str">
        <f>IF(D$7="YES",'CIA MARKS'!DX67,"")</f>
        <v/>
      </c>
      <c r="DG70" s="460" t="str">
        <f>IF(D$8="YES",'CIA MARKS'!EH67,"")</f>
        <v/>
      </c>
      <c r="DH70" s="578">
        <f>IF(D$9="YES",'CIA MARKS'!EJ67,"")</f>
        <v>46</v>
      </c>
      <c r="DI70" s="578">
        <v>39</v>
      </c>
      <c r="DK70" s="450"/>
      <c r="DL70" s="450"/>
      <c r="DM70" s="450"/>
      <c r="DN70" s="450"/>
      <c r="DO70" s="450"/>
      <c r="DP70" s="451"/>
      <c r="DQ70" s="454"/>
      <c r="DR70" s="455">
        <f t="shared" si="1"/>
        <v>0</v>
      </c>
    </row>
    <row r="71" ht="18.75" spans="1:122">
      <c r="A71" s="527">
        <v>55</v>
      </c>
      <c r="B71" s="3" t="s">
        <v>204</v>
      </c>
      <c r="C71" s="528" t="s">
        <v>205</v>
      </c>
      <c r="D71" s="530">
        <v>6</v>
      </c>
      <c r="E71" s="530"/>
      <c r="F71" s="530"/>
      <c r="G71" s="530"/>
      <c r="H71" s="530">
        <v>5</v>
      </c>
      <c r="I71" s="530"/>
      <c r="J71" s="530"/>
      <c r="K71" s="530"/>
      <c r="L71" s="530">
        <v>5</v>
      </c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>
        <v>4</v>
      </c>
      <c r="Y71" s="530"/>
      <c r="Z71" s="530"/>
      <c r="AA71" s="530"/>
      <c r="AB71" s="530"/>
      <c r="AC71" s="530"/>
      <c r="AD71" s="530"/>
      <c r="AE71" s="530"/>
      <c r="AF71" s="530">
        <v>9</v>
      </c>
      <c r="AG71" s="530"/>
      <c r="AH71" s="530"/>
      <c r="AI71" s="530"/>
      <c r="AJ71" s="543">
        <v>2</v>
      </c>
      <c r="AK71" s="543"/>
      <c r="AL71" s="543"/>
      <c r="AM71" s="543"/>
      <c r="AN71" s="543">
        <v>4</v>
      </c>
      <c r="AO71" s="543"/>
      <c r="AP71" s="543"/>
      <c r="AQ71" s="543"/>
      <c r="AR71" s="546"/>
      <c r="AS71" s="546"/>
      <c r="AT71" s="546"/>
      <c r="AU71" s="546"/>
      <c r="AV71" s="546">
        <v>6</v>
      </c>
      <c r="AW71" s="546"/>
      <c r="AX71" s="546"/>
      <c r="AY71" s="546"/>
      <c r="AZ71" s="546"/>
      <c r="BA71" s="546"/>
      <c r="BB71" s="546"/>
      <c r="BC71" s="546"/>
      <c r="BD71" s="546">
        <v>2</v>
      </c>
      <c r="BE71" s="546"/>
      <c r="BF71" s="546"/>
      <c r="BG71" s="546"/>
      <c r="BH71" s="546">
        <v>6</v>
      </c>
      <c r="BI71" s="546"/>
      <c r="BJ71" s="546"/>
      <c r="BK71" s="546"/>
      <c r="BL71" s="546"/>
      <c r="BM71" s="546"/>
      <c r="BN71" s="546"/>
      <c r="BO71" s="546"/>
      <c r="BP71" s="551">
        <v>6</v>
      </c>
      <c r="BQ71" s="556"/>
      <c r="BR71" s="556"/>
      <c r="BS71" s="556"/>
      <c r="BT71" s="556">
        <v>5</v>
      </c>
      <c r="BU71" s="556"/>
      <c r="BV71" s="556"/>
      <c r="BW71" s="556"/>
      <c r="BX71" s="556">
        <v>8</v>
      </c>
      <c r="BY71" s="553"/>
      <c r="BZ71" s="553"/>
      <c r="CA71" s="553"/>
      <c r="CB71" s="558"/>
      <c r="CC71" s="558"/>
      <c r="CD71" s="558"/>
      <c r="CE71" s="558"/>
      <c r="CF71" s="551">
        <v>9</v>
      </c>
      <c r="CG71" s="551"/>
      <c r="CH71" s="551"/>
      <c r="CI71" s="551"/>
      <c r="CJ71" s="551"/>
      <c r="CK71" s="558"/>
      <c r="CL71" s="558"/>
      <c r="CM71" s="558"/>
      <c r="CN71" s="558">
        <v>9</v>
      </c>
      <c r="CO71" s="558"/>
      <c r="CP71" s="558"/>
      <c r="CQ71" s="558"/>
      <c r="CR71" s="551"/>
      <c r="CS71" s="551"/>
      <c r="CT71" s="551"/>
      <c r="CU71" s="551"/>
      <c r="CV71" s="565">
        <v>7</v>
      </c>
      <c r="CW71" s="565">
        <v>10</v>
      </c>
      <c r="CX71" s="565">
        <f>VLOOKUP(B71,'CIA MARKS'!C68:DN136,116,FALSE)</f>
        <v>29</v>
      </c>
      <c r="CY71" s="565">
        <f>VLOOKUP(B71,'CIA MARKS'!C68:DO136,117,FALSE)</f>
        <v>20</v>
      </c>
      <c r="CZ71" s="565">
        <f>VLOOKUP(B71,'CIA MARKS'!C68:DP136,118,FALSE)</f>
        <v>37</v>
      </c>
      <c r="DA71" s="572">
        <f>'CIA MARKS'!EJ68</f>
        <v>40</v>
      </c>
      <c r="DB71" s="573">
        <f t="shared" si="3"/>
        <v>35</v>
      </c>
      <c r="DC71" s="4">
        <v>70</v>
      </c>
      <c r="DD71" s="575" t="s">
        <v>90</v>
      </c>
      <c r="DF71" s="578" t="str">
        <f>IF(D$7="YES",'CIA MARKS'!DX68,"")</f>
        <v/>
      </c>
      <c r="DG71" s="460" t="str">
        <f>IF(D$8="YES",'CIA MARKS'!EH68,"")</f>
        <v/>
      </c>
      <c r="DH71" s="578">
        <f>IF(D$9="YES",'CIA MARKS'!EJ68,"")</f>
        <v>40</v>
      </c>
      <c r="DI71" s="578">
        <v>35</v>
      </c>
      <c r="DK71" s="450"/>
      <c r="DL71" s="450"/>
      <c r="DM71" s="450"/>
      <c r="DN71" s="450"/>
      <c r="DO71" s="450"/>
      <c r="DP71" s="451"/>
      <c r="DQ71" s="454"/>
      <c r="DR71" s="455">
        <f t="shared" si="1"/>
        <v>0</v>
      </c>
    </row>
    <row r="72" ht="18.75" spans="1:122">
      <c r="A72" s="527">
        <v>56</v>
      </c>
      <c r="B72" s="3" t="s">
        <v>206</v>
      </c>
      <c r="C72" s="528" t="s">
        <v>207</v>
      </c>
      <c r="D72" s="530">
        <v>10</v>
      </c>
      <c r="E72" s="530"/>
      <c r="F72" s="530"/>
      <c r="G72" s="530"/>
      <c r="H72" s="530">
        <v>6</v>
      </c>
      <c r="I72" s="530"/>
      <c r="J72" s="530"/>
      <c r="K72" s="530"/>
      <c r="L72" s="530">
        <v>6</v>
      </c>
      <c r="M72" s="530"/>
      <c r="N72" s="530"/>
      <c r="O72" s="530"/>
      <c r="P72" s="530"/>
      <c r="Q72" s="530"/>
      <c r="R72" s="530"/>
      <c r="S72" s="530"/>
      <c r="T72" s="530">
        <v>9</v>
      </c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>
        <v>10</v>
      </c>
      <c r="AG72" s="530"/>
      <c r="AH72" s="530"/>
      <c r="AI72" s="530"/>
      <c r="AJ72" s="543">
        <v>8</v>
      </c>
      <c r="AK72" s="543"/>
      <c r="AL72" s="543"/>
      <c r="AM72" s="543"/>
      <c r="AN72" s="543">
        <v>10</v>
      </c>
      <c r="AO72" s="543"/>
      <c r="AP72" s="543"/>
      <c r="AQ72" s="543"/>
      <c r="AR72" s="546"/>
      <c r="AS72" s="546"/>
      <c r="AT72" s="546"/>
      <c r="AU72" s="546"/>
      <c r="AV72" s="546">
        <v>8</v>
      </c>
      <c r="AW72" s="546"/>
      <c r="AX72" s="546"/>
      <c r="AY72" s="546"/>
      <c r="AZ72" s="546">
        <v>6</v>
      </c>
      <c r="BA72" s="546"/>
      <c r="BB72" s="546"/>
      <c r="BC72" s="546"/>
      <c r="BD72" s="546"/>
      <c r="BE72" s="546"/>
      <c r="BF72" s="546"/>
      <c r="BG72" s="546"/>
      <c r="BH72" s="546"/>
      <c r="BI72" s="546"/>
      <c r="BJ72" s="546"/>
      <c r="BK72" s="546"/>
      <c r="BL72" s="546">
        <v>10</v>
      </c>
      <c r="BM72" s="546"/>
      <c r="BN72" s="546"/>
      <c r="BO72" s="546"/>
      <c r="BP72" s="556">
        <v>10</v>
      </c>
      <c r="BQ72" s="556"/>
      <c r="BR72" s="556"/>
      <c r="BS72" s="556"/>
      <c r="BT72" s="556">
        <v>6</v>
      </c>
      <c r="BU72" s="556"/>
      <c r="BV72" s="556"/>
      <c r="BW72" s="556"/>
      <c r="BX72" s="556"/>
      <c r="BY72" s="556"/>
      <c r="BZ72" s="556"/>
      <c r="CA72" s="556"/>
      <c r="CB72" s="556">
        <v>8</v>
      </c>
      <c r="CC72" s="556"/>
      <c r="CD72" s="556"/>
      <c r="CE72" s="556"/>
      <c r="CF72" s="556">
        <v>9</v>
      </c>
      <c r="CG72" s="556"/>
      <c r="CH72" s="556"/>
      <c r="CI72" s="556"/>
      <c r="CJ72" s="556"/>
      <c r="CK72" s="556"/>
      <c r="CL72" s="556"/>
      <c r="CM72" s="556"/>
      <c r="CN72" s="556"/>
      <c r="CO72" s="556"/>
      <c r="CP72" s="556"/>
      <c r="CQ72" s="556"/>
      <c r="CR72" s="556">
        <v>8</v>
      </c>
      <c r="CS72" s="556"/>
      <c r="CT72" s="556"/>
      <c r="CU72" s="556"/>
      <c r="CV72" s="565">
        <v>9</v>
      </c>
      <c r="CW72" s="565">
        <v>10</v>
      </c>
      <c r="CX72" s="565">
        <f>VLOOKUP(B72,'CIA MARKS'!C69:DN137,116,FALSE)</f>
        <v>41</v>
      </c>
      <c r="CY72" s="565">
        <f>VLOOKUP(B72,'CIA MARKS'!C69:DO137,117,FALSE)</f>
        <v>42</v>
      </c>
      <c r="CZ72" s="565">
        <f>VLOOKUP(B72,'CIA MARKS'!C69:DP137,118,FALSE)</f>
        <v>41</v>
      </c>
      <c r="DA72" s="572">
        <f>'CIA MARKS'!EJ69</f>
        <v>46</v>
      </c>
      <c r="DB72" s="573">
        <f t="shared" si="3"/>
        <v>33.5</v>
      </c>
      <c r="DC72" s="4">
        <v>67</v>
      </c>
      <c r="DD72" s="575" t="s">
        <v>93</v>
      </c>
      <c r="DF72" s="578" t="str">
        <f>IF(D$7="YES",'CIA MARKS'!DX69,"")</f>
        <v/>
      </c>
      <c r="DG72" s="460" t="str">
        <f>IF(D$8="YES",'CIA MARKS'!EH69,"")</f>
        <v/>
      </c>
      <c r="DH72" s="578">
        <f>IF(D$9="YES",'CIA MARKS'!EJ69,"")</f>
        <v>46</v>
      </c>
      <c r="DI72" s="578">
        <v>33.5</v>
      </c>
      <c r="DK72" s="450"/>
      <c r="DL72" s="450"/>
      <c r="DM72" s="450"/>
      <c r="DN72" s="450"/>
      <c r="DO72" s="450"/>
      <c r="DP72" s="451"/>
      <c r="DQ72" s="454"/>
      <c r="DR72" s="455">
        <f t="shared" si="1"/>
        <v>0</v>
      </c>
    </row>
    <row r="73" ht="15" customHeight="1" spans="1:122">
      <c r="A73" s="527">
        <v>57</v>
      </c>
      <c r="B73" s="3" t="s">
        <v>208</v>
      </c>
      <c r="C73" s="528" t="s">
        <v>209</v>
      </c>
      <c r="D73" s="530">
        <v>4</v>
      </c>
      <c r="E73" s="530"/>
      <c r="F73" s="530"/>
      <c r="G73" s="530"/>
      <c r="H73" s="530">
        <v>3</v>
      </c>
      <c r="I73" s="530"/>
      <c r="J73" s="530"/>
      <c r="K73" s="530"/>
      <c r="L73" s="530"/>
      <c r="M73" s="530"/>
      <c r="N73" s="530"/>
      <c r="O73" s="530"/>
      <c r="P73" s="530">
        <v>3</v>
      </c>
      <c r="Q73" s="530"/>
      <c r="R73" s="530"/>
      <c r="S73" s="530"/>
      <c r="T73" s="530"/>
      <c r="U73" s="530"/>
      <c r="V73" s="530"/>
      <c r="W73" s="530"/>
      <c r="X73" s="530">
        <v>6</v>
      </c>
      <c r="Y73" s="530"/>
      <c r="Z73" s="530"/>
      <c r="AA73" s="530"/>
      <c r="AB73" s="530"/>
      <c r="AC73" s="530"/>
      <c r="AD73" s="530"/>
      <c r="AE73" s="530"/>
      <c r="AF73" s="530">
        <v>4</v>
      </c>
      <c r="AG73" s="530"/>
      <c r="AH73" s="530"/>
      <c r="AI73" s="530"/>
      <c r="AJ73" s="543">
        <v>3</v>
      </c>
      <c r="AK73" s="543"/>
      <c r="AL73" s="543"/>
      <c r="AM73" s="543"/>
      <c r="AN73" s="543">
        <v>1</v>
      </c>
      <c r="AO73" s="543"/>
      <c r="AP73" s="543"/>
      <c r="AQ73" s="543"/>
      <c r="AR73" s="546">
        <v>0</v>
      </c>
      <c r="AS73" s="546"/>
      <c r="AT73" s="546"/>
      <c r="AU73" s="546"/>
      <c r="AV73" s="546"/>
      <c r="AW73" s="546"/>
      <c r="AX73" s="546"/>
      <c r="AY73" s="546"/>
      <c r="AZ73" s="546">
        <v>0</v>
      </c>
      <c r="BA73" s="546"/>
      <c r="BB73" s="546"/>
      <c r="BC73" s="546"/>
      <c r="BD73" s="546"/>
      <c r="BE73" s="546"/>
      <c r="BF73" s="546"/>
      <c r="BG73" s="546"/>
      <c r="BH73" s="546">
        <v>4</v>
      </c>
      <c r="BI73" s="546"/>
      <c r="BJ73" s="546"/>
      <c r="BK73" s="546"/>
      <c r="BL73" s="546"/>
      <c r="BM73" s="546"/>
      <c r="BN73" s="546"/>
      <c r="BO73" s="546"/>
      <c r="BP73" s="556">
        <v>6</v>
      </c>
      <c r="BQ73" s="556"/>
      <c r="BR73" s="556"/>
      <c r="BS73" s="556"/>
      <c r="BT73" s="556">
        <v>4</v>
      </c>
      <c r="BU73" s="556"/>
      <c r="BV73" s="556"/>
      <c r="BW73" s="556"/>
      <c r="BX73" s="556">
        <v>4</v>
      </c>
      <c r="BY73" s="556"/>
      <c r="BZ73" s="556"/>
      <c r="CA73" s="556"/>
      <c r="CB73" s="556"/>
      <c r="CC73" s="556"/>
      <c r="CD73" s="556"/>
      <c r="CE73" s="556"/>
      <c r="CF73" s="556">
        <v>6</v>
      </c>
      <c r="CG73" s="556"/>
      <c r="CH73" s="556"/>
      <c r="CI73" s="556"/>
      <c r="CJ73" s="556"/>
      <c r="CK73" s="556"/>
      <c r="CL73" s="556"/>
      <c r="CM73" s="556"/>
      <c r="CN73" s="556"/>
      <c r="CO73" s="556"/>
      <c r="CP73" s="556"/>
      <c r="CQ73" s="556"/>
      <c r="CR73" s="556"/>
      <c r="CS73" s="556"/>
      <c r="CT73" s="556"/>
      <c r="CU73" s="556"/>
      <c r="CV73" s="565">
        <v>7</v>
      </c>
      <c r="CW73" s="565">
        <v>10</v>
      </c>
      <c r="CX73" s="565">
        <f>VLOOKUP(B73,'CIA MARKS'!C70:DN138,116,FALSE)</f>
        <v>20</v>
      </c>
      <c r="CY73" s="565">
        <f>VLOOKUP(B73,'CIA MARKS'!C70:DO138,117,FALSE)</f>
        <v>8</v>
      </c>
      <c r="CZ73" s="565">
        <f>VLOOKUP(B73,'CIA MARKS'!C70:DP138,118,FALSE)</f>
        <v>20</v>
      </c>
      <c r="DA73" s="572">
        <f>'CIA MARKS'!EJ70</f>
        <v>29</v>
      </c>
      <c r="DB73" s="573">
        <f t="shared" si="3"/>
        <v>15</v>
      </c>
      <c r="DC73" s="4">
        <v>30</v>
      </c>
      <c r="DD73" s="576" t="s">
        <v>173</v>
      </c>
      <c r="DF73" s="578" t="str">
        <f>IF(D$7="YES",'CIA MARKS'!DX70,"")</f>
        <v/>
      </c>
      <c r="DG73" s="460" t="str">
        <f>IF(D$8="YES",'CIA MARKS'!EH70,"")</f>
        <v/>
      </c>
      <c r="DH73" s="578">
        <f>IF(D$9="YES",'CIA MARKS'!EJ70,"")</f>
        <v>29</v>
      </c>
      <c r="DI73" s="578">
        <v>15</v>
      </c>
      <c r="DK73" s="450"/>
      <c r="DL73" s="450"/>
      <c r="DM73" s="450"/>
      <c r="DN73" s="450"/>
      <c r="DO73" s="450"/>
      <c r="DP73" s="451"/>
      <c r="DQ73" s="454"/>
      <c r="DR73" s="455">
        <f t="shared" si="1"/>
        <v>0</v>
      </c>
    </row>
    <row r="74" ht="18.75" spans="1:122">
      <c r="A74" s="527">
        <v>58</v>
      </c>
      <c r="B74" s="3" t="s">
        <v>210</v>
      </c>
      <c r="C74" s="528" t="s">
        <v>211</v>
      </c>
      <c r="D74" s="530">
        <v>8</v>
      </c>
      <c r="E74" s="530"/>
      <c r="F74" s="530"/>
      <c r="G74" s="530"/>
      <c r="H74" s="530">
        <v>5</v>
      </c>
      <c r="I74" s="530"/>
      <c r="J74" s="530"/>
      <c r="K74" s="530"/>
      <c r="L74" s="530">
        <v>5</v>
      </c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>
        <v>8</v>
      </c>
      <c r="Y74" s="530"/>
      <c r="Z74" s="530"/>
      <c r="AA74" s="530"/>
      <c r="AB74" s="530"/>
      <c r="AC74" s="530"/>
      <c r="AD74" s="530"/>
      <c r="AE74" s="530"/>
      <c r="AF74" s="530">
        <v>9</v>
      </c>
      <c r="AG74" s="530"/>
      <c r="AH74" s="530"/>
      <c r="AI74" s="530"/>
      <c r="AJ74" s="543">
        <v>6</v>
      </c>
      <c r="AK74" s="543"/>
      <c r="AL74" s="543"/>
      <c r="AM74" s="543"/>
      <c r="AN74" s="543">
        <v>8</v>
      </c>
      <c r="AO74" s="543"/>
      <c r="AP74" s="543"/>
      <c r="AQ74" s="543"/>
      <c r="AR74" s="546"/>
      <c r="AS74" s="546"/>
      <c r="AT74" s="546"/>
      <c r="AU74" s="546"/>
      <c r="AV74" s="546">
        <v>10</v>
      </c>
      <c r="AW74" s="546"/>
      <c r="AX74" s="546"/>
      <c r="AY74" s="546"/>
      <c r="AZ74" s="546"/>
      <c r="BA74" s="546"/>
      <c r="BB74" s="546"/>
      <c r="BC74" s="546"/>
      <c r="BD74" s="546">
        <v>3</v>
      </c>
      <c r="BE74" s="546"/>
      <c r="BF74" s="546"/>
      <c r="BG74" s="546"/>
      <c r="BH74" s="546"/>
      <c r="BI74" s="546"/>
      <c r="BJ74" s="546"/>
      <c r="BK74" s="546"/>
      <c r="BL74" s="546">
        <v>9</v>
      </c>
      <c r="BM74" s="546"/>
      <c r="BN74" s="546"/>
      <c r="BO74" s="546"/>
      <c r="BP74" s="556">
        <v>9</v>
      </c>
      <c r="BQ74" s="556"/>
      <c r="BR74" s="556"/>
      <c r="BS74" s="556"/>
      <c r="BT74" s="556">
        <v>6</v>
      </c>
      <c r="BU74" s="556"/>
      <c r="BV74" s="556"/>
      <c r="BW74" s="556"/>
      <c r="BX74" s="556">
        <v>9</v>
      </c>
      <c r="BY74" s="556"/>
      <c r="BZ74" s="556"/>
      <c r="CA74" s="556"/>
      <c r="CB74" s="556"/>
      <c r="CC74" s="556"/>
      <c r="CD74" s="556"/>
      <c r="CE74" s="556"/>
      <c r="CF74" s="556"/>
      <c r="CG74" s="556"/>
      <c r="CH74" s="556"/>
      <c r="CI74" s="556"/>
      <c r="CJ74" s="556">
        <v>9</v>
      </c>
      <c r="CK74" s="556"/>
      <c r="CL74" s="556"/>
      <c r="CM74" s="556"/>
      <c r="CN74" s="556">
        <v>10</v>
      </c>
      <c r="CO74" s="556"/>
      <c r="CP74" s="556"/>
      <c r="CQ74" s="556"/>
      <c r="CR74" s="556"/>
      <c r="CS74" s="556"/>
      <c r="CT74" s="556"/>
      <c r="CU74" s="556"/>
      <c r="CV74" s="565">
        <v>7</v>
      </c>
      <c r="CW74" s="565">
        <v>10</v>
      </c>
      <c r="CX74" s="565">
        <f>VLOOKUP(B74,'CIA MARKS'!C71:DN139,116,FALSE)</f>
        <v>35</v>
      </c>
      <c r="CY74" s="565">
        <f>VLOOKUP(B74,'CIA MARKS'!C71:DO139,117,FALSE)</f>
        <v>36</v>
      </c>
      <c r="CZ74" s="565">
        <f>VLOOKUP(B74,'CIA MARKS'!C71:DP139,118,FALSE)</f>
        <v>43</v>
      </c>
      <c r="DA74" s="572">
        <f>'CIA MARKS'!EJ71</f>
        <v>42</v>
      </c>
      <c r="DB74" s="573">
        <f t="shared" si="3"/>
        <v>41</v>
      </c>
      <c r="DC74" s="4">
        <v>82</v>
      </c>
      <c r="DD74" s="575" t="s">
        <v>93</v>
      </c>
      <c r="DF74" s="578" t="str">
        <f>IF(D$7="YES",'CIA MARKS'!DX71,"")</f>
        <v/>
      </c>
      <c r="DG74" s="460" t="str">
        <f>IF(D$8="YES",'CIA MARKS'!EH71,"")</f>
        <v/>
      </c>
      <c r="DH74" s="578">
        <f>IF(D$9="YES",'CIA MARKS'!EJ71,"")</f>
        <v>42</v>
      </c>
      <c r="DI74" s="578">
        <v>41</v>
      </c>
      <c r="DK74" s="450"/>
      <c r="DL74" s="450"/>
      <c r="DM74" s="450"/>
      <c r="DN74" s="450"/>
      <c r="DO74" s="450"/>
      <c r="DP74" s="451"/>
      <c r="DQ74" s="454"/>
      <c r="DR74" s="455">
        <f t="shared" si="1"/>
        <v>0</v>
      </c>
    </row>
    <row r="75" ht="18.75" spans="1:122">
      <c r="A75" s="527">
        <v>59</v>
      </c>
      <c r="B75" s="3" t="s">
        <v>212</v>
      </c>
      <c r="C75" s="528" t="s">
        <v>213</v>
      </c>
      <c r="D75" s="530">
        <v>8</v>
      </c>
      <c r="E75" s="530"/>
      <c r="F75" s="530"/>
      <c r="G75" s="530"/>
      <c r="H75" s="530">
        <v>6</v>
      </c>
      <c r="I75" s="530"/>
      <c r="J75" s="530"/>
      <c r="K75" s="530"/>
      <c r="L75" s="530"/>
      <c r="M75" s="530"/>
      <c r="N75" s="530"/>
      <c r="O75" s="530"/>
      <c r="P75" s="530">
        <v>5</v>
      </c>
      <c r="Q75" s="530"/>
      <c r="R75" s="530"/>
      <c r="S75" s="530"/>
      <c r="T75" s="530">
        <v>8</v>
      </c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>
        <v>8</v>
      </c>
      <c r="AG75" s="530"/>
      <c r="AH75" s="530"/>
      <c r="AI75" s="530"/>
      <c r="AJ75" s="543">
        <v>2</v>
      </c>
      <c r="AK75" s="543"/>
      <c r="AL75" s="543"/>
      <c r="AM75" s="543"/>
      <c r="AN75" s="543">
        <v>7</v>
      </c>
      <c r="AO75" s="543"/>
      <c r="AP75" s="543"/>
      <c r="AQ75" s="543"/>
      <c r="AR75" s="546"/>
      <c r="AS75" s="546"/>
      <c r="AT75" s="546"/>
      <c r="AU75" s="546"/>
      <c r="AV75" s="546">
        <v>9</v>
      </c>
      <c r="AW75" s="546"/>
      <c r="AX75" s="546"/>
      <c r="AY75" s="546"/>
      <c r="AZ75" s="546">
        <v>8</v>
      </c>
      <c r="BA75" s="546"/>
      <c r="BB75" s="546"/>
      <c r="BC75" s="546"/>
      <c r="BD75" s="546"/>
      <c r="BE75" s="546"/>
      <c r="BF75" s="546"/>
      <c r="BG75" s="546"/>
      <c r="BH75" s="546"/>
      <c r="BI75" s="546"/>
      <c r="BJ75" s="546"/>
      <c r="BK75" s="546"/>
      <c r="BL75" s="546">
        <v>8</v>
      </c>
      <c r="BM75" s="546"/>
      <c r="BN75" s="546"/>
      <c r="BO75" s="546"/>
      <c r="BP75" s="556">
        <v>9</v>
      </c>
      <c r="BQ75" s="556"/>
      <c r="BR75" s="556"/>
      <c r="BS75" s="556"/>
      <c r="BT75" s="556">
        <v>7</v>
      </c>
      <c r="BU75" s="556"/>
      <c r="BV75" s="556"/>
      <c r="BW75" s="556"/>
      <c r="BX75" s="556"/>
      <c r="BY75" s="556"/>
      <c r="BZ75" s="556"/>
      <c r="CA75" s="556"/>
      <c r="CB75" s="556">
        <v>8</v>
      </c>
      <c r="CC75" s="556"/>
      <c r="CD75" s="556"/>
      <c r="CE75" s="556"/>
      <c r="CF75" s="556">
        <v>8</v>
      </c>
      <c r="CG75" s="556"/>
      <c r="CH75" s="556"/>
      <c r="CI75" s="556"/>
      <c r="CJ75" s="556"/>
      <c r="CK75" s="556"/>
      <c r="CL75" s="556"/>
      <c r="CM75" s="556"/>
      <c r="CN75" s="556">
        <v>7</v>
      </c>
      <c r="CO75" s="556"/>
      <c r="CP75" s="556"/>
      <c r="CQ75" s="556"/>
      <c r="CR75" s="556"/>
      <c r="CS75" s="609"/>
      <c r="CT75" s="609"/>
      <c r="CU75" s="609"/>
      <c r="CV75" s="565">
        <v>8</v>
      </c>
      <c r="CW75" s="565">
        <v>10</v>
      </c>
      <c r="CX75" s="565">
        <f>VLOOKUP(B75,'CIA MARKS'!C72:DN140,116,FALSE)</f>
        <v>35</v>
      </c>
      <c r="CY75" s="565">
        <f>VLOOKUP(B75,'CIA MARKS'!C72:DO140,117,FALSE)</f>
        <v>34</v>
      </c>
      <c r="CZ75" s="565">
        <f>VLOOKUP(B75,'CIA MARKS'!C72:DP140,118,FALSE)</f>
        <v>39</v>
      </c>
      <c r="DA75" s="572">
        <f>'CIA MARKS'!EJ72</f>
        <v>43</v>
      </c>
      <c r="DB75" s="573">
        <f t="shared" si="3"/>
        <v>34</v>
      </c>
      <c r="DC75" s="4">
        <v>68</v>
      </c>
      <c r="DD75" s="575" t="s">
        <v>90</v>
      </c>
      <c r="DF75" s="578" t="str">
        <f>IF(D$7="YES",'CIA MARKS'!DX72,"")</f>
        <v/>
      </c>
      <c r="DG75" s="460" t="str">
        <f>IF(D$8="YES",'CIA MARKS'!EH72,"")</f>
        <v/>
      </c>
      <c r="DH75" s="578">
        <f>IF(D$9="YES",'CIA MARKS'!EJ72,"")</f>
        <v>43</v>
      </c>
      <c r="DI75" s="578">
        <v>34</v>
      </c>
      <c r="DK75" s="450"/>
      <c r="DL75" s="450"/>
      <c r="DM75" s="450"/>
      <c r="DN75" s="450"/>
      <c r="DO75" s="450"/>
      <c r="DP75" s="451"/>
      <c r="DQ75" s="454"/>
      <c r="DR75" s="455">
        <f t="shared" si="1"/>
        <v>0</v>
      </c>
    </row>
    <row r="76" ht="16.5" customHeight="1" spans="1:122">
      <c r="A76" s="527">
        <v>60</v>
      </c>
      <c r="B76" s="3" t="s">
        <v>214</v>
      </c>
      <c r="C76" s="528" t="s">
        <v>215</v>
      </c>
      <c r="D76" s="530">
        <v>8</v>
      </c>
      <c r="E76" s="530"/>
      <c r="F76" s="530"/>
      <c r="G76" s="530"/>
      <c r="H76" s="530">
        <v>6</v>
      </c>
      <c r="I76" s="530"/>
      <c r="J76" s="530"/>
      <c r="K76" s="530"/>
      <c r="L76" s="530">
        <v>6</v>
      </c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>
        <v>7</v>
      </c>
      <c r="Y76" s="530"/>
      <c r="Z76" s="530"/>
      <c r="AA76" s="530"/>
      <c r="AB76" s="530"/>
      <c r="AC76" s="530"/>
      <c r="AD76" s="530"/>
      <c r="AE76" s="530"/>
      <c r="AF76" s="530">
        <v>3</v>
      </c>
      <c r="AG76" s="530"/>
      <c r="AH76" s="530"/>
      <c r="AI76" s="530"/>
      <c r="AJ76" s="543">
        <v>10</v>
      </c>
      <c r="AK76" s="543"/>
      <c r="AL76" s="543"/>
      <c r="AM76" s="543"/>
      <c r="AN76" s="543">
        <v>8</v>
      </c>
      <c r="AO76" s="543"/>
      <c r="AP76" s="543"/>
      <c r="AQ76" s="543"/>
      <c r="AR76" s="546"/>
      <c r="AS76" s="546"/>
      <c r="AT76" s="546"/>
      <c r="AU76" s="546"/>
      <c r="AV76" s="546">
        <v>8</v>
      </c>
      <c r="AW76" s="546"/>
      <c r="AX76" s="546"/>
      <c r="AY76" s="546"/>
      <c r="AZ76" s="546"/>
      <c r="BA76" s="546"/>
      <c r="BB76" s="546"/>
      <c r="BC76" s="546"/>
      <c r="BD76" s="546">
        <v>3</v>
      </c>
      <c r="BE76" s="546"/>
      <c r="BF76" s="546"/>
      <c r="BG76" s="546"/>
      <c r="BH76" s="546">
        <v>2</v>
      </c>
      <c r="BI76" s="546"/>
      <c r="BJ76" s="546"/>
      <c r="BK76" s="546"/>
      <c r="BL76" s="546"/>
      <c r="BM76" s="546"/>
      <c r="BN76" s="546"/>
      <c r="BO76" s="546"/>
      <c r="BP76" s="556">
        <v>10</v>
      </c>
      <c r="BQ76" s="556"/>
      <c r="BR76" s="556"/>
      <c r="BS76" s="556"/>
      <c r="BT76" s="556">
        <v>9</v>
      </c>
      <c r="BU76" s="556"/>
      <c r="BV76" s="556"/>
      <c r="BW76" s="556"/>
      <c r="BX76" s="556"/>
      <c r="BY76" s="556"/>
      <c r="BZ76" s="556"/>
      <c r="CA76" s="556"/>
      <c r="CB76" s="556">
        <v>10</v>
      </c>
      <c r="CC76" s="556"/>
      <c r="CD76" s="556"/>
      <c r="CE76" s="556"/>
      <c r="CF76" s="556">
        <v>9</v>
      </c>
      <c r="CG76" s="556"/>
      <c r="CH76" s="556"/>
      <c r="CI76" s="556"/>
      <c r="CJ76" s="608"/>
      <c r="CK76" s="608"/>
      <c r="CL76" s="608"/>
      <c r="CM76" s="608"/>
      <c r="CN76" s="556"/>
      <c r="CO76" s="556"/>
      <c r="CP76" s="556"/>
      <c r="CQ76" s="556"/>
      <c r="CR76" s="556">
        <v>8</v>
      </c>
      <c r="CS76" s="556"/>
      <c r="CT76" s="556"/>
      <c r="CU76" s="556"/>
      <c r="CV76" s="565">
        <v>6</v>
      </c>
      <c r="CW76" s="565">
        <v>10</v>
      </c>
      <c r="CX76" s="565">
        <f>VLOOKUP(B76,'CIA MARKS'!C73:DN141,116,FALSE)</f>
        <v>30</v>
      </c>
      <c r="CY76" s="565">
        <f>VLOOKUP(B76,'CIA MARKS'!C73:DO141,117,FALSE)</f>
        <v>31</v>
      </c>
      <c r="CZ76" s="565">
        <f>VLOOKUP(B76,'CIA MARKS'!C73:DP141,118,FALSE)</f>
        <v>46</v>
      </c>
      <c r="DA76" s="572">
        <f>'CIA MARKS'!EJ73</f>
        <v>41</v>
      </c>
      <c r="DB76" s="573">
        <f t="shared" si="3"/>
        <v>36</v>
      </c>
      <c r="DC76" s="4">
        <v>72</v>
      </c>
      <c r="DD76" s="575" t="s">
        <v>90</v>
      </c>
      <c r="DF76" s="578" t="str">
        <f>IF(D$7="YES",'CIA MARKS'!DX73,"")</f>
        <v/>
      </c>
      <c r="DG76" s="460" t="str">
        <f>IF(D$8="YES",'CIA MARKS'!EH73,"")</f>
        <v/>
      </c>
      <c r="DH76" s="578">
        <f>IF(D$9="YES",'CIA MARKS'!EJ73,"")</f>
        <v>41</v>
      </c>
      <c r="DI76" s="578">
        <v>36</v>
      </c>
      <c r="DK76" s="450"/>
      <c r="DL76" s="450"/>
      <c r="DM76" s="450"/>
      <c r="DN76" s="450"/>
      <c r="DO76" s="450"/>
      <c r="DP76" s="451"/>
      <c r="DQ76" s="454"/>
      <c r="DR76" s="455">
        <f t="shared" si="1"/>
        <v>0</v>
      </c>
    </row>
    <row r="77" ht="18.75" spans="1:122">
      <c r="A77" s="527">
        <v>61</v>
      </c>
      <c r="B77" s="3" t="s">
        <v>216</v>
      </c>
      <c r="C77" s="528" t="s">
        <v>217</v>
      </c>
      <c r="D77" s="530">
        <v>6</v>
      </c>
      <c r="E77" s="530"/>
      <c r="F77" s="530"/>
      <c r="G77" s="530"/>
      <c r="H77" s="530">
        <v>8</v>
      </c>
      <c r="I77" s="530"/>
      <c r="J77" s="530"/>
      <c r="K77" s="530"/>
      <c r="L77" s="530"/>
      <c r="M77" s="530"/>
      <c r="N77" s="530"/>
      <c r="O77" s="530"/>
      <c r="P77" s="530">
        <v>6</v>
      </c>
      <c r="Q77" s="530"/>
      <c r="R77" s="530"/>
      <c r="S77" s="530"/>
      <c r="T77" s="530">
        <v>6</v>
      </c>
      <c r="U77" s="530"/>
      <c r="V77" s="530"/>
      <c r="W77" s="530"/>
      <c r="X77" s="530"/>
      <c r="Y77" s="530"/>
      <c r="Z77" s="530"/>
      <c r="AA77" s="530"/>
      <c r="AB77" s="530">
        <v>6</v>
      </c>
      <c r="AC77" s="530"/>
      <c r="AD77" s="530"/>
      <c r="AE77" s="530"/>
      <c r="AF77" s="530"/>
      <c r="AG77" s="530"/>
      <c r="AH77" s="530"/>
      <c r="AI77" s="530"/>
      <c r="AJ77" s="600"/>
      <c r="AK77" s="543"/>
      <c r="AL77" s="543"/>
      <c r="AM77" s="543"/>
      <c r="AN77" s="543">
        <v>6</v>
      </c>
      <c r="AO77" s="543"/>
      <c r="AP77" s="543"/>
      <c r="AQ77" s="543"/>
      <c r="AR77" s="546"/>
      <c r="AS77" s="546"/>
      <c r="AT77" s="546"/>
      <c r="AU77" s="546"/>
      <c r="AV77" s="546">
        <v>10</v>
      </c>
      <c r="AW77" s="546"/>
      <c r="AX77" s="546"/>
      <c r="AY77" s="546"/>
      <c r="AZ77" s="546"/>
      <c r="BA77" s="546"/>
      <c r="BB77" s="546"/>
      <c r="BC77" s="546"/>
      <c r="BD77" s="546">
        <v>2</v>
      </c>
      <c r="BE77" s="546"/>
      <c r="BF77" s="546"/>
      <c r="BG77" s="546"/>
      <c r="BH77" s="546">
        <v>8</v>
      </c>
      <c r="BI77" s="546"/>
      <c r="BJ77" s="546"/>
      <c r="BK77" s="546"/>
      <c r="BL77" s="546"/>
      <c r="BM77" s="604"/>
      <c r="BN77" s="604"/>
      <c r="BO77" s="604"/>
      <c r="BP77" s="605">
        <v>8</v>
      </c>
      <c r="BQ77" s="556"/>
      <c r="BR77" s="556"/>
      <c r="BS77" s="556"/>
      <c r="BT77" s="556">
        <v>7</v>
      </c>
      <c r="BU77" s="556"/>
      <c r="BV77" s="556"/>
      <c r="BW77" s="556"/>
      <c r="BX77" s="556">
        <v>8</v>
      </c>
      <c r="BY77" s="605"/>
      <c r="BZ77" s="605"/>
      <c r="CA77" s="605"/>
      <c r="CB77" s="605"/>
      <c r="CC77" s="605"/>
      <c r="CD77" s="605"/>
      <c r="CE77" s="605"/>
      <c r="CF77" s="605">
        <v>8</v>
      </c>
      <c r="CG77" s="605"/>
      <c r="CH77" s="605"/>
      <c r="CI77" s="605"/>
      <c r="CJ77" s="605"/>
      <c r="CK77" s="605"/>
      <c r="CL77" s="605"/>
      <c r="CM77" s="605"/>
      <c r="CN77" s="605">
        <v>7</v>
      </c>
      <c r="CO77" s="605"/>
      <c r="CP77" s="605"/>
      <c r="CQ77" s="605"/>
      <c r="CR77" s="605"/>
      <c r="CS77" s="605"/>
      <c r="CT77" s="605"/>
      <c r="CU77" s="605"/>
      <c r="CV77" s="565">
        <v>6</v>
      </c>
      <c r="CW77" s="565">
        <v>10</v>
      </c>
      <c r="CX77" s="565">
        <f>VLOOKUP(B77,'CIA MARKS'!C74:DN142,116,FALSE)</f>
        <v>32</v>
      </c>
      <c r="CY77" s="565">
        <f>VLOOKUP(B77,'CIA MARKS'!C74:DO142,117,FALSE)</f>
        <v>26</v>
      </c>
      <c r="CZ77" s="565">
        <f>VLOOKUP(B77,'CIA MARKS'!C74:DP142,118,FALSE)</f>
        <v>38</v>
      </c>
      <c r="DA77" s="572">
        <f>'CIA MARKS'!EJ74</f>
        <v>36</v>
      </c>
      <c r="DB77" s="573">
        <f t="shared" si="3"/>
        <v>25.5</v>
      </c>
      <c r="DC77" s="4">
        <v>51</v>
      </c>
      <c r="DD77" s="575" t="s">
        <v>96</v>
      </c>
      <c r="DF77" s="578" t="str">
        <f>IF(D$7="YES",'CIA MARKS'!DX74,"")</f>
        <v/>
      </c>
      <c r="DG77" s="460" t="str">
        <f>IF(D$8="YES",'CIA MARKS'!EH74,"")</f>
        <v/>
      </c>
      <c r="DH77" s="578">
        <f>IF(D$9="YES",'CIA MARKS'!EJ74,"")</f>
        <v>36</v>
      </c>
      <c r="DI77" s="578">
        <v>25.5</v>
      </c>
      <c r="DK77" s="450"/>
      <c r="DL77" s="450"/>
      <c r="DM77" s="450"/>
      <c r="DN77" s="450"/>
      <c r="DO77" s="450"/>
      <c r="DP77" s="451"/>
      <c r="DQ77" s="454"/>
      <c r="DR77" s="455">
        <f t="shared" si="1"/>
        <v>0</v>
      </c>
    </row>
    <row r="78" ht="18.75" spans="1:122">
      <c r="A78" s="527">
        <v>62</v>
      </c>
      <c r="B78" s="3" t="s">
        <v>218</v>
      </c>
      <c r="C78" s="528" t="s">
        <v>219</v>
      </c>
      <c r="D78" s="530">
        <v>9</v>
      </c>
      <c r="E78" s="530"/>
      <c r="F78" s="530"/>
      <c r="G78" s="530"/>
      <c r="H78" s="530">
        <v>8</v>
      </c>
      <c r="I78" s="530"/>
      <c r="J78" s="530"/>
      <c r="K78" s="530"/>
      <c r="L78" s="530">
        <v>2</v>
      </c>
      <c r="M78" s="530"/>
      <c r="N78" s="530"/>
      <c r="O78" s="530"/>
      <c r="P78" s="530"/>
      <c r="Q78" s="530"/>
      <c r="R78" s="530"/>
      <c r="S78" s="530"/>
      <c r="T78" s="530">
        <v>9</v>
      </c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>
        <v>5</v>
      </c>
      <c r="AG78" s="530"/>
      <c r="AH78" s="530"/>
      <c r="AI78" s="530"/>
      <c r="AJ78" s="543">
        <v>2</v>
      </c>
      <c r="AK78" s="543"/>
      <c r="AL78" s="543"/>
      <c r="AM78" s="543"/>
      <c r="AN78" s="543">
        <v>2</v>
      </c>
      <c r="AO78" s="543"/>
      <c r="AP78" s="543"/>
      <c r="AQ78" s="543"/>
      <c r="AR78" s="546">
        <v>2</v>
      </c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>
        <v>2</v>
      </c>
      <c r="BE78" s="546"/>
      <c r="BF78" s="546"/>
      <c r="BG78" s="546"/>
      <c r="BH78" s="546"/>
      <c r="BI78" s="546"/>
      <c r="BJ78" s="546"/>
      <c r="BK78" s="546"/>
      <c r="BL78" s="546">
        <v>2</v>
      </c>
      <c r="BM78" s="604"/>
      <c r="BN78" s="604"/>
      <c r="BO78" s="604"/>
      <c r="BP78" s="605">
        <v>8</v>
      </c>
      <c r="BQ78" s="556"/>
      <c r="BR78" s="556"/>
      <c r="BS78" s="556"/>
      <c r="BT78" s="556">
        <v>3</v>
      </c>
      <c r="BU78" s="556"/>
      <c r="BV78" s="556"/>
      <c r="BW78" s="556"/>
      <c r="BX78" s="556"/>
      <c r="BY78" s="605"/>
      <c r="BZ78" s="605"/>
      <c r="CA78" s="605"/>
      <c r="CB78" s="605">
        <v>5</v>
      </c>
      <c r="CC78" s="605"/>
      <c r="CD78" s="605"/>
      <c r="CE78" s="605"/>
      <c r="CF78" s="605">
        <v>8</v>
      </c>
      <c r="CG78" s="605"/>
      <c r="CH78" s="605"/>
      <c r="CI78" s="605"/>
      <c r="CJ78" s="605"/>
      <c r="CK78" s="605"/>
      <c r="CL78" s="605"/>
      <c r="CM78" s="605"/>
      <c r="CN78" s="605"/>
      <c r="CO78" s="605"/>
      <c r="CP78" s="605"/>
      <c r="CQ78" s="605"/>
      <c r="CR78" s="605">
        <v>5</v>
      </c>
      <c r="CS78" s="605"/>
      <c r="CT78" s="605"/>
      <c r="CU78" s="605"/>
      <c r="CV78" s="565">
        <v>3</v>
      </c>
      <c r="CW78" s="565">
        <v>10</v>
      </c>
      <c r="CX78" s="565">
        <f>VLOOKUP(B78,'CIA MARKS'!C75:DN143,116,FALSE)</f>
        <v>33</v>
      </c>
      <c r="CY78" s="565">
        <f>VLOOKUP(B78,'CIA MARKS'!C75:DO143,117,FALSE)</f>
        <v>10</v>
      </c>
      <c r="CZ78" s="565">
        <f>VLOOKUP(B78,'CIA MARKS'!C75:DP143,118,FALSE)</f>
        <v>29</v>
      </c>
      <c r="DA78" s="572">
        <f>'CIA MARKS'!EJ75</f>
        <v>30</v>
      </c>
      <c r="DB78" s="573">
        <f t="shared" si="3"/>
        <v>26</v>
      </c>
      <c r="DC78" s="4">
        <v>52</v>
      </c>
      <c r="DD78" s="575" t="s">
        <v>103</v>
      </c>
      <c r="DF78" s="578" t="str">
        <f>IF(D$7="YES",'CIA MARKS'!DX75,"")</f>
        <v/>
      </c>
      <c r="DG78" s="460" t="str">
        <f>IF(D$8="YES",'CIA MARKS'!EH75,"")</f>
        <v/>
      </c>
      <c r="DH78" s="578">
        <f>IF(D$9="YES",'CIA MARKS'!EJ75,"")</f>
        <v>30</v>
      </c>
      <c r="DI78" s="578">
        <v>26</v>
      </c>
      <c r="DK78" s="450"/>
      <c r="DL78" s="450"/>
      <c r="DM78" s="450"/>
      <c r="DN78" s="450"/>
      <c r="DO78" s="450"/>
      <c r="DP78" s="451"/>
      <c r="DQ78" s="454"/>
      <c r="DR78" s="455">
        <f t="shared" si="1"/>
        <v>0</v>
      </c>
    </row>
    <row r="79" ht="18.75" spans="1:122">
      <c r="A79" s="527">
        <v>63</v>
      </c>
      <c r="B79" s="3" t="s">
        <v>220</v>
      </c>
      <c r="C79" s="528" t="s">
        <v>221</v>
      </c>
      <c r="D79" s="530">
        <v>7</v>
      </c>
      <c r="E79" s="530"/>
      <c r="F79" s="530"/>
      <c r="G79" s="530"/>
      <c r="H79" s="530">
        <v>4</v>
      </c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>
        <v>9</v>
      </c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601">
        <v>0</v>
      </c>
      <c r="AK79" s="601"/>
      <c r="AL79" s="601"/>
      <c r="AM79" s="601"/>
      <c r="AN79" s="602">
        <v>0</v>
      </c>
      <c r="AO79" s="603"/>
      <c r="AP79" s="603"/>
      <c r="AQ79" s="603"/>
      <c r="AR79" s="546">
        <v>0</v>
      </c>
      <c r="AS79" s="546"/>
      <c r="AT79" s="546"/>
      <c r="AU79" s="546"/>
      <c r="AV79" s="546"/>
      <c r="AW79" s="546"/>
      <c r="AX79" s="546"/>
      <c r="AY79" s="546"/>
      <c r="AZ79" s="546">
        <v>0</v>
      </c>
      <c r="BA79" s="546"/>
      <c r="BB79" s="546"/>
      <c r="BC79" s="546"/>
      <c r="BD79" s="546"/>
      <c r="BE79" s="546"/>
      <c r="BF79" s="546"/>
      <c r="BG79" s="546"/>
      <c r="BH79" s="546">
        <v>8</v>
      </c>
      <c r="BI79" s="546"/>
      <c r="BJ79" s="546"/>
      <c r="BK79" s="546"/>
      <c r="BL79" s="546"/>
      <c r="BM79" s="604"/>
      <c r="BN79" s="604"/>
      <c r="BO79" s="604"/>
      <c r="BP79" s="605">
        <v>8</v>
      </c>
      <c r="BQ79" s="556"/>
      <c r="BR79" s="556"/>
      <c r="BS79" s="556"/>
      <c r="BT79" s="556">
        <v>8</v>
      </c>
      <c r="BU79" s="556"/>
      <c r="BV79" s="556"/>
      <c r="BW79" s="556"/>
      <c r="BX79" s="556">
        <v>9</v>
      </c>
      <c r="BY79" s="605"/>
      <c r="BZ79" s="605"/>
      <c r="CA79" s="605"/>
      <c r="CB79" s="605"/>
      <c r="CC79" s="605"/>
      <c r="CD79" s="605"/>
      <c r="CE79" s="605"/>
      <c r="CF79" s="605">
        <v>4</v>
      </c>
      <c r="CG79" s="605"/>
      <c r="CH79" s="605"/>
      <c r="CI79" s="605"/>
      <c r="CJ79" s="605"/>
      <c r="CK79" s="605"/>
      <c r="CL79" s="605"/>
      <c r="CM79" s="605"/>
      <c r="CN79" s="605"/>
      <c r="CO79" s="605"/>
      <c r="CP79" s="605"/>
      <c r="CQ79" s="605"/>
      <c r="CR79" s="605">
        <v>2</v>
      </c>
      <c r="CS79" s="605"/>
      <c r="CT79" s="605"/>
      <c r="CU79" s="605"/>
      <c r="CV79" s="565">
        <v>7</v>
      </c>
      <c r="CW79" s="565">
        <v>10</v>
      </c>
      <c r="CX79" s="565">
        <f>VLOOKUP(B79,'CIA MARKS'!C76:DN144,116,FALSE)</f>
        <v>20</v>
      </c>
      <c r="CY79" s="565">
        <f>VLOOKUP(B79,'CIA MARKS'!C76:DO144,117,FALSE)</f>
        <v>8</v>
      </c>
      <c r="CZ79" s="565">
        <f>VLOOKUP(B79,'CIA MARKS'!C76:DP144,118,FALSE)</f>
        <v>31</v>
      </c>
      <c r="DA79" s="572">
        <f>'CIA MARKS'!EJ76</f>
        <v>36</v>
      </c>
      <c r="DB79" s="573">
        <f t="shared" si="3"/>
        <v>26</v>
      </c>
      <c r="DC79" s="4">
        <v>52</v>
      </c>
      <c r="DD79" s="575" t="s">
        <v>96</v>
      </c>
      <c r="DF79" s="578" t="str">
        <f>IF(D$7="YES",'CIA MARKS'!DX76,"")</f>
        <v/>
      </c>
      <c r="DG79" s="460" t="str">
        <f>IF(D$8="YES",'CIA MARKS'!EH76,"")</f>
        <v/>
      </c>
      <c r="DH79" s="578">
        <f>IF(D$9="YES",'CIA MARKS'!EJ76,"")</f>
        <v>36</v>
      </c>
      <c r="DI79" s="578">
        <v>26</v>
      </c>
      <c r="DK79" s="450"/>
      <c r="DL79" s="450"/>
      <c r="DM79" s="450"/>
      <c r="DN79" s="450"/>
      <c r="DO79" s="450"/>
      <c r="DP79" s="451"/>
      <c r="DQ79" s="454"/>
      <c r="DR79" s="455">
        <f t="shared" si="1"/>
        <v>0</v>
      </c>
    </row>
    <row r="80" ht="18.75" spans="1:122">
      <c r="A80" s="527">
        <v>64</v>
      </c>
      <c r="B80" s="3" t="s">
        <v>222</v>
      </c>
      <c r="C80" s="528" t="s">
        <v>223</v>
      </c>
      <c r="D80" s="530">
        <v>9</v>
      </c>
      <c r="E80" s="530"/>
      <c r="F80" s="530"/>
      <c r="G80" s="530"/>
      <c r="H80" s="530">
        <v>7</v>
      </c>
      <c r="I80" s="530"/>
      <c r="J80" s="530"/>
      <c r="K80" s="530"/>
      <c r="L80" s="530">
        <v>2</v>
      </c>
      <c r="M80" s="530"/>
      <c r="N80" s="530"/>
      <c r="O80" s="530"/>
      <c r="P80" s="530"/>
      <c r="Q80" s="530"/>
      <c r="R80" s="530"/>
      <c r="S80" s="530"/>
      <c r="T80" s="530">
        <v>9</v>
      </c>
      <c r="U80" s="530"/>
      <c r="V80" s="530"/>
      <c r="W80" s="530"/>
      <c r="X80" s="530"/>
      <c r="Y80" s="530"/>
      <c r="Z80" s="530"/>
      <c r="AA80" s="530"/>
      <c r="AB80" s="530">
        <v>8</v>
      </c>
      <c r="AC80" s="530"/>
      <c r="AD80" s="530"/>
      <c r="AE80" s="530"/>
      <c r="AF80" s="530"/>
      <c r="AG80" s="530"/>
      <c r="AH80" s="530"/>
      <c r="AI80" s="530"/>
      <c r="AJ80" s="530">
        <v>4</v>
      </c>
      <c r="AK80" s="530"/>
      <c r="AL80" s="530"/>
      <c r="AM80" s="530"/>
      <c r="AN80" s="530">
        <v>8</v>
      </c>
      <c r="AO80" s="530"/>
      <c r="AP80" s="530"/>
      <c r="AQ80" s="530"/>
      <c r="AR80" s="530"/>
      <c r="AS80" s="530"/>
      <c r="AT80" s="530"/>
      <c r="AU80" s="530"/>
      <c r="AV80" s="530">
        <v>8</v>
      </c>
      <c r="AW80" s="530"/>
      <c r="AX80" s="530"/>
      <c r="AY80" s="530"/>
      <c r="AZ80" s="530"/>
      <c r="BA80" s="530"/>
      <c r="BB80" s="530"/>
      <c r="BC80" s="530"/>
      <c r="BD80" s="530">
        <v>0</v>
      </c>
      <c r="BE80" s="530"/>
      <c r="BF80" s="530"/>
      <c r="BG80" s="530"/>
      <c r="BH80" s="530">
        <v>10</v>
      </c>
      <c r="BI80" s="530"/>
      <c r="BJ80" s="530"/>
      <c r="BK80" s="530"/>
      <c r="BL80" s="530"/>
      <c r="BM80" s="530"/>
      <c r="BN80" s="530"/>
      <c r="BO80" s="604"/>
      <c r="BP80" s="530">
        <v>10</v>
      </c>
      <c r="BQ80" s="530"/>
      <c r="BR80" s="530"/>
      <c r="BS80" s="530"/>
      <c r="BT80" s="530">
        <v>10</v>
      </c>
      <c r="BU80" s="530"/>
      <c r="BV80" s="530"/>
      <c r="BW80" s="530"/>
      <c r="BX80" s="530">
        <v>10</v>
      </c>
      <c r="BY80" s="530"/>
      <c r="BZ80" s="530"/>
      <c r="CA80" s="530"/>
      <c r="CB80" s="530"/>
      <c r="CC80" s="530"/>
      <c r="CD80" s="530"/>
      <c r="CE80" s="530"/>
      <c r="CF80" s="530">
        <v>10</v>
      </c>
      <c r="CG80" s="530"/>
      <c r="CH80" s="530"/>
      <c r="CI80" s="530"/>
      <c r="CJ80" s="530"/>
      <c r="CK80" s="530"/>
      <c r="CL80" s="530"/>
      <c r="CM80" s="530"/>
      <c r="CN80" s="530">
        <v>10</v>
      </c>
      <c r="CO80" s="530"/>
      <c r="CP80" s="530"/>
      <c r="CQ80" s="530"/>
      <c r="CR80" s="530"/>
      <c r="CS80" s="530"/>
      <c r="CT80" s="530"/>
      <c r="CU80" s="605"/>
      <c r="CV80" s="565">
        <v>7</v>
      </c>
      <c r="CW80" s="565">
        <v>10</v>
      </c>
      <c r="CX80" s="565">
        <f>VLOOKUP(B80,'CIA MARKS'!C77:DN145,116,FALSE)</f>
        <v>35</v>
      </c>
      <c r="CY80" s="565">
        <f>VLOOKUP(B80,'CIA MARKS'!C77:DO145,117,FALSE)</f>
        <v>30</v>
      </c>
      <c r="CZ80" s="565">
        <f>VLOOKUP(B80,'CIA MARKS'!C77:DP145,118,FALSE)</f>
        <v>50</v>
      </c>
      <c r="DA80" s="572">
        <f>'CIA MARKS'!EJ77</f>
        <v>44</v>
      </c>
      <c r="DB80" s="573">
        <f t="shared" si="3"/>
        <v>41.5</v>
      </c>
      <c r="DC80" s="4">
        <v>83</v>
      </c>
      <c r="DD80" s="575" t="s">
        <v>93</v>
      </c>
      <c r="DF80" s="578" t="str">
        <f>IF(D$7="YES",'CIA MARKS'!DX77,"")</f>
        <v/>
      </c>
      <c r="DG80" s="460" t="str">
        <f>IF(D$8="YES",'CIA MARKS'!EH77,"")</f>
        <v/>
      </c>
      <c r="DH80" s="578">
        <f>IF(D$9="YES",'CIA MARKS'!EJ77,"")</f>
        <v>44</v>
      </c>
      <c r="DI80" s="578">
        <v>41.5</v>
      </c>
      <c r="DK80" s="584"/>
      <c r="DL80" s="450"/>
      <c r="DM80" s="450"/>
      <c r="DN80" s="450"/>
      <c r="DO80" s="450"/>
      <c r="DP80" s="587"/>
      <c r="DQ80" s="587"/>
      <c r="DR80" s="455">
        <f t="shared" si="1"/>
        <v>0</v>
      </c>
    </row>
    <row r="81" ht="18.75" spans="1:122">
      <c r="A81" s="527">
        <v>65</v>
      </c>
      <c r="B81" s="3" t="s">
        <v>224</v>
      </c>
      <c r="C81" s="528" t="s">
        <v>225</v>
      </c>
      <c r="D81" s="530">
        <v>6</v>
      </c>
      <c r="E81" s="530"/>
      <c r="F81" s="530"/>
      <c r="G81" s="530"/>
      <c r="H81" s="530">
        <v>4</v>
      </c>
      <c r="I81" s="530"/>
      <c r="J81" s="530"/>
      <c r="K81" s="530"/>
      <c r="L81" s="530">
        <v>2</v>
      </c>
      <c r="M81" s="530"/>
      <c r="N81" s="530"/>
      <c r="O81" s="530"/>
      <c r="P81" s="530"/>
      <c r="Q81" s="530"/>
      <c r="R81" s="530"/>
      <c r="S81" s="530"/>
      <c r="T81" s="530">
        <v>5</v>
      </c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>
        <v>0</v>
      </c>
      <c r="AG81" s="530"/>
      <c r="AH81" s="530"/>
      <c r="AI81" s="530"/>
      <c r="AJ81" s="530">
        <v>0</v>
      </c>
      <c r="AK81" s="530"/>
      <c r="AL81" s="530"/>
      <c r="AM81" s="530"/>
      <c r="AN81" s="530">
        <v>3</v>
      </c>
      <c r="AO81" s="530"/>
      <c r="AP81" s="530"/>
      <c r="AQ81" s="530"/>
      <c r="AR81" s="530"/>
      <c r="AS81" s="530"/>
      <c r="AT81" s="530"/>
      <c r="AU81" s="530"/>
      <c r="AV81" s="530">
        <v>6</v>
      </c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>
        <v>3</v>
      </c>
      <c r="BI81" s="530"/>
      <c r="BJ81" s="530"/>
      <c r="BK81" s="530"/>
      <c r="BL81" s="530"/>
      <c r="BM81" s="530"/>
      <c r="BN81" s="530"/>
      <c r="BO81" s="604"/>
      <c r="BP81" s="530">
        <v>9</v>
      </c>
      <c r="BQ81" s="530"/>
      <c r="BR81" s="530"/>
      <c r="BS81" s="530"/>
      <c r="BT81" s="530">
        <v>8</v>
      </c>
      <c r="BU81" s="530"/>
      <c r="BV81" s="530"/>
      <c r="BW81" s="530"/>
      <c r="BX81" s="530">
        <v>9</v>
      </c>
      <c r="BY81" s="530"/>
      <c r="BZ81" s="530"/>
      <c r="CA81" s="530"/>
      <c r="CB81" s="530"/>
      <c r="CC81" s="530"/>
      <c r="CD81" s="530"/>
      <c r="CE81" s="530"/>
      <c r="CF81" s="530">
        <v>10</v>
      </c>
      <c r="CG81" s="530"/>
      <c r="CH81" s="530"/>
      <c r="CI81" s="530"/>
      <c r="CJ81" s="530"/>
      <c r="CK81" s="530"/>
      <c r="CL81" s="530"/>
      <c r="CM81" s="530"/>
      <c r="CN81" s="530">
        <v>5</v>
      </c>
      <c r="CO81" s="530"/>
      <c r="CP81" s="530"/>
      <c r="CQ81" s="530"/>
      <c r="CR81" s="530"/>
      <c r="CS81" s="530"/>
      <c r="CT81" s="530"/>
      <c r="CU81" s="605"/>
      <c r="CV81" s="565">
        <v>6</v>
      </c>
      <c r="CW81" s="565">
        <v>10</v>
      </c>
      <c r="CX81" s="565">
        <f>VLOOKUP(B81,'CIA MARKS'!C78:DN146,116,FALSE)</f>
        <v>17</v>
      </c>
      <c r="CY81" s="565">
        <f>VLOOKUP(B81,'CIA MARKS'!C78:DO146,117,FALSE)</f>
        <v>12</v>
      </c>
      <c r="CZ81" s="565">
        <f>VLOOKUP(B81,'CIA MARKS'!C78:DP146,118,FALSE)</f>
        <v>41</v>
      </c>
      <c r="DA81" s="572">
        <f>'CIA MARKS'!EJ78</f>
        <v>36</v>
      </c>
      <c r="DB81" s="573">
        <f t="shared" si="3"/>
        <v>23</v>
      </c>
      <c r="DC81" s="4">
        <v>46</v>
      </c>
      <c r="DD81" s="575" t="s">
        <v>103</v>
      </c>
      <c r="DF81" s="578" t="str">
        <f>IF(D$7="YES",'CIA MARKS'!DX78,"")</f>
        <v/>
      </c>
      <c r="DG81" s="460" t="str">
        <f>IF(D$8="YES",'CIA MARKS'!EH78,"")</f>
        <v/>
      </c>
      <c r="DH81" s="578">
        <f>IF(D$9="YES",'CIA MARKS'!EJ78,"")</f>
        <v>36</v>
      </c>
      <c r="DI81" s="578">
        <v>23</v>
      </c>
      <c r="DK81" s="584"/>
      <c r="DL81" s="450"/>
      <c r="DM81" s="450"/>
      <c r="DN81" s="450"/>
      <c r="DO81" s="450"/>
      <c r="DP81" s="587"/>
      <c r="DQ81" s="587"/>
      <c r="DR81" s="455">
        <f t="shared" ref="DR81:DR86" si="4">SUM(DP81:DQ81)</f>
        <v>0</v>
      </c>
    </row>
    <row r="82" ht="18.75" spans="1:122">
      <c r="A82" s="527">
        <v>66</v>
      </c>
      <c r="B82" s="3" t="s">
        <v>226</v>
      </c>
      <c r="C82" s="528" t="s">
        <v>227</v>
      </c>
      <c r="D82" s="530">
        <v>0</v>
      </c>
      <c r="E82" s="530"/>
      <c r="F82" s="530"/>
      <c r="G82" s="530"/>
      <c r="H82" s="530">
        <v>2</v>
      </c>
      <c r="I82" s="530"/>
      <c r="J82" s="530"/>
      <c r="K82" s="530"/>
      <c r="L82" s="530">
        <v>2</v>
      </c>
      <c r="M82" s="530"/>
      <c r="N82" s="530"/>
      <c r="O82" s="530"/>
      <c r="P82" s="530"/>
      <c r="Q82" s="530"/>
      <c r="R82" s="530"/>
      <c r="S82" s="530"/>
      <c r="T82" s="530">
        <v>0</v>
      </c>
      <c r="U82" s="530"/>
      <c r="V82" s="530"/>
      <c r="W82" s="530"/>
      <c r="X82" s="530">
        <v>4</v>
      </c>
      <c r="Y82" s="530"/>
      <c r="Z82" s="530"/>
      <c r="AA82" s="530"/>
      <c r="AB82" s="530">
        <v>0</v>
      </c>
      <c r="AC82" s="530"/>
      <c r="AD82" s="530"/>
      <c r="AE82" s="530"/>
      <c r="AF82" s="530"/>
      <c r="AG82" s="530"/>
      <c r="AH82" s="530"/>
      <c r="AI82" s="530"/>
      <c r="AJ82" s="530">
        <v>8</v>
      </c>
      <c r="AK82" s="530"/>
      <c r="AL82" s="530"/>
      <c r="AM82" s="530"/>
      <c r="AN82" s="530">
        <v>4</v>
      </c>
      <c r="AO82" s="530"/>
      <c r="AP82" s="530"/>
      <c r="AQ82" s="530"/>
      <c r="AR82" s="530"/>
      <c r="AS82" s="530"/>
      <c r="AT82" s="530"/>
      <c r="AU82" s="530"/>
      <c r="AV82" s="530">
        <v>4</v>
      </c>
      <c r="AW82" s="530"/>
      <c r="AX82" s="530"/>
      <c r="AY82" s="530"/>
      <c r="AZ82" s="530"/>
      <c r="BA82" s="530"/>
      <c r="BB82" s="530"/>
      <c r="BC82" s="530"/>
      <c r="BD82" s="530">
        <v>0</v>
      </c>
      <c r="BE82" s="530"/>
      <c r="BF82" s="530"/>
      <c r="BG82" s="530"/>
      <c r="BH82" s="530">
        <v>8</v>
      </c>
      <c r="BI82" s="530"/>
      <c r="BJ82" s="530"/>
      <c r="BK82" s="530"/>
      <c r="BL82" s="530"/>
      <c r="BM82" s="530"/>
      <c r="BN82" s="530"/>
      <c r="BO82" s="604"/>
      <c r="BP82" s="530">
        <v>8</v>
      </c>
      <c r="BQ82" s="530"/>
      <c r="BR82" s="530"/>
      <c r="BS82" s="530"/>
      <c r="BT82" s="530">
        <v>8</v>
      </c>
      <c r="BU82" s="530"/>
      <c r="BV82" s="530"/>
      <c r="BW82" s="530"/>
      <c r="BX82" s="530">
        <v>9</v>
      </c>
      <c r="BY82" s="530"/>
      <c r="BZ82" s="530"/>
      <c r="CA82" s="530"/>
      <c r="CB82" s="530"/>
      <c r="CC82" s="530"/>
      <c r="CD82" s="530"/>
      <c r="CE82" s="530"/>
      <c r="CF82" s="530">
        <v>5</v>
      </c>
      <c r="CG82" s="530"/>
      <c r="CH82" s="530"/>
      <c r="CI82" s="530"/>
      <c r="CJ82" s="530"/>
      <c r="CK82" s="530"/>
      <c r="CL82" s="530"/>
      <c r="CM82" s="530"/>
      <c r="CN82" s="530">
        <v>7</v>
      </c>
      <c r="CO82" s="530"/>
      <c r="CP82" s="530"/>
      <c r="CQ82" s="530"/>
      <c r="CR82" s="530"/>
      <c r="CS82" s="530"/>
      <c r="CT82" s="530"/>
      <c r="CU82" s="605"/>
      <c r="CV82" s="565">
        <v>7</v>
      </c>
      <c r="CW82" s="565">
        <v>10</v>
      </c>
      <c r="CX82" s="565">
        <f>VLOOKUP(B82,'CIA MARKS'!C79:DN147,116,FALSE)</f>
        <v>8</v>
      </c>
      <c r="CY82" s="565">
        <f>VLOOKUP(B82,'CIA MARKS'!C79:DO147,117,FALSE)</f>
        <v>24</v>
      </c>
      <c r="CZ82" s="565">
        <f>VLOOKUP(B82,'CIA MARKS'!C79:DP147,118,FALSE)</f>
        <v>37</v>
      </c>
      <c r="DA82" s="572">
        <f>'CIA MARKS'!EJ79</f>
        <v>34</v>
      </c>
      <c r="DB82" s="573">
        <f t="shared" si="3"/>
        <v>35</v>
      </c>
      <c r="DC82" s="4">
        <v>70</v>
      </c>
      <c r="DD82" s="575" t="s">
        <v>96</v>
      </c>
      <c r="DF82" s="578" t="str">
        <f>IF(D$7="YES",'CIA MARKS'!DX79,"")</f>
        <v/>
      </c>
      <c r="DG82" s="460" t="str">
        <f>IF(D$8="YES",'CIA MARKS'!EH79,"")</f>
        <v/>
      </c>
      <c r="DH82" s="578">
        <f>IF(D$9="YES",'CIA MARKS'!EJ79,"")</f>
        <v>34</v>
      </c>
      <c r="DI82" s="578">
        <v>35</v>
      </c>
      <c r="DK82" s="584"/>
      <c r="DL82" s="450"/>
      <c r="DM82" s="450"/>
      <c r="DN82" s="450"/>
      <c r="DO82" s="450"/>
      <c r="DP82" s="587"/>
      <c r="DQ82" s="587"/>
      <c r="DR82" s="455">
        <f t="shared" si="4"/>
        <v>0</v>
      </c>
    </row>
    <row r="83" ht="18.75" spans="1:122">
      <c r="A83" s="527">
        <v>67</v>
      </c>
      <c r="B83" s="3" t="s">
        <v>228</v>
      </c>
      <c r="C83" s="528" t="s">
        <v>229</v>
      </c>
      <c r="D83" s="530">
        <v>3</v>
      </c>
      <c r="E83" s="530"/>
      <c r="F83" s="530"/>
      <c r="G83" s="530"/>
      <c r="H83" s="530">
        <v>0</v>
      </c>
      <c r="I83" s="530"/>
      <c r="J83" s="530"/>
      <c r="K83" s="530"/>
      <c r="L83" s="530">
        <v>4</v>
      </c>
      <c r="M83" s="530"/>
      <c r="N83" s="530"/>
      <c r="O83" s="530"/>
      <c r="P83" s="530"/>
      <c r="Q83" s="530"/>
      <c r="R83" s="530"/>
      <c r="S83" s="530"/>
      <c r="T83" s="530">
        <v>8</v>
      </c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>
        <v>2</v>
      </c>
      <c r="AS83" s="530"/>
      <c r="AT83" s="530"/>
      <c r="AU83" s="530"/>
      <c r="AV83" s="530"/>
      <c r="AW83" s="530"/>
      <c r="AX83" s="530"/>
      <c r="AY83" s="530"/>
      <c r="AZ83" s="530">
        <v>0</v>
      </c>
      <c r="BA83" s="530"/>
      <c r="BB83" s="530"/>
      <c r="BC83" s="530"/>
      <c r="BD83" s="530"/>
      <c r="BE83" s="530"/>
      <c r="BF83" s="530"/>
      <c r="BG83" s="530"/>
      <c r="BH83" s="530">
        <v>4</v>
      </c>
      <c r="BI83" s="530"/>
      <c r="BJ83" s="530"/>
      <c r="BK83" s="530"/>
      <c r="BL83" s="530"/>
      <c r="BM83" s="530"/>
      <c r="BN83" s="530"/>
      <c r="BO83" s="604"/>
      <c r="BP83" s="530">
        <v>9</v>
      </c>
      <c r="BQ83" s="530"/>
      <c r="BR83" s="530"/>
      <c r="BS83" s="530"/>
      <c r="BT83" s="530">
        <v>6</v>
      </c>
      <c r="BU83" s="530"/>
      <c r="BV83" s="530"/>
      <c r="BW83" s="530"/>
      <c r="BX83" s="530"/>
      <c r="BY83" s="530"/>
      <c r="BZ83" s="530"/>
      <c r="CA83" s="530"/>
      <c r="CB83" s="530">
        <v>8</v>
      </c>
      <c r="CC83" s="530"/>
      <c r="CD83" s="530"/>
      <c r="CE83" s="530"/>
      <c r="CF83" s="530">
        <v>4</v>
      </c>
      <c r="CG83" s="530"/>
      <c r="CH83" s="530"/>
      <c r="CI83" s="530"/>
      <c r="CJ83" s="530"/>
      <c r="CK83" s="530"/>
      <c r="CL83" s="530"/>
      <c r="CM83" s="530"/>
      <c r="CN83" s="530"/>
      <c r="CO83" s="530"/>
      <c r="CP83" s="530"/>
      <c r="CQ83" s="530"/>
      <c r="CR83" s="530"/>
      <c r="CS83" s="530"/>
      <c r="CT83" s="530"/>
      <c r="CU83" s="605"/>
      <c r="CV83" s="565">
        <v>6</v>
      </c>
      <c r="CW83" s="565">
        <v>10</v>
      </c>
      <c r="CX83" s="565">
        <f>VLOOKUP(B83,'CIA MARKS'!C80:DN148,116,FALSE)</f>
        <v>15</v>
      </c>
      <c r="CY83" s="565">
        <f>VLOOKUP(B83,'CIA MARKS'!C80:DO148,117,FALSE)</f>
        <v>6</v>
      </c>
      <c r="CZ83" s="565">
        <f>VLOOKUP(B83,'CIA MARKS'!C80:DP148,118,FALSE)</f>
        <v>27</v>
      </c>
      <c r="DA83" s="572">
        <v>16</v>
      </c>
      <c r="DB83" s="573">
        <f t="shared" si="3"/>
        <v>22.5</v>
      </c>
      <c r="DC83" s="4">
        <v>45</v>
      </c>
      <c r="DD83" s="575" t="s">
        <v>96</v>
      </c>
      <c r="DF83" s="578" t="str">
        <f>IF(D$7="YES",'CIA MARKS'!DX80,"")</f>
        <v/>
      </c>
      <c r="DG83" s="460" t="str">
        <f>IF(D$8="YES",'CIA MARKS'!EH80,"")</f>
        <v/>
      </c>
      <c r="DH83" s="578">
        <f>IF(D$9="YES",'CIA MARKS'!EJ80,"")</f>
        <v>30</v>
      </c>
      <c r="DI83" s="578">
        <v>22.5</v>
      </c>
      <c r="DK83" s="584"/>
      <c r="DL83" s="450"/>
      <c r="DM83" s="450"/>
      <c r="DN83" s="450"/>
      <c r="DO83" s="450"/>
      <c r="DP83" s="587"/>
      <c r="DQ83" s="587"/>
      <c r="DR83" s="455">
        <f t="shared" si="4"/>
        <v>0</v>
      </c>
    </row>
    <row r="84" ht="18.75" spans="1:122">
      <c r="A84" s="527">
        <v>68</v>
      </c>
      <c r="B84" s="5" t="s">
        <v>230</v>
      </c>
      <c r="C84" s="588" t="s">
        <v>231</v>
      </c>
      <c r="D84" s="530">
        <v>9</v>
      </c>
      <c r="E84" s="530"/>
      <c r="F84" s="530"/>
      <c r="G84" s="530"/>
      <c r="H84" s="530">
        <v>6</v>
      </c>
      <c r="I84" s="530"/>
      <c r="J84" s="530"/>
      <c r="K84" s="530"/>
      <c r="L84" s="530">
        <v>5</v>
      </c>
      <c r="M84" s="530"/>
      <c r="N84" s="530"/>
      <c r="O84" s="530"/>
      <c r="P84" s="530"/>
      <c r="Q84" s="530"/>
      <c r="R84" s="530"/>
      <c r="S84" s="530"/>
      <c r="T84" s="530">
        <v>5</v>
      </c>
      <c r="U84" s="530"/>
      <c r="V84" s="530"/>
      <c r="W84" s="530"/>
      <c r="X84" s="530"/>
      <c r="Y84" s="530"/>
      <c r="Z84" s="530"/>
      <c r="AA84" s="530"/>
      <c r="AB84" s="530">
        <v>2</v>
      </c>
      <c r="AC84" s="530"/>
      <c r="AD84" s="530"/>
      <c r="AE84" s="530"/>
      <c r="AF84" s="530"/>
      <c r="AG84" s="530"/>
      <c r="AH84" s="530"/>
      <c r="AI84" s="530"/>
      <c r="AJ84" s="530">
        <v>8</v>
      </c>
      <c r="AK84" s="530"/>
      <c r="AL84" s="530"/>
      <c r="AM84" s="530"/>
      <c r="AN84" s="530">
        <v>4</v>
      </c>
      <c r="AO84" s="530"/>
      <c r="AP84" s="530"/>
      <c r="AQ84" s="530"/>
      <c r="AR84" s="530">
        <v>8</v>
      </c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>
        <v>0</v>
      </c>
      <c r="BE84" s="530"/>
      <c r="BF84" s="530"/>
      <c r="BG84" s="530"/>
      <c r="BH84" s="530"/>
      <c r="BI84" s="530"/>
      <c r="BJ84" s="530"/>
      <c r="BK84" s="530"/>
      <c r="BL84" s="530">
        <v>8</v>
      </c>
      <c r="BM84" s="530"/>
      <c r="BN84" s="530"/>
      <c r="BO84" s="604"/>
      <c r="BP84" s="530">
        <v>9</v>
      </c>
      <c r="BQ84" s="530"/>
      <c r="BR84" s="530"/>
      <c r="BS84" s="530"/>
      <c r="BT84" s="530"/>
      <c r="BU84" s="530"/>
      <c r="BV84" s="530"/>
      <c r="BW84" s="530"/>
      <c r="BX84" s="530">
        <v>10</v>
      </c>
      <c r="BY84" s="530"/>
      <c r="BZ84" s="530"/>
      <c r="CA84" s="530"/>
      <c r="CB84" s="530"/>
      <c r="CC84" s="530"/>
      <c r="CD84" s="530"/>
      <c r="CE84" s="530"/>
      <c r="CF84" s="530">
        <v>10</v>
      </c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>
        <v>9</v>
      </c>
      <c r="CS84" s="530"/>
      <c r="CT84" s="530"/>
      <c r="CU84" s="605"/>
      <c r="CV84" s="565">
        <v>4</v>
      </c>
      <c r="CW84" s="565">
        <v>10</v>
      </c>
      <c r="CX84" s="565">
        <f>VLOOKUP(B84,'CIA MARKS'!C81:DN149,116,FALSE)</f>
        <v>27</v>
      </c>
      <c r="CY84" s="565">
        <f>VLOOKUP(B84,'CIA MARKS'!C81:DO149,117,FALSE)</f>
        <v>28</v>
      </c>
      <c r="CZ84" s="565">
        <f>VLOOKUP(B84,'CIA MARKS'!C81:DP149,118,FALSE)</f>
        <v>38</v>
      </c>
      <c r="DA84" s="572">
        <v>20</v>
      </c>
      <c r="DB84" s="573">
        <f>DC84/2</f>
        <v>23.5</v>
      </c>
      <c r="DC84" s="4">
        <v>47</v>
      </c>
      <c r="DD84" s="575" t="s">
        <v>152</v>
      </c>
      <c r="DF84" s="578" t="str">
        <f>IF(D$7="YES",'CIA MARKS'!DX81,"")</f>
        <v/>
      </c>
      <c r="DG84" s="460" t="str">
        <f>IF(D$8="YES",'CIA MARKS'!EH81,"")</f>
        <v/>
      </c>
      <c r="DH84" s="578">
        <f>IF(D$9="YES",'CIA MARKS'!EJ81,"")</f>
        <v>37</v>
      </c>
      <c r="DI84" s="578">
        <v>23.5</v>
      </c>
      <c r="DK84" s="584"/>
      <c r="DL84" s="450"/>
      <c r="DM84" s="450"/>
      <c r="DN84" s="450"/>
      <c r="DO84" s="450"/>
      <c r="DP84" s="587"/>
      <c r="DQ84" s="587"/>
      <c r="DR84" s="455">
        <f t="shared" si="4"/>
        <v>0</v>
      </c>
    </row>
    <row r="85" ht="18" spans="1:122">
      <c r="A85" s="527"/>
      <c r="B85" s="6"/>
      <c r="C85" s="289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604"/>
      <c r="BP85" s="530"/>
      <c r="BQ85" s="530"/>
      <c r="BR85" s="530"/>
      <c r="BS85" s="530"/>
      <c r="BT85" s="530"/>
      <c r="BU85" s="530"/>
      <c r="BV85" s="530"/>
      <c r="BW85" s="530"/>
      <c r="BX85" s="530"/>
      <c r="BY85" s="530"/>
      <c r="BZ85" s="530"/>
      <c r="CA85" s="530"/>
      <c r="CB85" s="530"/>
      <c r="CC85" s="530"/>
      <c r="CD85" s="530"/>
      <c r="CE85" s="530"/>
      <c r="CF85" s="530"/>
      <c r="CG85" s="530"/>
      <c r="CH85" s="530"/>
      <c r="CI85" s="530"/>
      <c r="CJ85" s="530"/>
      <c r="CK85" s="530"/>
      <c r="CL85" s="530"/>
      <c r="CM85" s="530"/>
      <c r="CN85" s="530"/>
      <c r="CO85" s="530"/>
      <c r="CP85" s="530"/>
      <c r="CQ85" s="530"/>
      <c r="CR85" s="530"/>
      <c r="CS85" s="530"/>
      <c r="CT85" s="530"/>
      <c r="CU85" s="605"/>
      <c r="CV85" s="565"/>
      <c r="CW85" s="565"/>
      <c r="CX85" s="565" t="e">
        <f>VLOOKUP(B85,'CIA MARKS'!C82:DN150,116,FALSE)</f>
        <v>#N/A</v>
      </c>
      <c r="CY85" s="565" t="e">
        <f>VLOOKUP(B85,'CIA MARKS'!C82:DO150,117,FALSE)</f>
        <v>#N/A</v>
      </c>
      <c r="CZ85" s="565" t="e">
        <f>VLOOKUP(B85,'CIA MARKS'!C82:DP150,118,FALSE)</f>
        <v>#N/A</v>
      </c>
      <c r="DA85" s="572" t="e">
        <f>'CIA MARKS'!EJ83</f>
        <v>#N/A</v>
      </c>
      <c r="DB85" s="573">
        <f>DC85/2</f>
        <v>0</v>
      </c>
      <c r="DC85" s="4"/>
      <c r="DD85" s="614"/>
      <c r="DF85" s="578" t="str">
        <f>IF(D$7="YES",'CIA MARKS'!DX82,"")</f>
        <v/>
      </c>
      <c r="DG85" s="460" t="str">
        <f>IF(D$8="YES",'CIA MARKS'!EH82,"")</f>
        <v/>
      </c>
      <c r="DH85" s="578" t="e">
        <f>IF(D$9="YES",'CIA MARKS'!EJ82,"")</f>
        <v>#N/A</v>
      </c>
      <c r="DI85" s="578">
        <v>0</v>
      </c>
      <c r="DK85" s="584"/>
      <c r="DL85" s="450"/>
      <c r="DM85" s="450"/>
      <c r="DN85" s="450"/>
      <c r="DO85" s="450"/>
      <c r="DP85" s="587"/>
      <c r="DQ85" s="587"/>
      <c r="DR85" s="455">
        <f t="shared" si="4"/>
        <v>0</v>
      </c>
    </row>
    <row r="86" ht="18" spans="1:122">
      <c r="A86" s="527"/>
      <c r="B86" s="6"/>
      <c r="C86" s="289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604"/>
      <c r="BP86" s="530"/>
      <c r="BQ86" s="530"/>
      <c r="BR86" s="530"/>
      <c r="BS86" s="530"/>
      <c r="BT86" s="530"/>
      <c r="BU86" s="530"/>
      <c r="BV86" s="530"/>
      <c r="BW86" s="530"/>
      <c r="BX86" s="530"/>
      <c r="BY86" s="530"/>
      <c r="BZ86" s="530"/>
      <c r="CA86" s="530"/>
      <c r="CB86" s="530"/>
      <c r="CC86" s="530"/>
      <c r="CD86" s="530"/>
      <c r="CE86" s="530"/>
      <c r="CF86" s="530"/>
      <c r="CG86" s="530"/>
      <c r="CH86" s="530"/>
      <c r="CI86" s="530"/>
      <c r="CJ86" s="530"/>
      <c r="CK86" s="530"/>
      <c r="CL86" s="530"/>
      <c r="CM86" s="530"/>
      <c r="CN86" s="530"/>
      <c r="CO86" s="530"/>
      <c r="CP86" s="530"/>
      <c r="CQ86" s="530"/>
      <c r="CR86" s="530"/>
      <c r="CS86" s="530"/>
      <c r="CT86" s="530"/>
      <c r="CU86" s="605"/>
      <c r="CV86" s="565"/>
      <c r="CW86" s="565"/>
      <c r="CX86" s="565" t="e">
        <f>VLOOKUP(B86,'CIA MARKS'!C83:DN151,116,FALSE)</f>
        <v>#N/A</v>
      </c>
      <c r="CY86" s="565" t="e">
        <f>VLOOKUP(B86,'CIA MARKS'!C83:DO151,117,FALSE)</f>
        <v>#N/A</v>
      </c>
      <c r="CZ86" s="565" t="e">
        <f>VLOOKUP(B86,'CIA MARKS'!C83:DP151,118,FALSE)</f>
        <v>#N/A</v>
      </c>
      <c r="DA86" s="572">
        <f>'CIA MARKS'!EJ84</f>
        <v>0</v>
      </c>
      <c r="DB86" s="573">
        <f>DC86/2</f>
        <v>0</v>
      </c>
      <c r="DC86" s="4"/>
      <c r="DD86" s="614"/>
      <c r="DF86" s="578" t="str">
        <f>IF(D$7="YES",'CIA MARKS'!DX83,"")</f>
        <v/>
      </c>
      <c r="DG86" s="460" t="str">
        <f>IF(D$8="YES",'CIA MARKS'!EH83,"")</f>
        <v/>
      </c>
      <c r="DH86" s="578" t="e">
        <f>IF(D$9="YES",'CIA MARKS'!EJ83,"")</f>
        <v>#N/A</v>
      </c>
      <c r="DI86" s="578">
        <v>0</v>
      </c>
      <c r="DK86" s="584"/>
      <c r="DL86" s="450"/>
      <c r="DM86" s="450"/>
      <c r="DN86" s="450"/>
      <c r="DO86" s="450"/>
      <c r="DP86" s="587"/>
      <c r="DQ86" s="587"/>
      <c r="DR86" s="455">
        <f t="shared" si="4"/>
        <v>0</v>
      </c>
    </row>
    <row r="87" ht="33" customHeight="1" spans="1:108">
      <c r="A87" s="527"/>
      <c r="B87" s="589"/>
      <c r="C87" s="490" t="s">
        <v>232</v>
      </c>
      <c r="D87" s="590">
        <f>COUNTIFS(D17:D86,"&lt;&gt;AB",D17:D86,"&lt;&gt;NA",D17:D86,"&lt;&gt;")</f>
        <v>63</v>
      </c>
      <c r="E87" s="590">
        <f>COUNTIFS(E17:E86,"&lt;&gt;AB",E17:E86,"&lt;&gt;NA",E17:E86,"&lt;&gt;")</f>
        <v>0</v>
      </c>
      <c r="F87" s="590"/>
      <c r="G87" s="590"/>
      <c r="H87" s="590">
        <f>COUNTIFS(H17:H86,"&lt;&gt;AB",H17:H86,"&lt;&gt;NA",H17:H86,"&lt;&gt;")</f>
        <v>61</v>
      </c>
      <c r="I87" s="590">
        <f>COUNTIFS(I17:I86,"&lt;&gt;AB",I17:I86,"&lt;&gt;NA",I17:I86,"&lt;&gt;")</f>
        <v>0</v>
      </c>
      <c r="J87" s="590"/>
      <c r="K87" s="590"/>
      <c r="L87" s="590">
        <f>COUNTIFS(L17:L86,"&lt;&gt;AB",L17:L86,"&lt;&gt;NA",L17:L86,"&lt;&gt;")</f>
        <v>51</v>
      </c>
      <c r="M87" s="590">
        <f>COUNTIFS(M17:M86,"&lt;&gt;AB",M17:M86,"&lt;&gt;NA",M17:M86,"&lt;&gt;")</f>
        <v>0</v>
      </c>
      <c r="N87" s="590"/>
      <c r="O87" s="590"/>
      <c r="P87" s="590">
        <f>COUNTIFS(P17:P86,"&lt;&gt;AB",P17:P86,"&lt;&gt;NA",P17:P86,"&lt;&gt;")</f>
        <v>15</v>
      </c>
      <c r="Q87" s="590">
        <f>COUNTIFS(Q17:Q86,"&lt;&gt;AB",Q17:Q86,"&lt;&gt;NA",Q17:Q86,"&lt;&gt;")</f>
        <v>0</v>
      </c>
      <c r="R87" s="590"/>
      <c r="S87" s="590"/>
      <c r="T87" s="590">
        <f>COUNTIFS(T17:T86,"&lt;&gt;AB",T17:T86,"&lt;&gt;NA",T17:T86,"&lt;&gt;")</f>
        <v>31</v>
      </c>
      <c r="U87" s="590"/>
      <c r="V87" s="590"/>
      <c r="W87" s="590"/>
      <c r="X87" s="590">
        <f>COUNTIFS(X17:X86,"&lt;&gt;AB",X17:X86,"&lt;&gt;NA",X17:X86,"&lt;&gt;")</f>
        <v>35</v>
      </c>
      <c r="Y87" s="590"/>
      <c r="Z87" s="590"/>
      <c r="AA87" s="590"/>
      <c r="AB87" s="590">
        <f>COUNTIFS(AB17:AB86,"&lt;&gt;AB",AB17:AB86,"&lt;&gt;NA",AB17:AB86,"&lt;&gt;")</f>
        <v>21</v>
      </c>
      <c r="AC87" s="590"/>
      <c r="AD87" s="590">
        <f>COUNTIFS(AD17:AD86,"&lt;&gt;AB",AD17:AD86,"&lt;&gt;NA",AD17:AD86,"&lt;&gt;")</f>
        <v>0</v>
      </c>
      <c r="AE87" s="590">
        <f>COUNTIFS(AE17:AE86,"&lt;&gt;AB",AE17:AE86,"&lt;&gt;NA",AE17:AE86,"&lt;&gt;")</f>
        <v>0</v>
      </c>
      <c r="AF87" s="590">
        <f>COUNTIFS(AF17:AF86,"&lt;&gt;AB",AF17:AF86,"&lt;&gt;NA",AF17:AF86,"&lt;&gt;")</f>
        <v>41</v>
      </c>
      <c r="AG87" s="590"/>
      <c r="AH87" s="590"/>
      <c r="AI87" s="590"/>
      <c r="AJ87" s="590">
        <f>COUNTIFS(AJ17:AJ86,"&lt;&gt;AB",AJ17:AJ86,"&lt;&gt;NA",AJ17:AJ86,"&lt;&gt;")</f>
        <v>55</v>
      </c>
      <c r="AK87" s="590">
        <f>COUNTIFS(AK17:AK86,"&lt;&gt;AB",AK17:AK86,"&lt;&gt;NA",AK17:AK86,"&lt;&gt;")</f>
        <v>0</v>
      </c>
      <c r="AL87" s="590"/>
      <c r="AM87" s="590"/>
      <c r="AN87" s="590">
        <f>COUNTIFS(AN17:AN86,"&lt;&gt;AB",AN17:AN86,"&lt;&gt;NA",AN17:AN86,"&lt;&gt;")</f>
        <v>62</v>
      </c>
      <c r="AO87" s="590">
        <f>COUNTIFS(AO17:AO86,"&lt;&gt;AB",AO17:AO86,"&lt;&gt;NA",AO17:AO86,"&lt;&gt;")</f>
        <v>0</v>
      </c>
      <c r="AP87" s="590"/>
      <c r="AQ87" s="590"/>
      <c r="AR87" s="590">
        <f>COUNTIFS(AR17:AR86,"&lt;&gt;AB",AR17:AR86,"&lt;&gt;NA",AR17:AR86,"&lt;&gt;")</f>
        <v>17</v>
      </c>
      <c r="AS87" s="590"/>
      <c r="AT87" s="590"/>
      <c r="AU87" s="590"/>
      <c r="AV87" s="590">
        <f>COUNTIFS(AV17:AV86,"&lt;&gt;AB",AV17:AV86,"&lt;&gt;NA",AV17:AV86,"&lt;&gt;")</f>
        <v>50</v>
      </c>
      <c r="AW87" s="590"/>
      <c r="AX87" s="590"/>
      <c r="AY87" s="590"/>
      <c r="AZ87" s="590">
        <f>COUNTIFS(AZ17:AZ86,"&lt;&gt;AB",AZ17:AZ86,"&lt;&gt;NA",AZ17:AZ86,"&lt;&gt;")</f>
        <v>33</v>
      </c>
      <c r="BA87" s="590"/>
      <c r="BB87" s="590"/>
      <c r="BC87" s="590"/>
      <c r="BD87" s="590">
        <f>COUNTIFS(BD17:BD86,"&lt;&gt;AB",BD17:BD86,"&lt;&gt;NA",BD17:BD86,"&lt;&gt;")</f>
        <v>26</v>
      </c>
      <c r="BE87" s="590"/>
      <c r="BF87" s="590"/>
      <c r="BG87" s="590"/>
      <c r="BH87" s="590">
        <f>COUNTIFS(BH17:BH86,"&lt;&gt;AB",BH17:BH86,"&lt;&gt;NA",BH17:BH86,"&lt;&gt;")</f>
        <v>43</v>
      </c>
      <c r="BI87" s="590"/>
      <c r="BJ87" s="590"/>
      <c r="BK87" s="590"/>
      <c r="BL87" s="590">
        <f>COUNTIFS(BL17:BL86,"&lt;&gt;AB",BL17:BL86,"&lt;&gt;NA",BL17:BL86,"&lt;&gt;")</f>
        <v>21</v>
      </c>
      <c r="BM87" s="590"/>
      <c r="BN87" s="590"/>
      <c r="BO87" s="590"/>
      <c r="BP87" s="606">
        <f>COUNTIFS(BP17:BP86,"&lt;&gt;AB",BP17:BP86,"&lt;&gt;NA",BP17:BP86,"&lt;&gt;")</f>
        <v>64</v>
      </c>
      <c r="BQ87" s="606">
        <f>COUNTIFS(BQ17:BQ86,"&lt;&gt;AB",BQ17:BQ86,"&lt;&gt;NA",BQ17:BQ86,"&lt;&gt;")</f>
        <v>0</v>
      </c>
      <c r="BR87" s="606"/>
      <c r="BS87" s="606"/>
      <c r="BT87" s="606">
        <f>COUNTIFS(BT18:BT86,"&lt;&gt;AB",BT18:BT86,"&lt;&gt;NA",BT18:BT86,"&lt;&gt;")</f>
        <v>64</v>
      </c>
      <c r="BU87" s="606">
        <f>COUNTIFS(BU17:BU86,"&lt;&gt;AB",BU17:BU86,"&lt;&gt;NA",BU17:BU86,"&lt;&gt;")</f>
        <v>0</v>
      </c>
      <c r="BV87" s="606"/>
      <c r="BW87" s="606"/>
      <c r="BX87" s="606">
        <f>COUNTIFS(BX17:BX86,"&lt;&gt;AB",BX17:BX86,"&lt;&gt;NA",BX17:BX86,"&lt;&gt;")</f>
        <v>43</v>
      </c>
      <c r="BY87" s="606"/>
      <c r="BZ87" s="606"/>
      <c r="CA87" s="606"/>
      <c r="CB87" s="606">
        <f>COUNTIFS(CB17:CB86,"&lt;&gt;AB",CB17:CB86,"&lt;&gt;NA",CB17:CB86,"&lt;&gt;")</f>
        <v>24</v>
      </c>
      <c r="CC87" s="606"/>
      <c r="CD87" s="606"/>
      <c r="CE87" s="606"/>
      <c r="CF87" s="606">
        <f>COUNTIFS(CF17:CF86,"&lt;&gt;AB",CF17:CF86,"&lt;&gt;NA",CF17:CF86,"&lt;&gt;")</f>
        <v>59</v>
      </c>
      <c r="CG87" s="606"/>
      <c r="CH87" s="606"/>
      <c r="CI87" s="606"/>
      <c r="CJ87" s="606">
        <f>COUNTIFS(CJ17:CJ86,"&lt;&gt;AB",CJ17:CJ86,"&lt;&gt;NA",CJ17:CJ86,"&lt;&gt;")</f>
        <v>7</v>
      </c>
      <c r="CK87" s="606"/>
      <c r="CL87" s="606"/>
      <c r="CM87" s="606"/>
      <c r="CN87" s="606">
        <f>COUNTIFS(CN17:CN86,"&lt;&gt;AB",CN17:CN86,"&lt;&gt;NA",CN17:CN86,"&lt;&gt;")</f>
        <v>36</v>
      </c>
      <c r="CO87" s="606"/>
      <c r="CP87" s="606"/>
      <c r="CQ87" s="606"/>
      <c r="CR87" s="606">
        <f>COUNTIFS(CR17:CR86,"&lt;&gt;AB",CR17:CR86,"&lt;&gt;NA",CR17:CR86,"&lt;&gt;")</f>
        <v>25</v>
      </c>
      <c r="CS87" s="606"/>
      <c r="CT87" s="606"/>
      <c r="CU87" s="606"/>
      <c r="CV87" s="610">
        <f t="shared" ref="CV87:DB87" si="5">COUNTIFS(CV17:CV86,"&lt;&gt;AB",CV17:CV86,"&lt;&gt;NA",CV17:CV86,"&lt;&gt;")</f>
        <v>68</v>
      </c>
      <c r="CW87" s="590">
        <f t="shared" si="5"/>
        <v>68</v>
      </c>
      <c r="DB87" s="497">
        <f t="shared" si="5"/>
        <v>70</v>
      </c>
      <c r="DD87" s="497">
        <f>COUNTIFS(DD17:DD86,"&lt;&gt;AB",DD17:DD86,"&lt;&gt;NA",DD17:DD86,"&lt;&gt;")</f>
        <v>68</v>
      </c>
    </row>
    <row r="88" ht="27.75" customHeight="1" spans="2:108">
      <c r="B88" s="591">
        <f>COUNTIF(B17:B86,"&lt;&gt;"&amp;"")</f>
        <v>68</v>
      </c>
      <c r="C88" s="592" t="s">
        <v>233</v>
      </c>
      <c r="D88" s="593">
        <f>SUMIF(D17:D86,"&gt;="&amp;D15,D17:D86)</f>
        <v>450</v>
      </c>
      <c r="E88" s="593">
        <f>SUMIF(E17:E86,"&gt;="&amp;E15,E17:E86)</f>
        <v>0</v>
      </c>
      <c r="F88" s="593"/>
      <c r="G88" s="593"/>
      <c r="H88" s="593">
        <f>SUMIF(H17:H86,"&gt;="&amp;H15,H17:H86)</f>
        <v>233</v>
      </c>
      <c r="I88" s="593">
        <f>SUMIF(I17:I86,"&gt;="&amp;I15,I17:I86)</f>
        <v>0</v>
      </c>
      <c r="J88" s="593"/>
      <c r="K88" s="593"/>
      <c r="L88" s="593">
        <f>SUMIF(L17:L86,"&gt;="&amp;L15,L17:L86)</f>
        <v>154</v>
      </c>
      <c r="M88" s="593">
        <f>SUMIF(M17:M86,"&gt;="&amp;M15,M17:M86)</f>
        <v>0</v>
      </c>
      <c r="N88" s="593"/>
      <c r="O88" s="593"/>
      <c r="P88" s="593">
        <f>SUMIF(P17:P86,"&gt;="&amp;P15,P17:P86)</f>
        <v>80</v>
      </c>
      <c r="Q88" s="593">
        <f>SUMIF(Q17:Q86,"&gt;="&amp;Q15,Q17:Q86)</f>
        <v>0</v>
      </c>
      <c r="R88" s="593"/>
      <c r="S88" s="593"/>
      <c r="T88" s="593">
        <f>SUMIF(T17:T86,"&gt;="&amp;T15,T17:T86)</f>
        <v>188</v>
      </c>
      <c r="U88" s="593"/>
      <c r="V88" s="593"/>
      <c r="W88" s="593"/>
      <c r="X88" s="593">
        <f>SUMIF(X17:X86,"&gt;="&amp;X15,X17:X86)</f>
        <v>252</v>
      </c>
      <c r="Y88" s="593"/>
      <c r="Z88" s="593"/>
      <c r="AA88" s="593"/>
      <c r="AB88" s="593">
        <f>SUMIF(AB17:AB86,"&gt;="&amp;AB15,AB17:AB86)</f>
        <v>117</v>
      </c>
      <c r="AC88" s="593"/>
      <c r="AD88" s="593">
        <f>SUMIF(AD17:AD86,"&gt;="&amp;AD15,AD17:AD86)</f>
        <v>0</v>
      </c>
      <c r="AE88" s="593">
        <f>SUMIF(AE17:AE86,"&gt;="&amp;AE15,AE17:AE86)</f>
        <v>0</v>
      </c>
      <c r="AF88" s="593">
        <f>SUMIF(AF17:AF86,"&gt;="&amp;AF15,AF17:AF86)</f>
        <v>164</v>
      </c>
      <c r="AG88" s="593"/>
      <c r="AH88" s="593"/>
      <c r="AI88" s="593"/>
      <c r="AJ88" s="593">
        <f>SUMIF(AJ17:AJ86,"&gt;="&amp;AJ15,AJ17:AJ86)</f>
        <v>220</v>
      </c>
      <c r="AK88" s="593">
        <f>SUMIF(AK17:AK86,"&gt;="&amp;AK15,AK17:AK86)</f>
        <v>0</v>
      </c>
      <c r="AL88" s="593"/>
      <c r="AM88" s="593"/>
      <c r="AN88" s="593">
        <f>SUMIF(AN17:AN86,"&gt;="&amp;AN15,AN17:AN86)</f>
        <v>319</v>
      </c>
      <c r="AO88" s="593">
        <f>SUMIF(AO17:AO86,"&gt;="&amp;AO15,AO17:AO86)</f>
        <v>0</v>
      </c>
      <c r="AP88" s="593"/>
      <c r="AQ88" s="593"/>
      <c r="AR88" s="593">
        <f>SUMIF(AR17:AR86,"&gt;="&amp;AR15,AR17:AR86)</f>
        <v>52</v>
      </c>
      <c r="AS88" s="593"/>
      <c r="AT88" s="593"/>
      <c r="AU88" s="593"/>
      <c r="AV88" s="593">
        <f>SUMIF(AV17:AV86,"&gt;="&amp;AV15,AV17:AV86)</f>
        <v>379</v>
      </c>
      <c r="AW88" s="593"/>
      <c r="AX88" s="593"/>
      <c r="AY88" s="593"/>
      <c r="AZ88" s="593">
        <f>SUMIF(AZ17:AZ86,"&gt;="&amp;AZ15,AZ17:AZ86)</f>
        <v>144</v>
      </c>
      <c r="BA88" s="593"/>
      <c r="BB88" s="593"/>
      <c r="BC88" s="593"/>
      <c r="BD88" s="593">
        <f>SUMIF(BD17:BD86,"&gt;="&amp;BD15,BD17:BD86)</f>
        <v>36</v>
      </c>
      <c r="BE88" s="593"/>
      <c r="BF88" s="593"/>
      <c r="BG88" s="593"/>
      <c r="BH88" s="593">
        <f>SUMIF(BH17:BH86,"&gt;="&amp;BH15,BH17:BH86)</f>
        <v>211</v>
      </c>
      <c r="BI88" s="593"/>
      <c r="BJ88" s="593"/>
      <c r="BK88" s="593"/>
      <c r="BL88" s="593">
        <f>SUMIF(BL17:BL86,"&gt;="&amp;BL15,BL17:BL86)</f>
        <v>129</v>
      </c>
      <c r="BM88" s="593"/>
      <c r="BN88" s="593"/>
      <c r="BO88" s="593"/>
      <c r="BP88" s="593">
        <f>SUMIF(BP17:BP86,"&gt;="&amp;BP15,BP17:BP86)</f>
        <v>493</v>
      </c>
      <c r="BQ88" s="607">
        <f>SUMIF(BQ17:BQ86,"&gt;="&amp;BQ15,BQ17:BQ86)</f>
        <v>0</v>
      </c>
      <c r="BR88" s="607"/>
      <c r="BS88" s="607"/>
      <c r="BT88" s="607">
        <f>SUMIF(BT18:BT86,"&gt;="&amp;BT15,BT18:BT86)</f>
        <v>459</v>
      </c>
      <c r="BU88" s="607">
        <f>SUMIF(BU17:BU86,"&gt;="&amp;BU15,BU17:BU86)</f>
        <v>0</v>
      </c>
      <c r="BV88" s="607"/>
      <c r="BW88" s="607"/>
      <c r="BX88" s="607">
        <f>SUMIF(BX17:BX86,"&gt;="&amp;BX15,BX17:BX86)</f>
        <v>327</v>
      </c>
      <c r="BY88" s="607"/>
      <c r="BZ88" s="607"/>
      <c r="CA88" s="607"/>
      <c r="CB88" s="607">
        <f>SUMIF(CB17:CB86,"&gt;="&amp;CB15,CB17:CB86)</f>
        <v>161</v>
      </c>
      <c r="CC88" s="607"/>
      <c r="CD88" s="607"/>
      <c r="CE88" s="607"/>
      <c r="CF88" s="607">
        <f>SUMIF(CF17:CF86,"&gt;="&amp;CF15,CF17:CF86)</f>
        <v>442</v>
      </c>
      <c r="CG88" s="607"/>
      <c r="CH88" s="607"/>
      <c r="CI88" s="607"/>
      <c r="CJ88" s="607">
        <f>SUMIF(CJ17:CJ86,"&gt;="&amp;CJ15,CJ17:CJ86)</f>
        <v>60</v>
      </c>
      <c r="CK88" s="607"/>
      <c r="CL88" s="607"/>
      <c r="CM88" s="607"/>
      <c r="CN88" s="607">
        <f>SUMIF(CN17:CN86,"&gt;="&amp;CN15,CN17:CN86)</f>
        <v>219</v>
      </c>
      <c r="CO88" s="607"/>
      <c r="CP88" s="607"/>
      <c r="CQ88" s="607"/>
      <c r="CR88" s="607">
        <f>SUMIF(CR17:CR86,"&gt;="&amp;CR15,CR17:CR86)</f>
        <v>126</v>
      </c>
      <c r="CS88" s="607"/>
      <c r="CT88" s="607"/>
      <c r="CU88" s="607"/>
      <c r="CV88" s="611">
        <f t="shared" ref="CV88:DB88" si="6">SUMIF(CV17:CV86,"&gt;="&amp;CV15,CV17:CV86)</f>
        <v>473</v>
      </c>
      <c r="CW88" s="593">
        <f t="shared" si="6"/>
        <v>670</v>
      </c>
      <c r="DB88" s="497">
        <f t="shared" si="6"/>
        <v>1863.5</v>
      </c>
      <c r="DD88" s="497">
        <f>SUMIF(DD17:DD86,"&gt;="&amp;DD15,DD17:DD86)</f>
        <v>0</v>
      </c>
    </row>
    <row r="89" ht="35.25" customHeight="1" spans="2:108">
      <c r="B89" s="594"/>
      <c r="C89" s="595" t="s">
        <v>234</v>
      </c>
      <c r="D89" s="596">
        <f>IF(D87&lt;&gt;0,((D88/D87)/D14)*100,0)</f>
        <v>71.4285714285714</v>
      </c>
      <c r="E89" s="599">
        <f>IF(E87&lt;&gt;0,((E88/E87)/E14)*100,0)</f>
        <v>0</v>
      </c>
      <c r="F89" s="599"/>
      <c r="G89" s="599"/>
      <c r="H89" s="599">
        <f>IF(H87&lt;&gt;0,((H88/H87)/H14)*100,0)</f>
        <v>38.1967213114754</v>
      </c>
      <c r="I89" s="599">
        <f>IF(I87&lt;&gt;0,((I88/I87)/I14)*100,0)</f>
        <v>0</v>
      </c>
      <c r="J89" s="599"/>
      <c r="K89" s="599"/>
      <c r="L89" s="599">
        <f>IF(L87&lt;&gt;0,((L88/L87)/L14)*100,0)</f>
        <v>30.1960784313725</v>
      </c>
      <c r="M89" s="599">
        <f>IF(M87&lt;&gt;0,((M88/M87)/M14)*100,0)</f>
        <v>0</v>
      </c>
      <c r="N89" s="599"/>
      <c r="O89" s="599"/>
      <c r="P89" s="599">
        <f>IF(P87&lt;&gt;0,((P88/P87)/P14)*100,0)</f>
        <v>53.3333333333333</v>
      </c>
      <c r="Q89" s="599">
        <f>IF(Q87&lt;&gt;0,((Q88/Q87)/Q14)*100,0)</f>
        <v>0</v>
      </c>
      <c r="R89" s="599">
        <f>IF(R87&lt;&gt;0,((R88/R87)/R14)*100,0)</f>
        <v>0</v>
      </c>
      <c r="S89" s="599"/>
      <c r="T89" s="599">
        <f>IF(T87&lt;&gt;0,((T88/T87)/T14)*100,0)</f>
        <v>60.6451612903226</v>
      </c>
      <c r="U89" s="599"/>
      <c r="V89" s="599"/>
      <c r="W89" s="599"/>
      <c r="X89" s="599">
        <f>IF(X87&lt;&gt;0,((X88/X87)/X14)*100,0)</f>
        <v>72</v>
      </c>
      <c r="Y89" s="599"/>
      <c r="Z89" s="599"/>
      <c r="AA89" s="599"/>
      <c r="AB89" s="599">
        <f>IF(AB87&lt;&gt;0,((AB88/AB87)/AB14)*100,0)</f>
        <v>55.7142857142857</v>
      </c>
      <c r="AC89" s="599"/>
      <c r="AD89" s="599">
        <f>IF(AD87&lt;&gt;0,((AD88/AD87)/AD14)*100,0)</f>
        <v>0</v>
      </c>
      <c r="AE89" s="599">
        <f>IF(AE87&lt;&gt;0,((AE88/AE87)/AE14)*100,0)</f>
        <v>0</v>
      </c>
      <c r="AF89" s="599">
        <f>IF(AF87&lt;&gt;0,((AF88/AF87)/AF14)*100,0)</f>
        <v>40</v>
      </c>
      <c r="AG89" s="599"/>
      <c r="AH89" s="599"/>
      <c r="AI89" s="599"/>
      <c r="AJ89" s="599">
        <f>IF(AJ87&lt;&gt;0,((AJ88/AJ87)/AJ14)*100,0)</f>
        <v>40</v>
      </c>
      <c r="AK89" s="599">
        <f>IF(AK87&lt;&gt;0,((AK88/AK87)/AK14)*100,0)</f>
        <v>0</v>
      </c>
      <c r="AL89" s="599"/>
      <c r="AM89" s="599"/>
      <c r="AN89" s="599">
        <f>IF(AN87&lt;&gt;0,((AN88/AN87)/AN14)*100,0)</f>
        <v>51.4516129032258</v>
      </c>
      <c r="AO89" s="599">
        <f>IF(AO87&lt;&gt;0,((AO88/AO87)/AO14)*100,0)</f>
        <v>0</v>
      </c>
      <c r="AP89" s="599"/>
      <c r="AQ89" s="599"/>
      <c r="AR89" s="599">
        <f>IF(AR87&lt;&gt;0,((AR88/AR87)/AR14)*100,0)</f>
        <v>30.5882352941176</v>
      </c>
      <c r="AS89" s="599"/>
      <c r="AT89" s="599"/>
      <c r="AU89" s="599"/>
      <c r="AV89" s="599">
        <f>IF(AV87&lt;&gt;0,((AV88/AV87)/AV14)*100,0)</f>
        <v>75.8</v>
      </c>
      <c r="AW89" s="599"/>
      <c r="AX89" s="599"/>
      <c r="AY89" s="599"/>
      <c r="AZ89" s="599">
        <f>IF(AZ87&lt;&gt;0,((AZ88/AZ87)/AZ14)*100,0)</f>
        <v>43.6363636363636</v>
      </c>
      <c r="BA89" s="599"/>
      <c r="BB89" s="599"/>
      <c r="BC89" s="599"/>
      <c r="BD89" s="599">
        <f>IF(BD87&lt;&gt;0,((BD88/BD87)/BD14)*100,0)</f>
        <v>13.8461538461538</v>
      </c>
      <c r="BE89" s="599"/>
      <c r="BF89" s="599"/>
      <c r="BG89" s="599"/>
      <c r="BH89" s="599">
        <f>IF(BH87&lt;&gt;0,((BH88/BH87)/BH14)*100,0)</f>
        <v>49.0697674418605</v>
      </c>
      <c r="BI89" s="599"/>
      <c r="BJ89" s="599"/>
      <c r="BK89" s="599"/>
      <c r="BL89" s="599">
        <f>IF(BL87&lt;&gt;0,((BL88/BL87)/BL14)*100,0)</f>
        <v>61.4285714285714</v>
      </c>
      <c r="BM89" s="599"/>
      <c r="BN89" s="599"/>
      <c r="BO89" s="599"/>
      <c r="BP89" s="599">
        <f>IF(BP87&lt;&gt;0,((BP88/BP87)/BP14)*100,0)</f>
        <v>77.03125</v>
      </c>
      <c r="BQ89" s="599">
        <f>IF(BQ87&lt;&gt;0,((BQ88/BQ87)/BQ14)*100,0)</f>
        <v>0</v>
      </c>
      <c r="BR89" s="599"/>
      <c r="BS89" s="599"/>
      <c r="BT89" s="599">
        <f>IF(BT87&lt;&gt;0,((BT88/BT87)/BT14)*100,0)</f>
        <v>71.71875</v>
      </c>
      <c r="BU89" s="599">
        <f>IF(BU87&lt;&gt;0,((BU88/BU87)/BU14)*100,0)</f>
        <v>0</v>
      </c>
      <c r="BV89" s="599"/>
      <c r="BW89" s="599"/>
      <c r="BX89" s="599">
        <f>IF(BX87&lt;&gt;0,((BX88/BX87)/BX14)*100,0)</f>
        <v>76.046511627907</v>
      </c>
      <c r="BY89" s="599"/>
      <c r="BZ89" s="599"/>
      <c r="CA89" s="599"/>
      <c r="CB89" s="599">
        <f>IF(CB87&lt;&gt;0,((CB88/CB87)/CB14)*100,0)</f>
        <v>67.0833333333333</v>
      </c>
      <c r="CC89" s="599"/>
      <c r="CD89" s="599"/>
      <c r="CE89" s="599"/>
      <c r="CF89" s="599">
        <f>IF(CF87&lt;&gt;0,((CF88/CF87)/CF14)*100,0)</f>
        <v>74.9152542372881</v>
      </c>
      <c r="CG89" s="599"/>
      <c r="CH89" s="599"/>
      <c r="CI89" s="599"/>
      <c r="CJ89" s="599">
        <f>IF(CJ87&lt;&gt;0,((CJ88/CJ87)/CJ14)*100,0)</f>
        <v>85.7142857142857</v>
      </c>
      <c r="CK89" s="599"/>
      <c r="CL89" s="599"/>
      <c r="CM89" s="599"/>
      <c r="CN89" s="599">
        <f>IF(CN87&lt;&gt;0,((CN88/CN87)/CN14)*100,0)</f>
        <v>60.8333333333333</v>
      </c>
      <c r="CO89" s="599"/>
      <c r="CP89" s="599"/>
      <c r="CQ89" s="599"/>
      <c r="CR89" s="599">
        <f>IF(CR87&lt;&gt;0,((CR88/CR87)/CR14)*100,0)</f>
        <v>50.4</v>
      </c>
      <c r="CS89" s="612"/>
      <c r="CT89" s="612"/>
      <c r="CU89" s="612"/>
      <c r="CV89" s="613">
        <f t="shared" ref="CV89:DB89" si="7">IF(CV87&lt;&gt;0,((CV88/CV87)/CV14)*100,0)</f>
        <v>69.5588235294118</v>
      </c>
      <c r="CW89" s="613">
        <f t="shared" si="7"/>
        <v>98.5294117647059</v>
      </c>
      <c r="DB89" s="499">
        <f t="shared" si="7"/>
        <v>53.2428571428571</v>
      </c>
      <c r="DD89" s="499">
        <f>(COUNTIF(DD17:DD86,"=S")*10+COUNTIF(DD17:DD86,"=A")*9+COUNTIF(DD17:DD86,"=B")*8+COUNTIF(DD17:DD86,"=C")*7+COUNTIF(DD17:DD86,"=D")*5+COUNTIF(DD17:DD86,"=E")*4)/(10*COUNTIF(DD17:DD86,"&lt;&gt;"&amp;""))*100</f>
        <v>34.4117647058824</v>
      </c>
    </row>
    <row r="90" ht="35.25" customHeight="1" spans="100:113">
      <c r="CV90" s="500"/>
      <c r="DB90" s="500"/>
      <c r="DC90" s="500"/>
      <c r="DD90" s="500"/>
      <c r="DF90" s="500"/>
      <c r="DG90" s="500"/>
      <c r="DH90" s="500"/>
      <c r="DI90" s="500"/>
    </row>
    <row r="91" ht="35.25" customHeight="1" spans="2:113">
      <c r="B91" s="597" t="s">
        <v>235</v>
      </c>
      <c r="C91" s="598" t="s">
        <v>236</v>
      </c>
      <c r="D91" s="547" t="s">
        <v>237</v>
      </c>
      <c r="CV91" s="500"/>
      <c r="DB91" s="500"/>
      <c r="DC91" s="500"/>
      <c r="DD91" s="500"/>
      <c r="DF91" s="500"/>
      <c r="DG91" s="500"/>
      <c r="DH91" s="500"/>
      <c r="DI91" s="500"/>
    </row>
    <row r="92" ht="37.5" customHeight="1" spans="2:100">
      <c r="B92" s="597"/>
      <c r="C92" s="598" t="s">
        <v>238</v>
      </c>
      <c r="D92" s="547" t="s">
        <v>239</v>
      </c>
      <c r="CV92" s="500"/>
    </row>
    <row r="93" ht="30.75" customHeight="1" spans="2:100">
      <c r="B93" s="597" t="s">
        <v>240</v>
      </c>
      <c r="C93" s="598" t="s">
        <v>241</v>
      </c>
      <c r="D93" s="547" t="s">
        <v>242</v>
      </c>
      <c r="CV93" s="500"/>
    </row>
    <row r="94" ht="39" customHeight="1" spans="2:100">
      <c r="B94" s="597"/>
      <c r="C94" s="598" t="s">
        <v>243</v>
      </c>
      <c r="D94" s="547" t="s">
        <v>244</v>
      </c>
      <c r="CV94" s="500"/>
    </row>
    <row r="95" spans="100:100">
      <c r="CV95" s="500"/>
    </row>
    <row r="96" spans="100:100">
      <c r="CV96" s="500"/>
    </row>
    <row r="97" spans="100:100">
      <c r="CV97" s="500"/>
    </row>
    <row r="98" spans="100:100">
      <c r="CV98" s="500"/>
    </row>
    <row r="99" spans="100:100">
      <c r="CV99" s="500"/>
    </row>
    <row r="137" spans="4:4">
      <c r="D137" s="615"/>
    </row>
    <row r="138" spans="4:4">
      <c r="D138" s="615"/>
    </row>
    <row r="139" spans="4:4">
      <c r="D139" s="615"/>
    </row>
    <row r="140" spans="4:4">
      <c r="D140" s="615"/>
    </row>
    <row r="141" spans="4:4">
      <c r="D141" s="615"/>
    </row>
    <row r="142" spans="4:4">
      <c r="D142" s="615"/>
    </row>
    <row r="143" spans="4:4">
      <c r="D143" s="615"/>
    </row>
    <row r="144" spans="4:4">
      <c r="D144" s="615"/>
    </row>
    <row r="145" spans="4:4">
      <c r="D145" s="615"/>
    </row>
    <row r="146" spans="4:4">
      <c r="D146" s="615"/>
    </row>
    <row r="147" spans="4:4">
      <c r="D147" s="615"/>
    </row>
    <row r="148" spans="4:4">
      <c r="D148" s="615"/>
    </row>
    <row r="149" spans="4:4">
      <c r="D149" s="615"/>
    </row>
    <row r="150" spans="4:4">
      <c r="D150" s="615"/>
    </row>
    <row r="151" spans="4:4">
      <c r="D151" s="615"/>
    </row>
    <row r="152" spans="4:4">
      <c r="D152" s="615"/>
    </row>
    <row r="153" spans="4:4">
      <c r="D153" s="615"/>
    </row>
    <row r="154" spans="4:4">
      <c r="D154" s="615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91:B92"/>
    <mergeCell ref="B93:B94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6">
    <cfRule type="cellIs" dxfId="1" priority="13" operator="lessThan">
      <formula>11</formula>
    </cfRule>
  </conditionalFormatting>
  <conditionalFormatting sqref="DL17:DL86">
    <cfRule type="cellIs" dxfId="1" priority="11" operator="lessThan">
      <formula>11</formula>
    </cfRule>
  </conditionalFormatting>
  <conditionalFormatting sqref="DM17:DM86">
    <cfRule type="cellIs" dxfId="2" priority="2" operator="lessThan">
      <formula>34</formula>
    </cfRule>
  </conditionalFormatting>
  <conditionalFormatting sqref="DN17:DN86">
    <cfRule type="cellIs" dxfId="2" priority="1" operator="lessThan">
      <formula>45</formula>
    </cfRule>
  </conditionalFormatting>
  <conditionalFormatting sqref="DO17:DO86">
    <cfRule type="cellIs" dxfId="1" priority="3" operator="lessThan">
      <formula>11</formula>
    </cfRule>
  </conditionalFormatting>
  <conditionalFormatting sqref="DP17:DP86">
    <cfRule type="cellIs" dxfId="1" priority="5" operator="lessThan">
      <formula>34</formula>
    </cfRule>
  </conditionalFormatting>
  <conditionalFormatting sqref="DQ17:DQ86">
    <cfRule type="cellIs" dxfId="3" priority="7" operator="lessThan">
      <formula>11</formula>
    </cfRule>
  </conditionalFormatting>
  <conditionalFormatting sqref="DR17:DR86">
    <cfRule type="cellIs" dxfId="3" priority="6" operator="lessThan">
      <formula>45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97"/>
  <sheetViews>
    <sheetView zoomScale="47" zoomScaleNormal="47" workbookViewId="0">
      <selection activeCell="J9" sqref="J9"/>
    </sheetView>
  </sheetViews>
  <sheetFormatPr defaultColWidth="9" defaultRowHeight="16.8"/>
  <cols>
    <col min="1" max="1" width="6.7265625" customWidth="1"/>
    <col min="2" max="2" width="14.546875" customWidth="1"/>
    <col min="3" max="3" width="29.2734375" customWidth="1"/>
    <col min="4" max="4" width="14.7265625" customWidth="1"/>
    <col min="5" max="5" width="13" customWidth="1"/>
    <col min="6" max="6" width="12.8203125" customWidth="1"/>
    <col min="7" max="7" width="14.546875" customWidth="1"/>
    <col min="8" max="8" width="12.7265625" customWidth="1"/>
    <col min="9" max="9" width="12.8203125" customWidth="1"/>
    <col min="10" max="10" width="10.453125" style="149" customWidth="1"/>
    <col min="11" max="11" width="9" style="149"/>
    <col min="257" max="257" width="6.7265625" customWidth="1"/>
    <col min="258" max="258" width="14.546875" customWidth="1"/>
    <col min="259" max="259" width="29.2734375" customWidth="1"/>
    <col min="260" max="260" width="14.7265625" customWidth="1"/>
    <col min="261" max="261" width="12.1796875" customWidth="1"/>
    <col min="262" max="262" width="12.8203125" customWidth="1"/>
    <col min="263" max="263" width="14.546875" customWidth="1"/>
    <col min="264" max="264" width="12.7265625" customWidth="1"/>
    <col min="265" max="265" width="12.8203125" customWidth="1"/>
    <col min="266" max="266" width="9.1796875" customWidth="1"/>
    <col min="513" max="513" width="6.7265625" customWidth="1"/>
    <col min="514" max="514" width="14.546875" customWidth="1"/>
    <col min="515" max="515" width="29.2734375" customWidth="1"/>
    <col min="516" max="516" width="14.7265625" customWidth="1"/>
    <col min="517" max="517" width="12.1796875" customWidth="1"/>
    <col min="518" max="518" width="12.8203125" customWidth="1"/>
    <col min="519" max="519" width="14.546875" customWidth="1"/>
    <col min="520" max="520" width="12.7265625" customWidth="1"/>
    <col min="521" max="521" width="12.8203125" customWidth="1"/>
    <col min="522" max="522" width="9.1796875" customWidth="1"/>
    <col min="769" max="769" width="6.7265625" customWidth="1"/>
    <col min="770" max="770" width="14.546875" customWidth="1"/>
    <col min="771" max="771" width="29.2734375" customWidth="1"/>
    <col min="772" max="772" width="14.7265625" customWidth="1"/>
    <col min="773" max="773" width="12.1796875" customWidth="1"/>
    <col min="774" max="774" width="12.8203125" customWidth="1"/>
    <col min="775" max="775" width="14.546875" customWidth="1"/>
    <col min="776" max="776" width="12.7265625" customWidth="1"/>
    <col min="777" max="777" width="12.8203125" customWidth="1"/>
    <col min="778" max="778" width="9.1796875" customWidth="1"/>
    <col min="1025" max="1025" width="6.7265625" customWidth="1"/>
    <col min="1026" max="1026" width="14.546875" customWidth="1"/>
    <col min="1027" max="1027" width="29.2734375" customWidth="1"/>
    <col min="1028" max="1028" width="14.7265625" customWidth="1"/>
    <col min="1029" max="1029" width="12.1796875" customWidth="1"/>
    <col min="1030" max="1030" width="12.8203125" customWidth="1"/>
    <col min="1031" max="1031" width="14.546875" customWidth="1"/>
    <col min="1032" max="1032" width="12.7265625" customWidth="1"/>
    <col min="1033" max="1033" width="12.8203125" customWidth="1"/>
    <col min="1034" max="1034" width="9.1796875" customWidth="1"/>
    <col min="1281" max="1281" width="6.7265625" customWidth="1"/>
    <col min="1282" max="1282" width="14.546875" customWidth="1"/>
    <col min="1283" max="1283" width="29.2734375" customWidth="1"/>
    <col min="1284" max="1284" width="14.7265625" customWidth="1"/>
    <col min="1285" max="1285" width="12.1796875" customWidth="1"/>
    <col min="1286" max="1286" width="12.8203125" customWidth="1"/>
    <col min="1287" max="1287" width="14.546875" customWidth="1"/>
    <col min="1288" max="1288" width="12.7265625" customWidth="1"/>
    <col min="1289" max="1289" width="12.8203125" customWidth="1"/>
    <col min="1290" max="1290" width="9.1796875" customWidth="1"/>
    <col min="1537" max="1537" width="6.7265625" customWidth="1"/>
    <col min="1538" max="1538" width="14.546875" customWidth="1"/>
    <col min="1539" max="1539" width="29.2734375" customWidth="1"/>
    <col min="1540" max="1540" width="14.7265625" customWidth="1"/>
    <col min="1541" max="1541" width="12.1796875" customWidth="1"/>
    <col min="1542" max="1542" width="12.8203125" customWidth="1"/>
    <col min="1543" max="1543" width="14.546875" customWidth="1"/>
    <col min="1544" max="1544" width="12.7265625" customWidth="1"/>
    <col min="1545" max="1545" width="12.8203125" customWidth="1"/>
    <col min="1546" max="1546" width="9.1796875" customWidth="1"/>
    <col min="1793" max="1793" width="6.7265625" customWidth="1"/>
    <col min="1794" max="1794" width="14.546875" customWidth="1"/>
    <col min="1795" max="1795" width="29.2734375" customWidth="1"/>
    <col min="1796" max="1796" width="14.7265625" customWidth="1"/>
    <col min="1797" max="1797" width="12.1796875" customWidth="1"/>
    <col min="1798" max="1798" width="12.8203125" customWidth="1"/>
    <col min="1799" max="1799" width="14.546875" customWidth="1"/>
    <col min="1800" max="1800" width="12.7265625" customWidth="1"/>
    <col min="1801" max="1801" width="12.8203125" customWidth="1"/>
    <col min="1802" max="1802" width="9.1796875" customWidth="1"/>
    <col min="2049" max="2049" width="6.7265625" customWidth="1"/>
    <col min="2050" max="2050" width="14.546875" customWidth="1"/>
    <col min="2051" max="2051" width="29.2734375" customWidth="1"/>
    <col min="2052" max="2052" width="14.7265625" customWidth="1"/>
    <col min="2053" max="2053" width="12.1796875" customWidth="1"/>
    <col min="2054" max="2054" width="12.8203125" customWidth="1"/>
    <col min="2055" max="2055" width="14.546875" customWidth="1"/>
    <col min="2056" max="2056" width="12.7265625" customWidth="1"/>
    <col min="2057" max="2057" width="12.8203125" customWidth="1"/>
    <col min="2058" max="2058" width="9.1796875" customWidth="1"/>
    <col min="2305" max="2305" width="6.7265625" customWidth="1"/>
    <col min="2306" max="2306" width="14.546875" customWidth="1"/>
    <col min="2307" max="2307" width="29.2734375" customWidth="1"/>
    <col min="2308" max="2308" width="14.7265625" customWidth="1"/>
    <col min="2309" max="2309" width="12.1796875" customWidth="1"/>
    <col min="2310" max="2310" width="12.8203125" customWidth="1"/>
    <col min="2311" max="2311" width="14.546875" customWidth="1"/>
    <col min="2312" max="2312" width="12.7265625" customWidth="1"/>
    <col min="2313" max="2313" width="12.8203125" customWidth="1"/>
    <col min="2314" max="2314" width="9.1796875" customWidth="1"/>
    <col min="2561" max="2561" width="6.7265625" customWidth="1"/>
    <col min="2562" max="2562" width="14.546875" customWidth="1"/>
    <col min="2563" max="2563" width="29.2734375" customWidth="1"/>
    <col min="2564" max="2564" width="14.7265625" customWidth="1"/>
    <col min="2565" max="2565" width="12.1796875" customWidth="1"/>
    <col min="2566" max="2566" width="12.8203125" customWidth="1"/>
    <col min="2567" max="2567" width="14.546875" customWidth="1"/>
    <col min="2568" max="2568" width="12.7265625" customWidth="1"/>
    <col min="2569" max="2569" width="12.8203125" customWidth="1"/>
    <col min="2570" max="2570" width="9.1796875" customWidth="1"/>
    <col min="2817" max="2817" width="6.7265625" customWidth="1"/>
    <col min="2818" max="2818" width="14.546875" customWidth="1"/>
    <col min="2819" max="2819" width="29.2734375" customWidth="1"/>
    <col min="2820" max="2820" width="14.7265625" customWidth="1"/>
    <col min="2821" max="2821" width="12.1796875" customWidth="1"/>
    <col min="2822" max="2822" width="12.8203125" customWidth="1"/>
    <col min="2823" max="2823" width="14.546875" customWidth="1"/>
    <col min="2824" max="2824" width="12.7265625" customWidth="1"/>
    <col min="2825" max="2825" width="12.8203125" customWidth="1"/>
    <col min="2826" max="2826" width="9.1796875" customWidth="1"/>
    <col min="3073" max="3073" width="6.7265625" customWidth="1"/>
    <col min="3074" max="3074" width="14.546875" customWidth="1"/>
    <col min="3075" max="3075" width="29.2734375" customWidth="1"/>
    <col min="3076" max="3076" width="14.7265625" customWidth="1"/>
    <col min="3077" max="3077" width="12.1796875" customWidth="1"/>
    <col min="3078" max="3078" width="12.8203125" customWidth="1"/>
    <col min="3079" max="3079" width="14.546875" customWidth="1"/>
    <col min="3080" max="3080" width="12.7265625" customWidth="1"/>
    <col min="3081" max="3081" width="12.8203125" customWidth="1"/>
    <col min="3082" max="3082" width="9.1796875" customWidth="1"/>
    <col min="3329" max="3329" width="6.7265625" customWidth="1"/>
    <col min="3330" max="3330" width="14.546875" customWidth="1"/>
    <col min="3331" max="3331" width="29.2734375" customWidth="1"/>
    <col min="3332" max="3332" width="14.7265625" customWidth="1"/>
    <col min="3333" max="3333" width="12.1796875" customWidth="1"/>
    <col min="3334" max="3334" width="12.8203125" customWidth="1"/>
    <col min="3335" max="3335" width="14.546875" customWidth="1"/>
    <col min="3336" max="3336" width="12.7265625" customWidth="1"/>
    <col min="3337" max="3337" width="12.8203125" customWidth="1"/>
    <col min="3338" max="3338" width="9.1796875" customWidth="1"/>
    <col min="3585" max="3585" width="6.7265625" customWidth="1"/>
    <col min="3586" max="3586" width="14.546875" customWidth="1"/>
    <col min="3587" max="3587" width="29.2734375" customWidth="1"/>
    <col min="3588" max="3588" width="14.7265625" customWidth="1"/>
    <col min="3589" max="3589" width="12.1796875" customWidth="1"/>
    <col min="3590" max="3590" width="12.8203125" customWidth="1"/>
    <col min="3591" max="3591" width="14.546875" customWidth="1"/>
    <col min="3592" max="3592" width="12.7265625" customWidth="1"/>
    <col min="3593" max="3593" width="12.8203125" customWidth="1"/>
    <col min="3594" max="3594" width="9.1796875" customWidth="1"/>
    <col min="3841" max="3841" width="6.7265625" customWidth="1"/>
    <col min="3842" max="3842" width="14.546875" customWidth="1"/>
    <col min="3843" max="3843" width="29.2734375" customWidth="1"/>
    <col min="3844" max="3844" width="14.7265625" customWidth="1"/>
    <col min="3845" max="3845" width="12.1796875" customWidth="1"/>
    <col min="3846" max="3846" width="12.8203125" customWidth="1"/>
    <col min="3847" max="3847" width="14.546875" customWidth="1"/>
    <col min="3848" max="3848" width="12.7265625" customWidth="1"/>
    <col min="3849" max="3849" width="12.8203125" customWidth="1"/>
    <col min="3850" max="3850" width="9.1796875" customWidth="1"/>
    <col min="4097" max="4097" width="6.7265625" customWidth="1"/>
    <col min="4098" max="4098" width="14.546875" customWidth="1"/>
    <col min="4099" max="4099" width="29.2734375" customWidth="1"/>
    <col min="4100" max="4100" width="14.7265625" customWidth="1"/>
    <col min="4101" max="4101" width="12.1796875" customWidth="1"/>
    <col min="4102" max="4102" width="12.8203125" customWidth="1"/>
    <col min="4103" max="4103" width="14.546875" customWidth="1"/>
    <col min="4104" max="4104" width="12.7265625" customWidth="1"/>
    <col min="4105" max="4105" width="12.8203125" customWidth="1"/>
    <col min="4106" max="4106" width="9.1796875" customWidth="1"/>
    <col min="4353" max="4353" width="6.7265625" customWidth="1"/>
    <col min="4354" max="4354" width="14.546875" customWidth="1"/>
    <col min="4355" max="4355" width="29.2734375" customWidth="1"/>
    <col min="4356" max="4356" width="14.7265625" customWidth="1"/>
    <col min="4357" max="4357" width="12.1796875" customWidth="1"/>
    <col min="4358" max="4358" width="12.8203125" customWidth="1"/>
    <col min="4359" max="4359" width="14.546875" customWidth="1"/>
    <col min="4360" max="4360" width="12.7265625" customWidth="1"/>
    <col min="4361" max="4361" width="12.8203125" customWidth="1"/>
    <col min="4362" max="4362" width="9.1796875" customWidth="1"/>
    <col min="4609" max="4609" width="6.7265625" customWidth="1"/>
    <col min="4610" max="4610" width="14.546875" customWidth="1"/>
    <col min="4611" max="4611" width="29.2734375" customWidth="1"/>
    <col min="4612" max="4612" width="14.7265625" customWidth="1"/>
    <col min="4613" max="4613" width="12.1796875" customWidth="1"/>
    <col min="4614" max="4614" width="12.8203125" customWidth="1"/>
    <col min="4615" max="4615" width="14.546875" customWidth="1"/>
    <col min="4616" max="4616" width="12.7265625" customWidth="1"/>
    <col min="4617" max="4617" width="12.8203125" customWidth="1"/>
    <col min="4618" max="4618" width="9.1796875" customWidth="1"/>
    <col min="4865" max="4865" width="6.7265625" customWidth="1"/>
    <col min="4866" max="4866" width="14.546875" customWidth="1"/>
    <col min="4867" max="4867" width="29.2734375" customWidth="1"/>
    <col min="4868" max="4868" width="14.7265625" customWidth="1"/>
    <col min="4869" max="4869" width="12.1796875" customWidth="1"/>
    <col min="4870" max="4870" width="12.8203125" customWidth="1"/>
    <col min="4871" max="4871" width="14.546875" customWidth="1"/>
    <col min="4872" max="4872" width="12.7265625" customWidth="1"/>
    <col min="4873" max="4873" width="12.8203125" customWidth="1"/>
    <col min="4874" max="4874" width="9.1796875" customWidth="1"/>
    <col min="5121" max="5121" width="6.7265625" customWidth="1"/>
    <col min="5122" max="5122" width="14.546875" customWidth="1"/>
    <col min="5123" max="5123" width="29.2734375" customWidth="1"/>
    <col min="5124" max="5124" width="14.7265625" customWidth="1"/>
    <col min="5125" max="5125" width="12.1796875" customWidth="1"/>
    <col min="5126" max="5126" width="12.8203125" customWidth="1"/>
    <col min="5127" max="5127" width="14.546875" customWidth="1"/>
    <col min="5128" max="5128" width="12.7265625" customWidth="1"/>
    <col min="5129" max="5129" width="12.8203125" customWidth="1"/>
    <col min="5130" max="5130" width="9.1796875" customWidth="1"/>
    <col min="5377" max="5377" width="6.7265625" customWidth="1"/>
    <col min="5378" max="5378" width="14.546875" customWidth="1"/>
    <col min="5379" max="5379" width="29.2734375" customWidth="1"/>
    <col min="5380" max="5380" width="14.7265625" customWidth="1"/>
    <col min="5381" max="5381" width="12.1796875" customWidth="1"/>
    <col min="5382" max="5382" width="12.8203125" customWidth="1"/>
    <col min="5383" max="5383" width="14.546875" customWidth="1"/>
    <col min="5384" max="5384" width="12.7265625" customWidth="1"/>
    <col min="5385" max="5385" width="12.8203125" customWidth="1"/>
    <col min="5386" max="5386" width="9.1796875" customWidth="1"/>
    <col min="5633" max="5633" width="6.7265625" customWidth="1"/>
    <col min="5634" max="5634" width="14.546875" customWidth="1"/>
    <col min="5635" max="5635" width="29.2734375" customWidth="1"/>
    <col min="5636" max="5636" width="14.7265625" customWidth="1"/>
    <col min="5637" max="5637" width="12.1796875" customWidth="1"/>
    <col min="5638" max="5638" width="12.8203125" customWidth="1"/>
    <col min="5639" max="5639" width="14.546875" customWidth="1"/>
    <col min="5640" max="5640" width="12.7265625" customWidth="1"/>
    <col min="5641" max="5641" width="12.8203125" customWidth="1"/>
    <col min="5642" max="5642" width="9.1796875" customWidth="1"/>
    <col min="5889" max="5889" width="6.7265625" customWidth="1"/>
    <col min="5890" max="5890" width="14.546875" customWidth="1"/>
    <col min="5891" max="5891" width="29.2734375" customWidth="1"/>
    <col min="5892" max="5892" width="14.7265625" customWidth="1"/>
    <col min="5893" max="5893" width="12.1796875" customWidth="1"/>
    <col min="5894" max="5894" width="12.8203125" customWidth="1"/>
    <col min="5895" max="5895" width="14.546875" customWidth="1"/>
    <col min="5896" max="5896" width="12.7265625" customWidth="1"/>
    <col min="5897" max="5897" width="12.8203125" customWidth="1"/>
    <col min="5898" max="5898" width="9.1796875" customWidth="1"/>
    <col min="6145" max="6145" width="6.7265625" customWidth="1"/>
    <col min="6146" max="6146" width="14.546875" customWidth="1"/>
    <col min="6147" max="6147" width="29.2734375" customWidth="1"/>
    <col min="6148" max="6148" width="14.7265625" customWidth="1"/>
    <col min="6149" max="6149" width="12.1796875" customWidth="1"/>
    <col min="6150" max="6150" width="12.8203125" customWidth="1"/>
    <col min="6151" max="6151" width="14.546875" customWidth="1"/>
    <col min="6152" max="6152" width="12.7265625" customWidth="1"/>
    <col min="6153" max="6153" width="12.8203125" customWidth="1"/>
    <col min="6154" max="6154" width="9.1796875" customWidth="1"/>
    <col min="6401" max="6401" width="6.7265625" customWidth="1"/>
    <col min="6402" max="6402" width="14.546875" customWidth="1"/>
    <col min="6403" max="6403" width="29.2734375" customWidth="1"/>
    <col min="6404" max="6404" width="14.7265625" customWidth="1"/>
    <col min="6405" max="6405" width="12.1796875" customWidth="1"/>
    <col min="6406" max="6406" width="12.8203125" customWidth="1"/>
    <col min="6407" max="6407" width="14.546875" customWidth="1"/>
    <col min="6408" max="6408" width="12.7265625" customWidth="1"/>
    <col min="6409" max="6409" width="12.8203125" customWidth="1"/>
    <col min="6410" max="6410" width="9.1796875" customWidth="1"/>
    <col min="6657" max="6657" width="6.7265625" customWidth="1"/>
    <col min="6658" max="6658" width="14.546875" customWidth="1"/>
    <col min="6659" max="6659" width="29.2734375" customWidth="1"/>
    <col min="6660" max="6660" width="14.7265625" customWidth="1"/>
    <col min="6661" max="6661" width="12.1796875" customWidth="1"/>
    <col min="6662" max="6662" width="12.8203125" customWidth="1"/>
    <col min="6663" max="6663" width="14.546875" customWidth="1"/>
    <col min="6664" max="6664" width="12.7265625" customWidth="1"/>
    <col min="6665" max="6665" width="12.8203125" customWidth="1"/>
    <col min="6666" max="6666" width="9.1796875" customWidth="1"/>
    <col min="6913" max="6913" width="6.7265625" customWidth="1"/>
    <col min="6914" max="6914" width="14.546875" customWidth="1"/>
    <col min="6915" max="6915" width="29.2734375" customWidth="1"/>
    <col min="6916" max="6916" width="14.7265625" customWidth="1"/>
    <col min="6917" max="6917" width="12.1796875" customWidth="1"/>
    <col min="6918" max="6918" width="12.8203125" customWidth="1"/>
    <col min="6919" max="6919" width="14.546875" customWidth="1"/>
    <col min="6920" max="6920" width="12.7265625" customWidth="1"/>
    <col min="6921" max="6921" width="12.8203125" customWidth="1"/>
    <col min="6922" max="6922" width="9.1796875" customWidth="1"/>
    <col min="7169" max="7169" width="6.7265625" customWidth="1"/>
    <col min="7170" max="7170" width="14.546875" customWidth="1"/>
    <col min="7171" max="7171" width="29.2734375" customWidth="1"/>
    <col min="7172" max="7172" width="14.7265625" customWidth="1"/>
    <col min="7173" max="7173" width="12.1796875" customWidth="1"/>
    <col min="7174" max="7174" width="12.8203125" customWidth="1"/>
    <col min="7175" max="7175" width="14.546875" customWidth="1"/>
    <col min="7176" max="7176" width="12.7265625" customWidth="1"/>
    <col min="7177" max="7177" width="12.8203125" customWidth="1"/>
    <col min="7178" max="7178" width="9.1796875" customWidth="1"/>
    <col min="7425" max="7425" width="6.7265625" customWidth="1"/>
    <col min="7426" max="7426" width="14.546875" customWidth="1"/>
    <col min="7427" max="7427" width="29.2734375" customWidth="1"/>
    <col min="7428" max="7428" width="14.7265625" customWidth="1"/>
    <col min="7429" max="7429" width="12.1796875" customWidth="1"/>
    <col min="7430" max="7430" width="12.8203125" customWidth="1"/>
    <col min="7431" max="7431" width="14.546875" customWidth="1"/>
    <col min="7432" max="7432" width="12.7265625" customWidth="1"/>
    <col min="7433" max="7433" width="12.8203125" customWidth="1"/>
    <col min="7434" max="7434" width="9.1796875" customWidth="1"/>
    <col min="7681" max="7681" width="6.7265625" customWidth="1"/>
    <col min="7682" max="7682" width="14.546875" customWidth="1"/>
    <col min="7683" max="7683" width="29.2734375" customWidth="1"/>
    <col min="7684" max="7684" width="14.7265625" customWidth="1"/>
    <col min="7685" max="7685" width="12.1796875" customWidth="1"/>
    <col min="7686" max="7686" width="12.8203125" customWidth="1"/>
    <col min="7687" max="7687" width="14.546875" customWidth="1"/>
    <col min="7688" max="7688" width="12.7265625" customWidth="1"/>
    <col min="7689" max="7689" width="12.8203125" customWidth="1"/>
    <col min="7690" max="7690" width="9.1796875" customWidth="1"/>
    <col min="7937" max="7937" width="6.7265625" customWidth="1"/>
    <col min="7938" max="7938" width="14.546875" customWidth="1"/>
    <col min="7939" max="7939" width="29.2734375" customWidth="1"/>
    <col min="7940" max="7940" width="14.7265625" customWidth="1"/>
    <col min="7941" max="7941" width="12.1796875" customWidth="1"/>
    <col min="7942" max="7942" width="12.8203125" customWidth="1"/>
    <col min="7943" max="7943" width="14.546875" customWidth="1"/>
    <col min="7944" max="7944" width="12.7265625" customWidth="1"/>
    <col min="7945" max="7945" width="12.8203125" customWidth="1"/>
    <col min="7946" max="7946" width="9.1796875" customWidth="1"/>
    <col min="8193" max="8193" width="6.7265625" customWidth="1"/>
    <col min="8194" max="8194" width="14.546875" customWidth="1"/>
    <col min="8195" max="8195" width="29.2734375" customWidth="1"/>
    <col min="8196" max="8196" width="14.7265625" customWidth="1"/>
    <col min="8197" max="8197" width="12.1796875" customWidth="1"/>
    <col min="8198" max="8198" width="12.8203125" customWidth="1"/>
    <col min="8199" max="8199" width="14.546875" customWidth="1"/>
    <col min="8200" max="8200" width="12.7265625" customWidth="1"/>
    <col min="8201" max="8201" width="12.8203125" customWidth="1"/>
    <col min="8202" max="8202" width="9.1796875" customWidth="1"/>
    <col min="8449" max="8449" width="6.7265625" customWidth="1"/>
    <col min="8450" max="8450" width="14.546875" customWidth="1"/>
    <col min="8451" max="8451" width="29.2734375" customWidth="1"/>
    <col min="8452" max="8452" width="14.7265625" customWidth="1"/>
    <col min="8453" max="8453" width="12.1796875" customWidth="1"/>
    <col min="8454" max="8454" width="12.8203125" customWidth="1"/>
    <col min="8455" max="8455" width="14.546875" customWidth="1"/>
    <col min="8456" max="8456" width="12.7265625" customWidth="1"/>
    <col min="8457" max="8457" width="12.8203125" customWidth="1"/>
    <col min="8458" max="8458" width="9.1796875" customWidth="1"/>
    <col min="8705" max="8705" width="6.7265625" customWidth="1"/>
    <col min="8706" max="8706" width="14.546875" customWidth="1"/>
    <col min="8707" max="8707" width="29.2734375" customWidth="1"/>
    <col min="8708" max="8708" width="14.7265625" customWidth="1"/>
    <col min="8709" max="8709" width="12.1796875" customWidth="1"/>
    <col min="8710" max="8710" width="12.8203125" customWidth="1"/>
    <col min="8711" max="8711" width="14.546875" customWidth="1"/>
    <col min="8712" max="8712" width="12.7265625" customWidth="1"/>
    <col min="8713" max="8713" width="12.8203125" customWidth="1"/>
    <col min="8714" max="8714" width="9.1796875" customWidth="1"/>
    <col min="8961" max="8961" width="6.7265625" customWidth="1"/>
    <col min="8962" max="8962" width="14.546875" customWidth="1"/>
    <col min="8963" max="8963" width="29.2734375" customWidth="1"/>
    <col min="8964" max="8964" width="14.7265625" customWidth="1"/>
    <col min="8965" max="8965" width="12.1796875" customWidth="1"/>
    <col min="8966" max="8966" width="12.8203125" customWidth="1"/>
    <col min="8967" max="8967" width="14.546875" customWidth="1"/>
    <col min="8968" max="8968" width="12.7265625" customWidth="1"/>
    <col min="8969" max="8969" width="12.8203125" customWidth="1"/>
    <col min="8970" max="8970" width="9.1796875" customWidth="1"/>
    <col min="9217" max="9217" width="6.7265625" customWidth="1"/>
    <col min="9218" max="9218" width="14.546875" customWidth="1"/>
    <col min="9219" max="9219" width="29.2734375" customWidth="1"/>
    <col min="9220" max="9220" width="14.7265625" customWidth="1"/>
    <col min="9221" max="9221" width="12.1796875" customWidth="1"/>
    <col min="9222" max="9222" width="12.8203125" customWidth="1"/>
    <col min="9223" max="9223" width="14.546875" customWidth="1"/>
    <col min="9224" max="9224" width="12.7265625" customWidth="1"/>
    <col min="9225" max="9225" width="12.8203125" customWidth="1"/>
    <col min="9226" max="9226" width="9.1796875" customWidth="1"/>
    <col min="9473" max="9473" width="6.7265625" customWidth="1"/>
    <col min="9474" max="9474" width="14.546875" customWidth="1"/>
    <col min="9475" max="9475" width="29.2734375" customWidth="1"/>
    <col min="9476" max="9476" width="14.7265625" customWidth="1"/>
    <col min="9477" max="9477" width="12.1796875" customWidth="1"/>
    <col min="9478" max="9478" width="12.8203125" customWidth="1"/>
    <col min="9479" max="9479" width="14.546875" customWidth="1"/>
    <col min="9480" max="9480" width="12.7265625" customWidth="1"/>
    <col min="9481" max="9481" width="12.8203125" customWidth="1"/>
    <col min="9482" max="9482" width="9.1796875" customWidth="1"/>
    <col min="9729" max="9729" width="6.7265625" customWidth="1"/>
    <col min="9730" max="9730" width="14.546875" customWidth="1"/>
    <col min="9731" max="9731" width="29.2734375" customWidth="1"/>
    <col min="9732" max="9732" width="14.7265625" customWidth="1"/>
    <col min="9733" max="9733" width="12.1796875" customWidth="1"/>
    <col min="9734" max="9734" width="12.8203125" customWidth="1"/>
    <col min="9735" max="9735" width="14.546875" customWidth="1"/>
    <col min="9736" max="9736" width="12.7265625" customWidth="1"/>
    <col min="9737" max="9737" width="12.8203125" customWidth="1"/>
    <col min="9738" max="9738" width="9.1796875" customWidth="1"/>
    <col min="9985" max="9985" width="6.7265625" customWidth="1"/>
    <col min="9986" max="9986" width="14.546875" customWidth="1"/>
    <col min="9987" max="9987" width="29.2734375" customWidth="1"/>
    <col min="9988" max="9988" width="14.7265625" customWidth="1"/>
    <col min="9989" max="9989" width="12.1796875" customWidth="1"/>
    <col min="9990" max="9990" width="12.8203125" customWidth="1"/>
    <col min="9991" max="9991" width="14.546875" customWidth="1"/>
    <col min="9992" max="9992" width="12.7265625" customWidth="1"/>
    <col min="9993" max="9993" width="12.8203125" customWidth="1"/>
    <col min="9994" max="9994" width="9.1796875" customWidth="1"/>
    <col min="10241" max="10241" width="6.7265625" customWidth="1"/>
    <col min="10242" max="10242" width="14.546875" customWidth="1"/>
    <col min="10243" max="10243" width="29.2734375" customWidth="1"/>
    <col min="10244" max="10244" width="14.7265625" customWidth="1"/>
    <col min="10245" max="10245" width="12.1796875" customWidth="1"/>
    <col min="10246" max="10246" width="12.8203125" customWidth="1"/>
    <col min="10247" max="10247" width="14.546875" customWidth="1"/>
    <col min="10248" max="10248" width="12.7265625" customWidth="1"/>
    <col min="10249" max="10249" width="12.8203125" customWidth="1"/>
    <col min="10250" max="10250" width="9.1796875" customWidth="1"/>
    <col min="10497" max="10497" width="6.7265625" customWidth="1"/>
    <col min="10498" max="10498" width="14.546875" customWidth="1"/>
    <col min="10499" max="10499" width="29.2734375" customWidth="1"/>
    <col min="10500" max="10500" width="14.7265625" customWidth="1"/>
    <col min="10501" max="10501" width="12.1796875" customWidth="1"/>
    <col min="10502" max="10502" width="12.8203125" customWidth="1"/>
    <col min="10503" max="10503" width="14.546875" customWidth="1"/>
    <col min="10504" max="10504" width="12.7265625" customWidth="1"/>
    <col min="10505" max="10505" width="12.8203125" customWidth="1"/>
    <col min="10506" max="10506" width="9.1796875" customWidth="1"/>
    <col min="10753" max="10753" width="6.7265625" customWidth="1"/>
    <col min="10754" max="10754" width="14.546875" customWidth="1"/>
    <col min="10755" max="10755" width="29.2734375" customWidth="1"/>
    <col min="10756" max="10756" width="14.7265625" customWidth="1"/>
    <col min="10757" max="10757" width="12.1796875" customWidth="1"/>
    <col min="10758" max="10758" width="12.8203125" customWidth="1"/>
    <col min="10759" max="10759" width="14.546875" customWidth="1"/>
    <col min="10760" max="10760" width="12.7265625" customWidth="1"/>
    <col min="10761" max="10761" width="12.8203125" customWidth="1"/>
    <col min="10762" max="10762" width="9.1796875" customWidth="1"/>
    <col min="11009" max="11009" width="6.7265625" customWidth="1"/>
    <col min="11010" max="11010" width="14.546875" customWidth="1"/>
    <col min="11011" max="11011" width="29.2734375" customWidth="1"/>
    <col min="11012" max="11012" width="14.7265625" customWidth="1"/>
    <col min="11013" max="11013" width="12.1796875" customWidth="1"/>
    <col min="11014" max="11014" width="12.8203125" customWidth="1"/>
    <col min="11015" max="11015" width="14.546875" customWidth="1"/>
    <col min="11016" max="11016" width="12.7265625" customWidth="1"/>
    <col min="11017" max="11017" width="12.8203125" customWidth="1"/>
    <col min="11018" max="11018" width="9.1796875" customWidth="1"/>
    <col min="11265" max="11265" width="6.7265625" customWidth="1"/>
    <col min="11266" max="11266" width="14.546875" customWidth="1"/>
    <col min="11267" max="11267" width="29.2734375" customWidth="1"/>
    <col min="11268" max="11268" width="14.7265625" customWidth="1"/>
    <col min="11269" max="11269" width="12.1796875" customWidth="1"/>
    <col min="11270" max="11270" width="12.8203125" customWidth="1"/>
    <col min="11271" max="11271" width="14.546875" customWidth="1"/>
    <col min="11272" max="11272" width="12.7265625" customWidth="1"/>
    <col min="11273" max="11273" width="12.8203125" customWidth="1"/>
    <col min="11274" max="11274" width="9.1796875" customWidth="1"/>
    <col min="11521" max="11521" width="6.7265625" customWidth="1"/>
    <col min="11522" max="11522" width="14.546875" customWidth="1"/>
    <col min="11523" max="11523" width="29.2734375" customWidth="1"/>
    <col min="11524" max="11524" width="14.7265625" customWidth="1"/>
    <col min="11525" max="11525" width="12.1796875" customWidth="1"/>
    <col min="11526" max="11526" width="12.8203125" customWidth="1"/>
    <col min="11527" max="11527" width="14.546875" customWidth="1"/>
    <col min="11528" max="11528" width="12.7265625" customWidth="1"/>
    <col min="11529" max="11529" width="12.8203125" customWidth="1"/>
    <col min="11530" max="11530" width="9.1796875" customWidth="1"/>
    <col min="11777" max="11777" width="6.7265625" customWidth="1"/>
    <col min="11778" max="11778" width="14.546875" customWidth="1"/>
    <col min="11779" max="11779" width="29.2734375" customWidth="1"/>
    <col min="11780" max="11780" width="14.7265625" customWidth="1"/>
    <col min="11781" max="11781" width="12.1796875" customWidth="1"/>
    <col min="11782" max="11782" width="12.8203125" customWidth="1"/>
    <col min="11783" max="11783" width="14.546875" customWidth="1"/>
    <col min="11784" max="11784" width="12.7265625" customWidth="1"/>
    <col min="11785" max="11785" width="12.8203125" customWidth="1"/>
    <col min="11786" max="11786" width="9.1796875" customWidth="1"/>
    <col min="12033" max="12033" width="6.7265625" customWidth="1"/>
    <col min="12034" max="12034" width="14.546875" customWidth="1"/>
    <col min="12035" max="12035" width="29.2734375" customWidth="1"/>
    <col min="12036" max="12036" width="14.7265625" customWidth="1"/>
    <col min="12037" max="12037" width="12.1796875" customWidth="1"/>
    <col min="12038" max="12038" width="12.8203125" customWidth="1"/>
    <col min="12039" max="12039" width="14.546875" customWidth="1"/>
    <col min="12040" max="12040" width="12.7265625" customWidth="1"/>
    <col min="12041" max="12041" width="12.8203125" customWidth="1"/>
    <col min="12042" max="12042" width="9.1796875" customWidth="1"/>
    <col min="12289" max="12289" width="6.7265625" customWidth="1"/>
    <col min="12290" max="12290" width="14.546875" customWidth="1"/>
    <col min="12291" max="12291" width="29.2734375" customWidth="1"/>
    <col min="12292" max="12292" width="14.7265625" customWidth="1"/>
    <col min="12293" max="12293" width="12.1796875" customWidth="1"/>
    <col min="12294" max="12294" width="12.8203125" customWidth="1"/>
    <col min="12295" max="12295" width="14.546875" customWidth="1"/>
    <col min="12296" max="12296" width="12.7265625" customWidth="1"/>
    <col min="12297" max="12297" width="12.8203125" customWidth="1"/>
    <col min="12298" max="12298" width="9.1796875" customWidth="1"/>
    <col min="12545" max="12545" width="6.7265625" customWidth="1"/>
    <col min="12546" max="12546" width="14.546875" customWidth="1"/>
    <col min="12547" max="12547" width="29.2734375" customWidth="1"/>
    <col min="12548" max="12548" width="14.7265625" customWidth="1"/>
    <col min="12549" max="12549" width="12.1796875" customWidth="1"/>
    <col min="12550" max="12550" width="12.8203125" customWidth="1"/>
    <col min="12551" max="12551" width="14.546875" customWidth="1"/>
    <col min="12552" max="12552" width="12.7265625" customWidth="1"/>
    <col min="12553" max="12553" width="12.8203125" customWidth="1"/>
    <col min="12554" max="12554" width="9.1796875" customWidth="1"/>
    <col min="12801" max="12801" width="6.7265625" customWidth="1"/>
    <col min="12802" max="12802" width="14.546875" customWidth="1"/>
    <col min="12803" max="12803" width="29.2734375" customWidth="1"/>
    <col min="12804" max="12804" width="14.7265625" customWidth="1"/>
    <col min="12805" max="12805" width="12.1796875" customWidth="1"/>
    <col min="12806" max="12806" width="12.8203125" customWidth="1"/>
    <col min="12807" max="12807" width="14.546875" customWidth="1"/>
    <col min="12808" max="12808" width="12.7265625" customWidth="1"/>
    <col min="12809" max="12809" width="12.8203125" customWidth="1"/>
    <col min="12810" max="12810" width="9.1796875" customWidth="1"/>
    <col min="13057" max="13057" width="6.7265625" customWidth="1"/>
    <col min="13058" max="13058" width="14.546875" customWidth="1"/>
    <col min="13059" max="13059" width="29.2734375" customWidth="1"/>
    <col min="13060" max="13060" width="14.7265625" customWidth="1"/>
    <col min="13061" max="13061" width="12.1796875" customWidth="1"/>
    <col min="13062" max="13062" width="12.8203125" customWidth="1"/>
    <col min="13063" max="13063" width="14.546875" customWidth="1"/>
    <col min="13064" max="13064" width="12.7265625" customWidth="1"/>
    <col min="13065" max="13065" width="12.8203125" customWidth="1"/>
    <col min="13066" max="13066" width="9.1796875" customWidth="1"/>
    <col min="13313" max="13313" width="6.7265625" customWidth="1"/>
    <col min="13314" max="13314" width="14.546875" customWidth="1"/>
    <col min="13315" max="13315" width="29.2734375" customWidth="1"/>
    <col min="13316" max="13316" width="14.7265625" customWidth="1"/>
    <col min="13317" max="13317" width="12.1796875" customWidth="1"/>
    <col min="13318" max="13318" width="12.8203125" customWidth="1"/>
    <col min="13319" max="13319" width="14.546875" customWidth="1"/>
    <col min="13320" max="13320" width="12.7265625" customWidth="1"/>
    <col min="13321" max="13321" width="12.8203125" customWidth="1"/>
    <col min="13322" max="13322" width="9.1796875" customWidth="1"/>
    <col min="13569" max="13569" width="6.7265625" customWidth="1"/>
    <col min="13570" max="13570" width="14.546875" customWidth="1"/>
    <col min="13571" max="13571" width="29.2734375" customWidth="1"/>
    <col min="13572" max="13572" width="14.7265625" customWidth="1"/>
    <col min="13573" max="13573" width="12.1796875" customWidth="1"/>
    <col min="13574" max="13574" width="12.8203125" customWidth="1"/>
    <col min="13575" max="13575" width="14.546875" customWidth="1"/>
    <col min="13576" max="13576" width="12.7265625" customWidth="1"/>
    <col min="13577" max="13577" width="12.8203125" customWidth="1"/>
    <col min="13578" max="13578" width="9.1796875" customWidth="1"/>
    <col min="13825" max="13825" width="6.7265625" customWidth="1"/>
    <col min="13826" max="13826" width="14.546875" customWidth="1"/>
    <col min="13827" max="13827" width="29.2734375" customWidth="1"/>
    <col min="13828" max="13828" width="14.7265625" customWidth="1"/>
    <col min="13829" max="13829" width="12.1796875" customWidth="1"/>
    <col min="13830" max="13830" width="12.8203125" customWidth="1"/>
    <col min="13831" max="13831" width="14.546875" customWidth="1"/>
    <col min="13832" max="13832" width="12.7265625" customWidth="1"/>
    <col min="13833" max="13833" width="12.8203125" customWidth="1"/>
    <col min="13834" max="13834" width="9.1796875" customWidth="1"/>
    <col min="14081" max="14081" width="6.7265625" customWidth="1"/>
    <col min="14082" max="14082" width="14.546875" customWidth="1"/>
    <col min="14083" max="14083" width="29.2734375" customWidth="1"/>
    <col min="14084" max="14084" width="14.7265625" customWidth="1"/>
    <col min="14085" max="14085" width="12.1796875" customWidth="1"/>
    <col min="14086" max="14086" width="12.8203125" customWidth="1"/>
    <col min="14087" max="14087" width="14.546875" customWidth="1"/>
    <col min="14088" max="14088" width="12.7265625" customWidth="1"/>
    <col min="14089" max="14089" width="12.8203125" customWidth="1"/>
    <col min="14090" max="14090" width="9.1796875" customWidth="1"/>
    <col min="14337" max="14337" width="6.7265625" customWidth="1"/>
    <col min="14338" max="14338" width="14.546875" customWidth="1"/>
    <col min="14339" max="14339" width="29.2734375" customWidth="1"/>
    <col min="14340" max="14340" width="14.7265625" customWidth="1"/>
    <col min="14341" max="14341" width="12.1796875" customWidth="1"/>
    <col min="14342" max="14342" width="12.8203125" customWidth="1"/>
    <col min="14343" max="14343" width="14.546875" customWidth="1"/>
    <col min="14344" max="14344" width="12.7265625" customWidth="1"/>
    <col min="14345" max="14345" width="12.8203125" customWidth="1"/>
    <col min="14346" max="14346" width="9.1796875" customWidth="1"/>
    <col min="14593" max="14593" width="6.7265625" customWidth="1"/>
    <col min="14594" max="14594" width="14.546875" customWidth="1"/>
    <col min="14595" max="14595" width="29.2734375" customWidth="1"/>
    <col min="14596" max="14596" width="14.7265625" customWidth="1"/>
    <col min="14597" max="14597" width="12.1796875" customWidth="1"/>
    <col min="14598" max="14598" width="12.8203125" customWidth="1"/>
    <col min="14599" max="14599" width="14.546875" customWidth="1"/>
    <col min="14600" max="14600" width="12.7265625" customWidth="1"/>
    <col min="14601" max="14601" width="12.8203125" customWidth="1"/>
    <col min="14602" max="14602" width="9.1796875" customWidth="1"/>
    <col min="14849" max="14849" width="6.7265625" customWidth="1"/>
    <col min="14850" max="14850" width="14.546875" customWidth="1"/>
    <col min="14851" max="14851" width="29.2734375" customWidth="1"/>
    <col min="14852" max="14852" width="14.7265625" customWidth="1"/>
    <col min="14853" max="14853" width="12.1796875" customWidth="1"/>
    <col min="14854" max="14854" width="12.8203125" customWidth="1"/>
    <col min="14855" max="14855" width="14.546875" customWidth="1"/>
    <col min="14856" max="14856" width="12.7265625" customWidth="1"/>
    <col min="14857" max="14857" width="12.8203125" customWidth="1"/>
    <col min="14858" max="14858" width="9.1796875" customWidth="1"/>
    <col min="15105" max="15105" width="6.7265625" customWidth="1"/>
    <col min="15106" max="15106" width="14.546875" customWidth="1"/>
    <col min="15107" max="15107" width="29.2734375" customWidth="1"/>
    <col min="15108" max="15108" width="14.7265625" customWidth="1"/>
    <col min="15109" max="15109" width="12.1796875" customWidth="1"/>
    <col min="15110" max="15110" width="12.8203125" customWidth="1"/>
    <col min="15111" max="15111" width="14.546875" customWidth="1"/>
    <col min="15112" max="15112" width="12.7265625" customWidth="1"/>
    <col min="15113" max="15113" width="12.8203125" customWidth="1"/>
    <col min="15114" max="15114" width="9.1796875" customWidth="1"/>
    <col min="15361" max="15361" width="6.7265625" customWidth="1"/>
    <col min="15362" max="15362" width="14.546875" customWidth="1"/>
    <col min="15363" max="15363" width="29.2734375" customWidth="1"/>
    <col min="15364" max="15364" width="14.7265625" customWidth="1"/>
    <col min="15365" max="15365" width="12.1796875" customWidth="1"/>
    <col min="15366" max="15366" width="12.8203125" customWidth="1"/>
    <col min="15367" max="15367" width="14.546875" customWidth="1"/>
    <col min="15368" max="15368" width="12.7265625" customWidth="1"/>
    <col min="15369" max="15369" width="12.8203125" customWidth="1"/>
    <col min="15370" max="15370" width="9.1796875" customWidth="1"/>
    <col min="15617" max="15617" width="6.7265625" customWidth="1"/>
    <col min="15618" max="15618" width="14.546875" customWidth="1"/>
    <col min="15619" max="15619" width="29.2734375" customWidth="1"/>
    <col min="15620" max="15620" width="14.7265625" customWidth="1"/>
    <col min="15621" max="15621" width="12.1796875" customWidth="1"/>
    <col min="15622" max="15622" width="12.8203125" customWidth="1"/>
    <col min="15623" max="15623" width="14.546875" customWidth="1"/>
    <col min="15624" max="15624" width="12.7265625" customWidth="1"/>
    <col min="15625" max="15625" width="12.8203125" customWidth="1"/>
    <col min="15626" max="15626" width="9.1796875" customWidth="1"/>
    <col min="15873" max="15873" width="6.7265625" customWidth="1"/>
    <col min="15874" max="15874" width="14.546875" customWidth="1"/>
    <col min="15875" max="15875" width="29.2734375" customWidth="1"/>
    <col min="15876" max="15876" width="14.7265625" customWidth="1"/>
    <col min="15877" max="15877" width="12.1796875" customWidth="1"/>
    <col min="15878" max="15878" width="12.8203125" customWidth="1"/>
    <col min="15879" max="15879" width="14.546875" customWidth="1"/>
    <col min="15880" max="15880" width="12.7265625" customWidth="1"/>
    <col min="15881" max="15881" width="12.8203125" customWidth="1"/>
    <col min="15882" max="15882" width="9.1796875" customWidth="1"/>
    <col min="16129" max="16129" width="6.7265625" customWidth="1"/>
    <col min="16130" max="16130" width="14.546875" customWidth="1"/>
    <col min="16131" max="16131" width="29.2734375" customWidth="1"/>
    <col min="16132" max="16132" width="14.7265625" customWidth="1"/>
    <col min="16133" max="16133" width="12.1796875" customWidth="1"/>
    <col min="16134" max="16134" width="12.8203125" customWidth="1"/>
    <col min="16135" max="16135" width="14.546875" customWidth="1"/>
    <col min="16136" max="16136" width="12.7265625" customWidth="1"/>
    <col min="16137" max="16137" width="12.8203125" customWidth="1"/>
    <col min="16138" max="16138" width="9.1796875" customWidth="1"/>
  </cols>
  <sheetData>
    <row r="3" ht="54" customHeight="1" spans="4:10">
      <c r="D3" s="459" t="s">
        <v>245</v>
      </c>
      <c r="E3" s="459"/>
      <c r="F3" s="459"/>
      <c r="G3" s="475" t="s">
        <v>246</v>
      </c>
      <c r="H3" s="475"/>
      <c r="I3" s="475"/>
      <c r="J3" s="461" t="s">
        <v>247</v>
      </c>
    </row>
    <row r="4" ht="32.25" customHeight="1" spans="3:10">
      <c r="C4" s="460" t="s">
        <v>248</v>
      </c>
      <c r="D4" s="461"/>
      <c r="E4" s="461"/>
      <c r="F4" s="461" t="s">
        <v>249</v>
      </c>
      <c r="G4" s="461"/>
      <c r="H4" s="461"/>
      <c r="I4" s="461" t="s">
        <v>250</v>
      </c>
      <c r="J4" s="461" t="s">
        <v>250</v>
      </c>
    </row>
    <row r="5" ht="17.6" spans="3:11">
      <c r="C5" s="462" t="s">
        <v>14</v>
      </c>
      <c r="D5" s="463"/>
      <c r="E5" s="463"/>
      <c r="F5" s="463">
        <v>5</v>
      </c>
      <c r="G5" s="463"/>
      <c r="H5" s="463"/>
      <c r="I5" s="480">
        <v>6</v>
      </c>
      <c r="J5" s="170" t="s">
        <v>251</v>
      </c>
      <c r="K5" s="481"/>
    </row>
    <row r="6" ht="18" spans="3:11">
      <c r="C6" s="464" t="s">
        <v>32</v>
      </c>
      <c r="D6" s="465">
        <v>0</v>
      </c>
      <c r="E6" s="465">
        <v>0</v>
      </c>
      <c r="F6" s="465">
        <v>30</v>
      </c>
      <c r="G6" s="465">
        <v>0</v>
      </c>
      <c r="H6" s="465">
        <v>0</v>
      </c>
      <c r="I6" s="482">
        <v>20</v>
      </c>
      <c r="J6" s="170">
        <f>SUM(D6:I6)</f>
        <v>50</v>
      </c>
      <c r="K6" s="483"/>
    </row>
    <row r="7" ht="34" spans="3:10">
      <c r="C7" s="466" t="s">
        <v>39</v>
      </c>
      <c r="D7" s="467">
        <f t="shared" ref="D7:J7" si="0">0.6*D6</f>
        <v>0</v>
      </c>
      <c r="E7" s="467">
        <f t="shared" si="0"/>
        <v>0</v>
      </c>
      <c r="F7" s="467">
        <f t="shared" si="0"/>
        <v>18</v>
      </c>
      <c r="G7" s="467">
        <f t="shared" si="0"/>
        <v>0</v>
      </c>
      <c r="H7" s="467">
        <f t="shared" si="0"/>
        <v>0</v>
      </c>
      <c r="I7" s="484">
        <f t="shared" si="0"/>
        <v>12</v>
      </c>
      <c r="J7" s="467">
        <f t="shared" si="0"/>
        <v>30</v>
      </c>
    </row>
    <row r="8" ht="17.55" spans="1:11">
      <c r="A8" s="468" t="s">
        <v>46</v>
      </c>
      <c r="B8" s="468" t="s">
        <v>47</v>
      </c>
      <c r="C8" s="469" t="s">
        <v>252</v>
      </c>
      <c r="D8" s="470" t="s">
        <v>253</v>
      </c>
      <c r="E8" s="476"/>
      <c r="F8" s="477"/>
      <c r="G8" s="468" t="s">
        <v>254</v>
      </c>
      <c r="H8" s="468"/>
      <c r="I8" s="485"/>
      <c r="J8" s="486" t="s">
        <v>33</v>
      </c>
      <c r="K8" s="486" t="s">
        <v>34</v>
      </c>
    </row>
    <row r="9" ht="18.35" spans="1:11">
      <c r="A9" s="471">
        <v>1</v>
      </c>
      <c r="B9" s="472" t="str">
        <f>Theory!B17</f>
        <v>1DS23AI001</v>
      </c>
      <c r="C9" s="472" t="str">
        <f>Theory!C17</f>
        <v>AAYUSH PANDEY</v>
      </c>
      <c r="D9" s="473"/>
      <c r="E9" s="478"/>
      <c r="F9" s="478">
        <v>28</v>
      </c>
      <c r="G9" s="479"/>
      <c r="H9" s="479"/>
      <c r="I9" s="487">
        <v>10</v>
      </c>
      <c r="J9" s="164">
        <f>SUM(D9:I9)</f>
        <v>38</v>
      </c>
      <c r="K9" s="164"/>
    </row>
    <row r="10" ht="18.35" spans="1:11">
      <c r="A10" s="471">
        <v>2</v>
      </c>
      <c r="B10" s="472" t="str">
        <f>Theory!B18</f>
        <v>1DS23AI002</v>
      </c>
      <c r="C10" s="472" t="str">
        <f>Theory!C18</f>
        <v>ABHINAND PRAMEESH</v>
      </c>
      <c r="D10" s="474"/>
      <c r="E10" s="479"/>
      <c r="F10" s="479">
        <v>30</v>
      </c>
      <c r="G10" s="479"/>
      <c r="H10" s="479"/>
      <c r="I10" s="487">
        <v>20</v>
      </c>
      <c r="J10" s="164">
        <f t="shared" ref="J10:J73" si="1">SUM(D10:I10)</f>
        <v>50</v>
      </c>
      <c r="K10" s="164"/>
    </row>
    <row r="11" ht="18.35" spans="1:11">
      <c r="A11" s="471">
        <v>3</v>
      </c>
      <c r="B11" s="472" t="str">
        <f>Theory!B19</f>
        <v>1DS23AI003</v>
      </c>
      <c r="C11" s="472" t="str">
        <f>Theory!C19</f>
        <v>ABHISHEK SINGH</v>
      </c>
      <c r="D11" s="474"/>
      <c r="E11" s="479"/>
      <c r="F11" s="479">
        <v>25</v>
      </c>
      <c r="G11" s="479"/>
      <c r="H11" s="479"/>
      <c r="I11" s="487">
        <v>10</v>
      </c>
      <c r="J11" s="164">
        <f t="shared" si="1"/>
        <v>35</v>
      </c>
      <c r="K11" s="164"/>
    </row>
    <row r="12" ht="18.35" spans="1:11">
      <c r="A12" s="471">
        <v>4</v>
      </c>
      <c r="B12" s="472" t="str">
        <f>Theory!B20</f>
        <v>1DS23AI004</v>
      </c>
      <c r="C12" s="472" t="str">
        <f>Theory!C20</f>
        <v>ABHISHEK V</v>
      </c>
      <c r="D12" s="474"/>
      <c r="E12" s="479"/>
      <c r="F12" s="479">
        <v>28</v>
      </c>
      <c r="G12" s="479"/>
      <c r="H12" s="479"/>
      <c r="I12" s="487">
        <v>15</v>
      </c>
      <c r="J12" s="164">
        <f t="shared" si="1"/>
        <v>43</v>
      </c>
      <c r="K12" s="164"/>
    </row>
    <row r="13" ht="18.35" spans="1:11">
      <c r="A13" s="471">
        <v>5</v>
      </c>
      <c r="B13" s="472" t="str">
        <f>Theory!B21</f>
        <v>1DS23AI005</v>
      </c>
      <c r="C13" s="472" t="str">
        <f>Theory!C21</f>
        <v>ADITYA B RAWANAWAR</v>
      </c>
      <c r="D13" s="474"/>
      <c r="E13" s="479"/>
      <c r="F13" s="479">
        <v>27</v>
      </c>
      <c r="G13" s="479"/>
      <c r="H13" s="479"/>
      <c r="I13" s="487">
        <v>19</v>
      </c>
      <c r="J13" s="164">
        <f t="shared" si="1"/>
        <v>46</v>
      </c>
      <c r="K13" s="164"/>
    </row>
    <row r="14" ht="18.35" spans="1:11">
      <c r="A14" s="471">
        <v>6</v>
      </c>
      <c r="B14" s="472" t="str">
        <f>Theory!B22</f>
        <v>1DS23AI006</v>
      </c>
      <c r="C14" s="472" t="str">
        <f>Theory!C22</f>
        <v>ADITYA MUTHUSAMY A</v>
      </c>
      <c r="D14" s="474"/>
      <c r="E14" s="479"/>
      <c r="F14" s="479">
        <v>25</v>
      </c>
      <c r="G14" s="479"/>
      <c r="H14" s="479"/>
      <c r="I14" s="487">
        <v>8</v>
      </c>
      <c r="J14" s="164">
        <f t="shared" si="1"/>
        <v>33</v>
      </c>
      <c r="K14" s="164"/>
    </row>
    <row r="15" ht="18.35" spans="1:11">
      <c r="A15" s="471">
        <v>7</v>
      </c>
      <c r="B15" s="472" t="str">
        <f>Theory!B23</f>
        <v>1DS23AI007</v>
      </c>
      <c r="C15" s="472" t="str">
        <f>Theory!C23</f>
        <v>ADNAN SAMEER ANEKATTI</v>
      </c>
      <c r="D15" s="474"/>
      <c r="E15" s="479"/>
      <c r="F15" s="479">
        <v>25</v>
      </c>
      <c r="G15" s="479"/>
      <c r="H15" s="479"/>
      <c r="I15" s="487">
        <v>8</v>
      </c>
      <c r="J15" s="164">
        <f t="shared" si="1"/>
        <v>33</v>
      </c>
      <c r="K15" s="164"/>
    </row>
    <row r="16" ht="18.35" spans="1:11">
      <c r="A16" s="471">
        <v>8</v>
      </c>
      <c r="B16" s="472" t="str">
        <f>Theory!B24</f>
        <v>1DS23AI008</v>
      </c>
      <c r="C16" s="472" t="str">
        <f>Theory!C24</f>
        <v>AKSHADHA SINGH</v>
      </c>
      <c r="D16" s="474"/>
      <c r="E16" s="479"/>
      <c r="F16" s="479">
        <v>25</v>
      </c>
      <c r="G16" s="479"/>
      <c r="H16" s="479"/>
      <c r="I16" s="487">
        <v>8</v>
      </c>
      <c r="J16" s="164">
        <f t="shared" si="1"/>
        <v>33</v>
      </c>
      <c r="K16" s="164"/>
    </row>
    <row r="17" ht="18.35" spans="1:11">
      <c r="A17" s="471">
        <v>9</v>
      </c>
      <c r="B17" s="472" t="str">
        <f>Theory!B25</f>
        <v>1DS23AI010</v>
      </c>
      <c r="C17" s="472" t="str">
        <f>Theory!C25</f>
        <v>ANIMESH UPADHYAY</v>
      </c>
      <c r="D17" s="474"/>
      <c r="E17" s="479"/>
      <c r="F17" s="479">
        <v>25</v>
      </c>
      <c r="G17" s="479"/>
      <c r="H17" s="479"/>
      <c r="I17" s="487">
        <v>8</v>
      </c>
      <c r="J17" s="164">
        <f t="shared" si="1"/>
        <v>33</v>
      </c>
      <c r="K17" s="164"/>
    </row>
    <row r="18" ht="18.35" spans="1:11">
      <c r="A18" s="471">
        <v>10</v>
      </c>
      <c r="B18" s="472" t="str">
        <f>Theory!B26</f>
        <v>1DS23AI011</v>
      </c>
      <c r="C18" s="472" t="str">
        <f>Theory!C26</f>
        <v>ASHWINI GANESH RATOD</v>
      </c>
      <c r="D18" s="474"/>
      <c r="E18" s="479"/>
      <c r="F18" s="479">
        <v>26</v>
      </c>
      <c r="G18" s="479"/>
      <c r="H18" s="479"/>
      <c r="I18" s="487">
        <v>16</v>
      </c>
      <c r="J18" s="164">
        <f t="shared" si="1"/>
        <v>42</v>
      </c>
      <c r="K18" s="164"/>
    </row>
    <row r="19" ht="18.35" spans="1:11">
      <c r="A19" s="471">
        <v>11</v>
      </c>
      <c r="B19" s="472" t="str">
        <f>Theory!B27</f>
        <v>1DS23AI012</v>
      </c>
      <c r="C19" s="472" t="str">
        <f>Theory!C27</f>
        <v>AVIDUTT PUROHIT</v>
      </c>
      <c r="D19" s="474"/>
      <c r="E19" s="479"/>
      <c r="F19" s="479">
        <v>25</v>
      </c>
      <c r="G19" s="479"/>
      <c r="H19" s="479"/>
      <c r="I19" s="487">
        <v>10</v>
      </c>
      <c r="J19" s="164">
        <f t="shared" si="1"/>
        <v>35</v>
      </c>
      <c r="K19" s="164"/>
    </row>
    <row r="20" ht="18.35" spans="1:11">
      <c r="A20" s="471">
        <v>12</v>
      </c>
      <c r="B20" s="472" t="str">
        <f>Theory!B28</f>
        <v>1DS23AI013</v>
      </c>
      <c r="C20" s="472" t="str">
        <f>Theory!C28</f>
        <v>B N SHARATH</v>
      </c>
      <c r="D20" s="474"/>
      <c r="E20" s="479"/>
      <c r="F20" s="479">
        <v>28</v>
      </c>
      <c r="G20" s="479"/>
      <c r="H20" s="479"/>
      <c r="I20" s="487">
        <v>18</v>
      </c>
      <c r="J20" s="164">
        <f t="shared" si="1"/>
        <v>46</v>
      </c>
      <c r="K20" s="164"/>
    </row>
    <row r="21" ht="18.35" spans="1:11">
      <c r="A21" s="471">
        <v>13</v>
      </c>
      <c r="B21" s="472" t="str">
        <f>Theory!B29</f>
        <v>1DS23AI014</v>
      </c>
      <c r="C21" s="472" t="str">
        <f>Theory!C29</f>
        <v>BANNURU NIKHIL TEJ</v>
      </c>
      <c r="D21" s="474"/>
      <c r="E21" s="479"/>
      <c r="F21" s="479">
        <v>27</v>
      </c>
      <c r="G21" s="479"/>
      <c r="H21" s="479"/>
      <c r="I21" s="487">
        <v>19</v>
      </c>
      <c r="J21" s="164">
        <f t="shared" si="1"/>
        <v>46</v>
      </c>
      <c r="K21" s="164"/>
    </row>
    <row r="22" ht="18.35" spans="1:11">
      <c r="A22" s="471">
        <v>14</v>
      </c>
      <c r="B22" s="472" t="str">
        <f>Theory!B30</f>
        <v>1DS23AI015</v>
      </c>
      <c r="C22" s="472" t="str">
        <f>Theory!C30</f>
        <v>BHOOMIKA RAJESH HEGDE</v>
      </c>
      <c r="D22" s="474"/>
      <c r="E22" s="479"/>
      <c r="F22" s="479">
        <v>28</v>
      </c>
      <c r="G22" s="479"/>
      <c r="H22" s="479"/>
      <c r="I22" s="487">
        <v>19</v>
      </c>
      <c r="J22" s="164">
        <f t="shared" si="1"/>
        <v>47</v>
      </c>
      <c r="K22" s="164"/>
    </row>
    <row r="23" ht="18.35" spans="1:11">
      <c r="A23" s="471">
        <v>15</v>
      </c>
      <c r="B23" s="472" t="str">
        <f>Theory!B31</f>
        <v>1DS23AI016</v>
      </c>
      <c r="C23" s="472" t="str">
        <f>Theory!C31</f>
        <v>BRIJESH NIRANJAN K</v>
      </c>
      <c r="D23" s="474"/>
      <c r="E23" s="479"/>
      <c r="F23" s="479">
        <v>28</v>
      </c>
      <c r="G23" s="479"/>
      <c r="H23" s="479"/>
      <c r="I23" s="487">
        <v>19</v>
      </c>
      <c r="J23" s="164">
        <f t="shared" si="1"/>
        <v>47</v>
      </c>
      <c r="K23" s="164"/>
    </row>
    <row r="24" ht="18.35" spans="1:11">
      <c r="A24" s="471">
        <v>16</v>
      </c>
      <c r="B24" s="472" t="str">
        <f>Theory!B32</f>
        <v>1DS23AI017</v>
      </c>
      <c r="C24" s="472" t="str">
        <f>Theory!C32</f>
        <v>CHAITRA R</v>
      </c>
      <c r="D24" s="474"/>
      <c r="E24" s="479"/>
      <c r="F24" s="479">
        <v>29</v>
      </c>
      <c r="G24" s="479"/>
      <c r="H24" s="479"/>
      <c r="I24" s="487">
        <v>20</v>
      </c>
      <c r="J24" s="164">
        <f t="shared" si="1"/>
        <v>49</v>
      </c>
      <c r="K24" s="164"/>
    </row>
    <row r="25" ht="18.35" spans="1:11">
      <c r="A25" s="471">
        <v>17</v>
      </c>
      <c r="B25" s="472" t="str">
        <f>Theory!B33</f>
        <v>1DS23AI018</v>
      </c>
      <c r="C25" s="472" t="str">
        <f>Theory!C33</f>
        <v>CHIRANTHAN REDDY H M</v>
      </c>
      <c r="D25" s="474"/>
      <c r="E25" s="479"/>
      <c r="F25" s="479">
        <v>26</v>
      </c>
      <c r="G25" s="479"/>
      <c r="H25" s="479"/>
      <c r="I25" s="487">
        <v>16</v>
      </c>
      <c r="J25" s="164">
        <f t="shared" si="1"/>
        <v>42</v>
      </c>
      <c r="K25" s="164"/>
    </row>
    <row r="26" ht="18.35" spans="1:11">
      <c r="A26" s="471">
        <v>18</v>
      </c>
      <c r="B26" s="472" t="str">
        <f>Theory!B34</f>
        <v>1DS23AI019</v>
      </c>
      <c r="C26" s="472" t="str">
        <f>Theory!C34</f>
        <v>DEVANSH GOYAL</v>
      </c>
      <c r="D26" s="474"/>
      <c r="E26" s="479"/>
      <c r="F26" s="479">
        <v>30</v>
      </c>
      <c r="G26" s="479"/>
      <c r="H26" s="479"/>
      <c r="I26" s="487">
        <v>20</v>
      </c>
      <c r="J26" s="164">
        <f t="shared" si="1"/>
        <v>50</v>
      </c>
      <c r="K26" s="164"/>
    </row>
    <row r="27" ht="18.35" spans="1:11">
      <c r="A27" s="471">
        <v>19</v>
      </c>
      <c r="B27" s="472" t="str">
        <f>Theory!B35</f>
        <v>1DS23AI020</v>
      </c>
      <c r="C27" s="472" t="str">
        <f>Theory!C35</f>
        <v>DEVARAJA KATTI</v>
      </c>
      <c r="D27" s="474"/>
      <c r="E27" s="479"/>
      <c r="F27" s="479">
        <v>28</v>
      </c>
      <c r="G27" s="479"/>
      <c r="H27" s="479"/>
      <c r="I27" s="487">
        <v>19</v>
      </c>
      <c r="J27" s="164">
        <f t="shared" si="1"/>
        <v>47</v>
      </c>
      <c r="K27" s="164"/>
    </row>
    <row r="28" ht="18.35" spans="1:11">
      <c r="A28" s="471">
        <v>20</v>
      </c>
      <c r="B28" s="472" t="str">
        <f>Theory!B36</f>
        <v>1DS23AI021</v>
      </c>
      <c r="C28" s="472" t="str">
        <f>Theory!C36</f>
        <v>DILEEP KARABASAPPA HONNATTER</v>
      </c>
      <c r="D28" s="474"/>
      <c r="E28" s="479"/>
      <c r="F28" s="479">
        <v>25</v>
      </c>
      <c r="G28" s="479"/>
      <c r="H28" s="479"/>
      <c r="I28" s="487">
        <v>16</v>
      </c>
      <c r="J28" s="164">
        <f t="shared" si="1"/>
        <v>41</v>
      </c>
      <c r="K28" s="164"/>
    </row>
    <row r="29" ht="18.35" spans="1:11">
      <c r="A29" s="471">
        <v>21</v>
      </c>
      <c r="B29" s="472" t="str">
        <f>Theory!B37</f>
        <v>1DS23AI022</v>
      </c>
      <c r="C29" s="472" t="str">
        <f>Theory!C37</f>
        <v>DRUTHI U S</v>
      </c>
      <c r="D29" s="474"/>
      <c r="E29" s="479"/>
      <c r="F29" s="479">
        <v>25</v>
      </c>
      <c r="G29" s="479"/>
      <c r="H29" s="479"/>
      <c r="I29" s="487">
        <v>9</v>
      </c>
      <c r="J29" s="164">
        <f t="shared" si="1"/>
        <v>34</v>
      </c>
      <c r="K29" s="164"/>
    </row>
    <row r="30" ht="18.35" spans="1:11">
      <c r="A30" s="471">
        <v>22</v>
      </c>
      <c r="B30" s="472" t="str">
        <f>Theory!B38</f>
        <v>1DS23AI023</v>
      </c>
      <c r="C30" s="472" t="str">
        <f>Theory!C38</f>
        <v>E JAYA SIDDARTHA</v>
      </c>
      <c r="D30" s="474"/>
      <c r="E30" s="479"/>
      <c r="F30" s="479">
        <v>30</v>
      </c>
      <c r="G30" s="479"/>
      <c r="H30" s="479"/>
      <c r="I30" s="487">
        <v>20</v>
      </c>
      <c r="J30" s="164">
        <f t="shared" si="1"/>
        <v>50</v>
      </c>
      <c r="K30" s="164"/>
    </row>
    <row r="31" ht="18.35" spans="1:11">
      <c r="A31" s="471">
        <v>23</v>
      </c>
      <c r="B31" s="472" t="str">
        <f>Theory!B39</f>
        <v>1DS23AI024</v>
      </c>
      <c r="C31" s="472" t="str">
        <f>Theory!C39</f>
        <v>FARIA AHMED</v>
      </c>
      <c r="D31" s="474"/>
      <c r="E31" s="479"/>
      <c r="F31" s="479">
        <v>27</v>
      </c>
      <c r="G31" s="479"/>
      <c r="H31" s="479"/>
      <c r="I31" s="487">
        <v>18</v>
      </c>
      <c r="J31" s="164">
        <f t="shared" si="1"/>
        <v>45</v>
      </c>
      <c r="K31" s="164"/>
    </row>
    <row r="32" ht="18.35" spans="1:11">
      <c r="A32" s="471">
        <v>24</v>
      </c>
      <c r="B32" s="472" t="str">
        <f>Theory!B40</f>
        <v>1DS23AI025</v>
      </c>
      <c r="C32" s="472" t="str">
        <f>Theory!C40</f>
        <v>G M VARSHINI</v>
      </c>
      <c r="D32" s="474"/>
      <c r="E32" s="479"/>
      <c r="F32" s="479">
        <v>29</v>
      </c>
      <c r="G32" s="479"/>
      <c r="H32" s="479"/>
      <c r="I32" s="487">
        <v>19</v>
      </c>
      <c r="J32" s="164">
        <f t="shared" si="1"/>
        <v>48</v>
      </c>
      <c r="K32" s="164"/>
    </row>
    <row r="33" ht="18.35" spans="1:11">
      <c r="A33" s="471">
        <v>25</v>
      </c>
      <c r="B33" s="472" t="str">
        <f>Theory!B41</f>
        <v>1DS23AI026</v>
      </c>
      <c r="C33" s="472" t="str">
        <f>Theory!C41</f>
        <v>GANGEDDULA JOSHITH REDDY</v>
      </c>
      <c r="D33" s="474"/>
      <c r="E33" s="479"/>
      <c r="F33" s="479">
        <v>29</v>
      </c>
      <c r="G33" s="479"/>
      <c r="H33" s="479"/>
      <c r="I33" s="487">
        <v>16</v>
      </c>
      <c r="J33" s="164">
        <f t="shared" si="1"/>
        <v>45</v>
      </c>
      <c r="K33" s="164"/>
    </row>
    <row r="34" ht="18.35" spans="1:11">
      <c r="A34" s="471">
        <v>26</v>
      </c>
      <c r="B34" s="472" t="str">
        <f>Theory!B42</f>
        <v>1DS23AI027</v>
      </c>
      <c r="C34" s="472" t="str">
        <f>Theory!C42</f>
        <v>HARSHIT GOSWAMI</v>
      </c>
      <c r="D34" s="474"/>
      <c r="E34" s="479"/>
      <c r="F34" s="479">
        <v>26</v>
      </c>
      <c r="G34" s="479"/>
      <c r="H34" s="479"/>
      <c r="I34" s="487">
        <v>17</v>
      </c>
      <c r="J34" s="164">
        <f t="shared" si="1"/>
        <v>43</v>
      </c>
      <c r="K34" s="164"/>
    </row>
    <row r="35" ht="18.35" spans="1:11">
      <c r="A35" s="471">
        <v>27</v>
      </c>
      <c r="B35" s="472" t="str">
        <f>Theory!B43</f>
        <v>1DS23AI028</v>
      </c>
      <c r="C35" s="472" t="str">
        <f>Theory!C43</f>
        <v>HITESH JAIN</v>
      </c>
      <c r="D35" s="474"/>
      <c r="E35" s="479"/>
      <c r="F35" s="479">
        <v>26</v>
      </c>
      <c r="G35" s="479"/>
      <c r="H35" s="479"/>
      <c r="I35" s="487">
        <v>8</v>
      </c>
      <c r="J35" s="164">
        <f t="shared" si="1"/>
        <v>34</v>
      </c>
      <c r="K35" s="164"/>
    </row>
    <row r="36" ht="18.35" spans="1:11">
      <c r="A36" s="471">
        <v>28</v>
      </c>
      <c r="B36" s="472" t="str">
        <f>Theory!B44</f>
        <v>1DS23AI029</v>
      </c>
      <c r="C36" s="472" t="str">
        <f>Theory!C44</f>
        <v>JAYASHREEDEVI K T</v>
      </c>
      <c r="D36" s="474"/>
      <c r="E36" s="479"/>
      <c r="F36" s="479">
        <v>30</v>
      </c>
      <c r="G36" s="479"/>
      <c r="H36" s="479"/>
      <c r="I36" s="487">
        <v>20</v>
      </c>
      <c r="J36" s="164">
        <f t="shared" si="1"/>
        <v>50</v>
      </c>
      <c r="K36" s="164"/>
    </row>
    <row r="37" ht="18.35" spans="1:11">
      <c r="A37" s="471">
        <v>29</v>
      </c>
      <c r="B37" s="472" t="str">
        <f>Theory!B45</f>
        <v>1DS23AI030</v>
      </c>
      <c r="C37" s="472" t="str">
        <f>Theory!C45</f>
        <v>JIYA PATEL</v>
      </c>
      <c r="D37" s="474"/>
      <c r="E37" s="479"/>
      <c r="F37" s="479">
        <v>25</v>
      </c>
      <c r="G37" s="479"/>
      <c r="H37" s="479"/>
      <c r="I37" s="487">
        <v>8</v>
      </c>
      <c r="J37" s="164">
        <f t="shared" si="1"/>
        <v>33</v>
      </c>
      <c r="K37" s="164"/>
    </row>
    <row r="38" ht="18.35" spans="1:11">
      <c r="A38" s="471">
        <v>30</v>
      </c>
      <c r="B38" s="472" t="str">
        <f>Theory!B46</f>
        <v>1DS23AI031</v>
      </c>
      <c r="C38" s="472" t="str">
        <f>Theory!C46</f>
        <v>K SPOORTHI REDDY</v>
      </c>
      <c r="D38" s="474"/>
      <c r="E38" s="479"/>
      <c r="F38" s="479">
        <v>30</v>
      </c>
      <c r="G38" s="479"/>
      <c r="H38" s="479"/>
      <c r="I38" s="487">
        <v>20</v>
      </c>
      <c r="J38" s="164">
        <f t="shared" si="1"/>
        <v>50</v>
      </c>
      <c r="K38" s="164"/>
    </row>
    <row r="39" ht="18.35" spans="1:11">
      <c r="A39" s="471">
        <v>31</v>
      </c>
      <c r="B39" s="472" t="str">
        <f>Theory!B47</f>
        <v>1DS23AI032</v>
      </c>
      <c r="C39" s="472" t="str">
        <f>Theory!C47</f>
        <v>KARTHIK B</v>
      </c>
      <c r="D39" s="474"/>
      <c r="E39" s="479"/>
      <c r="F39" s="479">
        <v>25</v>
      </c>
      <c r="G39" s="479"/>
      <c r="H39" s="479"/>
      <c r="I39" s="487">
        <v>12</v>
      </c>
      <c r="J39" s="164">
        <f t="shared" si="1"/>
        <v>37</v>
      </c>
      <c r="K39" s="164"/>
    </row>
    <row r="40" ht="18.35" spans="1:11">
      <c r="A40" s="471">
        <v>32</v>
      </c>
      <c r="B40" s="472" t="str">
        <f>Theory!B48</f>
        <v>1DS23AI033</v>
      </c>
      <c r="C40" s="472" t="str">
        <f>Theory!C48</f>
        <v>KARTHIKESH HATHWAR B S</v>
      </c>
      <c r="D40" s="474"/>
      <c r="E40" s="479"/>
      <c r="F40" s="479">
        <v>28</v>
      </c>
      <c r="G40" s="479"/>
      <c r="H40" s="479"/>
      <c r="I40" s="487">
        <v>19</v>
      </c>
      <c r="J40" s="164">
        <f t="shared" si="1"/>
        <v>47</v>
      </c>
      <c r="K40" s="164"/>
    </row>
    <row r="41" ht="18.35" spans="1:11">
      <c r="A41" s="471">
        <v>33</v>
      </c>
      <c r="B41" s="472" t="str">
        <f>Theory!B49</f>
        <v>1DS23AI034</v>
      </c>
      <c r="C41" s="472" t="str">
        <f>Theory!C49</f>
        <v>KHUSHBU R HAJARI</v>
      </c>
      <c r="D41" s="474"/>
      <c r="E41" s="479"/>
      <c r="F41" s="479">
        <v>28</v>
      </c>
      <c r="G41" s="479"/>
      <c r="H41" s="479"/>
      <c r="I41" s="487">
        <v>19</v>
      </c>
      <c r="J41" s="164">
        <f t="shared" si="1"/>
        <v>47</v>
      </c>
      <c r="K41" s="164"/>
    </row>
    <row r="42" ht="18.35" spans="1:11">
      <c r="A42" s="471">
        <v>34</v>
      </c>
      <c r="B42" s="472" t="str">
        <f>Theory!B50</f>
        <v>1DS23AI035</v>
      </c>
      <c r="C42" s="472" t="str">
        <f>Theory!C50</f>
        <v>MADHAN KUMAR R</v>
      </c>
      <c r="D42" s="474"/>
      <c r="E42" s="479"/>
      <c r="F42" s="479">
        <v>30</v>
      </c>
      <c r="G42" s="479"/>
      <c r="H42" s="479"/>
      <c r="I42" s="487">
        <v>20</v>
      </c>
      <c r="J42" s="164">
        <f t="shared" si="1"/>
        <v>50</v>
      </c>
      <c r="K42" s="164"/>
    </row>
    <row r="43" ht="18.35" spans="1:11">
      <c r="A43" s="471">
        <v>35</v>
      </c>
      <c r="B43" s="472" t="str">
        <f>Theory!B51</f>
        <v>1DS23AI036</v>
      </c>
      <c r="C43" s="472" t="str">
        <f>Theory!C51</f>
        <v>MANASA M</v>
      </c>
      <c r="D43" s="474"/>
      <c r="E43" s="479"/>
      <c r="F43" s="479">
        <v>28</v>
      </c>
      <c r="G43" s="479"/>
      <c r="H43" s="479"/>
      <c r="I43" s="487">
        <v>20</v>
      </c>
      <c r="J43" s="164">
        <f t="shared" si="1"/>
        <v>48</v>
      </c>
      <c r="K43" s="164"/>
    </row>
    <row r="44" ht="18.35" spans="1:11">
      <c r="A44" s="471">
        <v>36</v>
      </c>
      <c r="B44" s="472" t="str">
        <f>Theory!B52</f>
        <v>1DS23AI037</v>
      </c>
      <c r="C44" s="472" t="str">
        <f>Theory!C52</f>
        <v>MUNAGALA CHANDU</v>
      </c>
      <c r="D44" s="474"/>
      <c r="E44" s="479"/>
      <c r="F44" s="479">
        <v>28</v>
      </c>
      <c r="G44" s="479"/>
      <c r="H44" s="479"/>
      <c r="I44" s="487">
        <v>19</v>
      </c>
      <c r="J44" s="164">
        <f t="shared" si="1"/>
        <v>47</v>
      </c>
      <c r="K44" s="164"/>
    </row>
    <row r="45" ht="18.35" spans="1:11">
      <c r="A45" s="471">
        <v>37</v>
      </c>
      <c r="B45" s="472" t="str">
        <f>Theory!B53</f>
        <v>1DS23AI038</v>
      </c>
      <c r="C45" s="472" t="str">
        <f>Theory!C53</f>
        <v>NEHA P N</v>
      </c>
      <c r="D45" s="474"/>
      <c r="E45" s="479"/>
      <c r="F45" s="479">
        <v>30</v>
      </c>
      <c r="G45" s="479"/>
      <c r="H45" s="479"/>
      <c r="I45" s="487">
        <v>20</v>
      </c>
      <c r="J45" s="164">
        <f t="shared" si="1"/>
        <v>50</v>
      </c>
      <c r="K45" s="164"/>
    </row>
    <row r="46" ht="18.35" spans="1:11">
      <c r="A46" s="471">
        <v>38</v>
      </c>
      <c r="B46" s="472" t="str">
        <f>Theory!B54</f>
        <v>1DS23AI039</v>
      </c>
      <c r="C46" s="472" t="str">
        <f>Theory!C54</f>
        <v>NENAD MATADA</v>
      </c>
      <c r="D46" s="474"/>
      <c r="E46" s="479"/>
      <c r="F46" s="479">
        <v>27</v>
      </c>
      <c r="G46" s="479"/>
      <c r="H46" s="479"/>
      <c r="I46" s="487">
        <v>16</v>
      </c>
      <c r="J46" s="164">
        <f t="shared" si="1"/>
        <v>43</v>
      </c>
      <c r="K46" s="164"/>
    </row>
    <row r="47" ht="18.35" spans="1:11">
      <c r="A47" s="471">
        <v>39</v>
      </c>
      <c r="B47" s="472" t="str">
        <f>Theory!B55</f>
        <v>1DS23AI040</v>
      </c>
      <c r="C47" s="472" t="str">
        <f>Theory!C55</f>
        <v>NIHARIKA G</v>
      </c>
      <c r="D47" s="474"/>
      <c r="E47" s="479"/>
      <c r="F47" s="479">
        <v>25</v>
      </c>
      <c r="G47" s="479"/>
      <c r="H47" s="479"/>
      <c r="I47" s="487">
        <v>12</v>
      </c>
      <c r="J47" s="164">
        <f t="shared" si="1"/>
        <v>37</v>
      </c>
      <c r="K47" s="164"/>
    </row>
    <row r="48" ht="18.35" spans="1:11">
      <c r="A48" s="471">
        <v>40</v>
      </c>
      <c r="B48" s="472" t="str">
        <f>Theory!B56</f>
        <v>1DS23AI041</v>
      </c>
      <c r="C48" s="472" t="str">
        <f>Theory!C56</f>
        <v>NISHA S</v>
      </c>
      <c r="D48" s="474"/>
      <c r="E48" s="479"/>
      <c r="F48" s="479">
        <v>30</v>
      </c>
      <c r="G48" s="479"/>
      <c r="H48" s="479"/>
      <c r="I48" s="487">
        <v>20</v>
      </c>
      <c r="J48" s="164">
        <f t="shared" si="1"/>
        <v>50</v>
      </c>
      <c r="K48" s="164"/>
    </row>
    <row r="49" ht="18.35" spans="1:11">
      <c r="A49" s="471">
        <v>41</v>
      </c>
      <c r="B49" s="472" t="str">
        <f>Theory!B57</f>
        <v>1DS23AI042</v>
      </c>
      <c r="C49" s="472" t="str">
        <f>Theory!C57</f>
        <v>PONUGOTI SAI GANESH</v>
      </c>
      <c r="D49" s="474"/>
      <c r="E49" s="479"/>
      <c r="F49" s="479">
        <v>28</v>
      </c>
      <c r="G49" s="479"/>
      <c r="H49" s="479"/>
      <c r="I49" s="487">
        <v>19</v>
      </c>
      <c r="J49" s="164">
        <f t="shared" si="1"/>
        <v>47</v>
      </c>
      <c r="K49" s="164"/>
    </row>
    <row r="50" ht="18.35" spans="1:11">
      <c r="A50" s="471">
        <v>42</v>
      </c>
      <c r="B50" s="472" t="str">
        <f>Theory!B58</f>
        <v>1DS23AI043</v>
      </c>
      <c r="C50" s="472" t="str">
        <f>Theory!C58</f>
        <v>PRAJWAL L</v>
      </c>
      <c r="D50" s="474"/>
      <c r="E50" s="479"/>
      <c r="F50" s="479">
        <v>28</v>
      </c>
      <c r="G50" s="479"/>
      <c r="H50" s="479"/>
      <c r="I50" s="487">
        <v>12</v>
      </c>
      <c r="J50" s="164">
        <f t="shared" si="1"/>
        <v>40</v>
      </c>
      <c r="K50" s="164"/>
    </row>
    <row r="51" ht="18.35" spans="1:11">
      <c r="A51" s="471">
        <v>43</v>
      </c>
      <c r="B51" s="472" t="str">
        <f>Theory!B59</f>
        <v>1DS23AI044</v>
      </c>
      <c r="C51" s="472" t="str">
        <f>Theory!C59</f>
        <v>PRATHIK B</v>
      </c>
      <c r="D51" s="474"/>
      <c r="E51" s="479"/>
      <c r="F51" s="479">
        <v>25</v>
      </c>
      <c r="G51" s="479"/>
      <c r="H51" s="479"/>
      <c r="I51" s="487">
        <v>14</v>
      </c>
      <c r="J51" s="164">
        <f t="shared" si="1"/>
        <v>39</v>
      </c>
      <c r="K51" s="164"/>
    </row>
    <row r="52" ht="18.35" spans="1:11">
      <c r="A52" s="471">
        <v>44</v>
      </c>
      <c r="B52" s="472" t="str">
        <f>Theory!B60</f>
        <v>1DS23AI045</v>
      </c>
      <c r="C52" s="472" t="str">
        <f>Theory!C60</f>
        <v>RITVIK K</v>
      </c>
      <c r="D52" s="474"/>
      <c r="E52" s="479"/>
      <c r="F52" s="479">
        <v>30</v>
      </c>
      <c r="G52" s="479"/>
      <c r="H52" s="479"/>
      <c r="I52" s="487">
        <v>20</v>
      </c>
      <c r="J52" s="164">
        <f t="shared" si="1"/>
        <v>50</v>
      </c>
      <c r="K52" s="164"/>
    </row>
    <row r="53" ht="18.35" spans="1:11">
      <c r="A53" s="471">
        <v>45</v>
      </c>
      <c r="B53" s="472" t="str">
        <f>Theory!B61</f>
        <v>1DS23AI046</v>
      </c>
      <c r="C53" s="472" t="str">
        <f>Theory!C61</f>
        <v>SAI KRISHNA</v>
      </c>
      <c r="D53" s="474"/>
      <c r="E53" s="479"/>
      <c r="F53" s="479">
        <v>28</v>
      </c>
      <c r="G53" s="479"/>
      <c r="H53" s="479"/>
      <c r="I53" s="487">
        <v>16</v>
      </c>
      <c r="J53" s="164">
        <f t="shared" si="1"/>
        <v>44</v>
      </c>
      <c r="K53" s="164"/>
    </row>
    <row r="54" ht="18.35" spans="1:11">
      <c r="A54" s="471">
        <v>46</v>
      </c>
      <c r="B54" s="472" t="str">
        <f>Theory!B62</f>
        <v>1DS23AI047</v>
      </c>
      <c r="C54" s="472" t="str">
        <f>Theory!C62</f>
        <v>SAINANDAN G A</v>
      </c>
      <c r="D54" s="474"/>
      <c r="E54" s="479"/>
      <c r="F54" s="479">
        <v>27</v>
      </c>
      <c r="G54" s="479"/>
      <c r="H54" s="479"/>
      <c r="I54" s="487">
        <v>20</v>
      </c>
      <c r="J54" s="164">
        <f t="shared" si="1"/>
        <v>47</v>
      </c>
      <c r="K54" s="164"/>
    </row>
    <row r="55" ht="18.35" spans="1:11">
      <c r="A55" s="471">
        <v>47</v>
      </c>
      <c r="B55" s="472" t="str">
        <f>Theory!B63</f>
        <v>1DS23AI048</v>
      </c>
      <c r="C55" s="472" t="str">
        <f>Theory!C63</f>
        <v>SARANSH NEEMA</v>
      </c>
      <c r="D55" s="474"/>
      <c r="E55" s="479"/>
      <c r="F55" s="479">
        <v>30</v>
      </c>
      <c r="G55" s="479"/>
      <c r="H55" s="479"/>
      <c r="I55" s="487">
        <v>19</v>
      </c>
      <c r="J55" s="164">
        <f t="shared" si="1"/>
        <v>49</v>
      </c>
      <c r="K55" s="164"/>
    </row>
    <row r="56" ht="18.35" spans="1:11">
      <c r="A56" s="471">
        <v>48</v>
      </c>
      <c r="B56" s="472" t="str">
        <f>Theory!B64</f>
        <v>1DS23AI049</v>
      </c>
      <c r="C56" s="472" t="str">
        <f>Theory!C64</f>
        <v>SATHVIK R SAMANTH</v>
      </c>
      <c r="D56" s="474"/>
      <c r="E56" s="479"/>
      <c r="F56" s="479">
        <v>27</v>
      </c>
      <c r="G56" s="479"/>
      <c r="H56" s="479"/>
      <c r="I56" s="487">
        <v>12</v>
      </c>
      <c r="J56" s="164">
        <f t="shared" si="1"/>
        <v>39</v>
      </c>
      <c r="K56" s="164"/>
    </row>
    <row r="57" ht="18.35" spans="1:11">
      <c r="A57" s="471">
        <v>49</v>
      </c>
      <c r="B57" s="472" t="str">
        <f>Theory!B65</f>
        <v>1DS23AI050</v>
      </c>
      <c r="C57" s="472" t="str">
        <f>Theory!C65</f>
        <v>SATHWIK KUMAR SHETTY</v>
      </c>
      <c r="D57" s="474"/>
      <c r="E57" s="479"/>
      <c r="F57" s="479">
        <v>30</v>
      </c>
      <c r="G57" s="479"/>
      <c r="H57" s="479"/>
      <c r="I57" s="487">
        <v>20</v>
      </c>
      <c r="J57" s="164">
        <f t="shared" si="1"/>
        <v>50</v>
      </c>
      <c r="K57" s="164"/>
    </row>
    <row r="58" ht="18.35" spans="1:11">
      <c r="A58" s="471">
        <v>50</v>
      </c>
      <c r="B58" s="472" t="str">
        <f>Theory!B66</f>
        <v>1DS23AI051</v>
      </c>
      <c r="C58" s="472" t="str">
        <f>Theory!C66</f>
        <v>SHAIK ABDULLAH</v>
      </c>
      <c r="D58" s="474"/>
      <c r="E58" s="479"/>
      <c r="F58" s="479">
        <v>27</v>
      </c>
      <c r="G58" s="479"/>
      <c r="H58" s="479"/>
      <c r="I58" s="487">
        <v>15</v>
      </c>
      <c r="J58" s="164">
        <f t="shared" si="1"/>
        <v>42</v>
      </c>
      <c r="K58" s="164"/>
    </row>
    <row r="59" ht="18.35" spans="1:11">
      <c r="A59" s="471">
        <v>51</v>
      </c>
      <c r="B59" s="472" t="str">
        <f>Theory!B67</f>
        <v>1DS23AI052</v>
      </c>
      <c r="C59" s="472" t="str">
        <f>Theory!C67</f>
        <v>SHETTY SAURABH SHRIKANT</v>
      </c>
      <c r="D59" s="474"/>
      <c r="E59" s="479"/>
      <c r="F59" s="479">
        <v>25</v>
      </c>
      <c r="G59" s="479"/>
      <c r="H59" s="479"/>
      <c r="I59" s="487">
        <v>10</v>
      </c>
      <c r="J59" s="164">
        <f t="shared" si="1"/>
        <v>35</v>
      </c>
      <c r="K59" s="164"/>
    </row>
    <row r="60" ht="18.35" spans="1:11">
      <c r="A60" s="471">
        <v>52</v>
      </c>
      <c r="B60" s="472" t="str">
        <f>Theory!B68</f>
        <v>1DS23AI053</v>
      </c>
      <c r="C60" s="472" t="str">
        <f>Theory!C68</f>
        <v>SHIV NARAYAN S P</v>
      </c>
      <c r="D60" s="474"/>
      <c r="E60" s="479"/>
      <c r="F60" s="479">
        <v>28</v>
      </c>
      <c r="G60" s="479"/>
      <c r="H60" s="479"/>
      <c r="I60" s="487">
        <v>10</v>
      </c>
      <c r="J60" s="164">
        <f t="shared" si="1"/>
        <v>38</v>
      </c>
      <c r="K60" s="164"/>
    </row>
    <row r="61" ht="18.35" spans="1:11">
      <c r="A61" s="471">
        <v>53</v>
      </c>
      <c r="B61" s="472" t="str">
        <f>Theory!B69</f>
        <v>1DS23AI054</v>
      </c>
      <c r="C61" s="472" t="str">
        <f>Theory!C69</f>
        <v>SHRADDHA J A</v>
      </c>
      <c r="D61" s="474"/>
      <c r="E61" s="479"/>
      <c r="F61" s="479">
        <v>25</v>
      </c>
      <c r="G61" s="479"/>
      <c r="H61" s="479"/>
      <c r="I61" s="487">
        <v>9</v>
      </c>
      <c r="J61" s="164">
        <f t="shared" si="1"/>
        <v>34</v>
      </c>
      <c r="K61" s="164"/>
    </row>
    <row r="62" ht="18.35" spans="1:11">
      <c r="A62" s="471">
        <v>54</v>
      </c>
      <c r="B62" s="472" t="str">
        <f>Theory!B70</f>
        <v>1DS23AI055</v>
      </c>
      <c r="C62" s="472" t="str">
        <f>Theory!C70</f>
        <v>SHREYA VIJAY KRISHNAN</v>
      </c>
      <c r="D62" s="474"/>
      <c r="E62" s="479"/>
      <c r="F62" s="479">
        <v>30</v>
      </c>
      <c r="G62" s="479"/>
      <c r="H62" s="479"/>
      <c r="I62" s="487">
        <v>20</v>
      </c>
      <c r="J62" s="164">
        <f t="shared" si="1"/>
        <v>50</v>
      </c>
      <c r="K62" s="164"/>
    </row>
    <row r="63" ht="18.35" spans="1:11">
      <c r="A63" s="471">
        <v>55</v>
      </c>
      <c r="B63" s="472" t="str">
        <f>Theory!B71</f>
        <v>1DS23AI056</v>
      </c>
      <c r="C63" s="472" t="str">
        <f>Theory!C71</f>
        <v>SHREYANSH PATHAK</v>
      </c>
      <c r="D63" s="474"/>
      <c r="E63" s="479"/>
      <c r="F63" s="479">
        <v>30</v>
      </c>
      <c r="G63" s="479"/>
      <c r="H63" s="479"/>
      <c r="I63" s="487">
        <v>20</v>
      </c>
      <c r="J63" s="164">
        <f t="shared" si="1"/>
        <v>50</v>
      </c>
      <c r="K63" s="164"/>
    </row>
    <row r="64" ht="18.35" spans="1:11">
      <c r="A64" s="471">
        <v>56</v>
      </c>
      <c r="B64" s="472" t="str">
        <f>Theory!B72</f>
        <v>1DS23AI057</v>
      </c>
      <c r="C64" s="472" t="str">
        <f>Theory!C72</f>
        <v>SHREYAS KULKARNI</v>
      </c>
      <c r="D64" s="474"/>
      <c r="E64" s="479"/>
      <c r="F64" s="479">
        <v>30</v>
      </c>
      <c r="G64" s="479"/>
      <c r="H64" s="479"/>
      <c r="I64" s="487">
        <v>20</v>
      </c>
      <c r="J64" s="164">
        <f t="shared" si="1"/>
        <v>50</v>
      </c>
      <c r="K64" s="164"/>
    </row>
    <row r="65" ht="18.35" spans="1:11">
      <c r="A65" s="471">
        <v>57</v>
      </c>
      <c r="B65" s="472" t="str">
        <f>Theory!B73</f>
        <v>1DS23AI058</v>
      </c>
      <c r="C65" s="472" t="str">
        <f>Theory!C73</f>
        <v>SURAJ T</v>
      </c>
      <c r="D65" s="474"/>
      <c r="E65" s="479"/>
      <c r="F65" s="479">
        <v>25</v>
      </c>
      <c r="G65" s="479"/>
      <c r="H65" s="479"/>
      <c r="I65" s="487">
        <v>8</v>
      </c>
      <c r="J65" s="164">
        <f t="shared" si="1"/>
        <v>33</v>
      </c>
      <c r="K65" s="164"/>
    </row>
    <row r="66" ht="18.35" spans="1:11">
      <c r="A66" s="471">
        <v>58</v>
      </c>
      <c r="B66" s="472" t="str">
        <f>Theory!B74</f>
        <v>1DS23AI059</v>
      </c>
      <c r="C66" s="472" t="str">
        <f>Theory!C74</f>
        <v>TALLAM SAI SAKETH</v>
      </c>
      <c r="D66" s="474"/>
      <c r="E66" s="479"/>
      <c r="F66" s="479">
        <v>26</v>
      </c>
      <c r="G66" s="479"/>
      <c r="H66" s="479"/>
      <c r="I66" s="487">
        <v>18</v>
      </c>
      <c r="J66" s="164">
        <f t="shared" si="1"/>
        <v>44</v>
      </c>
      <c r="K66" s="164"/>
    </row>
    <row r="67" ht="18.35" spans="1:11">
      <c r="A67" s="471">
        <v>59</v>
      </c>
      <c r="B67" s="472" t="str">
        <f>Theory!B75</f>
        <v>1DS23AI060</v>
      </c>
      <c r="C67" s="472" t="str">
        <f>Theory!C75</f>
        <v>TANVI VIVEK THAKRE</v>
      </c>
      <c r="D67" s="474"/>
      <c r="E67" s="479"/>
      <c r="F67" s="479">
        <v>30</v>
      </c>
      <c r="G67" s="479"/>
      <c r="H67" s="479"/>
      <c r="I67" s="487">
        <v>20</v>
      </c>
      <c r="J67" s="164">
        <f t="shared" si="1"/>
        <v>50</v>
      </c>
      <c r="K67" s="164"/>
    </row>
    <row r="68" ht="18.35" spans="1:11">
      <c r="A68" s="471">
        <v>60</v>
      </c>
      <c r="B68" s="472" t="str">
        <f>Theory!B76</f>
        <v>1DS23AI061</v>
      </c>
      <c r="C68" s="472" t="str">
        <f>Theory!C76</f>
        <v>UMME RUMANA</v>
      </c>
      <c r="D68" s="474"/>
      <c r="E68" s="479"/>
      <c r="F68" s="479">
        <v>29</v>
      </c>
      <c r="G68" s="479"/>
      <c r="H68" s="479"/>
      <c r="I68" s="487">
        <v>16</v>
      </c>
      <c r="J68" s="164">
        <f t="shared" si="1"/>
        <v>45</v>
      </c>
      <c r="K68" s="164"/>
    </row>
    <row r="69" ht="18.35" spans="1:11">
      <c r="A69" s="471">
        <v>61</v>
      </c>
      <c r="B69" s="472" t="str">
        <f>Theory!B77</f>
        <v>1DS23AI062</v>
      </c>
      <c r="C69" s="472" t="str">
        <f>Theory!C77</f>
        <v>USMANAGANI DAVALASAB ATTAR</v>
      </c>
      <c r="D69" s="474"/>
      <c r="E69" s="479"/>
      <c r="F69" s="479">
        <v>27</v>
      </c>
      <c r="G69" s="479"/>
      <c r="H69" s="479"/>
      <c r="I69" s="487">
        <v>10</v>
      </c>
      <c r="J69" s="164">
        <f t="shared" si="1"/>
        <v>37</v>
      </c>
      <c r="K69" s="164"/>
    </row>
    <row r="70" ht="18.35" spans="1:11">
      <c r="A70" s="471">
        <v>62</v>
      </c>
      <c r="B70" s="472" t="str">
        <f>Theory!B78</f>
        <v>1DS23AI063</v>
      </c>
      <c r="C70" s="472" t="str">
        <f>Theory!C78</f>
        <v>VISHUNU RAJAGOPALAN</v>
      </c>
      <c r="D70" s="474"/>
      <c r="E70" s="479"/>
      <c r="F70" s="479">
        <v>26</v>
      </c>
      <c r="G70" s="479"/>
      <c r="H70" s="479"/>
      <c r="I70" s="487">
        <v>10</v>
      </c>
      <c r="J70" s="164">
        <f t="shared" si="1"/>
        <v>36</v>
      </c>
      <c r="K70" s="164"/>
    </row>
    <row r="71" ht="18.35" spans="1:11">
      <c r="A71" s="471">
        <v>63</v>
      </c>
      <c r="B71" s="472" t="str">
        <f>Theory!B79</f>
        <v>1DS24AI401</v>
      </c>
      <c r="C71" s="472" t="str">
        <f>Theory!C79</f>
        <v>KEERTHI T NAIK</v>
      </c>
      <c r="D71" s="474"/>
      <c r="E71" s="479"/>
      <c r="F71" s="479">
        <v>28</v>
      </c>
      <c r="G71" s="479"/>
      <c r="H71" s="479"/>
      <c r="I71" s="487">
        <v>19</v>
      </c>
      <c r="J71" s="164">
        <f t="shared" si="1"/>
        <v>47</v>
      </c>
      <c r="K71" s="164"/>
    </row>
    <row r="72" ht="18.35" spans="1:11">
      <c r="A72" s="471">
        <v>64</v>
      </c>
      <c r="B72" s="472" t="str">
        <f>Theory!B80</f>
        <v>1DS24AI402</v>
      </c>
      <c r="C72" s="472" t="str">
        <f>Theory!C80</f>
        <v>MANJUNATH </v>
      </c>
      <c r="D72" s="474"/>
      <c r="E72" s="479"/>
      <c r="F72" s="479">
        <v>30</v>
      </c>
      <c r="G72" s="479"/>
      <c r="H72" s="479"/>
      <c r="I72" s="487">
        <v>20</v>
      </c>
      <c r="J72" s="164">
        <f t="shared" si="1"/>
        <v>50</v>
      </c>
      <c r="K72" s="164"/>
    </row>
    <row r="73" ht="18.35" spans="1:11">
      <c r="A73" s="471">
        <v>65</v>
      </c>
      <c r="B73" s="472" t="str">
        <f>Theory!B81</f>
        <v>1DS24AI403</v>
      </c>
      <c r="C73" s="472" t="str">
        <f>Theory!C81</f>
        <v>NANDAKISHOR C</v>
      </c>
      <c r="D73" s="474"/>
      <c r="E73" s="479"/>
      <c r="F73" s="479">
        <v>26</v>
      </c>
      <c r="G73" s="479"/>
      <c r="H73" s="479"/>
      <c r="I73" s="487">
        <v>19</v>
      </c>
      <c r="J73" s="164">
        <f t="shared" si="1"/>
        <v>45</v>
      </c>
      <c r="K73" s="164"/>
    </row>
    <row r="74" ht="18.35" spans="1:11">
      <c r="A74" s="471">
        <v>66</v>
      </c>
      <c r="B74" s="472" t="str">
        <f>Theory!B82</f>
        <v>1DS24AI404</v>
      </c>
      <c r="C74" s="472" t="str">
        <f>Theory!C82</f>
        <v>P CHARAN</v>
      </c>
      <c r="D74" s="474"/>
      <c r="E74" s="479"/>
      <c r="F74" s="479">
        <v>28</v>
      </c>
      <c r="G74" s="479"/>
      <c r="H74" s="479"/>
      <c r="I74" s="487">
        <v>10</v>
      </c>
      <c r="J74" s="164">
        <f t="shared" ref="J74:J78" si="2">SUM(D74:I74)</f>
        <v>38</v>
      </c>
      <c r="K74" s="164"/>
    </row>
    <row r="75" ht="18.35" spans="1:11">
      <c r="A75" s="471">
        <v>67</v>
      </c>
      <c r="B75" s="472" t="str">
        <f>Theory!B83</f>
        <v>1DS24AI405</v>
      </c>
      <c r="C75" s="472" t="str">
        <f>Theory!C83</f>
        <v>SHASHANK S</v>
      </c>
      <c r="D75" s="474"/>
      <c r="E75" s="479"/>
      <c r="F75" s="479">
        <v>25</v>
      </c>
      <c r="G75" s="479"/>
      <c r="H75" s="479"/>
      <c r="I75" s="487">
        <v>10</v>
      </c>
      <c r="J75" s="164">
        <f t="shared" si="2"/>
        <v>35</v>
      </c>
      <c r="K75" s="164"/>
    </row>
    <row r="76" ht="18.35" spans="1:11">
      <c r="A76" s="471">
        <v>68</v>
      </c>
      <c r="B76" s="472" t="str">
        <f>Theory!B84</f>
        <v>1DS24AI406</v>
      </c>
      <c r="C76" s="472" t="str">
        <f>Theory!C84</f>
        <v>QALIM INDIKAR</v>
      </c>
      <c r="D76" s="474"/>
      <c r="E76" s="479"/>
      <c r="F76" s="479">
        <v>28</v>
      </c>
      <c r="G76" s="479"/>
      <c r="H76" s="479"/>
      <c r="I76" s="487">
        <v>15</v>
      </c>
      <c r="J76" s="164">
        <f t="shared" si="2"/>
        <v>43</v>
      </c>
      <c r="K76" s="164"/>
    </row>
    <row r="77" ht="18.35" spans="1:11">
      <c r="A77" s="471">
        <v>69</v>
      </c>
      <c r="B77" s="472">
        <f>Theory!B85</f>
        <v>0</v>
      </c>
      <c r="C77" s="472">
        <f>Theory!C85</f>
        <v>0</v>
      </c>
      <c r="D77" s="474"/>
      <c r="E77" s="479"/>
      <c r="F77" s="479"/>
      <c r="G77" s="479"/>
      <c r="H77" s="479"/>
      <c r="I77" s="487"/>
      <c r="J77" s="164">
        <f t="shared" si="2"/>
        <v>0</v>
      </c>
      <c r="K77" s="164"/>
    </row>
    <row r="78" ht="18.35" spans="1:11">
      <c r="A78" s="471">
        <v>70</v>
      </c>
      <c r="B78" s="472">
        <f>Theory!B86</f>
        <v>0</v>
      </c>
      <c r="C78" s="472">
        <f>Theory!C86</f>
        <v>0</v>
      </c>
      <c r="D78" s="474"/>
      <c r="E78" s="479"/>
      <c r="F78" s="479"/>
      <c r="G78" s="479"/>
      <c r="H78" s="479"/>
      <c r="I78" s="487"/>
      <c r="J78" s="164">
        <f t="shared" si="2"/>
        <v>0</v>
      </c>
      <c r="K78" s="164"/>
    </row>
    <row r="79" spans="1:11">
      <c r="A79" s="488"/>
      <c r="B79" s="171"/>
      <c r="C79" s="489"/>
      <c r="D79" s="3"/>
      <c r="E79" s="3"/>
      <c r="F79" s="3"/>
      <c r="G79" s="3"/>
      <c r="H79" s="3"/>
      <c r="I79" s="495"/>
      <c r="J79" s="164"/>
      <c r="K79" s="164"/>
    </row>
    <row r="80" spans="1:11">
      <c r="A80" s="488"/>
      <c r="B80" s="171"/>
      <c r="C80" s="489"/>
      <c r="D80" s="3"/>
      <c r="E80" s="3"/>
      <c r="F80" s="3"/>
      <c r="G80" s="3"/>
      <c r="H80" s="3"/>
      <c r="I80" s="495"/>
      <c r="J80" s="164"/>
      <c r="K80" s="164"/>
    </row>
    <row r="81" spans="1:11">
      <c r="A81" s="488"/>
      <c r="B81" s="171"/>
      <c r="C81" s="489"/>
      <c r="D81" s="3"/>
      <c r="E81" s="3"/>
      <c r="F81" s="3"/>
      <c r="G81" s="3"/>
      <c r="H81" s="3"/>
      <c r="I81" s="495"/>
      <c r="J81" s="164"/>
      <c r="K81" s="164"/>
    </row>
    <row r="82" ht="29" spans="3:11">
      <c r="C82" s="490" t="s">
        <v>232</v>
      </c>
      <c r="D82" s="491">
        <f t="shared" ref="D82:J82" si="3">COUNTIFS(D9:D78,"&lt;&gt;AB",D9:D78,"&lt;&gt;NA",D9:D78,"&lt;&gt;")</f>
        <v>0</v>
      </c>
      <c r="E82" s="491">
        <f t="shared" si="3"/>
        <v>0</v>
      </c>
      <c r="F82" s="491">
        <f t="shared" si="3"/>
        <v>68</v>
      </c>
      <c r="G82" s="491">
        <f t="shared" si="3"/>
        <v>0</v>
      </c>
      <c r="H82" s="491">
        <f t="shared" si="3"/>
        <v>0</v>
      </c>
      <c r="I82" s="496">
        <f t="shared" si="3"/>
        <v>68</v>
      </c>
      <c r="J82" s="496">
        <f t="shared" si="3"/>
        <v>70</v>
      </c>
      <c r="K82" s="497">
        <f>COUNTIFS(K12:K81,"&lt;&gt;AB",K12:K81,"&lt;&gt;NA",K12:K81,"&lt;&gt;")</f>
        <v>0</v>
      </c>
    </row>
    <row r="83" ht="23.25" customHeight="1" spans="3:11">
      <c r="C83" s="492" t="s">
        <v>233</v>
      </c>
      <c r="D83" s="493">
        <f t="shared" ref="D83:J83" si="4">SUMIF(D9:D78,"&gt;="&amp;D7,D9:D78)</f>
        <v>0</v>
      </c>
      <c r="E83" s="493">
        <f t="shared" si="4"/>
        <v>0</v>
      </c>
      <c r="F83" s="493">
        <f t="shared" si="4"/>
        <v>1870</v>
      </c>
      <c r="G83" s="493">
        <f t="shared" si="4"/>
        <v>0</v>
      </c>
      <c r="H83" s="493">
        <f t="shared" si="4"/>
        <v>0</v>
      </c>
      <c r="I83" s="498">
        <f t="shared" si="4"/>
        <v>897</v>
      </c>
      <c r="J83" s="498">
        <f t="shared" si="4"/>
        <v>2931</v>
      </c>
      <c r="K83" s="497">
        <f>SUMIF(K12:K81,"&gt;="&amp;K10,K12:K81)</f>
        <v>0</v>
      </c>
    </row>
    <row r="84" ht="17.6" spans="2:11">
      <c r="B84" s="150"/>
      <c r="C84" s="269" t="s">
        <v>234</v>
      </c>
      <c r="D84" s="493">
        <f t="shared" ref="D84:J84" si="5">IF(D82&lt;&gt;0,((D83/D82)/D6)*100,0)</f>
        <v>0</v>
      </c>
      <c r="E84" s="493">
        <f t="shared" si="5"/>
        <v>0</v>
      </c>
      <c r="F84" s="493">
        <f t="shared" si="5"/>
        <v>91.6666666666667</v>
      </c>
      <c r="G84" s="493">
        <f t="shared" si="5"/>
        <v>0</v>
      </c>
      <c r="H84" s="493">
        <f t="shared" si="5"/>
        <v>0</v>
      </c>
      <c r="I84" s="498">
        <f t="shared" si="5"/>
        <v>65.9558823529412</v>
      </c>
      <c r="J84" s="498">
        <f t="shared" si="5"/>
        <v>83.7428571428571</v>
      </c>
      <c r="K84" s="499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8" s="49" customFormat="1" ht="51" spans="3:15">
      <c r="C88" s="271" t="s">
        <v>255</v>
      </c>
      <c r="D88" s="155" t="s">
        <v>256</v>
      </c>
      <c r="E88" s="155" t="s">
        <v>257</v>
      </c>
      <c r="F88" s="155" t="s">
        <v>258</v>
      </c>
      <c r="G88" s="155" t="s">
        <v>259</v>
      </c>
      <c r="H88" s="155" t="s">
        <v>260</v>
      </c>
      <c r="I88" s="155" t="s">
        <v>261</v>
      </c>
      <c r="J88" s="155" t="s">
        <v>262</v>
      </c>
      <c r="K88" s="155" t="s">
        <v>263</v>
      </c>
      <c r="L88" s="155" t="s">
        <v>264</v>
      </c>
      <c r="M88" s="155" t="s">
        <v>265</v>
      </c>
      <c r="N88" s="155" t="s">
        <v>266</v>
      </c>
      <c r="O88" s="155" t="s">
        <v>267</v>
      </c>
    </row>
    <row r="89" s="68" customFormat="1" ht="21" spans="3:15">
      <c r="C89" s="494" t="s">
        <v>268</v>
      </c>
      <c r="D89" s="306">
        <f>IF(COUNTIFS($D$5:$L$5,"=1",$D84:$L84,"&lt;&gt;0")=0,0,SUMIF($D$5:$L$5,"=1",$D84:$L84)/COUNTIFS($D$5:$L$5,"=1",$D84:$L84,"&lt;&gt;0"))</f>
        <v>0</v>
      </c>
      <c r="E89" s="306">
        <f>IF(COUNTIFS($D$5:$L$5,"=2",$D84:$L84,"&lt;&gt;0")=0,0,SUMIF($D$5:$L$5,"=2",$D84:$L84)/COUNTIFS($D$5:$L$5,"=2",$D84:$L84,"&lt;&gt;0"))</f>
        <v>0</v>
      </c>
      <c r="F89" s="306">
        <f>IF(COUNTIFS($D$5:$L$5,"=3",$D84:$L84,"&lt;&gt;0")=0,0,SUMIF($D$5:$L$5,"=3",$D84:$L84)/COUNTIFS($D$5:$L$5,"=3",$D84:$L84,"&lt;&gt;0"))</f>
        <v>0</v>
      </c>
      <c r="G89" s="306">
        <f>IF(COUNTIFS($D$5:$I$5,"=4",$D84:$I84,"&lt;&gt;0")=0,0,SUMIF($D$5:$I$5,"=4",$D84:$I84)/COUNTIFS($D$5:$I$5,"=4",$D84:$I84,"&lt;&gt;0"))</f>
        <v>0</v>
      </c>
      <c r="H89" s="306">
        <f>IF(COUNTIFS($D$5:$I$5,"=5",$D84:$I84,"&lt;&gt;0")=0,0,SUMIF($D$5:$I$5,"=5",$D84:$I84)/COUNTIFS($D$5:$I$5,"=5",$D84:$I84,"&lt;&gt;0"))</f>
        <v>91.6666666666667</v>
      </c>
      <c r="I89" s="306">
        <f>IF(COUNTIFS($D$5:$I$5,"=6",$D84:$I84,"&lt;&gt;0")=0,0,SUMIF($D$5:$I$5,"=6",$D84:$I84)/COUNTIFS($D$5:$I$5,"=6",$D84:$I84,"&lt;&gt;0"))</f>
        <v>65.9558823529412</v>
      </c>
      <c r="J89" s="306">
        <f>IF(COUNTIFS($D$5:$I$5,"=7",$D84:$I84,"&lt;&gt;0")=0,0,SUMIF($D$5:$I$5,"=7",$D84:$I84)/COUNTIFS($D$5:$I$5,"=7",$D84:$I84,"&lt;&gt;0"))</f>
        <v>0</v>
      </c>
      <c r="K89" s="306">
        <f>IF(COUNTIFS($D$5:$I$5,"=8",$D84:$I84,"&lt;&gt;0")=0,0,SUMIF($D$5:$I$5,"=8",$D84:$I84)/COUNTIFS($D$5:$I$5,"=8",$D84:$I84,"&lt;&gt;0"))</f>
        <v>0</v>
      </c>
      <c r="L89" s="306">
        <f>IF(COUNTIFS($D$5:$I$5,"=9",$D84:$I84,"&lt;&gt;0")=0,0,SUMIF($D$5:$I$5,"=9",$D84:$I84)/COUNTIFS($D$5:$I$5,"=9",$D84:$I84,"&lt;&gt;0"))</f>
        <v>0</v>
      </c>
      <c r="M89" s="306">
        <f>IF(COUNTIFS($D$5:$I$5,"=10",$D84:$I84,"&lt;&gt;0")=0,0,SUMIF($D$5:$I$5,"=10",$D84:$I84)/COUNTIFS($D$5:$I$5,"=10",$D84:$I84,"&lt;&gt;0"))</f>
        <v>0</v>
      </c>
      <c r="N89" s="306">
        <f>IF(COUNTIFS($D$5:$I$5,"=11",$D84:$I84,"&lt;&gt;0")=0,0,SUMIF($D$5:$I$5,"=11",$D84:$I84)/COUNTIFS($D$5:$I$5,"=11",$D84:$I84,"&lt;&gt;0"))</f>
        <v>0</v>
      </c>
      <c r="O89" s="306">
        <f>IF(COUNTIFS($D$5:$I$5,"=12",$D84:$I84,"&lt;&gt;0")=0,0,SUMIF($D$5:$I$5,"=12",$D84:$I84)/COUNTIFS($D$5:$I$5,"=12",$D84:$I84,"&lt;&gt;0"))</f>
        <v>0</v>
      </c>
    </row>
    <row r="96" s="149" customFormat="1" ht="34" spans="3:15">
      <c r="C96" s="271" t="s">
        <v>269</v>
      </c>
      <c r="D96" s="230" t="s">
        <v>270</v>
      </c>
      <c r="E96" s="230" t="s">
        <v>271</v>
      </c>
      <c r="F96" s="230" t="s">
        <v>272</v>
      </c>
      <c r="G96" s="230" t="s">
        <v>273</v>
      </c>
      <c r="H96" s="230" t="s">
        <v>274</v>
      </c>
      <c r="I96" s="230" t="s">
        <v>275</v>
      </c>
      <c r="J96" s="230" t="s">
        <v>276</v>
      </c>
      <c r="K96" s="230" t="s">
        <v>277</v>
      </c>
      <c r="L96" s="230" t="s">
        <v>278</v>
      </c>
      <c r="M96" s="230" t="s">
        <v>279</v>
      </c>
      <c r="N96" s="230" t="s">
        <v>280</v>
      </c>
      <c r="O96" s="230" t="s">
        <v>281</v>
      </c>
    </row>
    <row r="97" s="149" customFormat="1" ht="21" spans="3:15">
      <c r="C97" s="274" t="s">
        <v>282</v>
      </c>
      <c r="D97" s="306">
        <f>IF(COUNTIFS($D$4:$I$4,"=*,1,*",$D84:$I84,"&lt;&gt;0")=0,0,SUMIF($D$4:$I$4,"=*,1,*",$D84:$I84)/COUNTIFS($D$4:$I$4,"=*,1,*",$D84:$I84,"&lt;&gt;0"))</f>
        <v>0</v>
      </c>
      <c r="E97" s="306">
        <f>IF(COUNTIFS($D$4:$I$4,"=*,2,*",$D84:$I84,"&lt;&gt;0")=0,0,SUMIF($D$4:$I$4,"=*,2,*",$D84:$I84)/COUNTIFS($D$4:$I$4,"=*,2,*",$D84:$I84,"&lt;&gt;0"))</f>
        <v>0</v>
      </c>
      <c r="F97" s="306">
        <f>IF(COUNTIFS($D$4:$I$4,"=*,3,*",$D84:$I84,"&lt;&gt;0")=0,0,SUMIF($D$4:$I$4,"=*,3,*",$D84:$I84)/COUNTIFS($D$4:$I$4,"=*,3,*",$D84:$I84,"&lt;&gt;0"))</f>
        <v>0</v>
      </c>
      <c r="G97" s="306">
        <f>IF(COUNTIFS($D$4:$I$4,"=*,4,*",$D84:$I84,"&lt;&gt;0")=0,0,SUMIF($D$4:$I$4,"=*,4,*",$D84:$I84)/COUNTIFS($D$4:$I$4,"=*,4,*",$D84:$I84,"&lt;&gt;0"))</f>
        <v>0</v>
      </c>
      <c r="H97" s="306">
        <f>IF(COUNTIFS($D$4:$I$4,"=*,5,*",$D84:$I84,"&lt;&gt;0")=0,0,SUMIF($D$4:$I$4,"=*,5,*",$D84:$I84)/COUNTIFS($D$4:$I$4,"=*,5,*",$D84:$I84,"&lt;&gt;0"))</f>
        <v>78.8112745098039</v>
      </c>
      <c r="I97" s="306">
        <f>IF(COUNTIFS($D$4:$I$4,"=*,6,*",$D84:$I84,"&lt;&gt;0")=0,0,SUMIF($D$4:$I$4,"=*,6,*",$D84:$I84)/COUNTIFS($D$4:$I$4,"=*,6,*",$D84:$I84,"&lt;&gt;0"))</f>
        <v>0</v>
      </c>
      <c r="J97" s="306">
        <f>IF(COUNTIFS($D$4:$I$4,"=*,7,*",$D84:$I84,"&lt;&gt;0")=0,0,SUMIF($D$4:$I$4,"=*,7,*",$D84:$I84)/COUNTIFS($D$4:$I$4,"=*,7,*",$D84:$I84,"&lt;&gt;0"))</f>
        <v>0</v>
      </c>
      <c r="K97" s="306">
        <f>IF(COUNTIFS($D$4:$I$4,"=*,8,*",$D84:$I84,"&lt;&gt;0")=0,0,SUMIF($D$4:$I$4,"=*,8,*",$D84:$I84)/COUNTIFS($D$4:$I$4,"=*,8,*",$D84:$I84,"&lt;&gt;0"))</f>
        <v>0</v>
      </c>
      <c r="L97" s="306">
        <f>IF(COUNTIFS($D$4:$I$4,"=*,9,*",$D84:$I84,"&lt;&gt;0")=0,0,SUMIF($D$4:$I$4,"=*,9,*",$D84:$I84)/COUNTIFS($D$4:$I$4,"=*,9,*",$D84:$I84,"&lt;&gt;0"))</f>
        <v>65.9558823529412</v>
      </c>
      <c r="M97" s="306">
        <f>IF(COUNTIFS($D$4:$I$4,"=*,10,*",$D84:$I84,"&lt;&gt;0")=0,0,SUMIF($D$4:$I$4,"=*,10,*",$D84:$I84)/COUNTIFS($D$4:$I$4,"=*,10,*",$D84:$I84,"&lt;&gt;0"))</f>
        <v>65.9558823529412</v>
      </c>
      <c r="N97" s="306">
        <f>IF(COUNTIFS($D$4:$I$4,"=*,11,*",$D84:$I84,"&lt;&gt;0")=0,0,SUMIF($D$4:$I$4,"=*,11,*",$D84:$I84)/COUNTIFS($D$4:$I$4,"=*,11,*",$D84:$I84,"&lt;&gt;0"))</f>
        <v>0</v>
      </c>
      <c r="O97" s="306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6" stopIfTrue="1" operator="between" text="F">
      <formula>NOT(ISERROR(SEARCH("F",C9)))</formula>
    </cfRule>
  </conditionalFormatting>
  <conditionalFormatting sqref="B9:C81">
    <cfRule type="duplicateValues" dxfId="5" priority="1" stopIfTrue="1"/>
    <cfRule type="duplicateValues" dxfId="5" priority="2"/>
    <cfRule type="duplicateValues" dxfId="5" priority="3"/>
    <cfRule type="duplicateValues" dxfId="5" priority="4" stopIfTrue="1"/>
    <cfRule type="duplicateValues" dxfId="5" priority="5"/>
    <cfRule type="expression" dxfId="6" priority="7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35" zoomScaleNormal="35" workbookViewId="0">
      <selection activeCell="A1" sqref="A1:EJ1"/>
    </sheetView>
  </sheetViews>
  <sheetFormatPr defaultColWidth="9" defaultRowHeight="16.8"/>
  <cols>
    <col min="1" max="1" width="6.1796875" style="149" customWidth="1"/>
    <col min="2" max="2" width="29.453125" customWidth="1"/>
    <col min="3" max="3" width="16.1796875" customWidth="1"/>
    <col min="4" max="77" width="4.7265625" customWidth="1"/>
    <col min="78" max="78" width="6.453125" customWidth="1"/>
    <col min="79" max="79" width="6.2734375" customWidth="1"/>
    <col min="80" max="117" width="4.7265625" customWidth="1"/>
    <col min="118" max="120" width="5.8203125" customWidth="1"/>
    <col min="121" max="122" width="5.8203125" style="11" customWidth="1"/>
    <col min="123" max="123" width="6.7265625" style="11" customWidth="1"/>
    <col min="124" max="124" width="12.1796875" customWidth="1"/>
    <col min="125" max="128" width="10.546875" customWidth="1"/>
    <col min="129" max="129" width="12" customWidth="1"/>
    <col min="130" max="132" width="10.546875" style="11" customWidth="1"/>
    <col min="133" max="133" width="11.453125" style="11" customWidth="1"/>
    <col min="134" max="136" width="9.1796875" customWidth="1"/>
    <col min="137" max="137" width="11.8203125" style="11" customWidth="1"/>
    <col min="138" max="139" width="10.2734375" style="149" customWidth="1"/>
    <col min="140" max="140" width="15.1796875" style="149" customWidth="1"/>
    <col min="141" max="142" width="10.2734375" style="336" customWidth="1"/>
    <col min="143" max="143" width="14.453125" style="149" customWidth="1"/>
    <col min="144" max="146" width="15.2734375" style="149" customWidth="1"/>
    <col min="147" max="147" width="13.546875" style="149" customWidth="1"/>
    <col min="148" max="150" width="15" style="149" customWidth="1"/>
  </cols>
  <sheetData>
    <row r="1" ht="129" customHeight="1" spans="2:137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</row>
    <row r="2" ht="24" customHeight="1" spans="1:8">
      <c r="A2" s="337" t="str">
        <f>Theory!A7</f>
        <v>STAND ALONE THEORY</v>
      </c>
      <c r="B2" s="338"/>
      <c r="C2" s="339" t="str">
        <f>Theory!D7</f>
        <v>NO</v>
      </c>
      <c r="D2" s="49"/>
      <c r="E2" s="49"/>
      <c r="F2" s="49"/>
      <c r="G2" s="49"/>
      <c r="H2" s="49"/>
    </row>
    <row r="3" ht="22.5" customHeight="1" spans="1:3">
      <c r="A3" s="337" t="str">
        <f>Theory!A8</f>
        <v>STAND ALONE LAB</v>
      </c>
      <c r="B3" s="338"/>
      <c r="C3" s="339" t="str">
        <f>Theory!D8</f>
        <v>NO</v>
      </c>
    </row>
    <row r="4" ht="20.25" customHeight="1" spans="1:8">
      <c r="A4" s="337" t="str">
        <f>Theory!A9</f>
        <v>IPCC</v>
      </c>
      <c r="B4" s="338"/>
      <c r="C4" s="339" t="str">
        <f>Theory!D9</f>
        <v>Yes</v>
      </c>
      <c r="D4" s="49"/>
      <c r="E4" s="49"/>
      <c r="F4" s="49"/>
      <c r="G4" s="49"/>
      <c r="H4" s="49"/>
    </row>
    <row r="5" ht="20.4" spans="1:3">
      <c r="A5" s="340" t="str">
        <f>Theory!A4</f>
        <v>Academic Year : 2024 -25</v>
      </c>
      <c r="B5" s="340"/>
      <c r="C5" s="340"/>
    </row>
    <row r="6" ht="20.4" spans="1:26">
      <c r="A6" s="341" t="str">
        <f>Theory!D4</f>
        <v>Scheme :2022-26</v>
      </c>
      <c r="B6" s="341"/>
      <c r="C6" s="341"/>
      <c r="M6" s="37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0.5" customHeight="1" spans="1:27">
      <c r="A7" s="342" t="str">
        <f>Theory!A6</f>
        <v>COURSE TITLE :DBMS</v>
      </c>
      <c r="B7" s="342"/>
      <c r="C7" s="342"/>
      <c r="D7" s="343" t="str">
        <f>Theory!A10</f>
        <v>Faculty : Anupama V P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74"/>
      <c r="S7" s="164" t="s">
        <v>283</v>
      </c>
      <c r="T7" s="164"/>
      <c r="U7" s="164"/>
      <c r="V7" s="377" t="s">
        <v>256</v>
      </c>
      <c r="W7" s="377" t="s">
        <v>257</v>
      </c>
      <c r="X7" s="377" t="s">
        <v>258</v>
      </c>
      <c r="Y7" s="377" t="s">
        <v>259</v>
      </c>
      <c r="Z7" s="377" t="s">
        <v>260</v>
      </c>
      <c r="AA7" s="377" t="s">
        <v>261</v>
      </c>
    </row>
    <row r="8" s="11" customFormat="1" ht="19.5" customHeight="1" spans="1:150">
      <c r="A8" s="344" t="str">
        <f>Theory!A5</f>
        <v>COURSE  CODE : 22AI33</v>
      </c>
      <c r="B8" s="344"/>
      <c r="C8" s="344"/>
      <c r="D8" s="34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75"/>
      <c r="S8" s="376" t="s">
        <v>284</v>
      </c>
      <c r="T8" s="376"/>
      <c r="U8" s="376"/>
      <c r="V8" s="378">
        <v>60</v>
      </c>
      <c r="W8" s="378">
        <v>60</v>
      </c>
      <c r="X8" s="378">
        <v>60</v>
      </c>
      <c r="Y8" s="378">
        <v>60</v>
      </c>
      <c r="Z8" s="378">
        <v>60</v>
      </c>
      <c r="AA8" s="378">
        <v>60</v>
      </c>
      <c r="AO8" s="381" t="s">
        <v>285</v>
      </c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90" t="s">
        <v>286</v>
      </c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81" t="s">
        <v>287</v>
      </c>
      <c r="DN8" s="405"/>
      <c r="DO8" s="405"/>
      <c r="DP8" s="405"/>
      <c r="DQ8" s="405"/>
      <c r="DR8" s="405"/>
      <c r="DS8" s="405"/>
      <c r="DT8" s="405"/>
      <c r="DU8" s="391"/>
      <c r="DV8" s="391"/>
      <c r="DW8" s="391"/>
      <c r="DX8" s="391"/>
      <c r="DY8" s="391"/>
      <c r="DZ8" s="391"/>
      <c r="EA8" s="391"/>
      <c r="EB8" s="391"/>
      <c r="EC8" s="391"/>
      <c r="ED8" s="391"/>
      <c r="EE8" s="391"/>
      <c r="EF8" s="391"/>
      <c r="EG8" s="391"/>
      <c r="EH8" s="438"/>
      <c r="EI8" s="438"/>
      <c r="EJ8" s="438"/>
      <c r="EK8" s="438"/>
      <c r="EL8" s="438"/>
      <c r="EM8" s="336"/>
      <c r="EN8" s="336"/>
      <c r="EO8" s="336"/>
      <c r="EP8" s="336"/>
      <c r="EQ8" s="336"/>
      <c r="ER8" s="336"/>
      <c r="ES8" s="336"/>
      <c r="ET8" s="149"/>
    </row>
    <row r="9" ht="25.5" customHeight="1" spans="1:150">
      <c r="A9" s="346" t="str">
        <f>Theory!Q4</f>
        <v>Semester  : 3rd</v>
      </c>
      <c r="B9" s="346"/>
      <c r="C9" s="346"/>
      <c r="D9" s="347" t="s">
        <v>288</v>
      </c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81"/>
      <c r="AP9" s="383" t="s">
        <v>289</v>
      </c>
      <c r="AQ9" s="383"/>
      <c r="AR9" s="383"/>
      <c r="AS9" s="383"/>
      <c r="AT9" s="383"/>
      <c r="AU9" s="383"/>
      <c r="AV9" s="383"/>
      <c r="AW9" s="383"/>
      <c r="AX9" s="383"/>
      <c r="AY9" s="383"/>
      <c r="AZ9" s="383"/>
      <c r="BA9" s="383"/>
      <c r="BB9" s="383"/>
      <c r="BC9" s="383"/>
      <c r="BD9" s="383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83"/>
      <c r="BS9" s="383"/>
      <c r="BT9" s="383"/>
      <c r="BU9" s="383"/>
      <c r="BV9" s="383"/>
      <c r="BW9" s="383"/>
      <c r="BX9" s="383"/>
      <c r="BY9" s="383"/>
      <c r="BZ9" s="383"/>
      <c r="CA9" s="381"/>
      <c r="CB9" s="392" t="s">
        <v>290</v>
      </c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81"/>
      <c r="DN9" s="406" t="s">
        <v>291</v>
      </c>
      <c r="DO9" s="406" t="s">
        <v>292</v>
      </c>
      <c r="DP9" s="406" t="s">
        <v>293</v>
      </c>
      <c r="DQ9" s="406" t="s">
        <v>294</v>
      </c>
      <c r="DR9" s="406" t="s">
        <v>295</v>
      </c>
      <c r="DS9" s="406" t="s">
        <v>296</v>
      </c>
      <c r="DT9" s="406" t="s">
        <v>297</v>
      </c>
      <c r="DU9" s="406" t="s">
        <v>298</v>
      </c>
      <c r="DV9" s="406" t="s">
        <v>299</v>
      </c>
      <c r="DW9" s="406" t="s">
        <v>300</v>
      </c>
      <c r="DX9" s="406" t="s">
        <v>301</v>
      </c>
      <c r="DY9" s="425" t="s">
        <v>302</v>
      </c>
      <c r="DZ9" s="406" t="s">
        <v>303</v>
      </c>
      <c r="EA9" s="406"/>
      <c r="EB9" s="406"/>
      <c r="EC9" s="406"/>
      <c r="ED9" s="406" t="s">
        <v>304</v>
      </c>
      <c r="EE9" s="406"/>
      <c r="EF9" s="406"/>
      <c r="EG9" s="406"/>
      <c r="EH9" s="406" t="s">
        <v>305</v>
      </c>
      <c r="EI9" s="425" t="s">
        <v>306</v>
      </c>
      <c r="EJ9" s="439" t="s">
        <v>33</v>
      </c>
      <c r="EK9" s="447" t="s">
        <v>34</v>
      </c>
      <c r="EM9" s="448" t="s">
        <v>307</v>
      </c>
      <c r="EN9" s="448"/>
      <c r="EO9" s="448"/>
      <c r="EP9" s="448"/>
      <c r="EQ9" s="448"/>
      <c r="ER9" s="448"/>
      <c r="ES9" s="448"/>
      <c r="ET9" s="448"/>
    </row>
    <row r="10" s="3" customFormat="1" ht="35.25" customHeight="1" spans="1:162">
      <c r="A10" s="348" t="s">
        <v>308</v>
      </c>
      <c r="B10" s="349"/>
      <c r="C10" s="350"/>
      <c r="D10" s="170" t="str">
        <f>Theory!D12</f>
        <v>0,1</v>
      </c>
      <c r="E10" s="170">
        <f>Theory!E12</f>
        <v>0</v>
      </c>
      <c r="F10" s="170">
        <f>Theory!F12</f>
        <v>0</v>
      </c>
      <c r="G10" s="170">
        <f>Theory!G12</f>
        <v>0</v>
      </c>
      <c r="I10" s="170" t="str">
        <f>Theory!H12</f>
        <v>0,4</v>
      </c>
      <c r="J10" s="170">
        <f>Theory!I12</f>
        <v>0</v>
      </c>
      <c r="K10" s="170">
        <f>Theory!J12</f>
        <v>0</v>
      </c>
      <c r="L10" s="170">
        <f>Theory!K12</f>
        <v>0</v>
      </c>
      <c r="N10" s="170" t="str">
        <f>Theory!L12</f>
        <v>0,2</v>
      </c>
      <c r="O10" s="170">
        <f>Theory!M12</f>
        <v>0</v>
      </c>
      <c r="P10" s="170">
        <f>Theory!N12</f>
        <v>0</v>
      </c>
      <c r="Q10" s="170">
        <f>Theory!O12</f>
        <v>0</v>
      </c>
      <c r="R10" s="170" t="str">
        <f>Theory!P12</f>
        <v>0,2</v>
      </c>
      <c r="S10" s="170">
        <f>Theory!Q12</f>
        <v>0</v>
      </c>
      <c r="T10" s="170">
        <f>Theory!R12</f>
        <v>0</v>
      </c>
      <c r="U10" s="170">
        <f>Theory!S12</f>
        <v>0</v>
      </c>
      <c r="W10" s="170" t="str">
        <f>Theory!T12</f>
        <v>0,1</v>
      </c>
      <c r="X10" s="170">
        <f>Theory!U12</f>
        <v>0</v>
      </c>
      <c r="Y10" s="170">
        <f>Theory!V12</f>
        <v>0</v>
      </c>
      <c r="Z10" s="170">
        <f>Theory!W12</f>
        <v>0</v>
      </c>
      <c r="AA10" s="170" t="str">
        <f>Theory!X12</f>
        <v>0,1</v>
      </c>
      <c r="AB10" s="170">
        <f>Theory!Y12</f>
        <v>0</v>
      </c>
      <c r="AC10" s="170">
        <f>Theory!Z12</f>
        <v>0</v>
      </c>
      <c r="AD10" s="170">
        <f>Theory!AA12</f>
        <v>0</v>
      </c>
      <c r="AF10" s="170" t="str">
        <f>Theory!AB12</f>
        <v>0,4</v>
      </c>
      <c r="AG10" s="170">
        <f>Theory!AC12</f>
        <v>0</v>
      </c>
      <c r="AH10" s="170">
        <f>Theory!AD12</f>
        <v>0</v>
      </c>
      <c r="AI10" s="170">
        <f>Theory!AE12</f>
        <v>0</v>
      </c>
      <c r="AJ10" s="170" t="str">
        <f>Theory!AF12</f>
        <v>0,4</v>
      </c>
      <c r="AK10" s="170">
        <f>Theory!AG12</f>
        <v>0</v>
      </c>
      <c r="AL10" s="170">
        <f>Theory!AH12</f>
        <v>0</v>
      </c>
      <c r="AM10" s="170">
        <f>Theory!AI12</f>
        <v>0</v>
      </c>
      <c r="AO10" s="381"/>
      <c r="AP10" s="170" t="str">
        <f>Theory!AJ12</f>
        <v>0,4</v>
      </c>
      <c r="AQ10" s="170">
        <f>Theory!AK12</f>
        <v>0</v>
      </c>
      <c r="AR10" s="170">
        <f>Theory!AL12</f>
        <v>0</v>
      </c>
      <c r="AS10" s="170">
        <f>Theory!AM12</f>
        <v>0</v>
      </c>
      <c r="AT10" s="170"/>
      <c r="AU10" s="170" t="str">
        <f>Theory!AN12</f>
        <v>0,3</v>
      </c>
      <c r="AV10" s="170">
        <f>Theory!AO12</f>
        <v>0</v>
      </c>
      <c r="AW10" s="170">
        <f>Theory!AP12</f>
        <v>0</v>
      </c>
      <c r="AX10" s="170">
        <f>Theory!AQ12</f>
        <v>0</v>
      </c>
      <c r="AY10" s="170"/>
      <c r="AZ10" s="170" t="str">
        <f>Theory!AR12</f>
        <v>0,4</v>
      </c>
      <c r="BA10" s="170">
        <f>Theory!AS12</f>
        <v>0</v>
      </c>
      <c r="BB10" s="170">
        <f>Theory!AT12</f>
        <v>0</v>
      </c>
      <c r="BC10" s="170">
        <f>Theory!AU12</f>
        <v>0</v>
      </c>
      <c r="BD10" s="170" t="str">
        <f>Theory!AV12</f>
        <v>0,4</v>
      </c>
      <c r="BE10" s="170">
        <f>Theory!AW12</f>
        <v>0</v>
      </c>
      <c r="BF10" s="170">
        <f>Theory!AX12</f>
        <v>0</v>
      </c>
      <c r="BG10" s="170">
        <f>Theory!AY12</f>
        <v>0</v>
      </c>
      <c r="BH10" s="304"/>
      <c r="BI10" s="170" t="str">
        <f>Theory!AZ12</f>
        <v>0,4</v>
      </c>
      <c r="BJ10" s="170">
        <f>Theory!BA12</f>
        <v>0</v>
      </c>
      <c r="BK10" s="170">
        <f>Theory!BB12</f>
        <v>0</v>
      </c>
      <c r="BL10" s="170">
        <f>Theory!BC12</f>
        <v>0</v>
      </c>
      <c r="BM10" s="170" t="str">
        <f>Theory!BD12</f>
        <v>0,4</v>
      </c>
      <c r="BN10" s="170">
        <f>Theory!BE12</f>
        <v>0</v>
      </c>
      <c r="BO10" s="170">
        <f>Theory!BF12</f>
        <v>0</v>
      </c>
      <c r="BP10" s="170">
        <f>Theory!BG12</f>
        <v>0</v>
      </c>
      <c r="BQ10" s="170"/>
      <c r="BR10" s="170" t="str">
        <f>Theory!BH12</f>
        <v>0,3</v>
      </c>
      <c r="BS10" s="170">
        <f>Theory!BI12</f>
        <v>0</v>
      </c>
      <c r="BT10" s="170">
        <f>Theory!BJ12</f>
        <v>0</v>
      </c>
      <c r="BU10" s="170">
        <f>Theory!BK12</f>
        <v>0</v>
      </c>
      <c r="BV10" s="170" t="str">
        <f>Theory!BL12</f>
        <v>0,3</v>
      </c>
      <c r="BW10" s="170">
        <f>Theory!BM12</f>
        <v>0</v>
      </c>
      <c r="BX10" s="170">
        <f>Theory!BN12</f>
        <v>0</v>
      </c>
      <c r="BY10" s="170">
        <f>Theory!BO12</f>
        <v>0</v>
      </c>
      <c r="BZ10" s="393"/>
      <c r="CA10" s="381"/>
      <c r="CB10" s="170" t="str">
        <f>Theory!BP12</f>
        <v>0,3</v>
      </c>
      <c r="CC10" s="170">
        <f>Theory!BQ12</f>
        <v>0</v>
      </c>
      <c r="CD10" s="170">
        <f>Theory!BR12</f>
        <v>0</v>
      </c>
      <c r="CE10" s="170">
        <f>Theory!BS12</f>
        <v>0</v>
      </c>
      <c r="CF10" s="397"/>
      <c r="CG10" s="170" t="str">
        <f>Theory!BT12</f>
        <v>0,5</v>
      </c>
      <c r="CH10" s="170">
        <f>Theory!BU12</f>
        <v>0</v>
      </c>
      <c r="CI10" s="170">
        <f>Theory!BV12</f>
        <v>0</v>
      </c>
      <c r="CJ10" s="170">
        <f>Theory!BW12</f>
        <v>0</v>
      </c>
      <c r="CK10" s="397"/>
      <c r="CL10" s="170" t="str">
        <f>Theory!BX12</f>
        <v>0,3</v>
      </c>
      <c r="CM10" s="170">
        <f>Theory!BY12</f>
        <v>0</v>
      </c>
      <c r="CN10" s="170">
        <f>Theory!BZ12</f>
        <v>0</v>
      </c>
      <c r="CO10" s="170">
        <f>Theory!CA12</f>
        <v>0</v>
      </c>
      <c r="CP10" s="170" t="str">
        <f>Theory!CB12</f>
        <v>0,3</v>
      </c>
      <c r="CQ10" s="170">
        <f>Theory!CC12</f>
        <v>0</v>
      </c>
      <c r="CR10" s="170">
        <f>Theory!CD12</f>
        <v>0</v>
      </c>
      <c r="CS10" s="170">
        <f>Theory!CE12</f>
        <v>0</v>
      </c>
      <c r="CT10" s="397"/>
      <c r="CU10" s="170" t="str">
        <f>Theory!CF12</f>
        <v>0,5</v>
      </c>
      <c r="CV10" s="170">
        <f>Theory!CG12</f>
        <v>0</v>
      </c>
      <c r="CW10" s="170">
        <f>Theory!CH12</f>
        <v>0</v>
      </c>
      <c r="CX10" s="170">
        <f>Theory!CI12</f>
        <v>0</v>
      </c>
      <c r="CY10" s="170" t="str">
        <f>Theory!CJ12</f>
        <v>0,5</v>
      </c>
      <c r="CZ10" s="170">
        <f>Theory!CK12</f>
        <v>0</v>
      </c>
      <c r="DA10" s="170">
        <f>Theory!CL12</f>
        <v>0</v>
      </c>
      <c r="DB10" s="170">
        <f>Theory!CM12</f>
        <v>0</v>
      </c>
      <c r="DC10" s="397"/>
      <c r="DD10" s="170" t="str">
        <f>Theory!CN12</f>
        <v>0,5</v>
      </c>
      <c r="DE10" s="170">
        <f>Theory!CO12</f>
        <v>0</v>
      </c>
      <c r="DF10" s="170">
        <f>Theory!CP12</f>
        <v>0</v>
      </c>
      <c r="DG10" s="170">
        <f>Theory!CQ12</f>
        <v>0</v>
      </c>
      <c r="DH10" s="170" t="str">
        <f>Theory!CR12</f>
        <v>0,5</v>
      </c>
      <c r="DI10" s="170">
        <f>Theory!CS12</f>
        <v>0</v>
      </c>
      <c r="DJ10" s="170">
        <f>Theory!CT12</f>
        <v>0</v>
      </c>
      <c r="DK10" s="170">
        <f>Theory!CU12</f>
        <v>0</v>
      </c>
      <c r="DL10" s="402"/>
      <c r="DM10" s="381"/>
      <c r="DN10" s="407"/>
      <c r="DO10" s="408"/>
      <c r="DP10" s="408"/>
      <c r="DQ10" s="408"/>
      <c r="DR10" s="408"/>
      <c r="DS10" s="408"/>
      <c r="DT10" s="408"/>
      <c r="DU10" s="408"/>
      <c r="DV10" s="408"/>
      <c r="DW10" s="408"/>
      <c r="DX10" s="408"/>
      <c r="DY10" s="426" t="s">
        <v>309</v>
      </c>
      <c r="DZ10" s="427"/>
      <c r="EA10" s="427"/>
      <c r="EB10" s="427"/>
      <c r="EC10" s="408"/>
      <c r="ED10" s="408"/>
      <c r="EE10" s="408"/>
      <c r="EF10" s="408"/>
      <c r="EG10" s="408"/>
      <c r="EH10" s="408"/>
      <c r="EI10" s="426" t="s">
        <v>310</v>
      </c>
      <c r="EJ10" s="426" t="s">
        <v>311</v>
      </c>
      <c r="EK10" s="426" t="s">
        <v>309</v>
      </c>
      <c r="EL10" s="336"/>
      <c r="EM10" s="329" t="s">
        <v>40</v>
      </c>
      <c r="EN10" s="316" t="s">
        <v>41</v>
      </c>
      <c r="EO10" s="316" t="s">
        <v>42</v>
      </c>
      <c r="EP10" s="316" t="s">
        <v>42</v>
      </c>
      <c r="EQ10" s="316" t="s">
        <v>40</v>
      </c>
      <c r="ER10" s="316" t="s">
        <v>44</v>
      </c>
      <c r="ES10" s="316" t="s">
        <v>45</v>
      </c>
      <c r="ET10" s="164"/>
      <c r="EU10"/>
      <c r="EV10"/>
      <c r="EW10"/>
      <c r="EX10" s="456"/>
      <c r="EY10" s="456"/>
      <c r="EZ10" s="456"/>
      <c r="FA10" s="456"/>
      <c r="FB10" s="456"/>
      <c r="FC10" s="456"/>
      <c r="FD10" s="456"/>
      <c r="FE10" s="456"/>
      <c r="FF10" s="456"/>
    </row>
    <row r="11" ht="30.75" customHeight="1" spans="2:150">
      <c r="B11" s="351"/>
      <c r="C11" s="351"/>
      <c r="D11" s="352" t="str">
        <f>Theory!D16</f>
        <v>Q1A</v>
      </c>
      <c r="E11" s="352" t="str">
        <f>Theory!E16</f>
        <v>Q1B</v>
      </c>
      <c r="F11" s="352" t="str">
        <f>Theory!F16</f>
        <v>Q1C</v>
      </c>
      <c r="G11" s="352" t="str">
        <f>Theory!G16</f>
        <v>Q1D</v>
      </c>
      <c r="H11" s="367"/>
      <c r="I11" s="352" t="str">
        <f>Theory!H16</f>
        <v>Q2A</v>
      </c>
      <c r="J11" s="352" t="str">
        <f>Theory!I16</f>
        <v>Q2B</v>
      </c>
      <c r="K11" s="352" t="str">
        <f>Theory!J16</f>
        <v>Q2C</v>
      </c>
      <c r="L11" s="352" t="str">
        <f>Theory!K16</f>
        <v>Q2D</v>
      </c>
      <c r="M11" s="367"/>
      <c r="N11" s="352" t="str">
        <f>Theory!L16</f>
        <v>Q3A</v>
      </c>
      <c r="O11" s="352" t="str">
        <f>Theory!M16</f>
        <v>Q3B</v>
      </c>
      <c r="P11" s="352" t="str">
        <f>Theory!N16</f>
        <v>Q3C</v>
      </c>
      <c r="Q11" s="352" t="str">
        <f>Theory!O16</f>
        <v>Q3D</v>
      </c>
      <c r="R11" s="352" t="str">
        <f>Theory!P16</f>
        <v>Q4A</v>
      </c>
      <c r="S11" s="352" t="str">
        <f>Theory!Q16</f>
        <v>Q4B</v>
      </c>
      <c r="T11" s="352" t="str">
        <f>Theory!R16</f>
        <v>Q4C</v>
      </c>
      <c r="U11" s="352" t="str">
        <f>Theory!S16</f>
        <v>Q4D</v>
      </c>
      <c r="V11" s="367"/>
      <c r="W11" s="352" t="str">
        <f>Theory!T16</f>
        <v>Q5A</v>
      </c>
      <c r="X11" s="352" t="str">
        <f>Theory!U16</f>
        <v>Q5B</v>
      </c>
      <c r="Y11" s="352" t="str">
        <f>Theory!V16</f>
        <v>Q5C</v>
      </c>
      <c r="Z11" s="352" t="str">
        <f>Theory!W16</f>
        <v>Q5D</v>
      </c>
      <c r="AA11" s="352" t="str">
        <f>Theory!X16</f>
        <v>Q6A</v>
      </c>
      <c r="AB11" s="352" t="str">
        <f>Theory!Y16</f>
        <v>Q6B</v>
      </c>
      <c r="AC11" s="352" t="str">
        <f>Theory!Z16</f>
        <v>Q6C</v>
      </c>
      <c r="AD11" s="352" t="str">
        <f>Theory!AA16</f>
        <v>Q6D</v>
      </c>
      <c r="AE11" s="379"/>
      <c r="AF11" s="352" t="str">
        <f>Theory!AB16</f>
        <v>Q7A</v>
      </c>
      <c r="AG11" s="352" t="str">
        <f>Theory!AC16</f>
        <v>Q7B</v>
      </c>
      <c r="AH11" s="352" t="str">
        <f>Theory!AD16</f>
        <v>Q7C</v>
      </c>
      <c r="AI11" s="352" t="str">
        <f>Theory!AE16</f>
        <v>Q7D</v>
      </c>
      <c r="AJ11" s="352" t="str">
        <f>Theory!AF16</f>
        <v>Q8A</v>
      </c>
      <c r="AK11" s="352" t="str">
        <f>Theory!AG16</f>
        <v>Q8B</v>
      </c>
      <c r="AL11" s="352" t="str">
        <f>Theory!AH16</f>
        <v>Q8C</v>
      </c>
      <c r="AM11" s="352" t="str">
        <f>Theory!AI16</f>
        <v>Q8D</v>
      </c>
      <c r="AN11" s="367"/>
      <c r="AO11" s="381"/>
      <c r="AP11" s="352" t="str">
        <f>Theory!AJ16</f>
        <v>Q1A</v>
      </c>
      <c r="AQ11" s="352" t="str">
        <f>Theory!AK16</f>
        <v>Q1A</v>
      </c>
      <c r="AR11" s="352" t="str">
        <f>Theory!AL16</f>
        <v>Q1C</v>
      </c>
      <c r="AS11" s="352" t="str">
        <f>Theory!AM16</f>
        <v>Q1D</v>
      </c>
      <c r="AT11" s="387"/>
      <c r="AU11" s="352" t="str">
        <f>Theory!AN16</f>
        <v>Q2A</v>
      </c>
      <c r="AV11" s="352" t="str">
        <f>Theory!AO16</f>
        <v>Q2A</v>
      </c>
      <c r="AW11" s="352" t="str">
        <f>Theory!AP16</f>
        <v>Q2C</v>
      </c>
      <c r="AX11" s="352" t="str">
        <f>Theory!AQ16</f>
        <v>Q2D</v>
      </c>
      <c r="AY11" s="387"/>
      <c r="AZ11" s="352" t="str">
        <f>Theory!AR16</f>
        <v>Q3A</v>
      </c>
      <c r="BA11" s="352" t="str">
        <f>Theory!AS16</f>
        <v>Q3B</v>
      </c>
      <c r="BB11" s="352" t="str">
        <f>Theory!AT16</f>
        <v>Q3C</v>
      </c>
      <c r="BC11" s="352" t="str">
        <f>Theory!AU16</f>
        <v>Q3D</v>
      </c>
      <c r="BD11" s="352" t="str">
        <f>Theory!AV16</f>
        <v>Q4A</v>
      </c>
      <c r="BE11" s="352" t="str">
        <f>Theory!AW16</f>
        <v>Q4B</v>
      </c>
      <c r="BF11" s="352" t="str">
        <f>Theory!AX16</f>
        <v>Q4C</v>
      </c>
      <c r="BG11" s="352" t="str">
        <f>Theory!AY16</f>
        <v>Q4D</v>
      </c>
      <c r="BH11" s="387"/>
      <c r="BI11" s="352" t="str">
        <f>Theory!AZ16</f>
        <v>Q5A</v>
      </c>
      <c r="BJ11" s="352" t="str">
        <f>Theory!BA16</f>
        <v>Q5B</v>
      </c>
      <c r="BK11" s="352" t="str">
        <f>Theory!BB16</f>
        <v>Q5C</v>
      </c>
      <c r="BL11" s="352" t="str">
        <f>Theory!BC16</f>
        <v>Q5D</v>
      </c>
      <c r="BM11" s="352" t="str">
        <f>Theory!BD16</f>
        <v>Q6A</v>
      </c>
      <c r="BN11" s="352" t="str">
        <f>Theory!BE16</f>
        <v>Q6B</v>
      </c>
      <c r="BO11" s="352" t="str">
        <f>Theory!BF16</f>
        <v>Q6C</v>
      </c>
      <c r="BP11" s="352" t="str">
        <f>Theory!BG16</f>
        <v>Q6D</v>
      </c>
      <c r="BQ11" s="387"/>
      <c r="BR11" s="352" t="str">
        <f>Theory!BH16</f>
        <v>Q7A</v>
      </c>
      <c r="BS11" s="352" t="str">
        <f>Theory!BI16</f>
        <v>Q7B</v>
      </c>
      <c r="BT11" s="352" t="str">
        <f>Theory!BJ16</f>
        <v>Q7C</v>
      </c>
      <c r="BU11" s="352" t="str">
        <f>Theory!BK16</f>
        <v>Q7D</v>
      </c>
      <c r="BV11" s="352" t="str">
        <f>Theory!BL16</f>
        <v>Q8A</v>
      </c>
      <c r="BW11" s="352" t="str">
        <f>Theory!BM16</f>
        <v>Q8B</v>
      </c>
      <c r="BX11" s="352" t="str">
        <f>Theory!BN16</f>
        <v>Q8C</v>
      </c>
      <c r="BY11" s="352" t="str">
        <f>Theory!BO16</f>
        <v>Q8D</v>
      </c>
      <c r="BZ11" s="394"/>
      <c r="CA11" s="381"/>
      <c r="CB11" s="352" t="str">
        <f>Theory!BP16</f>
        <v>Q1A</v>
      </c>
      <c r="CC11" s="352" t="str">
        <f>Theory!BQ16</f>
        <v>Q1B</v>
      </c>
      <c r="CD11" s="352" t="str">
        <f>Theory!BR16</f>
        <v>Q1C</v>
      </c>
      <c r="CE11" s="352" t="str">
        <f>Theory!BS16</f>
        <v>Q1D</v>
      </c>
      <c r="CF11" s="398"/>
      <c r="CG11" s="352" t="str">
        <f>Theory!BT16</f>
        <v>Q2A</v>
      </c>
      <c r="CH11" s="352" t="str">
        <f>Theory!BU16</f>
        <v>Q2B</v>
      </c>
      <c r="CI11" s="352" t="str">
        <f>Theory!BV16</f>
        <v>Q2C</v>
      </c>
      <c r="CJ11" s="352" t="str">
        <f>Theory!BW16</f>
        <v>Q2D</v>
      </c>
      <c r="CK11" s="398"/>
      <c r="CL11" s="352" t="str">
        <f>Theory!BX16</f>
        <v>Q3A</v>
      </c>
      <c r="CM11" s="352" t="str">
        <f>Theory!BY16</f>
        <v>Q3B</v>
      </c>
      <c r="CN11" s="352" t="str">
        <f>Theory!BZ16</f>
        <v>Q3C</v>
      </c>
      <c r="CO11" s="352" t="str">
        <f>Theory!CA16</f>
        <v>Q3D</v>
      </c>
      <c r="CP11" s="352" t="str">
        <f>Theory!CB16</f>
        <v>Q4A</v>
      </c>
      <c r="CQ11" s="352" t="str">
        <f>Theory!CC16</f>
        <v>Q4B</v>
      </c>
      <c r="CR11" s="352" t="str">
        <f>Theory!CD16</f>
        <v>Q4C</v>
      </c>
      <c r="CS11" s="352" t="str">
        <f>Theory!CE16</f>
        <v>Q4D</v>
      </c>
      <c r="CT11" s="352"/>
      <c r="CU11" s="352" t="str">
        <f>Theory!CF16</f>
        <v>Q5A</v>
      </c>
      <c r="CV11" s="352" t="str">
        <f>Theory!CG16</f>
        <v>Q5B</v>
      </c>
      <c r="CW11" s="352" t="str">
        <f>Theory!CH16</f>
        <v>Q5C</v>
      </c>
      <c r="CX11" s="352" t="str">
        <f>Theory!CI16</f>
        <v>Q5D</v>
      </c>
      <c r="CY11" s="352" t="str">
        <f>Theory!CJ16</f>
        <v>Q6A</v>
      </c>
      <c r="CZ11" s="352" t="str">
        <f>Theory!CK16</f>
        <v>Q6B</v>
      </c>
      <c r="DA11" s="352" t="str">
        <f>Theory!CL16</f>
        <v>Q6C</v>
      </c>
      <c r="DB11" s="352" t="str">
        <f>Theory!CM16</f>
        <v>Q6D</v>
      </c>
      <c r="DC11" s="401"/>
      <c r="DD11" s="352" t="str">
        <f>Theory!CN16</f>
        <v>Q7A</v>
      </c>
      <c r="DE11" s="352" t="str">
        <f>Theory!CO16</f>
        <v>Q7B</v>
      </c>
      <c r="DF11" s="352" t="str">
        <f>Theory!CP16</f>
        <v>Q7C</v>
      </c>
      <c r="DG11" s="352" t="str">
        <f>Theory!CQ16</f>
        <v>Q7D</v>
      </c>
      <c r="DH11" s="352" t="str">
        <f>Theory!CR16</f>
        <v>Q8A</v>
      </c>
      <c r="DI11" s="352" t="str">
        <f>Theory!CS16</f>
        <v>Q8B</v>
      </c>
      <c r="DJ11" s="352" t="str">
        <f>Theory!CT16</f>
        <v>Q8C</v>
      </c>
      <c r="DK11" s="352" t="str">
        <f>Theory!CU16</f>
        <v>Q8D</v>
      </c>
      <c r="DL11" s="403"/>
      <c r="DM11" s="381"/>
      <c r="DN11" s="409"/>
      <c r="DO11" s="410"/>
      <c r="DP11" s="410"/>
      <c r="DQ11" s="410"/>
      <c r="DR11" s="410"/>
      <c r="DS11" s="410"/>
      <c r="DT11" s="414" t="s">
        <v>33</v>
      </c>
      <c r="DU11" s="414" t="s">
        <v>25</v>
      </c>
      <c r="DV11" s="419" t="s">
        <v>26</v>
      </c>
      <c r="DW11" s="419" t="s">
        <v>312</v>
      </c>
      <c r="DX11" s="406" t="s">
        <v>301</v>
      </c>
      <c r="DY11" s="428" t="s">
        <v>302</v>
      </c>
      <c r="DZ11" s="406"/>
      <c r="EA11" s="406"/>
      <c r="EB11" s="406"/>
      <c r="EC11" s="406" t="s">
        <v>303</v>
      </c>
      <c r="ED11" s="406"/>
      <c r="EE11" s="406"/>
      <c r="EF11" s="406"/>
      <c r="EG11" s="406" t="s">
        <v>304</v>
      </c>
      <c r="EH11" s="419" t="s">
        <v>313</v>
      </c>
      <c r="EI11" s="440" t="s">
        <v>306</v>
      </c>
      <c r="EJ11" s="439" t="s">
        <v>314</v>
      </c>
      <c r="EK11" s="447" t="s">
        <v>315</v>
      </c>
      <c r="EM11" s="170" t="s">
        <v>35</v>
      </c>
      <c r="EN11" s="170" t="s">
        <v>36</v>
      </c>
      <c r="EO11" s="170" t="s">
        <v>37</v>
      </c>
      <c r="EP11" s="170" t="s">
        <v>38</v>
      </c>
      <c r="EQ11" s="170" t="s">
        <v>316</v>
      </c>
      <c r="ER11" s="393" t="s">
        <v>38</v>
      </c>
      <c r="ES11" s="452"/>
      <c r="ET11" s="453"/>
    </row>
    <row r="12" ht="51.75" customHeight="1" spans="1:150">
      <c r="A12" s="353" t="s">
        <v>317</v>
      </c>
      <c r="B12" s="354" t="s">
        <v>318</v>
      </c>
      <c r="C12" s="355" t="s">
        <v>319</v>
      </c>
      <c r="D12" s="356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81"/>
      <c r="AP12" s="384"/>
      <c r="AQ12" s="368"/>
      <c r="AR12" s="368"/>
      <c r="AS12" s="368"/>
      <c r="AT12" s="388"/>
      <c r="AU12" s="389"/>
      <c r="AV12" s="356"/>
      <c r="AW12" s="356"/>
      <c r="AX12" s="356"/>
      <c r="AY12" s="388"/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95"/>
      <c r="CA12" s="381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404"/>
      <c r="DM12" s="381"/>
      <c r="DN12" s="409"/>
      <c r="DO12" s="410"/>
      <c r="DP12" s="410"/>
      <c r="DQ12" s="410"/>
      <c r="DR12" s="410"/>
      <c r="DS12" s="410"/>
      <c r="DT12" s="415" t="s">
        <v>320</v>
      </c>
      <c r="DU12" s="420"/>
      <c r="DV12" s="420"/>
      <c r="DW12" s="415" t="s">
        <v>321</v>
      </c>
      <c r="DX12" s="323" t="s">
        <v>7</v>
      </c>
      <c r="DY12" s="429"/>
      <c r="DZ12" s="420"/>
      <c r="EA12" s="420"/>
      <c r="EB12" s="420"/>
      <c r="EC12" s="433" t="s">
        <v>322</v>
      </c>
      <c r="ED12" s="434"/>
      <c r="EE12" s="434"/>
      <c r="EF12" s="434"/>
      <c r="EG12" s="441" t="s">
        <v>323</v>
      </c>
      <c r="EH12" s="323" t="s">
        <v>9</v>
      </c>
      <c r="EI12" s="442"/>
      <c r="EJ12" s="312" t="s">
        <v>10</v>
      </c>
      <c r="EK12" s="312" t="s">
        <v>34</v>
      </c>
      <c r="EM12" s="271" t="s">
        <v>27</v>
      </c>
      <c r="EN12" s="271" t="s">
        <v>27</v>
      </c>
      <c r="EO12" s="271" t="s">
        <v>27</v>
      </c>
      <c r="EP12" s="271" t="s">
        <v>27</v>
      </c>
      <c r="EQ12" s="271" t="s">
        <v>28</v>
      </c>
      <c r="ER12" s="271" t="s">
        <v>29</v>
      </c>
      <c r="ES12" s="271" t="s">
        <v>30</v>
      </c>
      <c r="ET12" s="271" t="s">
        <v>31</v>
      </c>
    </row>
    <row r="13" ht="23.95" spans="1:150">
      <c r="A13" s="357"/>
      <c r="C13" s="358" t="s">
        <v>324</v>
      </c>
      <c r="D13" s="359">
        <f>Theory!D14</f>
        <v>10</v>
      </c>
      <c r="E13" s="359">
        <f>Theory!E14</f>
        <v>0</v>
      </c>
      <c r="F13" s="359">
        <f>Theory!F14</f>
        <v>0</v>
      </c>
      <c r="G13" s="359">
        <f>Theory!G14</f>
        <v>0</v>
      </c>
      <c r="H13" s="359">
        <f>SUM(D13:G13)</f>
        <v>10</v>
      </c>
      <c r="I13" s="359">
        <f>Theory!H14</f>
        <v>10</v>
      </c>
      <c r="J13" s="359">
        <f>Theory!I14</f>
        <v>0</v>
      </c>
      <c r="K13" s="359">
        <f>Theory!J14</f>
        <v>0</v>
      </c>
      <c r="L13" s="359">
        <f>Theory!K14</f>
        <v>0</v>
      </c>
      <c r="M13" s="359">
        <f>SUM(I13:L13)</f>
        <v>10</v>
      </c>
      <c r="N13" s="359">
        <f>Theory!L14</f>
        <v>10</v>
      </c>
      <c r="O13" s="359">
        <f>Theory!M14</f>
        <v>0</v>
      </c>
      <c r="P13" s="359">
        <f>Theory!N14</f>
        <v>0</v>
      </c>
      <c r="Q13" s="359">
        <f>Theory!O14</f>
        <v>0</v>
      </c>
      <c r="R13" s="359">
        <f>Theory!P14</f>
        <v>10</v>
      </c>
      <c r="S13" s="359">
        <f>Theory!Q14</f>
        <v>0</v>
      </c>
      <c r="T13" s="359">
        <f>Theory!R14</f>
        <v>0</v>
      </c>
      <c r="U13" s="359">
        <f>Theory!S14</f>
        <v>0</v>
      </c>
      <c r="V13" s="359">
        <f>MAX(SUM(N13:Q13),SUM(R13:U13))</f>
        <v>10</v>
      </c>
      <c r="W13" s="359">
        <f>Theory!T14</f>
        <v>10</v>
      </c>
      <c r="X13" s="359">
        <f>Theory!U14</f>
        <v>0</v>
      </c>
      <c r="Y13" s="359">
        <f>Theory!V14</f>
        <v>0</v>
      </c>
      <c r="Z13" s="359">
        <f>Theory!W14</f>
        <v>0</v>
      </c>
      <c r="AA13" s="359">
        <f>Theory!X14</f>
        <v>10</v>
      </c>
      <c r="AB13" s="359">
        <f>Theory!Y14</f>
        <v>0</v>
      </c>
      <c r="AC13" s="359">
        <f>Theory!Z14</f>
        <v>0</v>
      </c>
      <c r="AD13" s="359">
        <f>Theory!AA14</f>
        <v>0</v>
      </c>
      <c r="AE13" s="359">
        <f>MAX(SUM(W13:Z13),SUM(AA13:AD13))</f>
        <v>10</v>
      </c>
      <c r="AF13" s="359">
        <f>Theory!AB14</f>
        <v>10</v>
      </c>
      <c r="AG13" s="359">
        <f>Theory!AC14</f>
        <v>0</v>
      </c>
      <c r="AH13" s="359">
        <f>Theory!AD14</f>
        <v>0</v>
      </c>
      <c r="AI13" s="359">
        <f>Theory!AE14</f>
        <v>0</v>
      </c>
      <c r="AJ13" s="359">
        <f>Theory!AF14</f>
        <v>10</v>
      </c>
      <c r="AK13" s="359">
        <f>Theory!AG14</f>
        <v>0</v>
      </c>
      <c r="AL13" s="359">
        <f>Theory!AH14</f>
        <v>0</v>
      </c>
      <c r="AM13" s="359">
        <f>Theory!AI14</f>
        <v>0</v>
      </c>
      <c r="AN13" s="359">
        <f>MAX(SUM(AF13:AI13),SUM(AJ13:AM13))</f>
        <v>10</v>
      </c>
      <c r="AO13" s="385">
        <f t="shared" ref="AO13:AO76" si="0">SUM(H13,M13,V13,AE13,AN13)</f>
        <v>50</v>
      </c>
      <c r="AP13" s="359">
        <f>Theory!AJ14</f>
        <v>10</v>
      </c>
      <c r="AQ13" s="359">
        <f>Theory!AK14</f>
        <v>0</v>
      </c>
      <c r="AR13" s="359">
        <f>Theory!AL14</f>
        <v>0</v>
      </c>
      <c r="AS13" s="359">
        <f>Theory!AM14</f>
        <v>0</v>
      </c>
      <c r="AT13" s="359">
        <f>SUM(AP13:AS13)</f>
        <v>10</v>
      </c>
      <c r="AU13" s="359">
        <f>Theory!AN14</f>
        <v>10</v>
      </c>
      <c r="AV13" s="359">
        <f>Theory!AO14</f>
        <v>0</v>
      </c>
      <c r="AW13" s="359">
        <f>Theory!AP14</f>
        <v>0</v>
      </c>
      <c r="AX13" s="359">
        <f>Theory!AQ14</f>
        <v>0</v>
      </c>
      <c r="AY13" s="359">
        <f>SUM(AU13:AX13)</f>
        <v>10</v>
      </c>
      <c r="AZ13" s="359">
        <f>Theory!AR14</f>
        <v>10</v>
      </c>
      <c r="BA13" s="359">
        <f>Theory!AS14</f>
        <v>0</v>
      </c>
      <c r="BB13" s="359">
        <f>Theory!AT14</f>
        <v>0</v>
      </c>
      <c r="BC13" s="359">
        <f>Theory!AU14</f>
        <v>0</v>
      </c>
      <c r="BD13" s="359">
        <f>Theory!AV14</f>
        <v>10</v>
      </c>
      <c r="BE13" s="359">
        <f>Theory!AW14</f>
        <v>0</v>
      </c>
      <c r="BF13" s="359">
        <f>Theory!AX14</f>
        <v>0</v>
      </c>
      <c r="BG13" s="359">
        <f>Theory!AY14</f>
        <v>0</v>
      </c>
      <c r="BH13" s="359">
        <f>MAX(SUM(AZ13:BC13),SUM(BD13:BG13))</f>
        <v>10</v>
      </c>
      <c r="BI13" s="359">
        <f>Theory!AZ14</f>
        <v>10</v>
      </c>
      <c r="BJ13" s="359">
        <f>Theory!BA14</f>
        <v>0</v>
      </c>
      <c r="BK13" s="359">
        <f>Theory!BB14</f>
        <v>0</v>
      </c>
      <c r="BL13" s="359">
        <f>Theory!BC14</f>
        <v>0</v>
      </c>
      <c r="BM13" s="359">
        <f>Theory!BD14</f>
        <v>10</v>
      </c>
      <c r="BN13" s="359">
        <f>Theory!BE14</f>
        <v>0</v>
      </c>
      <c r="BO13" s="359">
        <f>Theory!BF14</f>
        <v>0</v>
      </c>
      <c r="BP13" s="359">
        <f>Theory!BG14</f>
        <v>0</v>
      </c>
      <c r="BQ13" s="359">
        <f>MAX(SUM(BI13:BL13),SUM(BM13:BP13))</f>
        <v>10</v>
      </c>
      <c r="BR13" s="359">
        <f>Theory!BH14</f>
        <v>10</v>
      </c>
      <c r="BS13" s="359">
        <f>Theory!BI14</f>
        <v>0</v>
      </c>
      <c r="BT13" s="359">
        <f>Theory!BJ14</f>
        <v>0</v>
      </c>
      <c r="BU13" s="359">
        <f>Theory!BK14</f>
        <v>0</v>
      </c>
      <c r="BV13" s="359">
        <f>Theory!BL14</f>
        <v>10</v>
      </c>
      <c r="BW13" s="359">
        <f>Theory!BM14</f>
        <v>0</v>
      </c>
      <c r="BX13" s="359">
        <f>Theory!BN14</f>
        <v>0</v>
      </c>
      <c r="BY13" s="359">
        <f>Theory!BO14</f>
        <v>0</v>
      </c>
      <c r="BZ13" s="359">
        <f>MAX(SUM(BR13:BU13),SUM(BV13:BY13))</f>
        <v>10</v>
      </c>
      <c r="CA13" s="385">
        <f t="shared" ref="CA13:CA76" si="1">SUM(AT13,AY13,BH13,BQ13,BZ13)</f>
        <v>50</v>
      </c>
      <c r="CB13" s="359">
        <f>Theory!BP14</f>
        <v>10</v>
      </c>
      <c r="CC13" s="359">
        <f>Theory!BQ14</f>
        <v>0</v>
      </c>
      <c r="CD13" s="359">
        <f>Theory!BR14</f>
        <v>0</v>
      </c>
      <c r="CE13" s="359">
        <f>Theory!BS14</f>
        <v>0</v>
      </c>
      <c r="CF13" s="359">
        <f>SUM(CB13:CE13)</f>
        <v>10</v>
      </c>
      <c r="CG13" s="359">
        <f>Theory!BT14</f>
        <v>10</v>
      </c>
      <c r="CH13" s="359">
        <f>Theory!BU14</f>
        <v>0</v>
      </c>
      <c r="CI13" s="359">
        <f>Theory!BV14</f>
        <v>0</v>
      </c>
      <c r="CJ13" s="359">
        <f>Theory!BW14</f>
        <v>0</v>
      </c>
      <c r="CK13" s="359">
        <f>SUM(CG13:CJ13)</f>
        <v>10</v>
      </c>
      <c r="CL13" s="359">
        <f>Theory!BX14</f>
        <v>10</v>
      </c>
      <c r="CM13" s="359">
        <f>Theory!BY14</f>
        <v>0</v>
      </c>
      <c r="CN13" s="359">
        <f>Theory!BZ14</f>
        <v>0</v>
      </c>
      <c r="CO13" s="359">
        <f>Theory!CA14</f>
        <v>0</v>
      </c>
      <c r="CP13" s="359">
        <f>Theory!CB14</f>
        <v>10</v>
      </c>
      <c r="CQ13" s="359">
        <f>Theory!CC14</f>
        <v>0</v>
      </c>
      <c r="CR13" s="359">
        <f>Theory!CD14</f>
        <v>0</v>
      </c>
      <c r="CS13" s="359">
        <f>Theory!CE14</f>
        <v>0</v>
      </c>
      <c r="CT13" s="359">
        <f>MAX(SUM(CL13:CO13),SUM(CP13:CS13))</f>
        <v>10</v>
      </c>
      <c r="CU13" s="359">
        <f>Theory!CF14</f>
        <v>10</v>
      </c>
      <c r="CV13" s="359">
        <f>Theory!CG14</f>
        <v>0</v>
      </c>
      <c r="CW13" s="359">
        <f>Theory!CH14</f>
        <v>0</v>
      </c>
      <c r="CX13" s="359">
        <f>Theory!CI14</f>
        <v>0</v>
      </c>
      <c r="CY13" s="359">
        <f>Theory!CJ14</f>
        <v>10</v>
      </c>
      <c r="CZ13" s="359">
        <f>Theory!CK14</f>
        <v>0</v>
      </c>
      <c r="DA13" s="359">
        <f>Theory!CL14</f>
        <v>0</v>
      </c>
      <c r="DB13" s="359">
        <f>Theory!CM14</f>
        <v>0</v>
      </c>
      <c r="DC13" s="359">
        <f>MAX(SUM(CU13:CX13),SUM(CY13:DB13))</f>
        <v>10</v>
      </c>
      <c r="DD13" s="359">
        <f>Theory!CN14</f>
        <v>10</v>
      </c>
      <c r="DE13" s="359">
        <f>Theory!CO14</f>
        <v>0</v>
      </c>
      <c r="DF13" s="359">
        <f>Theory!CP14</f>
        <v>0</v>
      </c>
      <c r="DG13" s="359">
        <f>Theory!CQ14</f>
        <v>0</v>
      </c>
      <c r="DH13" s="359">
        <f>Theory!CR14</f>
        <v>10</v>
      </c>
      <c r="DI13" s="359">
        <f>Theory!CS14</f>
        <v>0</v>
      </c>
      <c r="DJ13" s="359">
        <f>Theory!CT14</f>
        <v>0</v>
      </c>
      <c r="DK13" s="359">
        <f>Theory!CU14</f>
        <v>0</v>
      </c>
      <c r="DL13" s="359">
        <f>MAX(SUM(DD13:DG13),SUM(DH13:DK13))</f>
        <v>10</v>
      </c>
      <c r="DM13" s="411">
        <f t="shared" ref="DM13:DM76" si="2">SUM(CF13,CK13,CT13,DC13,DL13)</f>
        <v>50</v>
      </c>
      <c r="DN13" s="412">
        <f>AO13</f>
        <v>50</v>
      </c>
      <c r="DO13" s="412">
        <f>CA13</f>
        <v>50</v>
      </c>
      <c r="DP13" s="412">
        <f>DM13</f>
        <v>50</v>
      </c>
      <c r="DQ13" s="416">
        <f>ROUND(30*DN13/50,0)</f>
        <v>30</v>
      </c>
      <c r="DR13" s="416">
        <f>ROUND(30*DO13/50,0)</f>
        <v>30</v>
      </c>
      <c r="DS13" s="416">
        <f>ROUND(30*DP13/50,0)</f>
        <v>30</v>
      </c>
      <c r="DT13" s="417">
        <f>ROUND(AVERAGE(DQ13:DS13),0)</f>
        <v>30</v>
      </c>
      <c r="DU13" s="421">
        <f>Theory!CV14</f>
        <v>10</v>
      </c>
      <c r="DV13" s="421">
        <f>Theory!CW14</f>
        <v>10</v>
      </c>
      <c r="DW13" s="422">
        <f>SUM(DU13:DV13)</f>
        <v>20</v>
      </c>
      <c r="DX13" s="421">
        <f t="shared" ref="DX13:DX76" si="3">SUM(DT13:DV13)</f>
        <v>50</v>
      </c>
      <c r="DY13" s="421">
        <f t="shared" ref="DY13:DY77" si="4">ROUND((30*DX13/50),0)</f>
        <v>30</v>
      </c>
      <c r="DZ13" s="421">
        <f>Lab!D6</f>
        <v>0</v>
      </c>
      <c r="EA13" s="421">
        <f>Lab!E6</f>
        <v>0</v>
      </c>
      <c r="EB13" s="421">
        <f>Lab!F6</f>
        <v>30</v>
      </c>
      <c r="EC13" s="422">
        <f>SUM(DZ13:EB13)</f>
        <v>30</v>
      </c>
      <c r="ED13" s="435">
        <f>Lab!G6</f>
        <v>0</v>
      </c>
      <c r="EE13" s="435">
        <f>Lab!H6</f>
        <v>0</v>
      </c>
      <c r="EF13" s="435">
        <f>Lab!I6</f>
        <v>20</v>
      </c>
      <c r="EG13" s="443">
        <f>SUM(ED13:EF13)</f>
        <v>20</v>
      </c>
      <c r="EH13" s="435">
        <f>SUM(EC13,EG13)</f>
        <v>50</v>
      </c>
      <c r="EI13" s="435">
        <f>ROUND((20*EH13/50),0)</f>
        <v>20</v>
      </c>
      <c r="EJ13" s="435">
        <f t="shared" ref="EJ13:EJ76" si="5">SUM(DY13,EI13)</f>
        <v>50</v>
      </c>
      <c r="EK13" s="435">
        <f>Theory!DB14</f>
        <v>50</v>
      </c>
      <c r="EM13" s="331">
        <v>12</v>
      </c>
      <c r="EN13" s="331">
        <v>24</v>
      </c>
      <c r="EO13" s="331">
        <v>40</v>
      </c>
      <c r="EP13" s="331">
        <v>52</v>
      </c>
      <c r="EQ13" s="331">
        <v>12</v>
      </c>
      <c r="ER13" s="331">
        <v>40</v>
      </c>
      <c r="ES13" s="331">
        <v>12</v>
      </c>
      <c r="ET13" s="331">
        <f>SUM(ER13:ES13)</f>
        <v>52</v>
      </c>
    </row>
    <row r="14" ht="24.75" customHeight="1" spans="1:160">
      <c r="A14" s="164">
        <v>1</v>
      </c>
      <c r="B14" s="289" t="str">
        <f>Theory!C17</f>
        <v>AAYUSH PANDEY</v>
      </c>
      <c r="C14" s="360" t="str">
        <f>Theory!B17</f>
        <v>1DS23AI001</v>
      </c>
      <c r="D14" s="361">
        <f>VLOOKUP(C14,Theory!B17:D86,3,FALSE)</f>
        <v>7</v>
      </c>
      <c r="E14" s="361">
        <f>VLOOKUP(C14,Theory!B17:E86,4,FALSE)</f>
        <v>0</v>
      </c>
      <c r="F14" s="361">
        <f>VLOOKUP(C14,Theory!B17:F86,5,FALSE)</f>
        <v>0</v>
      </c>
      <c r="G14" s="361">
        <f>VLOOKUP(C14,Theory!B17:G86,6,FALSE)</f>
        <v>0</v>
      </c>
      <c r="H14" s="369">
        <f t="shared" ref="H14:H78" si="6">SUM(D14:G14)</f>
        <v>7</v>
      </c>
      <c r="I14" s="370">
        <f>VLOOKUP(C14,Theory!B17:H86,7,FALSE)</f>
        <v>4</v>
      </c>
      <c r="J14" s="371">
        <f>VLOOKUP(C14,Theory!B17:I86,8,FALSE)</f>
        <v>0</v>
      </c>
      <c r="K14" s="371">
        <f>VLOOKUP(C14,Theory!B17:J86,9,FALSE)</f>
        <v>0</v>
      </c>
      <c r="L14" s="371">
        <f>VLOOKUP(C14,Theory!B17:K86,10,FALSE)</f>
        <v>0</v>
      </c>
      <c r="M14" s="369">
        <f t="shared" ref="M14:M77" si="7">SUM(I14:L14)</f>
        <v>4</v>
      </c>
      <c r="N14" s="373">
        <f>VLOOKUP(C14,Theory!B17:L86,11,FALSE)</f>
        <v>5</v>
      </c>
      <c r="O14" s="373">
        <f>VLOOKUP(C14,Theory!B17:M86,12,FALSE)</f>
        <v>0</v>
      </c>
      <c r="P14" s="373">
        <f>VLOOKUP(C14,Theory!B17:N86,13,FALSE)</f>
        <v>0</v>
      </c>
      <c r="Q14" s="373">
        <f>VLOOKUP(C14,Theory!B17:O86,14,FALSE)</f>
        <v>0</v>
      </c>
      <c r="R14" s="371">
        <f>VLOOKUP(C14,Theory!B17:P86,15,FALSE)</f>
        <v>0</v>
      </c>
      <c r="S14" s="371">
        <f>VLOOKUP(C14,Theory!B17:Q86,16,FALSE)</f>
        <v>0</v>
      </c>
      <c r="T14" s="371">
        <f>VLOOKUP(C14,Theory!B17:R86,17,FALSE)</f>
        <v>0</v>
      </c>
      <c r="U14" s="371">
        <f>VLOOKUP(C14,Theory!B17:S86,18,FALSE)</f>
        <v>0</v>
      </c>
      <c r="V14" s="369">
        <f t="shared" ref="V14:V77" si="8">MAX(SUM(N14:Q14),SUM(R14:U14))</f>
        <v>5</v>
      </c>
      <c r="W14" s="361">
        <f>VLOOKUP(C14,Theory!B17:T86,19,FALSE)</f>
        <v>4</v>
      </c>
      <c r="X14" s="361">
        <f>VLOOKUP(C14,Theory!B17:U86,20,FALSE)</f>
        <v>0</v>
      </c>
      <c r="Y14" s="361">
        <f>VLOOKUP(C14,Theory!B17:V86,21,FALSE)</f>
        <v>0</v>
      </c>
      <c r="Z14" s="361">
        <f>VLOOKUP(C14,Theory!B17:W86,22,FALSE)</f>
        <v>0</v>
      </c>
      <c r="AA14" s="370">
        <f>VLOOKUP(C14,Theory!B17:X86,23,FALSE)</f>
        <v>0</v>
      </c>
      <c r="AB14" s="370">
        <f>VLOOKUP(C14,Theory!B17:Y86,24,FALSE)</f>
        <v>0</v>
      </c>
      <c r="AC14" s="370">
        <f>VLOOKUP(C14,Theory!B17:Z86,25,FALSE)</f>
        <v>0</v>
      </c>
      <c r="AD14" s="370">
        <f>VLOOKUP(C14,Theory!B17:AA86,26,FALSE)</f>
        <v>0</v>
      </c>
      <c r="AE14" s="369">
        <f t="shared" ref="AE14:AE77" si="9">MAX(SUM(W14:Z14),SUM(AA14:AD14))</f>
        <v>4</v>
      </c>
      <c r="AF14" s="361">
        <f>VLOOKUP(C14,Theory!B17:AB86,27,FALSE)</f>
        <v>9</v>
      </c>
      <c r="AG14" s="361">
        <f>VLOOKUP(C14,Theory!B17:AC86,28,FALSE)</f>
        <v>0</v>
      </c>
      <c r="AH14" s="361">
        <f>VLOOKUP(C14,Theory!B17:AD86,29,FALSE)</f>
        <v>0</v>
      </c>
      <c r="AI14" s="361">
        <f>VLOOKUP(C14,Theory!B17:AE86,30,FALSE)</f>
        <v>0</v>
      </c>
      <c r="AJ14" s="380">
        <f>VLOOKUP(C14,Theory!B17:AF86,31,FALSE)</f>
        <v>0</v>
      </c>
      <c r="AK14" s="380">
        <f>VLOOKUP(C14,Theory!B17:AG86,32,FALSE)</f>
        <v>0</v>
      </c>
      <c r="AL14" s="380">
        <f>VLOOKUP(C14,Theory!B17:AH86,33,FALSE)</f>
        <v>0</v>
      </c>
      <c r="AM14" s="380">
        <f>VLOOKUP(C14,Theory!B17:AI86,34,FALSE)</f>
        <v>0</v>
      </c>
      <c r="AN14" s="369">
        <f t="shared" ref="AN14:AN77" si="10">MAX(SUM(AF14:AI14),SUM(AJ14:AM14))</f>
        <v>9</v>
      </c>
      <c r="AO14" s="385">
        <f t="shared" si="0"/>
        <v>29</v>
      </c>
      <c r="AP14" s="386">
        <f>VLOOKUP(C14,Theory!B17:AJ86,35,FALSE)</f>
        <v>5</v>
      </c>
      <c r="AQ14" s="386">
        <f>VLOOKUP(C14,Theory!B17:AK86,36,FALSE)</f>
        <v>0</v>
      </c>
      <c r="AR14" s="386">
        <f>VLOOKUP(C14,Theory!B17:AL86,37,FALSE)</f>
        <v>0</v>
      </c>
      <c r="AS14" s="386">
        <f>VLOOKUP(C14,Theory!B17:AM86,38,FALSE)</f>
        <v>0</v>
      </c>
      <c r="AT14" s="369">
        <f t="shared" ref="AT14:AT77" si="11">SUM(AP14:AS14)</f>
        <v>5</v>
      </c>
      <c r="AU14" s="386">
        <f>VLOOKUP(C14,Theory!B17:AN86,39,FALSE)</f>
        <v>4</v>
      </c>
      <c r="AV14" s="386">
        <f>VLOOKUP(C14,Theory!B17:AO86,40,FALSE)</f>
        <v>0</v>
      </c>
      <c r="AW14" s="386">
        <f>VLOOKUP(C14,Theory!B17:AP86,41,FALSE)</f>
        <v>0</v>
      </c>
      <c r="AX14" s="386">
        <f>VLOOKUP(C14,Theory!B17:AQ86,42,FALSE)</f>
        <v>0</v>
      </c>
      <c r="AY14" s="369">
        <f t="shared" ref="AY14:AY77" si="12">SUM(AU14:AX14)</f>
        <v>4</v>
      </c>
      <c r="AZ14" s="386">
        <f>VLOOKUP(C14,Theory!B17:AR86,43,FALSE)</f>
        <v>0</v>
      </c>
      <c r="BA14" s="386">
        <f>VLOOKUP(C14,Theory!B17:AS86,44,FALSE)</f>
        <v>0</v>
      </c>
      <c r="BB14" s="386">
        <f>VLOOKUP(C14,Theory!B17:AT86,45,FALSE)</f>
        <v>0</v>
      </c>
      <c r="BC14" s="386">
        <f>VLOOKUP(C14,Theory!B17:AU86,46,FALSE)</f>
        <v>0</v>
      </c>
      <c r="BD14" s="386">
        <f>VLOOKUP(C14,Theory!B17:AV86,47,FALSE)</f>
        <v>8</v>
      </c>
      <c r="BE14" s="386">
        <f>VLOOKUP(C14,Theory!B17:AW86,48,FALSE)</f>
        <v>0</v>
      </c>
      <c r="BF14" s="386">
        <f>VLOOKUP(C14,Theory!B17:AX86,49,FALSE)</f>
        <v>0</v>
      </c>
      <c r="BG14" s="386">
        <f>VLOOKUP(C14,Theory!B17:AY86,50,FALSE)</f>
        <v>0</v>
      </c>
      <c r="BH14" s="369">
        <f t="shared" ref="BH14:BH77" si="13">MAX(SUM(AZ14:BC14),SUM(BD14:BG14))</f>
        <v>8</v>
      </c>
      <c r="BI14" s="386">
        <f>VLOOKUP(C14,Theory!B17:AZ86,51,FALSE)</f>
        <v>0</v>
      </c>
      <c r="BJ14" s="386">
        <f>VLOOKUP(C14,Theory!B17:BA86,52,FALSE)</f>
        <v>0</v>
      </c>
      <c r="BK14" s="386">
        <f>VLOOKUP(C14,Theory!B17:BB86,53,FALSE)</f>
        <v>0</v>
      </c>
      <c r="BL14" s="386">
        <f>VLOOKUP(C14,Theory!B17:BC86,54,FALSE)</f>
        <v>0</v>
      </c>
      <c r="BM14" s="386">
        <f>VLOOKUP(C14,Theory!B17:BD86,55,FALSE)</f>
        <v>0</v>
      </c>
      <c r="BN14" s="386">
        <f>VLOOKUP(C14,Theory!B17:BE86,56,FALSE)</f>
        <v>0</v>
      </c>
      <c r="BO14" s="386">
        <f>VLOOKUP(C14,Theory!B17:BF86,57,FALSE)</f>
        <v>0</v>
      </c>
      <c r="BP14" s="386">
        <f>VLOOKUP(C14,Theory!B17:BG86,58,FALSE)</f>
        <v>0</v>
      </c>
      <c r="BQ14" s="369">
        <f t="shared" ref="BQ14:BQ77" si="14">MAX(SUM(BI14:BL14),SUM(BM14:BP14))</f>
        <v>0</v>
      </c>
      <c r="BR14" s="386">
        <f>VLOOKUP(C14,Theory!B17:BH86,59,FALSE)</f>
        <v>2</v>
      </c>
      <c r="BS14" s="386">
        <f>VLOOKUP(C14,Theory!B17:BI86,60,FALSE)</f>
        <v>0</v>
      </c>
      <c r="BT14" s="386">
        <f>VLOOKUP(C14,Theory!B17:BJ86,61,FALSE)</f>
        <v>0</v>
      </c>
      <c r="BU14" s="386">
        <f>VLOOKUP(C14,Theory!B17:BK86,62,FALSE)</f>
        <v>0</v>
      </c>
      <c r="BV14" s="386">
        <f>VLOOKUP(C14,Theory!B17:BL86,63,FALSE)</f>
        <v>0</v>
      </c>
      <c r="BW14" s="386">
        <f>VLOOKUP(C14,Theory!B17:BM86,64,FALSE)</f>
        <v>0</v>
      </c>
      <c r="BX14" s="386">
        <f>VLOOKUP(C14,Theory!B17:BN86,65,FALSE)</f>
        <v>0</v>
      </c>
      <c r="BY14" s="386">
        <f>VLOOKUP(C14,Theory!B17:BO86,66,FALSE)</f>
        <v>0</v>
      </c>
      <c r="BZ14" s="369">
        <f t="shared" ref="BZ14:BZ77" si="15">MAX(SUM(BR14:BU14),SUM(BV14:BY14))</f>
        <v>2</v>
      </c>
      <c r="CA14" s="385">
        <f t="shared" si="1"/>
        <v>19</v>
      </c>
      <c r="CB14" s="386">
        <f>VLOOKUP(C14,Theory!B17:BP86,67,FALSE)</f>
        <v>8</v>
      </c>
      <c r="CC14" s="386">
        <f>VLOOKUP(C14,Theory!B17:BQ86,68,FALSE)</f>
        <v>0</v>
      </c>
      <c r="CD14" s="386">
        <f>VLOOKUP(C14,Theory!B17:BR86,69,FALSE)</f>
        <v>0</v>
      </c>
      <c r="CE14" s="386">
        <f>VLOOKUP(C14,Theory!B17:BS86,70,FALSE)</f>
        <v>0</v>
      </c>
      <c r="CF14" s="369">
        <f t="shared" ref="CF14:CF78" si="16">SUM(CB14:CE14)</f>
        <v>8</v>
      </c>
      <c r="CG14" s="399">
        <f>VLOOKUP(C14,Theory!B17:BT86,71,FALSE)</f>
        <v>8</v>
      </c>
      <c r="CH14" s="399">
        <f>VLOOKUP(C14,Theory!B17:BU86,72,FALSE)</f>
        <v>0</v>
      </c>
      <c r="CI14" s="399">
        <f>VLOOKUP(C14,Theory!B17:BV86,73,FALSE)</f>
        <v>0</v>
      </c>
      <c r="CJ14" s="399">
        <f>VLOOKUP(C14,Theory!B17:BW86,74,FALSE)</f>
        <v>0</v>
      </c>
      <c r="CK14" s="369">
        <f t="shared" ref="CK14:CK77" si="17">SUM(CG14:CJ14)</f>
        <v>8</v>
      </c>
      <c r="CL14" s="386">
        <f>VLOOKUP(C14,Theory!B17:BX86,75,FALSE)</f>
        <v>9</v>
      </c>
      <c r="CM14" s="400">
        <f>VLOOKUP(C14,Theory!B17:BY86,76,FALSE)</f>
        <v>0</v>
      </c>
      <c r="CN14" s="400">
        <f>VLOOKUP(C14,Theory!B17:BZ86,77,FALSE)</f>
        <v>0</v>
      </c>
      <c r="CO14" s="400">
        <f>VLOOKUP(C14,Theory!B17:CA86,78,FALSE)</f>
        <v>0</v>
      </c>
      <c r="CP14" s="386">
        <f>VLOOKUP(C14,Theory!B17:CB86,79,FALSE)</f>
        <v>0</v>
      </c>
      <c r="CQ14" s="386">
        <f>VLOOKUP(C14,Theory!B17:CC86,80,FALSE)</f>
        <v>0</v>
      </c>
      <c r="CR14" s="386">
        <f>VLOOKUP(C14,Theory!B17:CD86,81,FALSE)</f>
        <v>0</v>
      </c>
      <c r="CS14" s="386">
        <f>VLOOKUP(C14,Theory!B17:CE86,82,FALSE)</f>
        <v>0</v>
      </c>
      <c r="CT14" s="369">
        <f t="shared" ref="CT14:CT77" si="18">MAX(SUM(CL14:CO14),SUM(CP14:CS14))</f>
        <v>9</v>
      </c>
      <c r="CU14" s="399">
        <f>VLOOKUP(C14,Theory!B17:CF86,83,FALSE)</f>
        <v>0</v>
      </c>
      <c r="CV14" s="400">
        <f>VLOOKUP(C14,Theory!B17:CG86,84,FALSE)</f>
        <v>0</v>
      </c>
      <c r="CW14" s="400">
        <f>VLOOKUP(C14,Theory!B17:CH86,85,FALSE)</f>
        <v>0</v>
      </c>
      <c r="CX14" s="400">
        <f>VLOOKUP(C14,Theory!B17:CI86,86,FALSE)</f>
        <v>0</v>
      </c>
      <c r="CY14" s="399">
        <f>VLOOKUP(C14,Theory!B17:CJ86,87,FALSE)</f>
        <v>9</v>
      </c>
      <c r="CZ14" s="399">
        <f>VLOOKUP(C14,Theory!B17:CK86,88,FALSE)</f>
        <v>0</v>
      </c>
      <c r="DA14" s="399">
        <f>VLOOKUP(C14,Theory!B17:CL86,89,FALSE)</f>
        <v>0</v>
      </c>
      <c r="DB14" s="399">
        <f>VLOOKUP(C14,Theory!B17:CM86,90,FALSE)</f>
        <v>0</v>
      </c>
      <c r="DC14" s="369">
        <f t="shared" ref="DC14:DC77" si="19">MAX(SUM(CU14:CX14),SUM(CY14:DB14))</f>
        <v>9</v>
      </c>
      <c r="DD14" s="386">
        <f>VLOOKUP(C14,Theory!B17:CN86,91,FALSE)</f>
        <v>0</v>
      </c>
      <c r="DE14" s="400">
        <f>VLOOKUP(C14,Theory!B17:CO86,92,FALSE)</f>
        <v>0</v>
      </c>
      <c r="DF14" s="400">
        <f>VLOOKUP(C14,Theory!B17:CP86,93,FALSE)</f>
        <v>0</v>
      </c>
      <c r="DG14" s="400">
        <f>VLOOKUP(C14,Theory!B17:CQ86,94,FALSE)</f>
        <v>0</v>
      </c>
      <c r="DH14" s="386">
        <f>VLOOKUP(C14,Theory!B17:CR86,95,FALSE)</f>
        <v>3</v>
      </c>
      <c r="DI14" s="386">
        <f>VLOOKUP(C14,Theory!B17:CS86,96,FALSE)</f>
        <v>0</v>
      </c>
      <c r="DJ14" s="386">
        <f>VLOOKUP(C14,Theory!B17:CT86,97,FALSE)</f>
        <v>0</v>
      </c>
      <c r="DK14" s="386">
        <f>VLOOKUP(C14,Theory!B17:CU86,98,FALSE)</f>
        <v>0</v>
      </c>
      <c r="DL14" s="369">
        <f t="shared" ref="DL14:DL77" si="20">MAX(SUM(DD14:DG14),SUM(DH14:DK14))</f>
        <v>3</v>
      </c>
      <c r="DM14" s="411">
        <f t="shared" si="2"/>
        <v>37</v>
      </c>
      <c r="DN14" s="413">
        <f t="shared" ref="DN14" si="21">AO14</f>
        <v>29</v>
      </c>
      <c r="DO14" s="413">
        <f t="shared" ref="DO14" si="22">CA14</f>
        <v>19</v>
      </c>
      <c r="DP14" s="413">
        <f t="shared" ref="DP14" si="23">DM14</f>
        <v>37</v>
      </c>
      <c r="DQ14" s="418">
        <f t="shared" ref="DQ14" si="24">ROUND(30*DN14/50,0)</f>
        <v>17</v>
      </c>
      <c r="DR14" s="418">
        <f t="shared" ref="DR14" si="25">ROUND(30*DO14/50,0)</f>
        <v>11</v>
      </c>
      <c r="DS14" s="418">
        <f t="shared" ref="DS14" si="26">ROUND(30*DP14/50,0)</f>
        <v>22</v>
      </c>
      <c r="DT14" s="417">
        <f>ROUND(AVERAGE(DQ14:DS14),0)</f>
        <v>17</v>
      </c>
      <c r="DU14" s="423">
        <f>VLOOKUP(C14,Theory!B17:CV86,99,FALSE)</f>
        <v>7</v>
      </c>
      <c r="DV14" s="423">
        <f>VLOOKUP(C14,Theory!B17:CW86,100,FALSE)</f>
        <v>10</v>
      </c>
      <c r="DW14" s="424">
        <f t="shared" ref="DW14:DW77" si="27">SUM(DU14:DV14)</f>
        <v>17</v>
      </c>
      <c r="DX14" s="421">
        <f t="shared" si="3"/>
        <v>34</v>
      </c>
      <c r="DY14" s="430">
        <f t="shared" si="4"/>
        <v>20</v>
      </c>
      <c r="DZ14" s="431">
        <f>VLOOKUP(C14,Lab!B9:D78,3,FALSE)</f>
        <v>0</v>
      </c>
      <c r="EA14" s="432">
        <f>VLOOKUP(C14,Lab!B9:E78,4,FALSE)</f>
        <v>0</v>
      </c>
      <c r="EB14" s="432">
        <f>VLOOKUP(C14,Lab!B9:F78,5,FALSE)</f>
        <v>28</v>
      </c>
      <c r="EC14" s="422">
        <f>SUM(DZ14:EB14)</f>
        <v>28</v>
      </c>
      <c r="ED14" s="436">
        <f>VLOOKUP(C14,Lab!B9:G78,6,FALSE)</f>
        <v>0</v>
      </c>
      <c r="EE14" s="436">
        <f>VLOOKUP(C14,Lab!B9:H78,7,FALSE)</f>
        <v>0</v>
      </c>
      <c r="EF14" s="437">
        <v>10</v>
      </c>
      <c r="EG14" s="443">
        <f>SUM(ED14:EF14)</f>
        <v>10</v>
      </c>
      <c r="EH14" s="444">
        <f t="shared" ref="EH14:EH77" si="28">SUM(EC14,EG14)</f>
        <v>38</v>
      </c>
      <c r="EI14" s="445">
        <f t="shared" ref="EI14:EI77" si="29">ROUND((20*EH14/50),0)</f>
        <v>15</v>
      </c>
      <c r="EJ14" s="446">
        <f t="shared" si="5"/>
        <v>35</v>
      </c>
      <c r="EK14" s="449" cm="1">
        <f t="array" ref="EK14:EK83">IF(D$8="YES",Lab!K9:K78,Theory!DB17:DB86)</f>
        <v>38</v>
      </c>
      <c r="EM14" s="450">
        <f>VLOOKUP(C14,Theory!B17:DK86,114,FALSE)</f>
        <v>0</v>
      </c>
      <c r="EN14" s="450">
        <f>VLOOKUP(C14,Theory!B17:DL86,115,FALSE)</f>
        <v>0</v>
      </c>
      <c r="EO14" s="450">
        <f>VLOOKUP(C14,Theory!B17:DM86,116,FALSE)</f>
        <v>0</v>
      </c>
      <c r="EP14" s="450">
        <f>VLOOKUP(C14,Theory!B17:DN86,117,FALSE)</f>
        <v>0</v>
      </c>
      <c r="EQ14" s="450">
        <f>VLOOKUP(C14,Theory!B17:DO86,118,FALSE)</f>
        <v>0</v>
      </c>
      <c r="ER14" s="451">
        <f>VLOOKUP(C14,Theory!B17:DP86,119,FALSE)</f>
        <v>0</v>
      </c>
      <c r="ES14" s="454">
        <f>VLOOKUP(C14,Theory!B17:DQ86,120,FALSE)</f>
        <v>0</v>
      </c>
      <c r="ET14" s="455">
        <f>SUM(ER14:ES14)</f>
        <v>0</v>
      </c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</row>
    <row r="15" ht="18.35" spans="1:160">
      <c r="A15" s="164">
        <v>2</v>
      </c>
      <c r="B15" s="289" t="str">
        <f>Theory!C18</f>
        <v>ABHINAND PRAMEESH</v>
      </c>
      <c r="C15" s="360" t="str">
        <f>Theory!B18</f>
        <v>1DS23AI002</v>
      </c>
      <c r="D15" s="361">
        <f>VLOOKUP(C15,Theory!B18:D87,3,FALSE)</f>
        <v>10</v>
      </c>
      <c r="E15" s="361">
        <f>VLOOKUP(C15,Theory!B18:E87,4,FALSE)</f>
        <v>0</v>
      </c>
      <c r="F15" s="361">
        <f>VLOOKUP(C15,Theory!B18:F87,5,FALSE)</f>
        <v>0</v>
      </c>
      <c r="G15" s="361">
        <f>VLOOKUP(C15,Theory!B18:G87,6,FALSE)</f>
        <v>0</v>
      </c>
      <c r="H15" s="369">
        <f t="shared" si="6"/>
        <v>10</v>
      </c>
      <c r="I15" s="370">
        <f>VLOOKUP(C15,Theory!B18:H87,7,FALSE)</f>
        <v>5</v>
      </c>
      <c r="J15" s="371">
        <f>VLOOKUP(C15,Theory!B18:I87,8,FALSE)</f>
        <v>0</v>
      </c>
      <c r="K15" s="371">
        <f>VLOOKUP(C15,Theory!B18:J87,9,FALSE)</f>
        <v>0</v>
      </c>
      <c r="L15" s="371">
        <f>VLOOKUP(C15,Theory!B18:K87,10,FALSE)</f>
        <v>0</v>
      </c>
      <c r="M15" s="369">
        <f t="shared" si="7"/>
        <v>5</v>
      </c>
      <c r="N15" s="373">
        <f>VLOOKUP(C15,Theory!B18:L87,11,FALSE)</f>
        <v>8</v>
      </c>
      <c r="O15" s="373">
        <f>VLOOKUP(C15,Theory!B18:M87,12,FALSE)</f>
        <v>0</v>
      </c>
      <c r="P15" s="373">
        <f>VLOOKUP(C15,Theory!B18:N87,13,FALSE)</f>
        <v>0</v>
      </c>
      <c r="Q15" s="373">
        <f>VLOOKUP(C15,Theory!B18:O87,14,FALSE)</f>
        <v>0</v>
      </c>
      <c r="R15" s="371">
        <f>VLOOKUP(C15,Theory!B18:P87,15,FALSE)</f>
        <v>0</v>
      </c>
      <c r="S15" s="371">
        <f>VLOOKUP(C15,Theory!B18:Q87,16,FALSE)</f>
        <v>0</v>
      </c>
      <c r="T15" s="371">
        <f>VLOOKUP(C15,Theory!B18:R87,17,FALSE)</f>
        <v>0</v>
      </c>
      <c r="U15" s="371">
        <f>VLOOKUP(C15,Theory!B18:S87,18,FALSE)</f>
        <v>0</v>
      </c>
      <c r="V15" s="369">
        <f t="shared" si="8"/>
        <v>8</v>
      </c>
      <c r="W15" s="361">
        <f>VLOOKUP(C15,Theory!B18:T87,19,FALSE)</f>
        <v>0</v>
      </c>
      <c r="X15" s="361">
        <f>VLOOKUP(C15,Theory!B18:U87,20,FALSE)</f>
        <v>0</v>
      </c>
      <c r="Y15" s="361">
        <f>VLOOKUP(C15,Theory!B18:V87,21,FALSE)</f>
        <v>0</v>
      </c>
      <c r="Z15" s="361">
        <f>VLOOKUP(C15,Theory!B18:W87,22,FALSE)</f>
        <v>0</v>
      </c>
      <c r="AA15" s="370">
        <f>VLOOKUP(C15,Theory!B18:X87,23,FALSE)</f>
        <v>10</v>
      </c>
      <c r="AB15" s="370">
        <f>VLOOKUP(C15,Theory!B18:Y87,24,FALSE)</f>
        <v>0</v>
      </c>
      <c r="AC15" s="370">
        <f>VLOOKUP(C15,Theory!B18:Z87,25,FALSE)</f>
        <v>0</v>
      </c>
      <c r="AD15" s="370">
        <f>VLOOKUP(C15,Theory!B18:AA87,26,FALSE)</f>
        <v>0</v>
      </c>
      <c r="AE15" s="369">
        <f t="shared" si="9"/>
        <v>10</v>
      </c>
      <c r="AF15" s="361">
        <f>VLOOKUP(C15,Theory!B18:AB87,27,FALSE)</f>
        <v>0</v>
      </c>
      <c r="AG15" s="361">
        <f>VLOOKUP(C15,Theory!B18:AC87,28,FALSE)</f>
        <v>0</v>
      </c>
      <c r="AH15" s="361">
        <f>VLOOKUP(C15,Theory!B18:AD87,29,FALSE)</f>
        <v>0</v>
      </c>
      <c r="AI15" s="361">
        <f>VLOOKUP(C15,Theory!B18:AE87,30,FALSE)</f>
        <v>0</v>
      </c>
      <c r="AJ15" s="380">
        <f>VLOOKUP(C15,Theory!B18:AF87,31,FALSE)</f>
        <v>0</v>
      </c>
      <c r="AK15" s="380">
        <f>VLOOKUP(C15,Theory!B18:AG87,32,FALSE)</f>
        <v>0</v>
      </c>
      <c r="AL15" s="380">
        <f>VLOOKUP(C15,Theory!B18:AH87,33,FALSE)</f>
        <v>0</v>
      </c>
      <c r="AM15" s="380">
        <f>VLOOKUP(C15,Theory!B18:AI87,34,FALSE)</f>
        <v>0</v>
      </c>
      <c r="AN15" s="369">
        <f t="shared" si="10"/>
        <v>0</v>
      </c>
      <c r="AO15" s="385">
        <f t="shared" si="0"/>
        <v>33</v>
      </c>
      <c r="AP15" s="386">
        <f>VLOOKUP(C15,Theory!B18:AJ87,35,FALSE)</f>
        <v>2</v>
      </c>
      <c r="AQ15" s="386">
        <f>VLOOKUP(C15,Theory!B18:AK87,36,FALSE)</f>
        <v>0</v>
      </c>
      <c r="AR15" s="386">
        <f>VLOOKUP(C15,Theory!B18:AL87,37,FALSE)</f>
        <v>0</v>
      </c>
      <c r="AS15" s="386">
        <f>VLOOKUP(C15,Theory!B18:AM87,38,FALSE)</f>
        <v>0</v>
      </c>
      <c r="AT15" s="369">
        <f t="shared" si="11"/>
        <v>2</v>
      </c>
      <c r="AU15" s="386">
        <f>VLOOKUP(C15,Theory!B18:AN87,39,FALSE)</f>
        <v>6</v>
      </c>
      <c r="AV15" s="386">
        <f>VLOOKUP(C15,Theory!B18:AO87,40,FALSE)</f>
        <v>0</v>
      </c>
      <c r="AW15" s="386">
        <f>VLOOKUP(C15,Theory!B18:AP87,41,FALSE)</f>
        <v>0</v>
      </c>
      <c r="AX15" s="386">
        <f>VLOOKUP(C15,Theory!B18:AQ87,42,FALSE)</f>
        <v>0</v>
      </c>
      <c r="AY15" s="369">
        <f t="shared" si="12"/>
        <v>6</v>
      </c>
      <c r="AZ15" s="386">
        <f>VLOOKUP(C15,Theory!B18:AR87,43,FALSE)</f>
        <v>0</v>
      </c>
      <c r="BA15" s="386">
        <f>VLOOKUP(C15,Theory!B18:AS87,44,FALSE)</f>
        <v>0</v>
      </c>
      <c r="BB15" s="386">
        <f>VLOOKUP(C15,Theory!B18:AT87,45,FALSE)</f>
        <v>0</v>
      </c>
      <c r="BC15" s="386">
        <f>VLOOKUP(C15,Theory!B18:AU87,46,FALSE)</f>
        <v>0</v>
      </c>
      <c r="BD15" s="386">
        <f>VLOOKUP(C15,Theory!B18:AV87,47,FALSE)</f>
        <v>8</v>
      </c>
      <c r="BE15" s="386">
        <f>VLOOKUP(C15,Theory!B18:AW87,48,FALSE)</f>
        <v>0</v>
      </c>
      <c r="BF15" s="386">
        <f>VLOOKUP(C15,Theory!B18:AX87,49,FALSE)</f>
        <v>0</v>
      </c>
      <c r="BG15" s="386">
        <f>VLOOKUP(C15,Theory!B18:AY87,50,FALSE)</f>
        <v>0</v>
      </c>
      <c r="BH15" s="369">
        <f t="shared" si="13"/>
        <v>8</v>
      </c>
      <c r="BI15" s="386">
        <f>VLOOKUP(C15,Theory!B18:AZ87,51,FALSE)</f>
        <v>0</v>
      </c>
      <c r="BJ15" s="386">
        <f>VLOOKUP(C15,Theory!B18:BA87,52,FALSE)</f>
        <v>0</v>
      </c>
      <c r="BK15" s="386">
        <f>VLOOKUP(C15,Theory!B18:BB87,53,FALSE)</f>
        <v>0</v>
      </c>
      <c r="BL15" s="386">
        <f>VLOOKUP(C15,Theory!B18:BC87,54,FALSE)</f>
        <v>0</v>
      </c>
      <c r="BM15" s="386">
        <f>VLOOKUP(C15,Theory!B18:BD87,55,FALSE)</f>
        <v>2</v>
      </c>
      <c r="BN15" s="386">
        <f>VLOOKUP(C15,Theory!B18:BE87,56,FALSE)</f>
        <v>0</v>
      </c>
      <c r="BO15" s="386">
        <f>VLOOKUP(C15,Theory!B18:BF87,57,FALSE)</f>
        <v>0</v>
      </c>
      <c r="BP15" s="386">
        <f>VLOOKUP(C15,Theory!B18:BG87,58,FALSE)</f>
        <v>0</v>
      </c>
      <c r="BQ15" s="369">
        <f t="shared" si="14"/>
        <v>2</v>
      </c>
      <c r="BR15" s="386">
        <f>VLOOKUP(C15,Theory!B18:BH87,59,FALSE)</f>
        <v>0</v>
      </c>
      <c r="BS15" s="386">
        <f>VLOOKUP(C15,Theory!B18:BI87,60,FALSE)</f>
        <v>0</v>
      </c>
      <c r="BT15" s="386">
        <f>VLOOKUP(C15,Theory!B18:BJ87,61,FALSE)</f>
        <v>0</v>
      </c>
      <c r="BU15" s="386">
        <f>VLOOKUP(C15,Theory!B18:BK87,62,FALSE)</f>
        <v>0</v>
      </c>
      <c r="BV15" s="386">
        <f>VLOOKUP(C15,Theory!B18:BL87,63,FALSE)</f>
        <v>4</v>
      </c>
      <c r="BW15" s="386">
        <f>VLOOKUP(C15,Theory!B18:BM87,64,FALSE)</f>
        <v>0</v>
      </c>
      <c r="BX15" s="386">
        <f>VLOOKUP(C15,Theory!B18:BN87,65,FALSE)</f>
        <v>0</v>
      </c>
      <c r="BY15" s="386">
        <f>VLOOKUP(C15,Theory!B18:BO87,66,FALSE)</f>
        <v>0</v>
      </c>
      <c r="BZ15" s="369">
        <f t="shared" si="15"/>
        <v>4</v>
      </c>
      <c r="CA15" s="385">
        <f t="shared" si="1"/>
        <v>22</v>
      </c>
      <c r="CB15" s="386">
        <f>VLOOKUP(C15,Theory!B18:BP87,67,FALSE)</f>
        <v>9</v>
      </c>
      <c r="CC15" s="386">
        <f>VLOOKUP(C15,Theory!B18:BQ87,68,FALSE)</f>
        <v>0</v>
      </c>
      <c r="CD15" s="386">
        <f>VLOOKUP(C15,Theory!B18:BR87,69,FALSE)</f>
        <v>0</v>
      </c>
      <c r="CE15" s="386">
        <f>VLOOKUP(C15,Theory!B18:BS87,70,FALSE)</f>
        <v>0</v>
      </c>
      <c r="CF15" s="369">
        <f t="shared" si="16"/>
        <v>9</v>
      </c>
      <c r="CG15" s="399">
        <f>VLOOKUP(C15,Theory!B18:BT87,71,FALSE)</f>
        <v>9</v>
      </c>
      <c r="CH15" s="399">
        <f>VLOOKUP(C15,Theory!B18:BU87,72,FALSE)</f>
        <v>0</v>
      </c>
      <c r="CI15" s="399">
        <f>VLOOKUP(C15,Theory!B18:BV87,73,FALSE)</f>
        <v>0</v>
      </c>
      <c r="CJ15" s="399">
        <f>VLOOKUP(C15,Theory!B18:BW87,74,FALSE)</f>
        <v>0</v>
      </c>
      <c r="CK15" s="369">
        <f t="shared" si="17"/>
        <v>9</v>
      </c>
      <c r="CL15" s="386">
        <f>VLOOKUP(C15,Theory!B18:BX87,75,FALSE)</f>
        <v>10</v>
      </c>
      <c r="CM15" s="400">
        <f>VLOOKUP(C15,Theory!B18:BY87,76,FALSE)</f>
        <v>0</v>
      </c>
      <c r="CN15" s="400">
        <f>VLOOKUP(C15,Theory!B18:BZ87,77,FALSE)</f>
        <v>0</v>
      </c>
      <c r="CO15" s="400">
        <f>VLOOKUP(C15,Theory!B18:CA87,78,FALSE)</f>
        <v>0</v>
      </c>
      <c r="CP15" s="386">
        <f>VLOOKUP(C15,Theory!B18:CB87,79,FALSE)</f>
        <v>0</v>
      </c>
      <c r="CQ15" s="386">
        <f>VLOOKUP(C15,Theory!B18:CC87,80,FALSE)</f>
        <v>0</v>
      </c>
      <c r="CR15" s="386">
        <f>VLOOKUP(C15,Theory!B18:CD87,81,FALSE)</f>
        <v>0</v>
      </c>
      <c r="CS15" s="386">
        <f>VLOOKUP(C15,Theory!B18:CE87,82,FALSE)</f>
        <v>0</v>
      </c>
      <c r="CT15" s="369">
        <f t="shared" si="18"/>
        <v>10</v>
      </c>
      <c r="CU15" s="399">
        <f>VLOOKUP(C15,Theory!B18:CF87,83,FALSE)</f>
        <v>9</v>
      </c>
      <c r="CV15" s="400">
        <f>VLOOKUP(C15,Theory!B18:CG87,84,FALSE)</f>
        <v>0</v>
      </c>
      <c r="CW15" s="400">
        <f>VLOOKUP(C15,Theory!B18:CH87,85,FALSE)</f>
        <v>0</v>
      </c>
      <c r="CX15" s="400">
        <f>VLOOKUP(C15,Theory!B18:CI87,86,FALSE)</f>
        <v>0</v>
      </c>
      <c r="CY15" s="399">
        <f>VLOOKUP(C15,Theory!B18:CJ87,87,FALSE)</f>
        <v>0</v>
      </c>
      <c r="CZ15" s="399">
        <f>VLOOKUP(C15,Theory!B18:CK87,88,FALSE)</f>
        <v>0</v>
      </c>
      <c r="DA15" s="399">
        <f>VLOOKUP(C15,Theory!B18:CL87,89,FALSE)</f>
        <v>0</v>
      </c>
      <c r="DB15" s="399">
        <f>VLOOKUP(C15,Theory!B18:CM87,90,FALSE)</f>
        <v>0</v>
      </c>
      <c r="DC15" s="369">
        <f t="shared" si="19"/>
        <v>9</v>
      </c>
      <c r="DD15" s="386">
        <f>VLOOKUP(C15,Theory!B18:CN87,91,FALSE)</f>
        <v>10</v>
      </c>
      <c r="DE15" s="400">
        <f>VLOOKUP(C15,Theory!B18:CO87,92,FALSE)</f>
        <v>0</v>
      </c>
      <c r="DF15" s="400">
        <f>VLOOKUP(C15,Theory!B18:CP87,93,FALSE)</f>
        <v>0</v>
      </c>
      <c r="DG15" s="400">
        <f>VLOOKUP(C15,Theory!B18:CQ87,94,FALSE)</f>
        <v>0</v>
      </c>
      <c r="DH15" s="386">
        <f>VLOOKUP(C15,Theory!B18:CR87,95,FALSE)</f>
        <v>0</v>
      </c>
      <c r="DI15" s="386">
        <f>VLOOKUP(C15,Theory!B18:CS87,96,FALSE)</f>
        <v>0</v>
      </c>
      <c r="DJ15" s="386">
        <f>VLOOKUP(C15,Theory!B18:CT87,97,FALSE)</f>
        <v>0</v>
      </c>
      <c r="DK15" s="386">
        <f>VLOOKUP(C15,Theory!B18:CU87,98,FALSE)</f>
        <v>0</v>
      </c>
      <c r="DL15" s="369">
        <f t="shared" si="20"/>
        <v>10</v>
      </c>
      <c r="DM15" s="411">
        <f t="shared" si="2"/>
        <v>47</v>
      </c>
      <c r="DN15" s="413">
        <f t="shared" ref="DN15:DN16" si="30">AO15</f>
        <v>33</v>
      </c>
      <c r="DO15" s="413">
        <f t="shared" ref="DO15:DO16" si="31">CA15</f>
        <v>22</v>
      </c>
      <c r="DP15" s="413">
        <f t="shared" ref="DP15:DP16" si="32">DM15</f>
        <v>47</v>
      </c>
      <c r="DQ15" s="418">
        <f t="shared" ref="DQ15:DQ16" si="33">ROUND(30*DN15/50,0)</f>
        <v>20</v>
      </c>
      <c r="DR15" s="418">
        <f t="shared" ref="DR15:DR16" si="34">ROUND(30*DO15/50,0)</f>
        <v>13</v>
      </c>
      <c r="DS15" s="418">
        <f t="shared" ref="DS15:DS16" si="35">ROUND(30*DP15/50,0)</f>
        <v>28</v>
      </c>
      <c r="DT15" s="417">
        <f t="shared" ref="DT15:DT78" si="36">ROUND(AVERAGE(DQ15:DS15),0)</f>
        <v>20</v>
      </c>
      <c r="DU15" s="423">
        <f>VLOOKUP(C15,Theory!B18:CV87,99,FALSE)</f>
        <v>6</v>
      </c>
      <c r="DV15" s="423">
        <f>VLOOKUP(C15,Theory!B18:CW87,100,FALSE)</f>
        <v>10</v>
      </c>
      <c r="DW15" s="424">
        <f t="shared" si="27"/>
        <v>16</v>
      </c>
      <c r="DX15" s="421">
        <f t="shared" si="3"/>
        <v>36</v>
      </c>
      <c r="DY15" s="430">
        <f t="shared" si="4"/>
        <v>22</v>
      </c>
      <c r="DZ15" s="431">
        <f>VLOOKUP(C15,Lab!B10:D79,3,FALSE)</f>
        <v>0</v>
      </c>
      <c r="EA15" s="432">
        <f>VLOOKUP(C15,Lab!B10:E79,4,FALSE)</f>
        <v>0</v>
      </c>
      <c r="EB15" s="432">
        <f>VLOOKUP(C15,Lab!B10:F79,5,FALSE)</f>
        <v>30</v>
      </c>
      <c r="EC15" s="422">
        <f t="shared" ref="EC15:EC78" si="37">SUM(DZ15:EB15)</f>
        <v>30</v>
      </c>
      <c r="ED15" s="436">
        <f>VLOOKUP(C15,Lab!B10:G79,6,FALSE)</f>
        <v>0</v>
      </c>
      <c r="EE15" s="436">
        <f>VLOOKUP(C15,Lab!B10:H79,7,FALSE)</f>
        <v>0</v>
      </c>
      <c r="EF15" s="437">
        <f>VLOOKUP(C15,Lab!B10:I79,8,FALSE)</f>
        <v>20</v>
      </c>
      <c r="EG15" s="443">
        <f t="shared" ref="EG15:EG78" si="38">SUM(ED15:EF15)</f>
        <v>20</v>
      </c>
      <c r="EH15" s="444">
        <f t="shared" si="28"/>
        <v>50</v>
      </c>
      <c r="EI15" s="445">
        <f t="shared" si="29"/>
        <v>20</v>
      </c>
      <c r="EJ15" s="446">
        <f t="shared" si="5"/>
        <v>42</v>
      </c>
      <c r="EK15" s="449">
        <v>38.5</v>
      </c>
      <c r="EM15" s="450">
        <f>VLOOKUP(C15,Theory!B18:DK87,114,FALSE)</f>
        <v>0</v>
      </c>
      <c r="EN15" s="450">
        <f>VLOOKUP(C15,Theory!B18:DL87,115,FALSE)</f>
        <v>0</v>
      </c>
      <c r="EO15" s="450">
        <f>VLOOKUP(C15,Theory!B18:DM87,116,FALSE)</f>
        <v>0</v>
      </c>
      <c r="EP15" s="450">
        <f>VLOOKUP(C15,Theory!B18:DN87,117,FALSE)</f>
        <v>0</v>
      </c>
      <c r="EQ15" s="450">
        <f>VLOOKUP(C15,Theory!B18:DO87,118,FALSE)</f>
        <v>0</v>
      </c>
      <c r="ER15" s="451">
        <f>VLOOKUP(C15,Theory!B18:DP87,119,FALSE)</f>
        <v>0</v>
      </c>
      <c r="ES15" s="454">
        <f>VLOOKUP(C15,Theory!B18:DQ87,120,FALSE)</f>
        <v>0</v>
      </c>
      <c r="ET15" s="455">
        <f t="shared" ref="ET15:ET78" si="39">SUM(ER15:ES15)</f>
        <v>0</v>
      </c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</row>
    <row r="16" ht="18.35" spans="1:160">
      <c r="A16" s="164">
        <v>3</v>
      </c>
      <c r="B16" s="289" t="str">
        <f>Theory!C19</f>
        <v>ABHISHEK SINGH</v>
      </c>
      <c r="C16" s="360" t="str">
        <f>Theory!B19</f>
        <v>1DS23AI003</v>
      </c>
      <c r="D16" s="361">
        <f>VLOOKUP(C16,Theory!B19:D88,3,FALSE)</f>
        <v>0</v>
      </c>
      <c r="E16" s="361">
        <f>VLOOKUP(C16,Theory!B19:E88,4,FALSE)</f>
        <v>0</v>
      </c>
      <c r="F16" s="361">
        <f>VLOOKUP(C16,Theory!B19:F88,5,FALSE)</f>
        <v>0</v>
      </c>
      <c r="G16" s="361">
        <f>VLOOKUP(C16,Theory!B19:G88,6,FALSE)</f>
        <v>0</v>
      </c>
      <c r="H16" s="369">
        <f t="shared" si="6"/>
        <v>0</v>
      </c>
      <c r="I16" s="370">
        <f>VLOOKUP(C16,Theory!B19:H88,7,FALSE)</f>
        <v>5</v>
      </c>
      <c r="J16" s="371">
        <f>VLOOKUP(C16,Theory!B19:I88,8,FALSE)</f>
        <v>0</v>
      </c>
      <c r="K16" s="371">
        <f>VLOOKUP(C16,Theory!B19:J88,9,FALSE)</f>
        <v>0</v>
      </c>
      <c r="L16" s="371">
        <f>VLOOKUP(C16,Theory!B19:K88,10,FALSE)</f>
        <v>0</v>
      </c>
      <c r="M16" s="369">
        <f t="shared" si="7"/>
        <v>5</v>
      </c>
      <c r="N16" s="373">
        <f>VLOOKUP(C16,Theory!B19:L88,11,FALSE)</f>
        <v>5</v>
      </c>
      <c r="O16" s="373">
        <f>VLOOKUP(C16,Theory!B19:M88,12,FALSE)</f>
        <v>0</v>
      </c>
      <c r="P16" s="373">
        <f>VLOOKUP(C16,Theory!B19:N88,13,FALSE)</f>
        <v>0</v>
      </c>
      <c r="Q16" s="373">
        <f>VLOOKUP(C16,Theory!B19:O88,14,FALSE)</f>
        <v>0</v>
      </c>
      <c r="R16" s="371">
        <f>VLOOKUP(C16,Theory!B19:P88,15,FALSE)</f>
        <v>0</v>
      </c>
      <c r="S16" s="371">
        <f>VLOOKUP(C16,Theory!B19:Q88,16,FALSE)</f>
        <v>0</v>
      </c>
      <c r="T16" s="371">
        <f>VLOOKUP(C16,Theory!B19:R88,17,FALSE)</f>
        <v>0</v>
      </c>
      <c r="U16" s="371">
        <f>VLOOKUP(C16,Theory!B19:S88,18,FALSE)</f>
        <v>0</v>
      </c>
      <c r="V16" s="369">
        <f t="shared" si="8"/>
        <v>5</v>
      </c>
      <c r="W16" s="361">
        <f>VLOOKUP(C16,Theory!B19:T88,19,FALSE)</f>
        <v>6</v>
      </c>
      <c r="X16" s="361">
        <f>VLOOKUP(C16,Theory!B19:U88,20,FALSE)</f>
        <v>0</v>
      </c>
      <c r="Y16" s="361">
        <f>VLOOKUP(C16,Theory!B19:V88,21,FALSE)</f>
        <v>0</v>
      </c>
      <c r="Z16" s="361">
        <f>VLOOKUP(C16,Theory!B19:W88,22,FALSE)</f>
        <v>0</v>
      </c>
      <c r="AA16" s="370">
        <f>VLOOKUP(C16,Theory!B19:X88,23,FALSE)</f>
        <v>0</v>
      </c>
      <c r="AB16" s="370">
        <f>VLOOKUP(C16,Theory!B19:Y88,24,FALSE)</f>
        <v>0</v>
      </c>
      <c r="AC16" s="370">
        <f>VLOOKUP(C16,Theory!B19:Z88,25,FALSE)</f>
        <v>0</v>
      </c>
      <c r="AD16" s="370">
        <f>VLOOKUP(C16,Theory!B19:AA88,26,FALSE)</f>
        <v>0</v>
      </c>
      <c r="AE16" s="369">
        <f t="shared" si="9"/>
        <v>6</v>
      </c>
      <c r="AF16" s="361">
        <f>VLOOKUP(C16,Theory!B19:AB88,27,FALSE)</f>
        <v>7</v>
      </c>
      <c r="AG16" s="361">
        <f>VLOOKUP(C16,Theory!B19:AC88,28,FALSE)</f>
        <v>0</v>
      </c>
      <c r="AH16" s="361">
        <f>VLOOKUP(C16,Theory!B19:AD88,29,FALSE)</f>
        <v>0</v>
      </c>
      <c r="AI16" s="361">
        <f>VLOOKUP(C16,Theory!B19:AE88,30,FALSE)</f>
        <v>0</v>
      </c>
      <c r="AJ16" s="380">
        <f>VLOOKUP(C16,Theory!B19:AF88,31,FALSE)</f>
        <v>0</v>
      </c>
      <c r="AK16" s="380">
        <f>VLOOKUP(C16,Theory!B19:AG88,32,FALSE)</f>
        <v>0</v>
      </c>
      <c r="AL16" s="380">
        <f>VLOOKUP(C16,Theory!B19:AH88,33,FALSE)</f>
        <v>0</v>
      </c>
      <c r="AM16" s="380">
        <f>VLOOKUP(C16,Theory!B19:AI88,34,FALSE)</f>
        <v>0</v>
      </c>
      <c r="AN16" s="369">
        <f t="shared" si="10"/>
        <v>7</v>
      </c>
      <c r="AO16" s="385">
        <f t="shared" si="0"/>
        <v>23</v>
      </c>
      <c r="AP16" s="386">
        <f>VLOOKUP(C16,Theory!B19:AJ88,35,FALSE)</f>
        <v>8</v>
      </c>
      <c r="AQ16" s="386">
        <f>VLOOKUP(C16,Theory!B19:AK88,36,FALSE)</f>
        <v>0</v>
      </c>
      <c r="AR16" s="386">
        <f>VLOOKUP(C16,Theory!B19:AL88,37,FALSE)</f>
        <v>0</v>
      </c>
      <c r="AS16" s="386">
        <f>VLOOKUP(C16,Theory!B19:AM88,38,FALSE)</f>
        <v>0</v>
      </c>
      <c r="AT16" s="369">
        <f t="shared" si="11"/>
        <v>8</v>
      </c>
      <c r="AU16" s="386">
        <f>VLOOKUP(C16,Theory!B19:AN88,39,FALSE)</f>
        <v>9</v>
      </c>
      <c r="AV16" s="386">
        <f>VLOOKUP(C16,Theory!B19:AO88,40,FALSE)</f>
        <v>0</v>
      </c>
      <c r="AW16" s="386">
        <f>VLOOKUP(C16,Theory!B19:AP88,41,FALSE)</f>
        <v>0</v>
      </c>
      <c r="AX16" s="386">
        <f>VLOOKUP(C16,Theory!B19:AQ88,42,FALSE)</f>
        <v>0</v>
      </c>
      <c r="AY16" s="369">
        <f t="shared" si="12"/>
        <v>9</v>
      </c>
      <c r="AZ16" s="386">
        <f>VLOOKUP(C16,Theory!B19:AR88,43,FALSE)</f>
        <v>0</v>
      </c>
      <c r="BA16" s="386">
        <f>VLOOKUP(C16,Theory!B19:AS88,44,FALSE)</f>
        <v>0</v>
      </c>
      <c r="BB16" s="386">
        <f>VLOOKUP(C16,Theory!B19:AT88,45,FALSE)</f>
        <v>0</v>
      </c>
      <c r="BC16" s="386">
        <f>VLOOKUP(C16,Theory!B19:AU88,46,FALSE)</f>
        <v>0</v>
      </c>
      <c r="BD16" s="386">
        <f>VLOOKUP(C16,Theory!B19:AV88,47,FALSE)</f>
        <v>9</v>
      </c>
      <c r="BE16" s="386">
        <f>VLOOKUP(C16,Theory!B19:AW88,48,FALSE)</f>
        <v>0</v>
      </c>
      <c r="BF16" s="386">
        <f>VLOOKUP(C16,Theory!B19:AX88,49,FALSE)</f>
        <v>0</v>
      </c>
      <c r="BG16" s="386">
        <f>VLOOKUP(C16,Theory!B19:AY88,50,FALSE)</f>
        <v>0</v>
      </c>
      <c r="BH16" s="369">
        <f t="shared" si="13"/>
        <v>9</v>
      </c>
      <c r="BI16" s="386">
        <f>VLOOKUP(C16,Theory!B19:AZ88,51,FALSE)</f>
        <v>10</v>
      </c>
      <c r="BJ16" s="386">
        <f>VLOOKUP(C16,Theory!B19:BA88,52,FALSE)</f>
        <v>0</v>
      </c>
      <c r="BK16" s="386">
        <f>VLOOKUP(C16,Theory!B19:BB88,53,FALSE)</f>
        <v>0</v>
      </c>
      <c r="BL16" s="386">
        <f>VLOOKUP(C16,Theory!B19:BC88,54,FALSE)</f>
        <v>0</v>
      </c>
      <c r="BM16" s="386">
        <f>VLOOKUP(C16,Theory!B19:BD88,55,FALSE)</f>
        <v>0</v>
      </c>
      <c r="BN16" s="386">
        <f>VLOOKUP(C16,Theory!B19:BE88,56,FALSE)</f>
        <v>0</v>
      </c>
      <c r="BO16" s="386">
        <f>VLOOKUP(C16,Theory!B19:BF88,57,FALSE)</f>
        <v>0</v>
      </c>
      <c r="BP16" s="386">
        <f>VLOOKUP(C16,Theory!B19:BG88,58,FALSE)</f>
        <v>0</v>
      </c>
      <c r="BQ16" s="369">
        <f t="shared" si="14"/>
        <v>10</v>
      </c>
      <c r="BR16" s="386">
        <f>VLOOKUP(C16,Theory!B19:BH88,59,FALSE)</f>
        <v>0</v>
      </c>
      <c r="BS16" s="386">
        <f>VLOOKUP(C16,Theory!B19:BI88,60,FALSE)</f>
        <v>0</v>
      </c>
      <c r="BT16" s="386">
        <f>VLOOKUP(C16,Theory!B19:BJ88,61,FALSE)</f>
        <v>0</v>
      </c>
      <c r="BU16" s="386">
        <f>VLOOKUP(C16,Theory!B19:BK88,62,FALSE)</f>
        <v>0</v>
      </c>
      <c r="BV16" s="386">
        <f>VLOOKUP(C16,Theory!B19:BL88,63,FALSE)</f>
        <v>0</v>
      </c>
      <c r="BW16" s="386">
        <f>VLOOKUP(C16,Theory!B19:BM88,64,FALSE)</f>
        <v>0</v>
      </c>
      <c r="BX16" s="386">
        <f>VLOOKUP(C16,Theory!B19:BN88,65,FALSE)</f>
        <v>0</v>
      </c>
      <c r="BY16" s="386">
        <f>VLOOKUP(C16,Theory!B19:BO88,66,FALSE)</f>
        <v>0</v>
      </c>
      <c r="BZ16" s="369">
        <f t="shared" si="15"/>
        <v>0</v>
      </c>
      <c r="CA16" s="385">
        <f t="shared" si="1"/>
        <v>36</v>
      </c>
      <c r="CB16" s="386">
        <f>VLOOKUP(C16,Theory!B19:BP88,67,FALSE)</f>
        <v>8</v>
      </c>
      <c r="CC16" s="386">
        <f>VLOOKUP(C16,Theory!B19:BQ88,68,FALSE)</f>
        <v>0</v>
      </c>
      <c r="CD16" s="386">
        <f>VLOOKUP(C16,Theory!B19:BR88,69,FALSE)</f>
        <v>0</v>
      </c>
      <c r="CE16" s="386">
        <f>VLOOKUP(C16,Theory!B19:BS88,70,FALSE)</f>
        <v>0</v>
      </c>
      <c r="CF16" s="369">
        <f t="shared" si="16"/>
        <v>8</v>
      </c>
      <c r="CG16" s="399">
        <f>VLOOKUP(C16,Theory!B19:BT88,71,FALSE)</f>
        <v>4</v>
      </c>
      <c r="CH16" s="399">
        <f>VLOOKUP(C16,Theory!B19:BU88,72,FALSE)</f>
        <v>0</v>
      </c>
      <c r="CI16" s="399">
        <f>VLOOKUP(C16,Theory!B19:BV88,73,FALSE)</f>
        <v>0</v>
      </c>
      <c r="CJ16" s="399">
        <f>VLOOKUP(C16,Theory!B19:BW88,74,FALSE)</f>
        <v>0</v>
      </c>
      <c r="CK16" s="369">
        <f t="shared" si="17"/>
        <v>4</v>
      </c>
      <c r="CL16" s="386">
        <f>VLOOKUP(C16,Theory!B19:BX88,75,FALSE)</f>
        <v>0</v>
      </c>
      <c r="CM16" s="400">
        <f>VLOOKUP(C16,Theory!B19:BY88,76,FALSE)</f>
        <v>0</v>
      </c>
      <c r="CN16" s="400">
        <f>VLOOKUP(C16,Theory!B19:BZ88,77,FALSE)</f>
        <v>0</v>
      </c>
      <c r="CO16" s="400">
        <f>VLOOKUP(C16,Theory!B19:CA88,78,FALSE)</f>
        <v>0</v>
      </c>
      <c r="CP16" s="386">
        <f>VLOOKUP(C16,Theory!B19:CB88,79,FALSE)</f>
        <v>8</v>
      </c>
      <c r="CQ16" s="386">
        <f>VLOOKUP(C16,Theory!B19:CC88,80,FALSE)</f>
        <v>0</v>
      </c>
      <c r="CR16" s="386">
        <f>VLOOKUP(C16,Theory!B19:CD88,81,FALSE)</f>
        <v>0</v>
      </c>
      <c r="CS16" s="386">
        <f>VLOOKUP(C16,Theory!B19:CE88,82,FALSE)</f>
        <v>0</v>
      </c>
      <c r="CT16" s="369">
        <f t="shared" si="18"/>
        <v>8</v>
      </c>
      <c r="CU16" s="399">
        <f>VLOOKUP(C16,Theory!B19:CF88,83,FALSE)</f>
        <v>0</v>
      </c>
      <c r="CV16" s="400">
        <f>VLOOKUP(C16,Theory!B19:CG88,84,FALSE)</f>
        <v>0</v>
      </c>
      <c r="CW16" s="400">
        <f>VLOOKUP(C16,Theory!B19:CH88,85,FALSE)</f>
        <v>0</v>
      </c>
      <c r="CX16" s="400">
        <f>VLOOKUP(C16,Theory!B19:CI88,86,FALSE)</f>
        <v>0</v>
      </c>
      <c r="CY16" s="399">
        <f>VLOOKUP(C16,Theory!B19:CJ88,87,FALSE)</f>
        <v>0</v>
      </c>
      <c r="CZ16" s="399">
        <f>VLOOKUP(C16,Theory!B19:CK88,88,FALSE)</f>
        <v>0</v>
      </c>
      <c r="DA16" s="399">
        <f>VLOOKUP(C16,Theory!B19:CL88,89,FALSE)</f>
        <v>0</v>
      </c>
      <c r="DB16" s="399">
        <f>VLOOKUP(C16,Theory!B19:CM88,90,FALSE)</f>
        <v>0</v>
      </c>
      <c r="DC16" s="369">
        <f t="shared" si="19"/>
        <v>0</v>
      </c>
      <c r="DD16" s="386">
        <f>VLOOKUP(C16,Theory!B19:CN88,91,FALSE)</f>
        <v>5</v>
      </c>
      <c r="DE16" s="400">
        <f>VLOOKUP(C16,Theory!B19:CO88,92,FALSE)</f>
        <v>0</v>
      </c>
      <c r="DF16" s="400">
        <f>VLOOKUP(C16,Theory!B19:CP88,93,FALSE)</f>
        <v>0</v>
      </c>
      <c r="DG16" s="400">
        <f>VLOOKUP(C16,Theory!B19:CQ88,94,FALSE)</f>
        <v>0</v>
      </c>
      <c r="DH16" s="386">
        <f>VLOOKUP(C16,Theory!B19:CR88,95,FALSE)</f>
        <v>0</v>
      </c>
      <c r="DI16" s="386">
        <f>VLOOKUP(C16,Theory!B19:CS88,96,FALSE)</f>
        <v>0</v>
      </c>
      <c r="DJ16" s="386">
        <f>VLOOKUP(C16,Theory!B19:CT88,97,FALSE)</f>
        <v>0</v>
      </c>
      <c r="DK16" s="386">
        <f>VLOOKUP(C16,Theory!B19:CU88,98,FALSE)</f>
        <v>0</v>
      </c>
      <c r="DL16" s="369">
        <f t="shared" si="20"/>
        <v>5</v>
      </c>
      <c r="DM16" s="411">
        <f t="shared" si="2"/>
        <v>25</v>
      </c>
      <c r="DN16" s="413">
        <f t="shared" si="30"/>
        <v>23</v>
      </c>
      <c r="DO16" s="413">
        <f t="shared" si="31"/>
        <v>36</v>
      </c>
      <c r="DP16" s="413">
        <f t="shared" si="32"/>
        <v>25</v>
      </c>
      <c r="DQ16" s="418">
        <f t="shared" si="33"/>
        <v>14</v>
      </c>
      <c r="DR16" s="418">
        <f t="shared" si="34"/>
        <v>22</v>
      </c>
      <c r="DS16" s="418">
        <f t="shared" si="35"/>
        <v>15</v>
      </c>
      <c r="DT16" s="417">
        <f t="shared" si="36"/>
        <v>17</v>
      </c>
      <c r="DU16" s="423">
        <f>VLOOKUP(C16,Theory!B19:CV88,99,FALSE)</f>
        <v>6</v>
      </c>
      <c r="DV16" s="423">
        <f>VLOOKUP(C16,Theory!B19:CW88,100,FALSE)</f>
        <v>10</v>
      </c>
      <c r="DW16" s="424">
        <f t="shared" si="27"/>
        <v>16</v>
      </c>
      <c r="DX16" s="421">
        <f t="shared" si="3"/>
        <v>33</v>
      </c>
      <c r="DY16" s="430">
        <f t="shared" si="4"/>
        <v>20</v>
      </c>
      <c r="DZ16" s="431">
        <f>VLOOKUP(C16,Lab!B11:D80,3,FALSE)</f>
        <v>0</v>
      </c>
      <c r="EA16" s="432">
        <f>VLOOKUP(C16,Lab!B11:E80,4,FALSE)</f>
        <v>0</v>
      </c>
      <c r="EB16" s="432">
        <f>VLOOKUP(C16,Lab!B11:F80,5,FALSE)</f>
        <v>25</v>
      </c>
      <c r="EC16" s="422">
        <f t="shared" si="37"/>
        <v>25</v>
      </c>
      <c r="ED16" s="436">
        <f>VLOOKUP(C16,Lab!B11:G80,6,FALSE)</f>
        <v>0</v>
      </c>
      <c r="EE16" s="436">
        <f>VLOOKUP(C16,Lab!B11:H80,7,FALSE)</f>
        <v>0</v>
      </c>
      <c r="EF16" s="437">
        <v>10</v>
      </c>
      <c r="EG16" s="443">
        <f t="shared" si="38"/>
        <v>10</v>
      </c>
      <c r="EH16" s="444">
        <f t="shared" si="28"/>
        <v>35</v>
      </c>
      <c r="EI16" s="445">
        <f t="shared" si="29"/>
        <v>14</v>
      </c>
      <c r="EJ16" s="446">
        <f t="shared" si="5"/>
        <v>34</v>
      </c>
      <c r="EK16" s="449">
        <v>30</v>
      </c>
      <c r="EM16" s="450">
        <f>VLOOKUP(C16,Theory!B19:DK88,114,FALSE)</f>
        <v>0</v>
      </c>
      <c r="EN16" s="450">
        <f>VLOOKUP(C16,Theory!B19:DL88,115,FALSE)</f>
        <v>0</v>
      </c>
      <c r="EO16" s="450">
        <f>VLOOKUP(C16,Theory!B19:DM88,116,FALSE)</f>
        <v>0</v>
      </c>
      <c r="EP16" s="450">
        <f>VLOOKUP(C16,Theory!B19:DN88,117,FALSE)</f>
        <v>0</v>
      </c>
      <c r="EQ16" s="450">
        <f>VLOOKUP(C16,Theory!B19:DO88,118,FALSE)</f>
        <v>0</v>
      </c>
      <c r="ER16" s="451">
        <f>VLOOKUP(C16,Theory!B19:DP88,119,FALSE)</f>
        <v>0</v>
      </c>
      <c r="ES16" s="454">
        <f>VLOOKUP(C16,Theory!B19:DQ88,120,FALSE)</f>
        <v>0</v>
      </c>
      <c r="ET16" s="455">
        <f t="shared" si="39"/>
        <v>0</v>
      </c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</row>
    <row r="17" ht="18.35" spans="1:160">
      <c r="A17" s="164">
        <v>4</v>
      </c>
      <c r="B17" s="289" t="str">
        <f>Theory!C20</f>
        <v>ABHISHEK V</v>
      </c>
      <c r="C17" s="360" t="str">
        <f>Theory!B20</f>
        <v>1DS23AI004</v>
      </c>
      <c r="D17" s="361">
        <f>VLOOKUP(C17,Theory!B20:D89,3,FALSE)</f>
        <v>7</v>
      </c>
      <c r="E17" s="361">
        <f>VLOOKUP(C17,Theory!B20:E89,4,FALSE)</f>
        <v>0</v>
      </c>
      <c r="F17" s="361">
        <f>VLOOKUP(C17,Theory!B20:F89,5,FALSE)</f>
        <v>0</v>
      </c>
      <c r="G17" s="361">
        <f>VLOOKUP(C17,Theory!B20:G89,6,FALSE)</f>
        <v>0</v>
      </c>
      <c r="H17" s="369">
        <f t="shared" si="6"/>
        <v>7</v>
      </c>
      <c r="I17" s="370">
        <f>VLOOKUP(C17,Theory!B20:H89,7,FALSE)</f>
        <v>8</v>
      </c>
      <c r="J17" s="371">
        <f>VLOOKUP(C17,Theory!B20:I89,8,FALSE)</f>
        <v>0</v>
      </c>
      <c r="K17" s="371">
        <f>VLOOKUP(C17,Theory!B20:J89,9,FALSE)</f>
        <v>0</v>
      </c>
      <c r="L17" s="371">
        <f>VLOOKUP(C17,Theory!B20:K89,10,FALSE)</f>
        <v>0</v>
      </c>
      <c r="M17" s="369">
        <f t="shared" si="7"/>
        <v>8</v>
      </c>
      <c r="N17" s="373">
        <f>VLOOKUP(C17,Theory!B20:L89,11,FALSE)</f>
        <v>6</v>
      </c>
      <c r="O17" s="373">
        <f>VLOOKUP(C17,Theory!B20:M89,12,FALSE)</f>
        <v>0</v>
      </c>
      <c r="P17" s="373">
        <f>VLOOKUP(C17,Theory!B20:N89,13,FALSE)</f>
        <v>0</v>
      </c>
      <c r="Q17" s="373">
        <f>VLOOKUP(C17,Theory!B20:O89,14,FALSE)</f>
        <v>0</v>
      </c>
      <c r="R17" s="371">
        <f>VLOOKUP(C17,Theory!B20:P89,15,FALSE)</f>
        <v>0</v>
      </c>
      <c r="S17" s="371">
        <f>VLOOKUP(C17,Theory!B20:Q89,16,FALSE)</f>
        <v>0</v>
      </c>
      <c r="T17" s="371">
        <f>VLOOKUP(C17,Theory!B20:R89,17,FALSE)</f>
        <v>0</v>
      </c>
      <c r="U17" s="371">
        <f>VLOOKUP(C17,Theory!B20:S89,18,FALSE)</f>
        <v>0</v>
      </c>
      <c r="V17" s="369">
        <f t="shared" si="8"/>
        <v>6</v>
      </c>
      <c r="W17" s="361">
        <f>VLOOKUP(C17,Theory!B20:T89,19,FALSE)</f>
        <v>7</v>
      </c>
      <c r="X17" s="361">
        <f>VLOOKUP(C17,Theory!B20:U89,20,FALSE)</f>
        <v>0</v>
      </c>
      <c r="Y17" s="361">
        <f>VLOOKUP(C17,Theory!B20:V89,21,FALSE)</f>
        <v>0</v>
      </c>
      <c r="Z17" s="361">
        <f>VLOOKUP(C17,Theory!B20:W89,22,FALSE)</f>
        <v>0</v>
      </c>
      <c r="AA17" s="370">
        <f>VLOOKUP(C17,Theory!B20:X89,23,FALSE)</f>
        <v>0</v>
      </c>
      <c r="AB17" s="370">
        <f>VLOOKUP(C17,Theory!B20:Y89,24,FALSE)</f>
        <v>0</v>
      </c>
      <c r="AC17" s="370">
        <f>VLOOKUP(C17,Theory!B20:Z89,25,FALSE)</f>
        <v>0</v>
      </c>
      <c r="AD17" s="370">
        <f>VLOOKUP(C17,Theory!B20:AA89,26,FALSE)</f>
        <v>0</v>
      </c>
      <c r="AE17" s="369">
        <f t="shared" si="9"/>
        <v>7</v>
      </c>
      <c r="AF17" s="361">
        <f>VLOOKUP(C17,Theory!B20:AB89,27,FALSE)</f>
        <v>0</v>
      </c>
      <c r="AG17" s="361">
        <f>VLOOKUP(C17,Theory!B20:AC89,28,FALSE)</f>
        <v>0</v>
      </c>
      <c r="AH17" s="361">
        <f>VLOOKUP(C17,Theory!B20:AD89,29,FALSE)</f>
        <v>0</v>
      </c>
      <c r="AI17" s="361">
        <f>VLOOKUP(C17,Theory!B20:AE89,30,FALSE)</f>
        <v>0</v>
      </c>
      <c r="AJ17" s="380">
        <f>VLOOKUP(C17,Theory!B20:AF89,31,FALSE)</f>
        <v>10</v>
      </c>
      <c r="AK17" s="380">
        <f>VLOOKUP(C17,Theory!B20:AG89,32,FALSE)</f>
        <v>0</v>
      </c>
      <c r="AL17" s="380">
        <f>VLOOKUP(C17,Theory!B20:AH89,33,FALSE)</f>
        <v>0</v>
      </c>
      <c r="AM17" s="380">
        <f>VLOOKUP(C17,Theory!B20:AI89,34,FALSE)</f>
        <v>0</v>
      </c>
      <c r="AN17" s="369">
        <f t="shared" si="10"/>
        <v>10</v>
      </c>
      <c r="AO17" s="385">
        <f t="shared" si="0"/>
        <v>38</v>
      </c>
      <c r="AP17" s="386">
        <f>VLOOKUP(C17,Theory!B20:AJ89,35,FALSE)</f>
        <v>4</v>
      </c>
      <c r="AQ17" s="386">
        <f>VLOOKUP(C17,Theory!B20:AK89,36,FALSE)</f>
        <v>0</v>
      </c>
      <c r="AR17" s="386">
        <f>VLOOKUP(C17,Theory!B20:AL89,37,FALSE)</f>
        <v>0</v>
      </c>
      <c r="AS17" s="386">
        <f>VLOOKUP(C17,Theory!B20:AM89,38,FALSE)</f>
        <v>0</v>
      </c>
      <c r="AT17" s="369">
        <f t="shared" si="11"/>
        <v>4</v>
      </c>
      <c r="AU17" s="386">
        <f>VLOOKUP(C17,Theory!B20:AN89,39,FALSE)</f>
        <v>7</v>
      </c>
      <c r="AV17" s="386">
        <f>VLOOKUP(C17,Theory!B20:AO89,40,FALSE)</f>
        <v>0</v>
      </c>
      <c r="AW17" s="386">
        <f>VLOOKUP(C17,Theory!B20:AP89,41,FALSE)</f>
        <v>0</v>
      </c>
      <c r="AX17" s="386">
        <f>VLOOKUP(C17,Theory!B20:AQ89,42,FALSE)</f>
        <v>0</v>
      </c>
      <c r="AY17" s="369">
        <f t="shared" si="12"/>
        <v>7</v>
      </c>
      <c r="AZ17" s="386">
        <f>VLOOKUP(C17,Theory!B20:AR89,43,FALSE)</f>
        <v>0</v>
      </c>
      <c r="BA17" s="386">
        <f>VLOOKUP(C17,Theory!B20:AS89,44,FALSE)</f>
        <v>0</v>
      </c>
      <c r="BB17" s="386">
        <f>VLOOKUP(C17,Theory!B20:AT89,45,FALSE)</f>
        <v>0</v>
      </c>
      <c r="BC17" s="386">
        <f>VLOOKUP(C17,Theory!B20:AU89,46,FALSE)</f>
        <v>0</v>
      </c>
      <c r="BD17" s="386">
        <f>VLOOKUP(C17,Theory!B20:AV89,47,FALSE)</f>
        <v>8</v>
      </c>
      <c r="BE17" s="386">
        <f>VLOOKUP(C17,Theory!B20:AW89,48,FALSE)</f>
        <v>0</v>
      </c>
      <c r="BF17" s="386">
        <f>VLOOKUP(C17,Theory!B20:AX89,49,FALSE)</f>
        <v>0</v>
      </c>
      <c r="BG17" s="386">
        <f>VLOOKUP(C17,Theory!B20:AY89,50,FALSE)</f>
        <v>0</v>
      </c>
      <c r="BH17" s="369">
        <f t="shared" si="13"/>
        <v>8</v>
      </c>
      <c r="BI17" s="386">
        <f>VLOOKUP(C17,Theory!B20:AZ89,51,FALSE)</f>
        <v>4</v>
      </c>
      <c r="BJ17" s="386">
        <f>VLOOKUP(C17,Theory!B20:BA89,52,FALSE)</f>
        <v>0</v>
      </c>
      <c r="BK17" s="386">
        <f>VLOOKUP(C17,Theory!B20:BB89,53,FALSE)</f>
        <v>0</v>
      </c>
      <c r="BL17" s="386">
        <f>VLOOKUP(C17,Theory!B20:BC89,54,FALSE)</f>
        <v>0</v>
      </c>
      <c r="BM17" s="386">
        <f>VLOOKUP(C17,Theory!B20:BD89,55,FALSE)</f>
        <v>0</v>
      </c>
      <c r="BN17" s="386">
        <f>VLOOKUP(C17,Theory!B20:BE89,56,FALSE)</f>
        <v>0</v>
      </c>
      <c r="BO17" s="386">
        <f>VLOOKUP(C17,Theory!B20:BF89,57,FALSE)</f>
        <v>0</v>
      </c>
      <c r="BP17" s="386">
        <f>VLOOKUP(C17,Theory!B20:BG89,58,FALSE)</f>
        <v>0</v>
      </c>
      <c r="BQ17" s="369">
        <f t="shared" si="14"/>
        <v>4</v>
      </c>
      <c r="BR17" s="386">
        <f>VLOOKUP(C17,Theory!B20:BH89,59,FALSE)</f>
        <v>5</v>
      </c>
      <c r="BS17" s="386">
        <f>VLOOKUP(C17,Theory!B20:BI89,60,FALSE)</f>
        <v>0</v>
      </c>
      <c r="BT17" s="386">
        <f>VLOOKUP(C17,Theory!B20:BJ89,61,FALSE)</f>
        <v>0</v>
      </c>
      <c r="BU17" s="386">
        <f>VLOOKUP(C17,Theory!B20:BK89,62,FALSE)</f>
        <v>0</v>
      </c>
      <c r="BV17" s="386">
        <f>VLOOKUP(C17,Theory!B20:BL89,63,FALSE)</f>
        <v>0</v>
      </c>
      <c r="BW17" s="386">
        <f>VLOOKUP(C17,Theory!B20:BM89,64,FALSE)</f>
        <v>0</v>
      </c>
      <c r="BX17" s="386">
        <f>VLOOKUP(C17,Theory!B20:BN89,65,FALSE)</f>
        <v>0</v>
      </c>
      <c r="BY17" s="386">
        <f>VLOOKUP(C17,Theory!B20:BO89,66,FALSE)</f>
        <v>0</v>
      </c>
      <c r="BZ17" s="369">
        <f t="shared" si="15"/>
        <v>5</v>
      </c>
      <c r="CA17" s="385">
        <f t="shared" si="1"/>
        <v>28</v>
      </c>
      <c r="CB17" s="386">
        <f>VLOOKUP(C17,Theory!B20:BP89,67,FALSE)</f>
        <v>5</v>
      </c>
      <c r="CC17" s="386">
        <f>VLOOKUP(C17,Theory!B20:BQ89,68,FALSE)</f>
        <v>0</v>
      </c>
      <c r="CD17" s="386">
        <f>VLOOKUP(C17,Theory!B20:BR89,69,FALSE)</f>
        <v>0</v>
      </c>
      <c r="CE17" s="386">
        <f>VLOOKUP(C17,Theory!B20:BS89,70,FALSE)</f>
        <v>0</v>
      </c>
      <c r="CF17" s="369">
        <f t="shared" si="16"/>
        <v>5</v>
      </c>
      <c r="CG17" s="399">
        <f>VLOOKUP(C17,Theory!B20:BT89,71,FALSE)</f>
        <v>8</v>
      </c>
      <c r="CH17" s="399">
        <f>VLOOKUP(C17,Theory!B20:BU89,72,FALSE)</f>
        <v>0</v>
      </c>
      <c r="CI17" s="399">
        <f>VLOOKUP(C17,Theory!B20:BV89,73,FALSE)</f>
        <v>0</v>
      </c>
      <c r="CJ17" s="399">
        <f>VLOOKUP(C17,Theory!B20:BW89,74,FALSE)</f>
        <v>0</v>
      </c>
      <c r="CK17" s="369">
        <f t="shared" si="17"/>
        <v>8</v>
      </c>
      <c r="CL17" s="386">
        <f>VLOOKUP(C17,Theory!B20:BX89,75,FALSE)</f>
        <v>0</v>
      </c>
      <c r="CM17" s="400">
        <f>VLOOKUP(C17,Theory!B20:BY89,76,FALSE)</f>
        <v>0</v>
      </c>
      <c r="CN17" s="400">
        <f>VLOOKUP(C17,Theory!B20:BZ89,77,FALSE)</f>
        <v>0</v>
      </c>
      <c r="CO17" s="400">
        <f>VLOOKUP(C17,Theory!B20:CA89,78,FALSE)</f>
        <v>0</v>
      </c>
      <c r="CP17" s="386">
        <f>VLOOKUP(C17,Theory!B20:CB89,79,FALSE)</f>
        <v>1</v>
      </c>
      <c r="CQ17" s="386">
        <f>VLOOKUP(C17,Theory!B20:CC89,80,FALSE)</f>
        <v>0</v>
      </c>
      <c r="CR17" s="386">
        <f>VLOOKUP(C17,Theory!B20:CD89,81,FALSE)</f>
        <v>0</v>
      </c>
      <c r="CS17" s="386">
        <f>VLOOKUP(C17,Theory!B20:CE89,82,FALSE)</f>
        <v>0</v>
      </c>
      <c r="CT17" s="369">
        <f t="shared" si="18"/>
        <v>1</v>
      </c>
      <c r="CU17" s="399">
        <f>VLOOKUP(C17,Theory!B20:CF89,83,FALSE)</f>
        <v>5</v>
      </c>
      <c r="CV17" s="400">
        <f>VLOOKUP(C17,Theory!B20:CG89,84,FALSE)</f>
        <v>0</v>
      </c>
      <c r="CW17" s="400">
        <f>VLOOKUP(C17,Theory!B20:CH89,85,FALSE)</f>
        <v>0</v>
      </c>
      <c r="CX17" s="400">
        <f>VLOOKUP(C17,Theory!B20:CI89,86,FALSE)</f>
        <v>0</v>
      </c>
      <c r="CY17" s="399">
        <f>VLOOKUP(C17,Theory!B20:CJ89,87,FALSE)</f>
        <v>0</v>
      </c>
      <c r="CZ17" s="399">
        <f>VLOOKUP(C17,Theory!B20:CK89,88,FALSE)</f>
        <v>0</v>
      </c>
      <c r="DA17" s="399">
        <f>VLOOKUP(C17,Theory!B20:CL89,89,FALSE)</f>
        <v>0</v>
      </c>
      <c r="DB17" s="399">
        <f>VLOOKUP(C17,Theory!B20:CM89,90,FALSE)</f>
        <v>0</v>
      </c>
      <c r="DC17" s="369">
        <f t="shared" si="19"/>
        <v>5</v>
      </c>
      <c r="DD17" s="386">
        <f>VLOOKUP(C17,Theory!B20:CN89,91,FALSE)</f>
        <v>0</v>
      </c>
      <c r="DE17" s="400">
        <f>VLOOKUP(C17,Theory!B20:CO89,92,FALSE)</f>
        <v>0</v>
      </c>
      <c r="DF17" s="400">
        <f>VLOOKUP(C17,Theory!B20:CP89,93,FALSE)</f>
        <v>0</v>
      </c>
      <c r="DG17" s="400">
        <f>VLOOKUP(C17,Theory!B20:CQ89,94,FALSE)</f>
        <v>0</v>
      </c>
      <c r="DH17" s="386">
        <f>VLOOKUP(C17,Theory!B20:CR89,95,FALSE)</f>
        <v>0</v>
      </c>
      <c r="DI17" s="386">
        <f>VLOOKUP(C17,Theory!B20:CS89,96,FALSE)</f>
        <v>0</v>
      </c>
      <c r="DJ17" s="386">
        <f>VLOOKUP(C17,Theory!B20:CT89,97,FALSE)</f>
        <v>0</v>
      </c>
      <c r="DK17" s="386">
        <f>VLOOKUP(C17,Theory!B20:CU89,98,FALSE)</f>
        <v>0</v>
      </c>
      <c r="DL17" s="369">
        <f t="shared" si="20"/>
        <v>0</v>
      </c>
      <c r="DM17" s="411">
        <f t="shared" si="2"/>
        <v>19</v>
      </c>
      <c r="DN17" s="413">
        <f t="shared" ref="DN17:DN80" si="40">AO17</f>
        <v>38</v>
      </c>
      <c r="DO17" s="413">
        <f t="shared" ref="DO17:DO80" si="41">CA17</f>
        <v>28</v>
      </c>
      <c r="DP17" s="413">
        <f t="shared" ref="DP17:DP80" si="42">DM17</f>
        <v>19</v>
      </c>
      <c r="DQ17" s="418">
        <f t="shared" ref="DQ17:DQ80" si="43">ROUND(30*DN17/50,0)</f>
        <v>23</v>
      </c>
      <c r="DR17" s="418">
        <f t="shared" ref="DR17:DR80" si="44">ROUND(30*DO17/50,0)</f>
        <v>17</v>
      </c>
      <c r="DS17" s="418">
        <f t="shared" ref="DS17:DS80" si="45">ROUND(30*DP17/50,0)</f>
        <v>11</v>
      </c>
      <c r="DT17" s="417">
        <f t="shared" si="36"/>
        <v>17</v>
      </c>
      <c r="DU17" s="423">
        <f>VLOOKUP(C17,Theory!B20:CV89,99,FALSE)</f>
        <v>8</v>
      </c>
      <c r="DV17" s="423">
        <f>VLOOKUP(C17,Theory!B20:CW89,100,FALSE)</f>
        <v>10</v>
      </c>
      <c r="DW17" s="424">
        <f t="shared" si="27"/>
        <v>18</v>
      </c>
      <c r="DX17" s="421">
        <f t="shared" si="3"/>
        <v>35</v>
      </c>
      <c r="DY17" s="430">
        <f t="shared" si="4"/>
        <v>21</v>
      </c>
      <c r="DZ17" s="431">
        <f>VLOOKUP(C17,Lab!B12:D81,3,FALSE)</f>
        <v>0</v>
      </c>
      <c r="EA17" s="432">
        <f>VLOOKUP(C17,Lab!B12:E81,4,FALSE)</f>
        <v>0</v>
      </c>
      <c r="EB17" s="432">
        <f>VLOOKUP(C17,Lab!B12:F81,5,FALSE)</f>
        <v>28</v>
      </c>
      <c r="EC17" s="422">
        <f t="shared" si="37"/>
        <v>28</v>
      </c>
      <c r="ED17" s="436">
        <f>VLOOKUP(C17,Lab!B12:G81,6,FALSE)</f>
        <v>0</v>
      </c>
      <c r="EE17" s="436">
        <f>VLOOKUP(C17,Lab!B12:H81,7,FALSE)</f>
        <v>0</v>
      </c>
      <c r="EF17" s="437">
        <v>15</v>
      </c>
      <c r="EG17" s="443">
        <f t="shared" si="38"/>
        <v>15</v>
      </c>
      <c r="EH17" s="444">
        <f t="shared" si="28"/>
        <v>43</v>
      </c>
      <c r="EI17" s="445">
        <f t="shared" si="29"/>
        <v>17</v>
      </c>
      <c r="EJ17" s="446">
        <f t="shared" si="5"/>
        <v>38</v>
      </c>
      <c r="EK17" s="449">
        <v>32.5</v>
      </c>
      <c r="EM17" s="450">
        <f>VLOOKUP(C17,Theory!B20:DK89,114,FALSE)</f>
        <v>0</v>
      </c>
      <c r="EN17" s="450">
        <f>VLOOKUP(C17,Theory!B20:DL89,115,FALSE)</f>
        <v>0</v>
      </c>
      <c r="EO17" s="450">
        <f>VLOOKUP(C17,Theory!B20:DM89,116,FALSE)</f>
        <v>0</v>
      </c>
      <c r="EP17" s="450">
        <f>VLOOKUP(C17,Theory!B20:DN89,117,FALSE)</f>
        <v>0</v>
      </c>
      <c r="EQ17" s="450">
        <f>VLOOKUP(C17,Theory!B20:DO89,118,FALSE)</f>
        <v>0</v>
      </c>
      <c r="ER17" s="451">
        <f>VLOOKUP(C17,Theory!B20:DP89,119,FALSE)</f>
        <v>0</v>
      </c>
      <c r="ES17" s="454">
        <f>VLOOKUP(C17,Theory!B20:DQ89,120,FALSE)</f>
        <v>0</v>
      </c>
      <c r="ET17" s="455">
        <f t="shared" si="39"/>
        <v>0</v>
      </c>
      <c r="EU17" s="456"/>
      <c r="EV17" s="456"/>
      <c r="EW17" s="456"/>
      <c r="EX17" s="456"/>
      <c r="EY17" s="456"/>
      <c r="EZ17" s="456"/>
      <c r="FA17" s="456"/>
      <c r="FB17" s="456"/>
      <c r="FC17" s="456"/>
      <c r="FD17" s="456"/>
    </row>
    <row r="18" s="19" customFormat="1" ht="18.35" spans="1:160">
      <c r="A18" s="362">
        <v>5</v>
      </c>
      <c r="B18" s="289" t="str">
        <f>Theory!C21</f>
        <v>ADITYA B RAWANAWAR</v>
      </c>
      <c r="C18" s="360" t="str">
        <f>Theory!B21</f>
        <v>1DS23AI005</v>
      </c>
      <c r="D18" s="361">
        <f>VLOOKUP(C18,Theory!B21:D92,3,FALSE)</f>
        <v>7</v>
      </c>
      <c r="E18" s="361">
        <f>VLOOKUP(C18,Theory!B21:E92,4,FALSE)</f>
        <v>0</v>
      </c>
      <c r="F18" s="361">
        <f>VLOOKUP(C18,Theory!B21:F92,5,FALSE)</f>
        <v>0</v>
      </c>
      <c r="G18" s="361">
        <f>VLOOKUP(C18,Theory!B21:G92,6,FALSE)</f>
        <v>0</v>
      </c>
      <c r="H18" s="369">
        <f t="shared" si="6"/>
        <v>7</v>
      </c>
      <c r="I18" s="370">
        <f>VLOOKUP(C18,Theory!B21:H92,7,FALSE)</f>
        <v>6</v>
      </c>
      <c r="J18" s="371">
        <f>VLOOKUP(C18,Theory!B21:I92,8,FALSE)</f>
        <v>0</v>
      </c>
      <c r="K18" s="371">
        <f>VLOOKUP(C18,Theory!B21:J92,9,FALSE)</f>
        <v>0</v>
      </c>
      <c r="L18" s="371">
        <f>VLOOKUP(C18,Theory!B21:K92,10,FALSE)</f>
        <v>0</v>
      </c>
      <c r="M18" s="369">
        <f t="shared" si="7"/>
        <v>6</v>
      </c>
      <c r="N18" s="373">
        <f>VLOOKUP(C18,Theory!B21:L92,11,FALSE)</f>
        <v>5</v>
      </c>
      <c r="O18" s="373">
        <f>VLOOKUP(C18,Theory!B21:M92,12,FALSE)</f>
        <v>0</v>
      </c>
      <c r="P18" s="373">
        <f>VLOOKUP(C18,Theory!B21:N92,13,FALSE)</f>
        <v>0</v>
      </c>
      <c r="Q18" s="373">
        <f>VLOOKUP(C18,Theory!B21:O92,14,FALSE)</f>
        <v>0</v>
      </c>
      <c r="R18" s="371">
        <f>VLOOKUP(C18,Theory!B21:P92,15,FALSE)</f>
        <v>0</v>
      </c>
      <c r="S18" s="371">
        <f>VLOOKUP(C18,Theory!B21:Q92,16,FALSE)</f>
        <v>0</v>
      </c>
      <c r="T18" s="371">
        <f>VLOOKUP(C18,Theory!B21:R92,17,FALSE)</f>
        <v>0</v>
      </c>
      <c r="U18" s="371">
        <f>VLOOKUP(C18,Theory!B21:S92,18,FALSE)</f>
        <v>0</v>
      </c>
      <c r="V18" s="369">
        <f t="shared" si="8"/>
        <v>5</v>
      </c>
      <c r="W18" s="361">
        <f>VLOOKUP(C18,Theory!B21:T92,19,FALSE)</f>
        <v>0</v>
      </c>
      <c r="X18" s="361">
        <f>VLOOKUP(C18,Theory!B21:U92,20,FALSE)</f>
        <v>0</v>
      </c>
      <c r="Y18" s="361">
        <f>VLOOKUP(C18,Theory!B21:V92,21,FALSE)</f>
        <v>0</v>
      </c>
      <c r="Z18" s="361">
        <f>VLOOKUP(C18,Theory!B21:W92,22,FALSE)</f>
        <v>0</v>
      </c>
      <c r="AA18" s="370">
        <f>VLOOKUP(C18,Theory!B21:X92,23,FALSE)</f>
        <v>10</v>
      </c>
      <c r="AB18" s="370">
        <f>VLOOKUP(C18,Theory!B21:Y92,24,FALSE)</f>
        <v>0</v>
      </c>
      <c r="AC18" s="370">
        <f>VLOOKUP(C18,Theory!B21:Z92,25,FALSE)</f>
        <v>0</v>
      </c>
      <c r="AD18" s="370">
        <f>VLOOKUP(C18,Theory!B21:AA92,26,FALSE)</f>
        <v>0</v>
      </c>
      <c r="AE18" s="369">
        <f t="shared" si="9"/>
        <v>10</v>
      </c>
      <c r="AF18" s="361">
        <f>VLOOKUP(C18,Theory!B21:AB92,27,FALSE)</f>
        <v>0</v>
      </c>
      <c r="AG18" s="361">
        <f>VLOOKUP(C18,Theory!B21:AC92,28,FALSE)</f>
        <v>0</v>
      </c>
      <c r="AH18" s="361">
        <f>VLOOKUP(C18,Theory!B21:AD92,29,FALSE)</f>
        <v>0</v>
      </c>
      <c r="AI18" s="361">
        <f>VLOOKUP(C18,Theory!B21:AE92,30,FALSE)</f>
        <v>0</v>
      </c>
      <c r="AJ18" s="380">
        <f>VLOOKUP(C18,Theory!B21:AF92,31,FALSE)</f>
        <v>8</v>
      </c>
      <c r="AK18" s="380">
        <f>VLOOKUP(C18,Theory!B21:AG92,32,FALSE)</f>
        <v>0</v>
      </c>
      <c r="AL18" s="380">
        <f>VLOOKUP(C18,Theory!B21:AH92,33,FALSE)</f>
        <v>0</v>
      </c>
      <c r="AM18" s="380">
        <f>VLOOKUP(C18,Theory!B21:AI92,34,FALSE)</f>
        <v>0</v>
      </c>
      <c r="AN18" s="369">
        <f t="shared" si="10"/>
        <v>8</v>
      </c>
      <c r="AO18" s="385">
        <f t="shared" si="0"/>
        <v>36</v>
      </c>
      <c r="AP18" s="386">
        <f>VLOOKUP(C18,Theory!B21:AJ92,35,FALSE)</f>
        <v>8</v>
      </c>
      <c r="AQ18" s="386">
        <f>VLOOKUP(C18,Theory!B21:AK92,36,FALSE)</f>
        <v>0</v>
      </c>
      <c r="AR18" s="386">
        <f>VLOOKUP(C18,Theory!B21:AL92,37,FALSE)</f>
        <v>0</v>
      </c>
      <c r="AS18" s="386">
        <f>VLOOKUP(C18,Theory!B21:AM92,38,FALSE)</f>
        <v>0</v>
      </c>
      <c r="AT18" s="369">
        <f t="shared" si="11"/>
        <v>8</v>
      </c>
      <c r="AU18" s="386">
        <f>VLOOKUP(C18,Theory!B21:AN92,39,FALSE)</f>
        <v>6</v>
      </c>
      <c r="AV18" s="386">
        <f>VLOOKUP(C18,Theory!B21:AO92,40,FALSE)</f>
        <v>0</v>
      </c>
      <c r="AW18" s="386">
        <f>VLOOKUP(C18,Theory!B21:AP92,41,FALSE)</f>
        <v>0</v>
      </c>
      <c r="AX18" s="386">
        <f>VLOOKUP(C18,Theory!B21:AQ92,42,FALSE)</f>
        <v>0</v>
      </c>
      <c r="AY18" s="369">
        <f t="shared" si="12"/>
        <v>6</v>
      </c>
      <c r="AZ18" s="386">
        <f>VLOOKUP(C18,Theory!B21:AR92,43,FALSE)</f>
        <v>6</v>
      </c>
      <c r="BA18" s="386">
        <f>VLOOKUP(C18,Theory!B21:AS92,44,FALSE)</f>
        <v>0</v>
      </c>
      <c r="BB18" s="386">
        <f>VLOOKUP(C18,Theory!B21:AT92,45,FALSE)</f>
        <v>0</v>
      </c>
      <c r="BC18" s="386">
        <f>VLOOKUP(C18,Theory!B21:AU92,46,FALSE)</f>
        <v>0</v>
      </c>
      <c r="BD18" s="386">
        <f>VLOOKUP(C18,Theory!B21:AV92,47,FALSE)</f>
        <v>0</v>
      </c>
      <c r="BE18" s="386">
        <f>VLOOKUP(C18,Theory!B21:AW92,48,FALSE)</f>
        <v>0</v>
      </c>
      <c r="BF18" s="386">
        <f>VLOOKUP(C18,Theory!B21:AX92,49,FALSE)</f>
        <v>0</v>
      </c>
      <c r="BG18" s="386">
        <f>VLOOKUP(C18,Theory!B21:AY92,50,FALSE)</f>
        <v>0</v>
      </c>
      <c r="BH18" s="369">
        <f t="shared" si="13"/>
        <v>6</v>
      </c>
      <c r="BI18" s="386">
        <f>VLOOKUP(C18,Theory!B21:AZ92,51,FALSE)</f>
        <v>6</v>
      </c>
      <c r="BJ18" s="386">
        <f>VLOOKUP(C18,Theory!B21:BA92,52,FALSE)</f>
        <v>0</v>
      </c>
      <c r="BK18" s="386">
        <f>VLOOKUP(C18,Theory!B21:BB92,53,FALSE)</f>
        <v>0</v>
      </c>
      <c r="BL18" s="386">
        <f>VLOOKUP(C18,Theory!B21:BC92,54,FALSE)</f>
        <v>0</v>
      </c>
      <c r="BM18" s="386">
        <f>VLOOKUP(C18,Theory!B21:BD92,55,FALSE)</f>
        <v>0</v>
      </c>
      <c r="BN18" s="386">
        <f>VLOOKUP(C18,Theory!B21:BE92,56,FALSE)</f>
        <v>0</v>
      </c>
      <c r="BO18" s="386">
        <f>VLOOKUP(C18,Theory!B21:BF92,57,FALSE)</f>
        <v>0</v>
      </c>
      <c r="BP18" s="386">
        <f>VLOOKUP(C18,Theory!B21:BG92,58,FALSE)</f>
        <v>0</v>
      </c>
      <c r="BQ18" s="369">
        <f t="shared" si="14"/>
        <v>6</v>
      </c>
      <c r="BR18" s="386">
        <f>VLOOKUP(C18,Theory!B21:BH92,59,FALSE)</f>
        <v>8</v>
      </c>
      <c r="BS18" s="386">
        <f>VLOOKUP(C18,Theory!B21:BI92,60,FALSE)</f>
        <v>0</v>
      </c>
      <c r="BT18" s="386">
        <f>VLOOKUP(C18,Theory!B21:BJ92,61,FALSE)</f>
        <v>0</v>
      </c>
      <c r="BU18" s="386">
        <f>VLOOKUP(C18,Theory!B21:BK92,62,FALSE)</f>
        <v>0</v>
      </c>
      <c r="BV18" s="386">
        <f>VLOOKUP(C18,Theory!B21:BL92,63,FALSE)</f>
        <v>0</v>
      </c>
      <c r="BW18" s="386">
        <f>VLOOKUP(C18,Theory!B21:BM92,64,FALSE)</f>
        <v>0</v>
      </c>
      <c r="BX18" s="386">
        <f>VLOOKUP(C18,Theory!B21:BN92,65,FALSE)</f>
        <v>0</v>
      </c>
      <c r="BY18" s="386">
        <f>VLOOKUP(C18,Theory!B21:BO92,66,FALSE)</f>
        <v>0</v>
      </c>
      <c r="BZ18" s="369">
        <f t="shared" si="15"/>
        <v>8</v>
      </c>
      <c r="CA18" s="385">
        <f t="shared" si="1"/>
        <v>34</v>
      </c>
      <c r="CB18" s="386">
        <f>VLOOKUP(C18,Theory!B21:BP92,67,FALSE)</f>
        <v>8</v>
      </c>
      <c r="CC18" s="386">
        <f>VLOOKUP(C18,Theory!B21:BQ92,68,FALSE)</f>
        <v>0</v>
      </c>
      <c r="CD18" s="386">
        <f>VLOOKUP(C18,Theory!B21:BR92,69,FALSE)</f>
        <v>0</v>
      </c>
      <c r="CE18" s="386">
        <f>VLOOKUP(C18,Theory!B21:BS92,70,FALSE)</f>
        <v>0</v>
      </c>
      <c r="CF18" s="369">
        <f t="shared" si="16"/>
        <v>8</v>
      </c>
      <c r="CG18" s="399">
        <f>VLOOKUP(C18,Theory!B21:BT92,71,FALSE)</f>
        <v>8</v>
      </c>
      <c r="CH18" s="399">
        <f>VLOOKUP(C18,Theory!B21:BU92,72,FALSE)</f>
        <v>0</v>
      </c>
      <c r="CI18" s="399">
        <f>VLOOKUP(C18,Theory!B21:BV92,73,FALSE)</f>
        <v>0</v>
      </c>
      <c r="CJ18" s="399">
        <f>VLOOKUP(C18,Theory!B21:BW92,74,FALSE)</f>
        <v>0</v>
      </c>
      <c r="CK18" s="369">
        <f t="shared" si="17"/>
        <v>8</v>
      </c>
      <c r="CL18" s="386">
        <f>VLOOKUP(C18,Theory!B21:BX92,75,FALSE)</f>
        <v>0</v>
      </c>
      <c r="CM18" s="400">
        <f>VLOOKUP(C18,Theory!B21:BY92,76,FALSE)</f>
        <v>0</v>
      </c>
      <c r="CN18" s="400">
        <f>VLOOKUP(C18,Theory!B21:BZ92,77,FALSE)</f>
        <v>0</v>
      </c>
      <c r="CO18" s="400">
        <f>VLOOKUP(C18,Theory!B21:CA92,78,FALSE)</f>
        <v>0</v>
      </c>
      <c r="CP18" s="386">
        <f>VLOOKUP(C18,Theory!B21:CB92,79,FALSE)</f>
        <v>8</v>
      </c>
      <c r="CQ18" s="386">
        <f>VLOOKUP(C18,Theory!B21:CC92,80,FALSE)</f>
        <v>0</v>
      </c>
      <c r="CR18" s="386">
        <f>VLOOKUP(C18,Theory!B21:CD92,81,FALSE)</f>
        <v>0</v>
      </c>
      <c r="CS18" s="386">
        <f>VLOOKUP(C18,Theory!B21:CE92,82,FALSE)</f>
        <v>0</v>
      </c>
      <c r="CT18" s="369">
        <f t="shared" si="18"/>
        <v>8</v>
      </c>
      <c r="CU18" s="399">
        <f>VLOOKUP(C18,Theory!B21:CF92,83,FALSE)</f>
        <v>7</v>
      </c>
      <c r="CV18" s="400">
        <f>VLOOKUP(C18,Theory!B21:CG92,84,FALSE)</f>
        <v>0</v>
      </c>
      <c r="CW18" s="400">
        <f>VLOOKUP(C18,Theory!B21:CH92,85,FALSE)</f>
        <v>0</v>
      </c>
      <c r="CX18" s="400">
        <f>VLOOKUP(C18,Theory!B21:CI92,86,FALSE)</f>
        <v>0</v>
      </c>
      <c r="CY18" s="399">
        <f>VLOOKUP(C18,Theory!B21:CJ92,87,FALSE)</f>
        <v>0</v>
      </c>
      <c r="CZ18" s="399">
        <f>VLOOKUP(C18,Theory!B21:CK92,88,FALSE)</f>
        <v>0</v>
      </c>
      <c r="DA18" s="399">
        <f>VLOOKUP(C18,Theory!B21:CL92,89,FALSE)</f>
        <v>0</v>
      </c>
      <c r="DB18" s="399">
        <f>VLOOKUP(C18,Theory!B21:CM92,90,FALSE)</f>
        <v>0</v>
      </c>
      <c r="DC18" s="369">
        <f t="shared" si="19"/>
        <v>7</v>
      </c>
      <c r="DD18" s="386">
        <f>VLOOKUP(C18,Theory!B21:CN92,91,FALSE)</f>
        <v>8</v>
      </c>
      <c r="DE18" s="400">
        <f>VLOOKUP(C18,Theory!B21:CO92,92,FALSE)</f>
        <v>0</v>
      </c>
      <c r="DF18" s="400">
        <f>VLOOKUP(C18,Theory!B21:CP92,93,FALSE)</f>
        <v>0</v>
      </c>
      <c r="DG18" s="400">
        <f>VLOOKUP(C18,Theory!B21:CQ92,94,FALSE)</f>
        <v>0</v>
      </c>
      <c r="DH18" s="386">
        <f>VLOOKUP(C18,Theory!B21:CR92,95,FALSE)</f>
        <v>0</v>
      </c>
      <c r="DI18" s="386">
        <f>VLOOKUP(C18,Theory!B21:CS92,96,FALSE)</f>
        <v>0</v>
      </c>
      <c r="DJ18" s="386">
        <f>VLOOKUP(C18,Theory!B21:CT92,97,FALSE)</f>
        <v>0</v>
      </c>
      <c r="DK18" s="386">
        <f>VLOOKUP(C18,Theory!B21:CU92,98,FALSE)</f>
        <v>0</v>
      </c>
      <c r="DL18" s="369">
        <f t="shared" si="20"/>
        <v>8</v>
      </c>
      <c r="DM18" s="411">
        <f t="shared" si="2"/>
        <v>39</v>
      </c>
      <c r="DN18" s="413">
        <f t="shared" si="40"/>
        <v>36</v>
      </c>
      <c r="DO18" s="413">
        <f t="shared" si="41"/>
        <v>34</v>
      </c>
      <c r="DP18" s="413">
        <f t="shared" si="42"/>
        <v>39</v>
      </c>
      <c r="DQ18" s="418">
        <f t="shared" si="43"/>
        <v>22</v>
      </c>
      <c r="DR18" s="418">
        <f t="shared" si="44"/>
        <v>20</v>
      </c>
      <c r="DS18" s="418">
        <f t="shared" si="45"/>
        <v>23</v>
      </c>
      <c r="DT18" s="417">
        <f t="shared" si="36"/>
        <v>22</v>
      </c>
      <c r="DU18" s="423">
        <f>VLOOKUP(C18,Theory!B21:CV92,99,FALSE)</f>
        <v>7</v>
      </c>
      <c r="DV18" s="423">
        <f>VLOOKUP(C18,Theory!B21:CW92,100,FALSE)</f>
        <v>10</v>
      </c>
      <c r="DW18" s="424">
        <f t="shared" si="27"/>
        <v>17</v>
      </c>
      <c r="DX18" s="421">
        <f t="shared" si="3"/>
        <v>39</v>
      </c>
      <c r="DY18" s="430">
        <f t="shared" si="4"/>
        <v>23</v>
      </c>
      <c r="DZ18" s="431">
        <f>VLOOKUP(C18,Lab!B13:D82,3,FALSE)</f>
        <v>0</v>
      </c>
      <c r="EA18" s="432">
        <f>VLOOKUP(C18,Lab!B13:E82,4,FALSE)</f>
        <v>0</v>
      </c>
      <c r="EB18" s="432">
        <v>27</v>
      </c>
      <c r="EC18" s="422">
        <f t="shared" si="37"/>
        <v>27</v>
      </c>
      <c r="ED18" s="436">
        <f>VLOOKUP(C18,Lab!B13:G82,6,FALSE)</f>
        <v>0</v>
      </c>
      <c r="EE18" s="436">
        <f>VLOOKUP(C18,Lab!B13:H82,7,FALSE)</f>
        <v>0</v>
      </c>
      <c r="EF18" s="437">
        <v>19</v>
      </c>
      <c r="EG18" s="443">
        <f t="shared" si="38"/>
        <v>19</v>
      </c>
      <c r="EH18" s="444">
        <f t="shared" si="28"/>
        <v>46</v>
      </c>
      <c r="EI18" s="445">
        <f t="shared" si="29"/>
        <v>18</v>
      </c>
      <c r="EJ18" s="446">
        <f t="shared" si="5"/>
        <v>41</v>
      </c>
      <c r="EK18" s="449">
        <v>45.5</v>
      </c>
      <c r="EL18" s="336"/>
      <c r="EM18" s="450">
        <f>VLOOKUP(C18,Theory!B21:DK92,114,FALSE)</f>
        <v>0</v>
      </c>
      <c r="EN18" s="450">
        <f>VLOOKUP(C18,Theory!B21:DL92,115,FALSE)</f>
        <v>0</v>
      </c>
      <c r="EO18" s="450">
        <f>VLOOKUP(C18,Theory!B21:DM92,116,FALSE)</f>
        <v>0</v>
      </c>
      <c r="EP18" s="450">
        <f>VLOOKUP(C18,Theory!B21:DN90,117,FALSE)</f>
        <v>0</v>
      </c>
      <c r="EQ18" s="450">
        <f>VLOOKUP(C18,Theory!B21:DO90,118,FALSE)</f>
        <v>0</v>
      </c>
      <c r="ER18" s="451">
        <f>VLOOKUP(C18,Theory!B21:DP90,119,FALSE)</f>
        <v>0</v>
      </c>
      <c r="ES18" s="454">
        <f>VLOOKUP(C18,Theory!B21:DQ90,120,FALSE)</f>
        <v>0</v>
      </c>
      <c r="ET18" s="455">
        <f t="shared" si="39"/>
        <v>0</v>
      </c>
      <c r="EU18" s="456"/>
      <c r="EV18" s="456"/>
      <c r="EW18" s="456"/>
      <c r="EX18" s="456"/>
      <c r="EY18" s="456"/>
      <c r="EZ18" s="456"/>
      <c r="FA18" s="456"/>
      <c r="FB18" s="456"/>
      <c r="FC18" s="456"/>
      <c r="FD18" s="456"/>
    </row>
    <row r="19" ht="18.35" spans="1:160">
      <c r="A19" s="164">
        <v>6</v>
      </c>
      <c r="B19" s="289" t="str">
        <f>Theory!C22</f>
        <v>ADITYA MUTHUSAMY A</v>
      </c>
      <c r="C19" s="360" t="str">
        <f>Theory!B22</f>
        <v>1DS23AI006</v>
      </c>
      <c r="D19" s="361">
        <f>VLOOKUP(C19,Theory!B22:D93,3,FALSE)</f>
        <v>1</v>
      </c>
      <c r="E19" s="361">
        <f>VLOOKUP(C19,Theory!B22:E93,4,FALSE)</f>
        <v>0</v>
      </c>
      <c r="F19" s="361">
        <f>VLOOKUP(C19,Theory!B22:F93,5,FALSE)</f>
        <v>0</v>
      </c>
      <c r="G19" s="361">
        <f>VLOOKUP(C19,Theory!B22:G93,6,FALSE)</f>
        <v>0</v>
      </c>
      <c r="H19" s="369">
        <f t="shared" si="6"/>
        <v>1</v>
      </c>
      <c r="I19" s="370">
        <f>VLOOKUP(C19,Theory!B22:H93,7,FALSE)</f>
        <v>4</v>
      </c>
      <c r="J19" s="371">
        <f>VLOOKUP(C19,Theory!B22:I93,8,FALSE)</f>
        <v>0</v>
      </c>
      <c r="K19" s="371">
        <f>VLOOKUP(C19,Theory!B22:J93,9,FALSE)</f>
        <v>0</v>
      </c>
      <c r="L19" s="371">
        <f>VLOOKUP(C19,Theory!B22:K93,10,FALSE)</f>
        <v>0</v>
      </c>
      <c r="M19" s="369">
        <f t="shared" si="7"/>
        <v>4</v>
      </c>
      <c r="N19" s="373">
        <f>VLOOKUP(C19,Theory!B22:L93,11,FALSE)</f>
        <v>8</v>
      </c>
      <c r="O19" s="373">
        <f>VLOOKUP(C19,Theory!B22:M93,12,FALSE)</f>
        <v>0</v>
      </c>
      <c r="P19" s="373">
        <f>VLOOKUP(C19,Theory!B22:N93,13,FALSE)</f>
        <v>0</v>
      </c>
      <c r="Q19" s="373">
        <f>VLOOKUP(C19,Theory!B22:O93,14,FALSE)</f>
        <v>0</v>
      </c>
      <c r="R19" s="371">
        <f>VLOOKUP(C19,Theory!B22:P93,15,FALSE)</f>
        <v>0</v>
      </c>
      <c r="S19" s="371">
        <f>VLOOKUP(C19,Theory!B22:Q93,16,FALSE)</f>
        <v>0</v>
      </c>
      <c r="T19" s="371">
        <f>VLOOKUP(C19,Theory!B22:R93,17,FALSE)</f>
        <v>0</v>
      </c>
      <c r="U19" s="371">
        <f>VLOOKUP(C19,Theory!B22:S93,18,FALSE)</f>
        <v>0</v>
      </c>
      <c r="V19" s="369">
        <f t="shared" si="8"/>
        <v>8</v>
      </c>
      <c r="W19" s="361">
        <f>VLOOKUP(C19,Theory!B22:T93,19,FALSE)</f>
        <v>0</v>
      </c>
      <c r="X19" s="361">
        <f>VLOOKUP(C19,Theory!B22:U93,20,FALSE)</f>
        <v>0</v>
      </c>
      <c r="Y19" s="361">
        <f>VLOOKUP(C19,Theory!B22:V93,21,FALSE)</f>
        <v>0</v>
      </c>
      <c r="Z19" s="361">
        <f>VLOOKUP(C19,Theory!B22:W93,22,FALSE)</f>
        <v>0</v>
      </c>
      <c r="AA19" s="370">
        <f>VLOOKUP(C19,Theory!B22:X93,23,FALSE)</f>
        <v>0</v>
      </c>
      <c r="AB19" s="370">
        <f>VLOOKUP(C19,Theory!B22:Y93,24,FALSE)</f>
        <v>0</v>
      </c>
      <c r="AC19" s="370">
        <f>VLOOKUP(C19,Theory!B22:Z93,25,FALSE)</f>
        <v>0</v>
      </c>
      <c r="AD19" s="370">
        <f>VLOOKUP(C19,Theory!B22:AA93,26,FALSE)</f>
        <v>0</v>
      </c>
      <c r="AE19" s="369">
        <f t="shared" si="9"/>
        <v>0</v>
      </c>
      <c r="AF19" s="361">
        <f>VLOOKUP(C19,Theory!B22:AB93,27,FALSE)</f>
        <v>0</v>
      </c>
      <c r="AG19" s="361">
        <f>VLOOKUP(C19,Theory!B22:AC93,28,FALSE)</f>
        <v>0</v>
      </c>
      <c r="AH19" s="361">
        <f>VLOOKUP(C19,Theory!B22:AD93,29,FALSE)</f>
        <v>0</v>
      </c>
      <c r="AI19" s="361">
        <f>VLOOKUP(C19,Theory!B22:AE93,30,FALSE)</f>
        <v>0</v>
      </c>
      <c r="AJ19" s="380">
        <f>VLOOKUP(C19,Theory!B22:AF93,31,FALSE)</f>
        <v>4</v>
      </c>
      <c r="AK19" s="380">
        <f>VLOOKUP(C19,Theory!B22:AG93,32,FALSE)</f>
        <v>0</v>
      </c>
      <c r="AL19" s="380">
        <f>VLOOKUP(C19,Theory!B22:AH93,33,FALSE)</f>
        <v>0</v>
      </c>
      <c r="AM19" s="380">
        <f>VLOOKUP(C19,Theory!B22:AI93,34,FALSE)</f>
        <v>0</v>
      </c>
      <c r="AN19" s="369">
        <f t="shared" si="10"/>
        <v>4</v>
      </c>
      <c r="AO19" s="385">
        <f t="shared" si="0"/>
        <v>17</v>
      </c>
      <c r="AP19" s="386">
        <f>VLOOKUP(C19,Theory!B22:AJ93,35,FALSE)</f>
        <v>2</v>
      </c>
      <c r="AQ19" s="386">
        <f>VLOOKUP(C19,Theory!B22:AK93,36,FALSE)</f>
        <v>0</v>
      </c>
      <c r="AR19" s="386">
        <f>VLOOKUP(C19,Theory!B22:AL93,37,FALSE)</f>
        <v>0</v>
      </c>
      <c r="AS19" s="386">
        <f>VLOOKUP(C19,Theory!B22:AM93,38,FALSE)</f>
        <v>0</v>
      </c>
      <c r="AT19" s="369">
        <f t="shared" si="11"/>
        <v>2</v>
      </c>
      <c r="AU19" s="386">
        <f>VLOOKUP(C19,Theory!B22:AN93,39,FALSE)</f>
        <v>0</v>
      </c>
      <c r="AV19" s="386">
        <f>VLOOKUP(C19,Theory!B22:AO93,40,FALSE)</f>
        <v>0</v>
      </c>
      <c r="AW19" s="386">
        <f>VLOOKUP(C19,Theory!B22:AP93,41,FALSE)</f>
        <v>0</v>
      </c>
      <c r="AX19" s="386">
        <f>VLOOKUP(C19,Theory!B22:AQ93,42,FALSE)</f>
        <v>0</v>
      </c>
      <c r="AY19" s="369">
        <f t="shared" si="12"/>
        <v>0</v>
      </c>
      <c r="AZ19" s="386">
        <f>VLOOKUP(C19,Theory!B22:AR93,43,FALSE)</f>
        <v>0</v>
      </c>
      <c r="BA19" s="386">
        <f>VLOOKUP(C19,Theory!B22:AS93,44,FALSE)</f>
        <v>0</v>
      </c>
      <c r="BB19" s="386">
        <f>VLOOKUP(C19,Theory!B22:AT93,45,FALSE)</f>
        <v>0</v>
      </c>
      <c r="BC19" s="386">
        <f>VLOOKUP(C19,Theory!B22:AU93,46,FALSE)</f>
        <v>0</v>
      </c>
      <c r="BD19" s="386">
        <f>VLOOKUP(C19,Theory!B22:AV93,47,FALSE)</f>
        <v>5</v>
      </c>
      <c r="BE19" s="386">
        <f>VLOOKUP(C19,Theory!B22:AW93,48,FALSE)</f>
        <v>0</v>
      </c>
      <c r="BF19" s="386">
        <f>VLOOKUP(C19,Theory!B22:AX93,49,FALSE)</f>
        <v>0</v>
      </c>
      <c r="BG19" s="386">
        <f>VLOOKUP(C19,Theory!B22:AY93,50,FALSE)</f>
        <v>0</v>
      </c>
      <c r="BH19" s="369">
        <f t="shared" si="13"/>
        <v>5</v>
      </c>
      <c r="BI19" s="386">
        <f>VLOOKUP(C19,Theory!B22:AZ93,51,FALSE)</f>
        <v>0</v>
      </c>
      <c r="BJ19" s="386">
        <f>VLOOKUP(C19,Theory!B22:BA93,52,FALSE)</f>
        <v>0</v>
      </c>
      <c r="BK19" s="386">
        <f>VLOOKUP(C19,Theory!B22:BB93,53,FALSE)</f>
        <v>0</v>
      </c>
      <c r="BL19" s="386">
        <f>VLOOKUP(C19,Theory!B22:BC93,54,FALSE)</f>
        <v>0</v>
      </c>
      <c r="BM19" s="386">
        <f>VLOOKUP(C19,Theory!B22:BD93,55,FALSE)</f>
        <v>3</v>
      </c>
      <c r="BN19" s="386">
        <f>VLOOKUP(C19,Theory!B22:BE93,56,FALSE)</f>
        <v>0</v>
      </c>
      <c r="BO19" s="386">
        <f>VLOOKUP(C19,Theory!B22:BF93,57,FALSE)</f>
        <v>0</v>
      </c>
      <c r="BP19" s="386">
        <f>VLOOKUP(C19,Theory!B22:BG93,58,FALSE)</f>
        <v>0</v>
      </c>
      <c r="BQ19" s="369">
        <f t="shared" si="14"/>
        <v>3</v>
      </c>
      <c r="BR19" s="386">
        <f>VLOOKUP(C19,Theory!B22:BH93,59,FALSE)</f>
        <v>0</v>
      </c>
      <c r="BS19" s="386">
        <f>VLOOKUP(C19,Theory!B22:BI93,60,FALSE)</f>
        <v>0</v>
      </c>
      <c r="BT19" s="386">
        <f>VLOOKUP(C19,Theory!B22:BJ93,61,FALSE)</f>
        <v>0</v>
      </c>
      <c r="BU19" s="386">
        <f>VLOOKUP(C19,Theory!B22:BK93,62,FALSE)</f>
        <v>0</v>
      </c>
      <c r="BV19" s="386">
        <f>VLOOKUP(C19,Theory!B22:BL93,63,FALSE)</f>
        <v>3</v>
      </c>
      <c r="BW19" s="386">
        <f>VLOOKUP(C19,Theory!B22:BM93,64,FALSE)</f>
        <v>0</v>
      </c>
      <c r="BX19" s="386">
        <f>VLOOKUP(C19,Theory!B22:BN93,65,FALSE)</f>
        <v>0</v>
      </c>
      <c r="BY19" s="386">
        <f>VLOOKUP(C19,Theory!B22:BO93,66,FALSE)</f>
        <v>0</v>
      </c>
      <c r="BZ19" s="369">
        <f t="shared" si="15"/>
        <v>3</v>
      </c>
      <c r="CA19" s="385">
        <f t="shared" si="1"/>
        <v>13</v>
      </c>
      <c r="CB19" s="386">
        <f>VLOOKUP(C19,Theory!B22:BP93,67,FALSE)</f>
        <v>2</v>
      </c>
      <c r="CC19" s="386">
        <f>VLOOKUP(C19,Theory!B22:BQ93,68,FALSE)</f>
        <v>0</v>
      </c>
      <c r="CD19" s="386">
        <f>VLOOKUP(C19,Theory!B22:BR93,69,FALSE)</f>
        <v>0</v>
      </c>
      <c r="CE19" s="386">
        <f>VLOOKUP(C19,Theory!B22:BS93,70,FALSE)</f>
        <v>0</v>
      </c>
      <c r="CF19" s="369">
        <f t="shared" si="16"/>
        <v>2</v>
      </c>
      <c r="CG19" s="399">
        <f>VLOOKUP(C19,Theory!B22:BT93,71,FALSE)</f>
        <v>2</v>
      </c>
      <c r="CH19" s="399">
        <f>VLOOKUP(C19,Theory!B22:BU93,72,FALSE)</f>
        <v>0</v>
      </c>
      <c r="CI19" s="399">
        <f>VLOOKUP(C19,Theory!B22:BV93,73,FALSE)</f>
        <v>0</v>
      </c>
      <c r="CJ19" s="399">
        <f>VLOOKUP(C19,Theory!B22:BW93,74,FALSE)</f>
        <v>0</v>
      </c>
      <c r="CK19" s="369">
        <f t="shared" si="17"/>
        <v>2</v>
      </c>
      <c r="CL19" s="386">
        <f>VLOOKUP(C19,Theory!B22:BX93,75,FALSE)</f>
        <v>0</v>
      </c>
      <c r="CM19" s="400">
        <f>VLOOKUP(C19,Theory!B22:BY93,76,FALSE)</f>
        <v>0</v>
      </c>
      <c r="CN19" s="400">
        <f>VLOOKUP(C19,Theory!B22:BZ93,77,FALSE)</f>
        <v>0</v>
      </c>
      <c r="CO19" s="400">
        <f>VLOOKUP(C19,Theory!B22:CA93,78,FALSE)</f>
        <v>0</v>
      </c>
      <c r="CP19" s="386">
        <f>VLOOKUP(C19,Theory!B22:CB93,79,FALSE)</f>
        <v>7</v>
      </c>
      <c r="CQ19" s="386">
        <f>VLOOKUP(C19,Theory!B22:CC93,80,FALSE)</f>
        <v>0</v>
      </c>
      <c r="CR19" s="386">
        <f>VLOOKUP(C19,Theory!B22:CD93,81,FALSE)</f>
        <v>0</v>
      </c>
      <c r="CS19" s="386">
        <f>VLOOKUP(C19,Theory!B22:CE93,82,FALSE)</f>
        <v>0</v>
      </c>
      <c r="CT19" s="369">
        <f t="shared" si="18"/>
        <v>7</v>
      </c>
      <c r="CU19" s="399">
        <f>VLOOKUP(C19,Theory!B22:CF93,83,FALSE)</f>
        <v>6</v>
      </c>
      <c r="CV19" s="400">
        <f>VLOOKUP(C19,Theory!B22:CG93,84,FALSE)</f>
        <v>0</v>
      </c>
      <c r="CW19" s="400">
        <f>VLOOKUP(C19,Theory!B22:CH93,85,FALSE)</f>
        <v>0</v>
      </c>
      <c r="CX19" s="400">
        <f>VLOOKUP(C19,Theory!B22:CI93,86,FALSE)</f>
        <v>0</v>
      </c>
      <c r="CY19" s="399">
        <f>VLOOKUP(C19,Theory!B22:CJ93,87,FALSE)</f>
        <v>0</v>
      </c>
      <c r="CZ19" s="399">
        <f>VLOOKUP(C19,Theory!B22:CK93,88,FALSE)</f>
        <v>0</v>
      </c>
      <c r="DA19" s="399">
        <f>VLOOKUP(C19,Theory!B22:CL93,89,FALSE)</f>
        <v>0</v>
      </c>
      <c r="DB19" s="399">
        <f>VLOOKUP(C19,Theory!B22:CM93,90,FALSE)</f>
        <v>0</v>
      </c>
      <c r="DC19" s="369">
        <f t="shared" si="19"/>
        <v>6</v>
      </c>
      <c r="DD19" s="386">
        <f>VLOOKUP(C19,Theory!B22:CN93,91,FALSE)</f>
        <v>5</v>
      </c>
      <c r="DE19" s="400">
        <f>VLOOKUP(C19,Theory!B22:CO93,92,FALSE)</f>
        <v>0</v>
      </c>
      <c r="DF19" s="400">
        <f>VLOOKUP(C19,Theory!B22:CP93,93,FALSE)</f>
        <v>0</v>
      </c>
      <c r="DG19" s="400">
        <f>VLOOKUP(C19,Theory!B22:CQ93,94,FALSE)</f>
        <v>0</v>
      </c>
      <c r="DH19" s="386">
        <f>VLOOKUP(C19,Theory!B22:CR93,95,FALSE)</f>
        <v>0</v>
      </c>
      <c r="DI19" s="386">
        <f>VLOOKUP(C19,Theory!B22:CS93,96,FALSE)</f>
        <v>0</v>
      </c>
      <c r="DJ19" s="386">
        <f>VLOOKUP(C19,Theory!B22:CT93,97,FALSE)</f>
        <v>0</v>
      </c>
      <c r="DK19" s="386">
        <f>VLOOKUP(C19,Theory!B22:CU93,98,FALSE)</f>
        <v>0</v>
      </c>
      <c r="DL19" s="369">
        <f t="shared" si="20"/>
        <v>5</v>
      </c>
      <c r="DM19" s="411">
        <f t="shared" si="2"/>
        <v>22</v>
      </c>
      <c r="DN19" s="413">
        <f t="shared" si="40"/>
        <v>17</v>
      </c>
      <c r="DO19" s="413">
        <f t="shared" si="41"/>
        <v>13</v>
      </c>
      <c r="DP19" s="413">
        <f t="shared" si="42"/>
        <v>22</v>
      </c>
      <c r="DQ19" s="418">
        <f t="shared" si="43"/>
        <v>10</v>
      </c>
      <c r="DR19" s="418">
        <f t="shared" si="44"/>
        <v>8</v>
      </c>
      <c r="DS19" s="418">
        <f t="shared" si="45"/>
        <v>13</v>
      </c>
      <c r="DT19" s="417">
        <f t="shared" si="36"/>
        <v>10</v>
      </c>
      <c r="DU19" s="423">
        <f>VLOOKUP(C19,Theory!B22:CV93,99,FALSE)</f>
        <v>5</v>
      </c>
      <c r="DV19" s="423">
        <f>VLOOKUP(C19,Theory!B22:CW93,100,FALSE)</f>
        <v>10</v>
      </c>
      <c r="DW19" s="424">
        <f t="shared" si="27"/>
        <v>15</v>
      </c>
      <c r="DX19" s="421">
        <f t="shared" si="3"/>
        <v>25</v>
      </c>
      <c r="DY19" s="430">
        <f t="shared" si="4"/>
        <v>15</v>
      </c>
      <c r="DZ19" s="431">
        <f>VLOOKUP(C19,Lab!B14:D83,3,FALSE)</f>
        <v>0</v>
      </c>
      <c r="EA19" s="432">
        <f>VLOOKUP(C19,Lab!B14:E83,4,FALSE)</f>
        <v>0</v>
      </c>
      <c r="EB19" s="432">
        <f>VLOOKUP(C19,Lab!B14:F83,5,FALSE)</f>
        <v>25</v>
      </c>
      <c r="EC19" s="422">
        <f t="shared" si="37"/>
        <v>25</v>
      </c>
      <c r="ED19" s="436">
        <f>VLOOKUP(C19,Lab!B14:G83,6,FALSE)</f>
        <v>0</v>
      </c>
      <c r="EE19" s="436">
        <f>VLOOKUP(C19,Lab!B14:H83,7,FALSE)</f>
        <v>0</v>
      </c>
      <c r="EF19" s="437">
        <v>8</v>
      </c>
      <c r="EG19" s="443">
        <f t="shared" si="38"/>
        <v>8</v>
      </c>
      <c r="EH19" s="444">
        <f t="shared" si="28"/>
        <v>33</v>
      </c>
      <c r="EI19" s="445">
        <f t="shared" si="29"/>
        <v>13</v>
      </c>
      <c r="EJ19" s="446">
        <f t="shared" si="5"/>
        <v>28</v>
      </c>
      <c r="EK19" s="449">
        <v>26.5</v>
      </c>
      <c r="EM19" s="450">
        <f>VLOOKUP(C19,Theory!B22:DK93,114,FALSE)</f>
        <v>0</v>
      </c>
      <c r="EN19" s="450">
        <f>VLOOKUP(C19,Theory!B22:DL93,115,FALSE)</f>
        <v>0</v>
      </c>
      <c r="EO19" s="450">
        <f>VLOOKUP(C19,Theory!B22:DM93,116,FALSE)</f>
        <v>0</v>
      </c>
      <c r="EP19" s="450">
        <f>VLOOKUP(C19,Theory!B22:DN91,117,FALSE)</f>
        <v>0</v>
      </c>
      <c r="EQ19" s="450">
        <f>VLOOKUP(C19,Theory!B22:DO91,118,FALSE)</f>
        <v>0</v>
      </c>
      <c r="ER19" s="451">
        <f>VLOOKUP(C19,Theory!B22:DP91,119,FALSE)</f>
        <v>0</v>
      </c>
      <c r="ES19" s="454">
        <f>VLOOKUP(C19,Theory!B22:DQ91,120,FALSE)</f>
        <v>0</v>
      </c>
      <c r="ET19" s="455">
        <f t="shared" si="39"/>
        <v>0</v>
      </c>
      <c r="EU19" s="456"/>
      <c r="EV19" s="456"/>
      <c r="EW19" s="456"/>
      <c r="EX19" s="456"/>
      <c r="EY19" s="456"/>
      <c r="EZ19" s="456"/>
      <c r="FA19" s="456"/>
      <c r="FB19" s="456"/>
      <c r="FC19" s="456"/>
      <c r="FD19" s="456"/>
    </row>
    <row r="20" ht="18.35" spans="1:160">
      <c r="A20" s="164">
        <v>7</v>
      </c>
      <c r="B20" s="289" t="str">
        <f>Theory!C23</f>
        <v>ADNAN SAMEER ANEKATTI</v>
      </c>
      <c r="C20" s="360" t="str">
        <f>Theory!B23</f>
        <v>1DS23AI007</v>
      </c>
      <c r="D20" s="361">
        <f>VLOOKUP(C20,Theory!B23:D94,3,FALSE)</f>
        <v>0</v>
      </c>
      <c r="E20" s="361">
        <f>VLOOKUP(C20,Theory!B23:E94,4,FALSE)</f>
        <v>0</v>
      </c>
      <c r="F20" s="361">
        <f>VLOOKUP(C20,Theory!B23:F94,5,FALSE)</f>
        <v>0</v>
      </c>
      <c r="G20" s="361">
        <f>VLOOKUP(C20,Theory!B23:G94,6,FALSE)</f>
        <v>0</v>
      </c>
      <c r="H20" s="369">
        <f t="shared" si="6"/>
        <v>0</v>
      </c>
      <c r="I20" s="370">
        <f>VLOOKUP(C20,Theory!B23:H94,7,FALSE)</f>
        <v>3</v>
      </c>
      <c r="J20" s="371">
        <f>VLOOKUP(C20,Theory!B23:I94,8,FALSE)</f>
        <v>0</v>
      </c>
      <c r="K20" s="371">
        <f>VLOOKUP(C20,Theory!B23:J94,9,FALSE)</f>
        <v>0</v>
      </c>
      <c r="L20" s="371">
        <f>VLOOKUP(C20,Theory!B23:K94,10,FALSE)</f>
        <v>0</v>
      </c>
      <c r="M20" s="369">
        <f t="shared" si="7"/>
        <v>3</v>
      </c>
      <c r="N20" s="373">
        <f>VLOOKUP(C20,Theory!B23:L94,11,FALSE)</f>
        <v>3</v>
      </c>
      <c r="O20" s="373">
        <f>VLOOKUP(C20,Theory!B23:M94,12,FALSE)</f>
        <v>0</v>
      </c>
      <c r="P20" s="373">
        <f>VLOOKUP(C20,Theory!B23:N94,13,FALSE)</f>
        <v>0</v>
      </c>
      <c r="Q20" s="373">
        <f>VLOOKUP(C20,Theory!B23:O94,14,FALSE)</f>
        <v>0</v>
      </c>
      <c r="R20" s="371">
        <f>VLOOKUP(C20,Theory!B23:P94,15,FALSE)</f>
        <v>0</v>
      </c>
      <c r="S20" s="371">
        <f>VLOOKUP(C20,Theory!B23:Q94,16,FALSE)</f>
        <v>0</v>
      </c>
      <c r="T20" s="371">
        <f>VLOOKUP(C20,Theory!B23:R94,17,FALSE)</f>
        <v>0</v>
      </c>
      <c r="U20" s="371">
        <f>VLOOKUP(C20,Theory!B23:S94,18,FALSE)</f>
        <v>0</v>
      </c>
      <c r="V20" s="369">
        <f t="shared" si="8"/>
        <v>3</v>
      </c>
      <c r="W20" s="361">
        <f>VLOOKUP(C20,Theory!B23:T94,19,FALSE)</f>
        <v>0</v>
      </c>
      <c r="X20" s="361">
        <f>VLOOKUP(C20,Theory!B23:U94,20,FALSE)</f>
        <v>0</v>
      </c>
      <c r="Y20" s="361">
        <f>VLOOKUP(C20,Theory!B23:V94,21,FALSE)</f>
        <v>0</v>
      </c>
      <c r="Z20" s="361">
        <f>VLOOKUP(C20,Theory!B23:W94,22,FALSE)</f>
        <v>0</v>
      </c>
      <c r="AA20" s="370">
        <f>VLOOKUP(C20,Theory!B23:X94,23,FALSE)</f>
        <v>0</v>
      </c>
      <c r="AB20" s="370">
        <f>VLOOKUP(C20,Theory!B23:Y94,24,FALSE)</f>
        <v>0</v>
      </c>
      <c r="AC20" s="370">
        <f>VLOOKUP(C20,Theory!B23:Z94,25,FALSE)</f>
        <v>0</v>
      </c>
      <c r="AD20" s="370">
        <f>VLOOKUP(C20,Theory!B23:AA94,26,FALSE)</f>
        <v>0</v>
      </c>
      <c r="AE20" s="369">
        <f t="shared" si="9"/>
        <v>0</v>
      </c>
      <c r="AF20" s="361">
        <f>VLOOKUP(C20,Theory!B23:AB94,27,FALSE)</f>
        <v>0</v>
      </c>
      <c r="AG20" s="361">
        <f>VLOOKUP(C20,Theory!B23:AC94,28,FALSE)</f>
        <v>0</v>
      </c>
      <c r="AH20" s="361">
        <f>VLOOKUP(C20,Theory!B23:AD94,29,FALSE)</f>
        <v>0</v>
      </c>
      <c r="AI20" s="361">
        <f>VLOOKUP(C20,Theory!B23:AE94,30,FALSE)</f>
        <v>0</v>
      </c>
      <c r="AJ20" s="380">
        <f>VLOOKUP(C20,Theory!B23:AF94,31,FALSE)</f>
        <v>3</v>
      </c>
      <c r="AK20" s="380">
        <f>VLOOKUP(C20,Theory!B23:AG94,32,FALSE)</f>
        <v>0</v>
      </c>
      <c r="AL20" s="380">
        <f>VLOOKUP(C20,Theory!B23:AH94,33,FALSE)</f>
        <v>0</v>
      </c>
      <c r="AM20" s="380">
        <f>VLOOKUP(C20,Theory!B23:AI94,34,FALSE)</f>
        <v>0</v>
      </c>
      <c r="AN20" s="369">
        <f t="shared" si="10"/>
        <v>3</v>
      </c>
      <c r="AO20" s="385">
        <f t="shared" si="0"/>
        <v>9</v>
      </c>
      <c r="AP20" s="386">
        <f>VLOOKUP(C20,Theory!B23:AJ94,35,FALSE)</f>
        <v>0</v>
      </c>
      <c r="AQ20" s="386">
        <f>VLOOKUP(C20,Theory!B23:AK94,36,FALSE)</f>
        <v>0</v>
      </c>
      <c r="AR20" s="386">
        <f>VLOOKUP(C20,Theory!B23:AL94,37,FALSE)</f>
        <v>0</v>
      </c>
      <c r="AS20" s="386">
        <f>VLOOKUP(C20,Theory!B23:AM94,38,FALSE)</f>
        <v>0</v>
      </c>
      <c r="AT20" s="369">
        <f t="shared" si="11"/>
        <v>0</v>
      </c>
      <c r="AU20" s="386">
        <f>VLOOKUP(C20,Theory!B23:AN94,39,FALSE)</f>
        <v>4</v>
      </c>
      <c r="AV20" s="386">
        <f>VLOOKUP(C20,Theory!B23:AO94,40,FALSE)</f>
        <v>0</v>
      </c>
      <c r="AW20" s="386">
        <f>VLOOKUP(C20,Theory!B23:AP94,41,FALSE)</f>
        <v>0</v>
      </c>
      <c r="AX20" s="386">
        <f>VLOOKUP(C20,Theory!B23:AQ94,42,FALSE)</f>
        <v>0</v>
      </c>
      <c r="AY20" s="369">
        <f t="shared" si="12"/>
        <v>4</v>
      </c>
      <c r="AZ20" s="386">
        <f>VLOOKUP(C20,Theory!B23:AR94,43,FALSE)</f>
        <v>0</v>
      </c>
      <c r="BA20" s="386">
        <f>VLOOKUP(C20,Theory!B23:AS94,44,FALSE)</f>
        <v>0</v>
      </c>
      <c r="BB20" s="386">
        <f>VLOOKUP(C20,Theory!B23:AT94,45,FALSE)</f>
        <v>0</v>
      </c>
      <c r="BC20" s="386">
        <f>VLOOKUP(C20,Theory!B23:AU94,46,FALSE)</f>
        <v>0</v>
      </c>
      <c r="BD20" s="386">
        <f>VLOOKUP(C20,Theory!B23:AV94,47,FALSE)</f>
        <v>6</v>
      </c>
      <c r="BE20" s="386">
        <f>VLOOKUP(C20,Theory!B23:AW94,48,FALSE)</f>
        <v>0</v>
      </c>
      <c r="BF20" s="386">
        <f>VLOOKUP(C20,Theory!B23:AX94,49,FALSE)</f>
        <v>0</v>
      </c>
      <c r="BG20" s="386">
        <f>VLOOKUP(C20,Theory!B23:AY94,50,FALSE)</f>
        <v>0</v>
      </c>
      <c r="BH20" s="369">
        <f t="shared" si="13"/>
        <v>6</v>
      </c>
      <c r="BI20" s="386">
        <f>VLOOKUP(C20,Theory!B23:AZ94,51,FALSE)</f>
        <v>0</v>
      </c>
      <c r="BJ20" s="386">
        <f>VLOOKUP(C20,Theory!B23:BA94,52,FALSE)</f>
        <v>0</v>
      </c>
      <c r="BK20" s="386">
        <f>VLOOKUP(C20,Theory!B23:BB94,53,FALSE)</f>
        <v>0</v>
      </c>
      <c r="BL20" s="386">
        <f>VLOOKUP(C20,Theory!B23:BC94,54,FALSE)</f>
        <v>0</v>
      </c>
      <c r="BM20" s="386">
        <f>VLOOKUP(C20,Theory!B23:BD94,55,FALSE)</f>
        <v>0</v>
      </c>
      <c r="BN20" s="386">
        <f>VLOOKUP(C20,Theory!B23:BE94,56,FALSE)</f>
        <v>0</v>
      </c>
      <c r="BO20" s="386">
        <f>VLOOKUP(C20,Theory!B23:BF94,57,FALSE)</f>
        <v>0</v>
      </c>
      <c r="BP20" s="386">
        <f>VLOOKUP(C20,Theory!B23:BG94,58,FALSE)</f>
        <v>0</v>
      </c>
      <c r="BQ20" s="369">
        <f t="shared" si="14"/>
        <v>0</v>
      </c>
      <c r="BR20" s="386">
        <f>VLOOKUP(C20,Theory!B23:BH94,59,FALSE)</f>
        <v>0</v>
      </c>
      <c r="BS20" s="386">
        <f>VLOOKUP(C20,Theory!B23:BI94,60,FALSE)</f>
        <v>0</v>
      </c>
      <c r="BT20" s="386">
        <f>VLOOKUP(C20,Theory!B23:BJ94,61,FALSE)</f>
        <v>0</v>
      </c>
      <c r="BU20" s="386">
        <f>VLOOKUP(C20,Theory!B23:BK94,62,FALSE)</f>
        <v>0</v>
      </c>
      <c r="BV20" s="386">
        <f>VLOOKUP(C20,Theory!B23:BL94,63,FALSE)</f>
        <v>0</v>
      </c>
      <c r="BW20" s="386">
        <f>VLOOKUP(C20,Theory!B23:BM94,64,FALSE)</f>
        <v>0</v>
      </c>
      <c r="BX20" s="386">
        <f>VLOOKUP(C20,Theory!B23:BN94,65,FALSE)</f>
        <v>0</v>
      </c>
      <c r="BY20" s="386">
        <f>VLOOKUP(C20,Theory!B23:BO94,66,FALSE)</f>
        <v>0</v>
      </c>
      <c r="BZ20" s="369">
        <f t="shared" si="15"/>
        <v>0</v>
      </c>
      <c r="CA20" s="385">
        <f t="shared" si="1"/>
        <v>10</v>
      </c>
      <c r="CB20" s="386">
        <f>VLOOKUP(C20,Theory!B23:BP94,67,FALSE)</f>
        <v>6</v>
      </c>
      <c r="CC20" s="386">
        <f>VLOOKUP(C20,Theory!B23:BQ94,68,FALSE)</f>
        <v>0</v>
      </c>
      <c r="CD20" s="386">
        <f>VLOOKUP(C20,Theory!B23:BR94,69,FALSE)</f>
        <v>0</v>
      </c>
      <c r="CE20" s="386">
        <f>VLOOKUP(C20,Theory!B23:BS94,70,FALSE)</f>
        <v>0</v>
      </c>
      <c r="CF20" s="369">
        <f t="shared" si="16"/>
        <v>6</v>
      </c>
      <c r="CG20" s="399">
        <f>VLOOKUP(C20,Theory!B23:BT94,71,FALSE)</f>
        <v>8</v>
      </c>
      <c r="CH20" s="399">
        <f>VLOOKUP(C20,Theory!B23:BU94,72,FALSE)</f>
        <v>0</v>
      </c>
      <c r="CI20" s="399">
        <f>VLOOKUP(C20,Theory!B23:BV94,73,FALSE)</f>
        <v>0</v>
      </c>
      <c r="CJ20" s="399">
        <f>VLOOKUP(C20,Theory!B23:BW94,74,FALSE)</f>
        <v>0</v>
      </c>
      <c r="CK20" s="369">
        <f t="shared" si="17"/>
        <v>8</v>
      </c>
      <c r="CL20" s="386">
        <f>VLOOKUP(C20,Theory!B23:BX94,75,FALSE)</f>
        <v>9</v>
      </c>
      <c r="CM20" s="400">
        <f>VLOOKUP(C20,Theory!B23:BY94,76,FALSE)</f>
        <v>0</v>
      </c>
      <c r="CN20" s="400">
        <f>VLOOKUP(C20,Theory!B23:BZ94,77,FALSE)</f>
        <v>0</v>
      </c>
      <c r="CO20" s="400">
        <f>VLOOKUP(C20,Theory!B23:CA94,78,FALSE)</f>
        <v>0</v>
      </c>
      <c r="CP20" s="386">
        <f>VLOOKUP(C20,Theory!B23:CB94,79,FALSE)</f>
        <v>0</v>
      </c>
      <c r="CQ20" s="386">
        <f>VLOOKUP(C20,Theory!B23:CC94,80,FALSE)</f>
        <v>0</v>
      </c>
      <c r="CR20" s="386">
        <f>VLOOKUP(C20,Theory!B23:CD94,81,FALSE)</f>
        <v>0</v>
      </c>
      <c r="CS20" s="386">
        <f>VLOOKUP(C20,Theory!B23:CE94,82,FALSE)</f>
        <v>0</v>
      </c>
      <c r="CT20" s="369">
        <f t="shared" si="18"/>
        <v>9</v>
      </c>
      <c r="CU20" s="399">
        <f>VLOOKUP(C20,Theory!B23:CF94,83,FALSE)</f>
        <v>10</v>
      </c>
      <c r="CV20" s="400">
        <f>VLOOKUP(C20,Theory!B23:CG94,84,FALSE)</f>
        <v>0</v>
      </c>
      <c r="CW20" s="400">
        <f>VLOOKUP(C20,Theory!B23:CH94,85,FALSE)</f>
        <v>0</v>
      </c>
      <c r="CX20" s="400">
        <f>VLOOKUP(C20,Theory!B23:CI94,86,FALSE)</f>
        <v>0</v>
      </c>
      <c r="CY20" s="399">
        <f>VLOOKUP(C20,Theory!B23:CJ94,87,FALSE)</f>
        <v>0</v>
      </c>
      <c r="CZ20" s="399">
        <f>VLOOKUP(C20,Theory!B23:CK94,88,FALSE)</f>
        <v>0</v>
      </c>
      <c r="DA20" s="399">
        <f>VLOOKUP(C20,Theory!B23:CL94,89,FALSE)</f>
        <v>0</v>
      </c>
      <c r="DB20" s="399">
        <f>VLOOKUP(C20,Theory!B23:CM94,90,FALSE)</f>
        <v>0</v>
      </c>
      <c r="DC20" s="369">
        <f t="shared" si="19"/>
        <v>10</v>
      </c>
      <c r="DD20" s="386">
        <f>VLOOKUP(C20,Theory!B23:CN94,91,FALSE)</f>
        <v>6</v>
      </c>
      <c r="DE20" s="400">
        <f>VLOOKUP(C20,Theory!B23:CO94,92,FALSE)</f>
        <v>0</v>
      </c>
      <c r="DF20" s="400">
        <f>VLOOKUP(C20,Theory!B23:CP94,93,FALSE)</f>
        <v>0</v>
      </c>
      <c r="DG20" s="400">
        <f>VLOOKUP(C20,Theory!B23:CQ94,94,FALSE)</f>
        <v>0</v>
      </c>
      <c r="DH20" s="386">
        <f>VLOOKUP(C20,Theory!B23:CR94,95,FALSE)</f>
        <v>0</v>
      </c>
      <c r="DI20" s="386">
        <f>VLOOKUP(C20,Theory!B23:CS94,96,FALSE)</f>
        <v>0</v>
      </c>
      <c r="DJ20" s="386">
        <f>VLOOKUP(C20,Theory!B23:CT94,97,FALSE)</f>
        <v>0</v>
      </c>
      <c r="DK20" s="386">
        <f>VLOOKUP(C20,Theory!B23:CU94,98,FALSE)</f>
        <v>0</v>
      </c>
      <c r="DL20" s="369">
        <f t="shared" si="20"/>
        <v>6</v>
      </c>
      <c r="DM20" s="411">
        <f t="shared" si="2"/>
        <v>39</v>
      </c>
      <c r="DN20" s="413">
        <f t="shared" si="40"/>
        <v>9</v>
      </c>
      <c r="DO20" s="413">
        <f t="shared" si="41"/>
        <v>10</v>
      </c>
      <c r="DP20" s="413">
        <f t="shared" si="42"/>
        <v>39</v>
      </c>
      <c r="DQ20" s="418">
        <f t="shared" si="43"/>
        <v>5</v>
      </c>
      <c r="DR20" s="418">
        <f t="shared" si="44"/>
        <v>6</v>
      </c>
      <c r="DS20" s="418">
        <f t="shared" si="45"/>
        <v>23</v>
      </c>
      <c r="DT20" s="417">
        <f t="shared" si="36"/>
        <v>11</v>
      </c>
      <c r="DU20" s="423">
        <f>VLOOKUP(C20,Theory!B23:CV94,99,FALSE)</f>
        <v>8</v>
      </c>
      <c r="DV20" s="423">
        <f>VLOOKUP(C20,Theory!B23:CW94,100,FALSE)</f>
        <v>10</v>
      </c>
      <c r="DW20" s="424">
        <f t="shared" si="27"/>
        <v>18</v>
      </c>
      <c r="DX20" s="421">
        <f t="shared" si="3"/>
        <v>29</v>
      </c>
      <c r="DY20" s="430">
        <f t="shared" si="4"/>
        <v>17</v>
      </c>
      <c r="DZ20" s="431">
        <f>VLOOKUP(C20,Lab!B15:D84,3,FALSE)</f>
        <v>0</v>
      </c>
      <c r="EA20" s="432">
        <f>VLOOKUP(C20,Lab!B15:E84,4,FALSE)</f>
        <v>0</v>
      </c>
      <c r="EB20" s="432">
        <f>VLOOKUP(C20,Lab!B15:F84,5,FALSE)</f>
        <v>25</v>
      </c>
      <c r="EC20" s="422">
        <f t="shared" si="37"/>
        <v>25</v>
      </c>
      <c r="ED20" s="436">
        <f>VLOOKUP(C20,Lab!B15:G84,6,FALSE)</f>
        <v>0</v>
      </c>
      <c r="EE20" s="436">
        <f>VLOOKUP(C20,Lab!B15:H84,7,FALSE)</f>
        <v>0</v>
      </c>
      <c r="EF20" s="437">
        <v>8</v>
      </c>
      <c r="EG20" s="443">
        <f t="shared" si="38"/>
        <v>8</v>
      </c>
      <c r="EH20" s="444">
        <f t="shared" si="28"/>
        <v>33</v>
      </c>
      <c r="EI20" s="445">
        <f t="shared" si="29"/>
        <v>13</v>
      </c>
      <c r="EJ20" s="446">
        <f t="shared" si="5"/>
        <v>30</v>
      </c>
      <c r="EK20" s="449">
        <v>28.5</v>
      </c>
      <c r="EM20" s="450">
        <f>VLOOKUP(C20,Theory!B23:DK94,114,FALSE)</f>
        <v>0</v>
      </c>
      <c r="EN20" s="450">
        <f>VLOOKUP(C20,Theory!B23:DL94,115,FALSE)</f>
        <v>0</v>
      </c>
      <c r="EO20" s="450">
        <f>VLOOKUP(C20,Theory!B23:DM94,116,FALSE)</f>
        <v>0</v>
      </c>
      <c r="EP20" s="450">
        <f>VLOOKUP(C20,Theory!B23:DN92,117,FALSE)</f>
        <v>0</v>
      </c>
      <c r="EQ20" s="450">
        <f>VLOOKUP(C20,Theory!B23:DO92,118,FALSE)</f>
        <v>0</v>
      </c>
      <c r="ER20" s="451">
        <f>VLOOKUP(C20,Theory!B23:DP92,119,FALSE)</f>
        <v>0</v>
      </c>
      <c r="ES20" s="454">
        <f>VLOOKUP(C20,Theory!B23:DQ92,120,FALSE)</f>
        <v>0</v>
      </c>
      <c r="ET20" s="455">
        <f t="shared" si="39"/>
        <v>0</v>
      </c>
      <c r="EU20" s="456"/>
      <c r="EV20" s="456"/>
      <c r="EW20" s="456"/>
      <c r="EX20" s="456"/>
      <c r="EY20" s="456"/>
      <c r="EZ20" s="456"/>
      <c r="FA20" s="456"/>
      <c r="FB20" s="456"/>
      <c r="FC20" s="456"/>
      <c r="FD20" s="456"/>
    </row>
    <row r="21" ht="18.35" spans="1:160">
      <c r="A21" s="164">
        <v>8</v>
      </c>
      <c r="B21" s="289" t="str">
        <f>Theory!C24</f>
        <v>AKSHADHA SINGH</v>
      </c>
      <c r="C21" s="360" t="str">
        <f>Theory!B24</f>
        <v>1DS23AI008</v>
      </c>
      <c r="D21" s="361">
        <f>VLOOKUP(C21,Theory!B24:D95,3,FALSE)</f>
        <v>6</v>
      </c>
      <c r="E21" s="361">
        <f>VLOOKUP(C21,Theory!B24:E95,4,FALSE)</f>
        <v>0</v>
      </c>
      <c r="F21" s="361">
        <f>VLOOKUP(C21,Theory!B24:F95,5,FALSE)</f>
        <v>0</v>
      </c>
      <c r="G21" s="361">
        <f>VLOOKUP(C21,Theory!B24:G95,6,FALSE)</f>
        <v>0</v>
      </c>
      <c r="H21" s="369">
        <f t="shared" si="6"/>
        <v>6</v>
      </c>
      <c r="I21" s="370">
        <f>VLOOKUP(C21,Theory!B24:H95,7,FALSE)</f>
        <v>3</v>
      </c>
      <c r="J21" s="371">
        <f>VLOOKUP(C21,Theory!B24:I95,8,FALSE)</f>
        <v>0</v>
      </c>
      <c r="K21" s="371">
        <f>VLOOKUP(C21,Theory!B24:J95,9,FALSE)</f>
        <v>0</v>
      </c>
      <c r="L21" s="371">
        <f>VLOOKUP(C21,Theory!B24:K95,10,FALSE)</f>
        <v>0</v>
      </c>
      <c r="M21" s="369">
        <f t="shared" si="7"/>
        <v>3</v>
      </c>
      <c r="N21" s="373">
        <f>VLOOKUP(C21,Theory!B24:L95,11,FALSE)</f>
        <v>4</v>
      </c>
      <c r="O21" s="373">
        <f>VLOOKUP(C21,Theory!B24:M95,12,FALSE)</f>
        <v>0</v>
      </c>
      <c r="P21" s="373">
        <f>VLOOKUP(C21,Theory!B24:N95,13,FALSE)</f>
        <v>0</v>
      </c>
      <c r="Q21" s="373">
        <f>VLOOKUP(C21,Theory!B24:O95,14,FALSE)</f>
        <v>0</v>
      </c>
      <c r="R21" s="371">
        <f>VLOOKUP(C21,Theory!B24:P95,15,FALSE)</f>
        <v>0</v>
      </c>
      <c r="S21" s="371">
        <f>VLOOKUP(C21,Theory!B24:Q95,16,FALSE)</f>
        <v>0</v>
      </c>
      <c r="T21" s="371">
        <f>VLOOKUP(C21,Theory!B24:R95,17,FALSE)</f>
        <v>0</v>
      </c>
      <c r="U21" s="371">
        <f>VLOOKUP(C21,Theory!B24:S95,18,FALSE)</f>
        <v>0</v>
      </c>
      <c r="V21" s="369">
        <f t="shared" si="8"/>
        <v>4</v>
      </c>
      <c r="W21" s="361">
        <f>VLOOKUP(C21,Theory!B24:T95,19,FALSE)</f>
        <v>8</v>
      </c>
      <c r="X21" s="361">
        <f>VLOOKUP(C21,Theory!B24:U95,20,FALSE)</f>
        <v>0</v>
      </c>
      <c r="Y21" s="361">
        <f>VLOOKUP(C21,Theory!B24:V95,21,FALSE)</f>
        <v>0</v>
      </c>
      <c r="Z21" s="361">
        <f>VLOOKUP(C21,Theory!B24:W95,22,FALSE)</f>
        <v>0</v>
      </c>
      <c r="AA21" s="370">
        <f>VLOOKUP(C21,Theory!B24:X95,23,FALSE)</f>
        <v>0</v>
      </c>
      <c r="AB21" s="370">
        <f>VLOOKUP(C21,Theory!B24:Y95,24,FALSE)</f>
        <v>0</v>
      </c>
      <c r="AC21" s="370">
        <f>VLOOKUP(C21,Theory!B24:Z95,25,FALSE)</f>
        <v>0</v>
      </c>
      <c r="AD21" s="370">
        <f>VLOOKUP(C21,Theory!B24:AA95,26,FALSE)</f>
        <v>0</v>
      </c>
      <c r="AE21" s="369">
        <f t="shared" si="9"/>
        <v>8</v>
      </c>
      <c r="AF21" s="361">
        <f>VLOOKUP(C21,Theory!B24:AB95,27,FALSE)</f>
        <v>0</v>
      </c>
      <c r="AG21" s="361">
        <f>VLOOKUP(C21,Theory!B24:AC95,28,FALSE)</f>
        <v>0</v>
      </c>
      <c r="AH21" s="361">
        <f>VLOOKUP(C21,Theory!B24:AD95,29,FALSE)</f>
        <v>0</v>
      </c>
      <c r="AI21" s="361">
        <f>VLOOKUP(C21,Theory!B24:AE95,30,FALSE)</f>
        <v>0</v>
      </c>
      <c r="AJ21" s="380">
        <f>VLOOKUP(C21,Theory!B24:AF95,31,FALSE)</f>
        <v>0</v>
      </c>
      <c r="AK21" s="380">
        <f>VLOOKUP(C21,Theory!B24:AG95,32,FALSE)</f>
        <v>0</v>
      </c>
      <c r="AL21" s="380">
        <f>VLOOKUP(C21,Theory!B24:AH95,33,FALSE)</f>
        <v>0</v>
      </c>
      <c r="AM21" s="380">
        <f>VLOOKUP(C21,Theory!B24:AI95,34,FALSE)</f>
        <v>0</v>
      </c>
      <c r="AN21" s="369">
        <f t="shared" si="10"/>
        <v>0</v>
      </c>
      <c r="AO21" s="385">
        <f t="shared" si="0"/>
        <v>21</v>
      </c>
      <c r="AP21" s="386">
        <f>VLOOKUP(C21,Theory!B24:AJ95,35,FALSE)</f>
        <v>0</v>
      </c>
      <c r="AQ21" s="386">
        <f>VLOOKUP(C21,Theory!B24:AK95,36,FALSE)</f>
        <v>0</v>
      </c>
      <c r="AR21" s="386">
        <f>VLOOKUP(C21,Theory!B24:AL95,37,FALSE)</f>
        <v>0</v>
      </c>
      <c r="AS21" s="386">
        <f>VLOOKUP(C21,Theory!B24:AM95,38,FALSE)</f>
        <v>0</v>
      </c>
      <c r="AT21" s="369">
        <f t="shared" si="11"/>
        <v>0</v>
      </c>
      <c r="AU21" s="386">
        <f>VLOOKUP(C21,Theory!B24:AN95,39,FALSE)</f>
        <v>4</v>
      </c>
      <c r="AV21" s="386">
        <f>VLOOKUP(C21,Theory!B24:AO95,40,FALSE)</f>
        <v>0</v>
      </c>
      <c r="AW21" s="386">
        <f>VLOOKUP(C21,Theory!B24:AP95,41,FALSE)</f>
        <v>0</v>
      </c>
      <c r="AX21" s="386">
        <f>VLOOKUP(C21,Theory!B24:AQ95,42,FALSE)</f>
        <v>0</v>
      </c>
      <c r="AY21" s="369">
        <f t="shared" si="12"/>
        <v>4</v>
      </c>
      <c r="AZ21" s="386">
        <f>VLOOKUP(C21,Theory!B24:AR95,43,FALSE)</f>
        <v>4</v>
      </c>
      <c r="BA21" s="386">
        <f>VLOOKUP(C21,Theory!B24:AS95,44,FALSE)</f>
        <v>0</v>
      </c>
      <c r="BB21" s="386">
        <f>VLOOKUP(C21,Theory!B24:AT95,45,FALSE)</f>
        <v>0</v>
      </c>
      <c r="BC21" s="386">
        <f>VLOOKUP(C21,Theory!B24:AU95,46,FALSE)</f>
        <v>0</v>
      </c>
      <c r="BD21" s="386">
        <f>VLOOKUP(C21,Theory!B24:AV95,47,FALSE)</f>
        <v>0</v>
      </c>
      <c r="BE21" s="386">
        <f>VLOOKUP(C21,Theory!B24:AW95,48,FALSE)</f>
        <v>0</v>
      </c>
      <c r="BF21" s="386">
        <f>VLOOKUP(C21,Theory!B24:AX95,49,FALSE)</f>
        <v>0</v>
      </c>
      <c r="BG21" s="386">
        <f>VLOOKUP(C21,Theory!B24:AY95,50,FALSE)</f>
        <v>0</v>
      </c>
      <c r="BH21" s="369">
        <f t="shared" si="13"/>
        <v>4</v>
      </c>
      <c r="BI21" s="386">
        <f>VLOOKUP(C21,Theory!B24:AZ95,51,FALSE)</f>
        <v>0</v>
      </c>
      <c r="BJ21" s="386">
        <f>VLOOKUP(C21,Theory!B24:BA95,52,FALSE)</f>
        <v>0</v>
      </c>
      <c r="BK21" s="386">
        <f>VLOOKUP(C21,Theory!B24:BB95,53,FALSE)</f>
        <v>0</v>
      </c>
      <c r="BL21" s="386">
        <f>VLOOKUP(C21,Theory!B24:BC95,54,FALSE)</f>
        <v>0</v>
      </c>
      <c r="BM21" s="386">
        <f>VLOOKUP(C21,Theory!B24:BD95,55,FALSE)</f>
        <v>0</v>
      </c>
      <c r="BN21" s="386">
        <f>VLOOKUP(C21,Theory!B24:BE95,56,FALSE)</f>
        <v>0</v>
      </c>
      <c r="BO21" s="386">
        <f>VLOOKUP(C21,Theory!B24:BF95,57,FALSE)</f>
        <v>0</v>
      </c>
      <c r="BP21" s="386">
        <f>VLOOKUP(C21,Theory!B24:BG95,58,FALSE)</f>
        <v>0</v>
      </c>
      <c r="BQ21" s="369">
        <f t="shared" si="14"/>
        <v>0</v>
      </c>
      <c r="BR21" s="386">
        <f>VLOOKUP(C21,Theory!B24:BH95,59,FALSE)</f>
        <v>0</v>
      </c>
      <c r="BS21" s="386">
        <f>VLOOKUP(C21,Theory!B24:BI95,60,FALSE)</f>
        <v>0</v>
      </c>
      <c r="BT21" s="386">
        <f>VLOOKUP(C21,Theory!B24:BJ95,61,FALSE)</f>
        <v>0</v>
      </c>
      <c r="BU21" s="386">
        <f>VLOOKUP(C21,Theory!B24:BK95,62,FALSE)</f>
        <v>0</v>
      </c>
      <c r="BV21" s="386">
        <f>VLOOKUP(C21,Theory!B24:BL95,63,FALSE)</f>
        <v>0</v>
      </c>
      <c r="BW21" s="386">
        <f>VLOOKUP(C21,Theory!B24:BM95,64,FALSE)</f>
        <v>0</v>
      </c>
      <c r="BX21" s="386">
        <f>VLOOKUP(C21,Theory!B24:BN95,65,FALSE)</f>
        <v>0</v>
      </c>
      <c r="BY21" s="386">
        <f>VLOOKUP(C21,Theory!B24:BO95,66,FALSE)</f>
        <v>0</v>
      </c>
      <c r="BZ21" s="369">
        <f t="shared" si="15"/>
        <v>0</v>
      </c>
      <c r="CA21" s="385">
        <f t="shared" si="1"/>
        <v>8</v>
      </c>
      <c r="CB21" s="386">
        <f>VLOOKUP(C21,Theory!B24:BP95,67,FALSE)</f>
        <v>2</v>
      </c>
      <c r="CC21" s="386">
        <f>VLOOKUP(C21,Theory!B24:BQ95,68,FALSE)</f>
        <v>0</v>
      </c>
      <c r="CD21" s="386">
        <f>VLOOKUP(C21,Theory!B24:BR95,69,FALSE)</f>
        <v>0</v>
      </c>
      <c r="CE21" s="386">
        <f>VLOOKUP(C21,Theory!B24:BS95,70,FALSE)</f>
        <v>0</v>
      </c>
      <c r="CF21" s="369">
        <f t="shared" si="16"/>
        <v>2</v>
      </c>
      <c r="CG21" s="399">
        <f>VLOOKUP(C21,Theory!B24:BT95,71,FALSE)</f>
        <v>3</v>
      </c>
      <c r="CH21" s="399">
        <f>VLOOKUP(C21,Theory!B24:BU95,72,FALSE)</f>
        <v>0</v>
      </c>
      <c r="CI21" s="399">
        <f>VLOOKUP(C21,Theory!B24:BV95,73,FALSE)</f>
        <v>0</v>
      </c>
      <c r="CJ21" s="399">
        <f>VLOOKUP(C21,Theory!B24:BW95,74,FALSE)</f>
        <v>0</v>
      </c>
      <c r="CK21" s="369">
        <f t="shared" si="17"/>
        <v>3</v>
      </c>
      <c r="CL21" s="386">
        <f>VLOOKUP(C21,Theory!B24:BX95,75,FALSE)</f>
        <v>4</v>
      </c>
      <c r="CM21" s="400">
        <f>VLOOKUP(C21,Theory!B24:BY95,76,FALSE)</f>
        <v>0</v>
      </c>
      <c r="CN21" s="400">
        <f>VLOOKUP(C21,Theory!B24:BZ95,77,FALSE)</f>
        <v>0</v>
      </c>
      <c r="CO21" s="400">
        <f>VLOOKUP(C21,Theory!B24:CA95,78,FALSE)</f>
        <v>0</v>
      </c>
      <c r="CP21" s="386">
        <f>VLOOKUP(C21,Theory!B24:CB95,79,FALSE)</f>
        <v>0</v>
      </c>
      <c r="CQ21" s="386">
        <f>VLOOKUP(C21,Theory!B24:CC95,80,FALSE)</f>
        <v>0</v>
      </c>
      <c r="CR21" s="386">
        <f>VLOOKUP(C21,Theory!B24:CD95,81,FALSE)</f>
        <v>0</v>
      </c>
      <c r="CS21" s="386">
        <f>VLOOKUP(C21,Theory!B24:CE95,82,FALSE)</f>
        <v>0</v>
      </c>
      <c r="CT21" s="369">
        <f t="shared" si="18"/>
        <v>4</v>
      </c>
      <c r="CU21" s="399">
        <f>VLOOKUP(C21,Theory!B24:CF95,83,FALSE)</f>
        <v>7</v>
      </c>
      <c r="CV21" s="400">
        <f>VLOOKUP(C21,Theory!B24:CG95,84,FALSE)</f>
        <v>0</v>
      </c>
      <c r="CW21" s="400">
        <f>VLOOKUP(C21,Theory!B24:CH95,85,FALSE)</f>
        <v>0</v>
      </c>
      <c r="CX21" s="400">
        <f>VLOOKUP(C21,Theory!B24:CI95,86,FALSE)</f>
        <v>0</v>
      </c>
      <c r="CY21" s="399">
        <f>VLOOKUP(C21,Theory!B24:CJ95,87,FALSE)</f>
        <v>0</v>
      </c>
      <c r="CZ21" s="399">
        <f>VLOOKUP(C21,Theory!B24:CK95,88,FALSE)</f>
        <v>0</v>
      </c>
      <c r="DA21" s="399">
        <f>VLOOKUP(C21,Theory!B24:CL95,89,FALSE)</f>
        <v>0</v>
      </c>
      <c r="DB21" s="399">
        <f>VLOOKUP(C21,Theory!B24:CM95,90,FALSE)</f>
        <v>0</v>
      </c>
      <c r="DC21" s="369">
        <f t="shared" si="19"/>
        <v>7</v>
      </c>
      <c r="DD21" s="386">
        <f>VLOOKUP(C21,Theory!B24:CN95,91,FALSE)</f>
        <v>0</v>
      </c>
      <c r="DE21" s="400">
        <f>VLOOKUP(C21,Theory!B24:CO95,92,FALSE)</f>
        <v>0</v>
      </c>
      <c r="DF21" s="400">
        <f>VLOOKUP(C21,Theory!B24:CP95,93,FALSE)</f>
        <v>0</v>
      </c>
      <c r="DG21" s="400">
        <f>VLOOKUP(C21,Theory!B24:CQ95,94,FALSE)</f>
        <v>0</v>
      </c>
      <c r="DH21" s="386">
        <f>VLOOKUP(C21,Theory!B24:CR95,95,FALSE)</f>
        <v>4</v>
      </c>
      <c r="DI21" s="386">
        <f>VLOOKUP(C21,Theory!B24:CS95,96,FALSE)</f>
        <v>0</v>
      </c>
      <c r="DJ21" s="386">
        <f>VLOOKUP(C21,Theory!B24:CT95,97,FALSE)</f>
        <v>0</v>
      </c>
      <c r="DK21" s="386">
        <f>VLOOKUP(C21,Theory!B24:CU95,98,FALSE)</f>
        <v>0</v>
      </c>
      <c r="DL21" s="369">
        <f t="shared" si="20"/>
        <v>4</v>
      </c>
      <c r="DM21" s="411">
        <f t="shared" si="2"/>
        <v>20</v>
      </c>
      <c r="DN21" s="413">
        <f t="shared" si="40"/>
        <v>21</v>
      </c>
      <c r="DO21" s="413">
        <f t="shared" si="41"/>
        <v>8</v>
      </c>
      <c r="DP21" s="413">
        <f t="shared" si="42"/>
        <v>20</v>
      </c>
      <c r="DQ21" s="418">
        <f t="shared" si="43"/>
        <v>13</v>
      </c>
      <c r="DR21" s="418">
        <f t="shared" si="44"/>
        <v>5</v>
      </c>
      <c r="DS21" s="418">
        <f t="shared" si="45"/>
        <v>12</v>
      </c>
      <c r="DT21" s="417">
        <f t="shared" si="36"/>
        <v>10</v>
      </c>
      <c r="DU21" s="423">
        <f>VLOOKUP(C21,Theory!B24:CV95,99,FALSE)</f>
        <v>7</v>
      </c>
      <c r="DV21" s="423">
        <f>VLOOKUP(C21,Theory!B24:CW95,100,FALSE)</f>
        <v>10</v>
      </c>
      <c r="DW21" s="424">
        <f t="shared" si="27"/>
        <v>17</v>
      </c>
      <c r="DX21" s="421">
        <f t="shared" si="3"/>
        <v>27</v>
      </c>
      <c r="DY21" s="430">
        <f t="shared" si="4"/>
        <v>16</v>
      </c>
      <c r="DZ21" s="431">
        <f>VLOOKUP(C21,Lab!B16:D85,3,FALSE)</f>
        <v>0</v>
      </c>
      <c r="EA21" s="432">
        <f>VLOOKUP(C21,Lab!B16:E85,4,FALSE)</f>
        <v>0</v>
      </c>
      <c r="EB21" s="432">
        <f>VLOOKUP(C21,Lab!B16:F85,5,FALSE)</f>
        <v>25</v>
      </c>
      <c r="EC21" s="422">
        <f t="shared" si="37"/>
        <v>25</v>
      </c>
      <c r="ED21" s="436">
        <f>VLOOKUP(C21,Lab!B16:G85,6,FALSE)</f>
        <v>0</v>
      </c>
      <c r="EE21" s="436">
        <f>VLOOKUP(C21,Lab!B16:H85,7,FALSE)</f>
        <v>0</v>
      </c>
      <c r="EF21" s="437">
        <v>8</v>
      </c>
      <c r="EG21" s="443">
        <f t="shared" si="38"/>
        <v>8</v>
      </c>
      <c r="EH21" s="444">
        <f t="shared" si="28"/>
        <v>33</v>
      </c>
      <c r="EI21" s="445">
        <f t="shared" si="29"/>
        <v>13</v>
      </c>
      <c r="EJ21" s="446">
        <f t="shared" si="5"/>
        <v>29</v>
      </c>
      <c r="EK21" s="449">
        <v>30.5</v>
      </c>
      <c r="EM21" s="450">
        <f>VLOOKUP(C21,Theory!B24:DK95,114,FALSE)</f>
        <v>0</v>
      </c>
      <c r="EN21" s="450">
        <f>VLOOKUP(C21,Theory!B24:DL95,115,FALSE)</f>
        <v>0</v>
      </c>
      <c r="EO21" s="450">
        <f>VLOOKUP(C21,Theory!B24:DM95,116,FALSE)</f>
        <v>0</v>
      </c>
      <c r="EP21" s="450">
        <f>VLOOKUP(C21,Theory!B24:DN93,117,FALSE)</f>
        <v>0</v>
      </c>
      <c r="EQ21" s="450">
        <f>VLOOKUP(C21,Theory!B24:DO93,118,FALSE)</f>
        <v>0</v>
      </c>
      <c r="ER21" s="451">
        <f>VLOOKUP(C21,Theory!B24:DP93,119,FALSE)</f>
        <v>0</v>
      </c>
      <c r="ES21" s="454">
        <f>VLOOKUP(C21,Theory!B24:DQ93,120,FALSE)</f>
        <v>0</v>
      </c>
      <c r="ET21" s="455">
        <f t="shared" si="39"/>
        <v>0</v>
      </c>
      <c r="EU21" s="456"/>
      <c r="EV21" s="456"/>
      <c r="EW21" s="456"/>
      <c r="EX21" s="456"/>
      <c r="EY21" s="456"/>
      <c r="EZ21" s="456"/>
      <c r="FA21" s="456"/>
      <c r="FB21" s="456"/>
      <c r="FC21" s="456"/>
      <c r="FD21" s="456"/>
    </row>
    <row r="22" ht="18.35" spans="1:160">
      <c r="A22" s="164">
        <v>9</v>
      </c>
      <c r="B22" s="289" t="str">
        <f>Theory!C25</f>
        <v>ANIMESH UPADHYAY</v>
      </c>
      <c r="C22" s="360" t="str">
        <f>Theory!B25</f>
        <v>1DS23AI010</v>
      </c>
      <c r="D22" s="361">
        <f>VLOOKUP(C22,Theory!B25:D96,3,FALSE)</f>
        <v>0</v>
      </c>
      <c r="E22" s="361">
        <f>VLOOKUP(C22,Theory!B25:E96,4,FALSE)</f>
        <v>0</v>
      </c>
      <c r="F22" s="361">
        <f>VLOOKUP(C22,Theory!B25:F96,5,FALSE)</f>
        <v>0</v>
      </c>
      <c r="G22" s="361">
        <f>VLOOKUP(C22,Theory!B25:G96,6,FALSE)</f>
        <v>0</v>
      </c>
      <c r="H22" s="369">
        <f t="shared" si="6"/>
        <v>0</v>
      </c>
      <c r="I22" s="370">
        <f>VLOOKUP(C22,Theory!B25:H96,7,FALSE)</f>
        <v>0</v>
      </c>
      <c r="J22" s="371">
        <f>VLOOKUP(C22,Theory!B25:I96,8,FALSE)</f>
        <v>0</v>
      </c>
      <c r="K22" s="371">
        <f>VLOOKUP(C22,Theory!B25:J96,9,FALSE)</f>
        <v>0</v>
      </c>
      <c r="L22" s="371">
        <f>VLOOKUP(C22,Theory!B25:K96,10,FALSE)</f>
        <v>0</v>
      </c>
      <c r="M22" s="369">
        <f t="shared" si="7"/>
        <v>0</v>
      </c>
      <c r="N22" s="373">
        <f>VLOOKUP(C22,Theory!B25:L96,11,FALSE)</f>
        <v>4</v>
      </c>
      <c r="O22" s="373">
        <f>VLOOKUP(C22,Theory!B25:M96,12,FALSE)</f>
        <v>0</v>
      </c>
      <c r="P22" s="373">
        <f>VLOOKUP(C22,Theory!B25:N96,13,FALSE)</f>
        <v>0</v>
      </c>
      <c r="Q22" s="373">
        <f>VLOOKUP(C22,Theory!B25:O96,14,FALSE)</f>
        <v>0</v>
      </c>
      <c r="R22" s="371">
        <f>VLOOKUP(C22,Theory!B25:P96,15,FALSE)</f>
        <v>0</v>
      </c>
      <c r="S22" s="371">
        <f>VLOOKUP(C22,Theory!B25:Q96,16,FALSE)</f>
        <v>0</v>
      </c>
      <c r="T22" s="371">
        <f>VLOOKUP(C22,Theory!B25:R96,17,FALSE)</f>
        <v>0</v>
      </c>
      <c r="U22" s="371">
        <f>VLOOKUP(C22,Theory!B25:S96,18,FALSE)</f>
        <v>0</v>
      </c>
      <c r="V22" s="369">
        <f t="shared" si="8"/>
        <v>4</v>
      </c>
      <c r="W22" s="361">
        <f>VLOOKUP(C22,Theory!B25:T96,19,FALSE)</f>
        <v>0</v>
      </c>
      <c r="X22" s="361">
        <f>VLOOKUP(C22,Theory!B25:U96,20,FALSE)</f>
        <v>0</v>
      </c>
      <c r="Y22" s="361">
        <f>VLOOKUP(C22,Theory!B25:V96,21,FALSE)</f>
        <v>0</v>
      </c>
      <c r="Z22" s="361">
        <f>VLOOKUP(C22,Theory!B25:W96,22,FALSE)</f>
        <v>0</v>
      </c>
      <c r="AA22" s="370">
        <f>VLOOKUP(C22,Theory!B25:X96,23,FALSE)</f>
        <v>0</v>
      </c>
      <c r="AB22" s="370">
        <f>VLOOKUP(C22,Theory!B25:Y96,24,FALSE)</f>
        <v>0</v>
      </c>
      <c r="AC22" s="370">
        <f>VLOOKUP(C22,Theory!B25:Z96,25,FALSE)</f>
        <v>0</v>
      </c>
      <c r="AD22" s="370">
        <f>VLOOKUP(C22,Theory!B25:AA96,26,FALSE)</f>
        <v>0</v>
      </c>
      <c r="AE22" s="369">
        <f t="shared" si="9"/>
        <v>0</v>
      </c>
      <c r="AF22" s="361">
        <f>VLOOKUP(C22,Theory!B25:AB96,27,FALSE)</f>
        <v>0</v>
      </c>
      <c r="AG22" s="361">
        <f>VLOOKUP(C22,Theory!B25:AC96,28,FALSE)</f>
        <v>0</v>
      </c>
      <c r="AH22" s="361">
        <f>VLOOKUP(C22,Theory!B25:AD96,29,FALSE)</f>
        <v>0</v>
      </c>
      <c r="AI22" s="361">
        <f>VLOOKUP(C22,Theory!B25:AE96,30,FALSE)</f>
        <v>0</v>
      </c>
      <c r="AJ22" s="380">
        <f>VLOOKUP(C22,Theory!B25:AF96,31,FALSE)</f>
        <v>3</v>
      </c>
      <c r="AK22" s="380">
        <f>VLOOKUP(C22,Theory!B25:AG96,32,FALSE)</f>
        <v>0</v>
      </c>
      <c r="AL22" s="380">
        <f>VLOOKUP(C22,Theory!B25:AH96,33,FALSE)</f>
        <v>0</v>
      </c>
      <c r="AM22" s="380">
        <f>VLOOKUP(C22,Theory!B25:AI96,34,FALSE)</f>
        <v>0</v>
      </c>
      <c r="AN22" s="369">
        <f t="shared" si="10"/>
        <v>3</v>
      </c>
      <c r="AO22" s="385">
        <f t="shared" si="0"/>
        <v>7</v>
      </c>
      <c r="AP22" s="386">
        <f>VLOOKUP(C22,Theory!B25:AJ96,35,FALSE)</f>
        <v>4</v>
      </c>
      <c r="AQ22" s="386">
        <f>VLOOKUP(C22,Theory!B25:AK96,36,FALSE)</f>
        <v>0</v>
      </c>
      <c r="AR22" s="386">
        <f>VLOOKUP(C22,Theory!B25:AL96,37,FALSE)</f>
        <v>0</v>
      </c>
      <c r="AS22" s="386">
        <f>VLOOKUP(C22,Theory!B25:AM96,38,FALSE)</f>
        <v>0</v>
      </c>
      <c r="AT22" s="369">
        <f t="shared" si="11"/>
        <v>4</v>
      </c>
      <c r="AU22" s="386">
        <f>VLOOKUP(C22,Theory!B25:AN96,39,FALSE)</f>
        <v>0</v>
      </c>
      <c r="AV22" s="386">
        <f>VLOOKUP(C22,Theory!B25:AO96,40,FALSE)</f>
        <v>0</v>
      </c>
      <c r="AW22" s="386">
        <f>VLOOKUP(C22,Theory!B25:AP96,41,FALSE)</f>
        <v>0</v>
      </c>
      <c r="AX22" s="386">
        <f>VLOOKUP(C22,Theory!B25:AQ96,42,FALSE)</f>
        <v>0</v>
      </c>
      <c r="AY22" s="369">
        <f t="shared" si="12"/>
        <v>0</v>
      </c>
      <c r="AZ22" s="386">
        <f>VLOOKUP(C22,Theory!B25:AR96,43,FALSE)</f>
        <v>0</v>
      </c>
      <c r="BA22" s="386">
        <f>VLOOKUP(C22,Theory!B25:AS96,44,FALSE)</f>
        <v>0</v>
      </c>
      <c r="BB22" s="386">
        <f>VLOOKUP(C22,Theory!B25:AT96,45,FALSE)</f>
        <v>0</v>
      </c>
      <c r="BC22" s="386">
        <f>VLOOKUP(C22,Theory!B25:AU96,46,FALSE)</f>
        <v>0</v>
      </c>
      <c r="BD22" s="386">
        <f>VLOOKUP(C22,Theory!B25:AV96,47,FALSE)</f>
        <v>2</v>
      </c>
      <c r="BE22" s="386">
        <f>VLOOKUP(C22,Theory!B25:AW96,48,FALSE)</f>
        <v>0</v>
      </c>
      <c r="BF22" s="386">
        <f>VLOOKUP(C22,Theory!B25:AX96,49,FALSE)</f>
        <v>0</v>
      </c>
      <c r="BG22" s="386">
        <f>VLOOKUP(C22,Theory!B25:AY96,50,FALSE)</f>
        <v>0</v>
      </c>
      <c r="BH22" s="369">
        <f t="shared" si="13"/>
        <v>2</v>
      </c>
      <c r="BI22" s="386">
        <f>VLOOKUP(C22,Theory!B25:AZ96,51,FALSE)</f>
        <v>0</v>
      </c>
      <c r="BJ22" s="386">
        <f>VLOOKUP(C22,Theory!B25:BA96,52,FALSE)</f>
        <v>0</v>
      </c>
      <c r="BK22" s="386">
        <f>VLOOKUP(C22,Theory!B25:BB96,53,FALSE)</f>
        <v>0</v>
      </c>
      <c r="BL22" s="386">
        <f>VLOOKUP(C22,Theory!B25:BC96,54,FALSE)</f>
        <v>0</v>
      </c>
      <c r="BM22" s="386">
        <f>VLOOKUP(C22,Theory!B25:BD96,55,FALSE)</f>
        <v>0</v>
      </c>
      <c r="BN22" s="386">
        <f>VLOOKUP(C22,Theory!B25:BE96,56,FALSE)</f>
        <v>0</v>
      </c>
      <c r="BO22" s="386">
        <f>VLOOKUP(C22,Theory!B25:BF96,57,FALSE)</f>
        <v>0</v>
      </c>
      <c r="BP22" s="386">
        <f>VLOOKUP(C22,Theory!B25:BG96,58,FALSE)</f>
        <v>0</v>
      </c>
      <c r="BQ22" s="369">
        <f t="shared" si="14"/>
        <v>0</v>
      </c>
      <c r="BR22" s="386">
        <f>VLOOKUP(C22,Theory!B25:BH96,59,FALSE)</f>
        <v>0</v>
      </c>
      <c r="BS22" s="386">
        <f>VLOOKUP(C22,Theory!B25:BI96,60,FALSE)</f>
        <v>0</v>
      </c>
      <c r="BT22" s="386">
        <f>VLOOKUP(C22,Theory!B25:BJ96,61,FALSE)</f>
        <v>0</v>
      </c>
      <c r="BU22" s="386">
        <f>VLOOKUP(C22,Theory!B25:BK96,62,FALSE)</f>
        <v>0</v>
      </c>
      <c r="BV22" s="386">
        <f>VLOOKUP(C22,Theory!B25:BL96,63,FALSE)</f>
        <v>0</v>
      </c>
      <c r="BW22" s="386">
        <f>VLOOKUP(C22,Theory!B25:BM96,64,FALSE)</f>
        <v>0</v>
      </c>
      <c r="BX22" s="386">
        <f>VLOOKUP(C22,Theory!B25:BN96,65,FALSE)</f>
        <v>0</v>
      </c>
      <c r="BY22" s="386">
        <f>VLOOKUP(C22,Theory!B25:BO96,66,FALSE)</f>
        <v>0</v>
      </c>
      <c r="BZ22" s="369">
        <f t="shared" si="15"/>
        <v>0</v>
      </c>
      <c r="CA22" s="385">
        <f t="shared" si="1"/>
        <v>6</v>
      </c>
      <c r="CB22" s="386">
        <f>VLOOKUP(C22,Theory!B25:BP96,67,FALSE)</f>
        <v>0</v>
      </c>
      <c r="CC22" s="386">
        <f>VLOOKUP(C22,Theory!B25:BQ96,68,FALSE)</f>
        <v>0</v>
      </c>
      <c r="CD22" s="386">
        <f>VLOOKUP(C22,Theory!B25:BR96,69,FALSE)</f>
        <v>0</v>
      </c>
      <c r="CE22" s="386">
        <f>VLOOKUP(C22,Theory!B25:BS96,70,FALSE)</f>
        <v>0</v>
      </c>
      <c r="CF22" s="369">
        <f t="shared" si="16"/>
        <v>0</v>
      </c>
      <c r="CG22" s="399">
        <f>VLOOKUP(C22,Theory!B25:BT96,71,FALSE)</f>
        <v>8</v>
      </c>
      <c r="CH22" s="399">
        <f>VLOOKUP(C22,Theory!B25:BU96,72,FALSE)</f>
        <v>0</v>
      </c>
      <c r="CI22" s="399">
        <f>VLOOKUP(C22,Theory!B25:BV96,73,FALSE)</f>
        <v>0</v>
      </c>
      <c r="CJ22" s="399">
        <f>VLOOKUP(C22,Theory!B25:BW96,74,FALSE)</f>
        <v>0</v>
      </c>
      <c r="CK22" s="369">
        <f t="shared" si="17"/>
        <v>8</v>
      </c>
      <c r="CL22" s="386">
        <f>VLOOKUP(C22,Theory!B25:BX96,75,FALSE)</f>
        <v>0</v>
      </c>
      <c r="CM22" s="400">
        <f>VLOOKUP(C22,Theory!B25:BY96,76,FALSE)</f>
        <v>0</v>
      </c>
      <c r="CN22" s="400">
        <f>VLOOKUP(C22,Theory!B25:BZ96,77,FALSE)</f>
        <v>0</v>
      </c>
      <c r="CO22" s="400">
        <f>VLOOKUP(C22,Theory!B25:CA96,78,FALSE)</f>
        <v>0</v>
      </c>
      <c r="CP22" s="386">
        <f>VLOOKUP(C22,Theory!B25:CB96,79,FALSE)</f>
        <v>8</v>
      </c>
      <c r="CQ22" s="386">
        <f>VLOOKUP(C22,Theory!B25:CC96,80,FALSE)</f>
        <v>0</v>
      </c>
      <c r="CR22" s="386">
        <f>VLOOKUP(C22,Theory!B25:CD96,81,FALSE)</f>
        <v>0</v>
      </c>
      <c r="CS22" s="386">
        <f>VLOOKUP(C22,Theory!B25:CE96,82,FALSE)</f>
        <v>0</v>
      </c>
      <c r="CT22" s="369">
        <f t="shared" si="18"/>
        <v>8</v>
      </c>
      <c r="CU22" s="399">
        <f>VLOOKUP(C22,Theory!B25:CF96,83,FALSE)</f>
        <v>6</v>
      </c>
      <c r="CV22" s="400">
        <f>VLOOKUP(C22,Theory!B25:CG96,84,FALSE)</f>
        <v>0</v>
      </c>
      <c r="CW22" s="400">
        <f>VLOOKUP(C22,Theory!B25:CH96,85,FALSE)</f>
        <v>0</v>
      </c>
      <c r="CX22" s="400">
        <f>VLOOKUP(C22,Theory!B25:CI96,86,FALSE)</f>
        <v>0</v>
      </c>
      <c r="CY22" s="399">
        <f>VLOOKUP(C22,Theory!B25:CJ96,87,FALSE)</f>
        <v>0</v>
      </c>
      <c r="CZ22" s="399">
        <f>VLOOKUP(C22,Theory!B25:CK96,88,FALSE)</f>
        <v>0</v>
      </c>
      <c r="DA22" s="399">
        <f>VLOOKUP(C22,Theory!B25:CL96,89,FALSE)</f>
        <v>0</v>
      </c>
      <c r="DB22" s="399">
        <f>VLOOKUP(C22,Theory!B25:CM96,90,FALSE)</f>
        <v>0</v>
      </c>
      <c r="DC22" s="369">
        <f t="shared" si="19"/>
        <v>6</v>
      </c>
      <c r="DD22" s="386">
        <f>VLOOKUP(C22,Theory!B25:CN96,91,FALSE)</f>
        <v>0</v>
      </c>
      <c r="DE22" s="400">
        <f>VLOOKUP(C22,Theory!B25:CO96,92,FALSE)</f>
        <v>0</v>
      </c>
      <c r="DF22" s="400">
        <f>VLOOKUP(C22,Theory!B25:CP96,93,FALSE)</f>
        <v>0</v>
      </c>
      <c r="DG22" s="400">
        <f>VLOOKUP(C22,Theory!B25:CQ96,94,FALSE)</f>
        <v>0</v>
      </c>
      <c r="DH22" s="386">
        <f>VLOOKUP(C22,Theory!B25:CR96,95,FALSE)</f>
        <v>0</v>
      </c>
      <c r="DI22" s="386">
        <f>VLOOKUP(C22,Theory!B25:CS96,96,FALSE)</f>
        <v>0</v>
      </c>
      <c r="DJ22" s="386">
        <f>VLOOKUP(C22,Theory!B25:CT96,97,FALSE)</f>
        <v>0</v>
      </c>
      <c r="DK22" s="386">
        <f>VLOOKUP(C22,Theory!B25:CU96,98,FALSE)</f>
        <v>0</v>
      </c>
      <c r="DL22" s="369">
        <f t="shared" si="20"/>
        <v>0</v>
      </c>
      <c r="DM22" s="411">
        <f t="shared" si="2"/>
        <v>22</v>
      </c>
      <c r="DN22" s="413">
        <f t="shared" si="40"/>
        <v>7</v>
      </c>
      <c r="DO22" s="413">
        <f t="shared" si="41"/>
        <v>6</v>
      </c>
      <c r="DP22" s="413">
        <f t="shared" si="42"/>
        <v>22</v>
      </c>
      <c r="DQ22" s="418">
        <f t="shared" si="43"/>
        <v>4</v>
      </c>
      <c r="DR22" s="418">
        <f t="shared" si="44"/>
        <v>4</v>
      </c>
      <c r="DS22" s="418">
        <f t="shared" si="45"/>
        <v>13</v>
      </c>
      <c r="DT22" s="417">
        <f t="shared" si="36"/>
        <v>7</v>
      </c>
      <c r="DU22" s="423">
        <f>VLOOKUP(C22,Theory!B25:CV96,99,FALSE)</f>
        <v>5</v>
      </c>
      <c r="DV22" s="423">
        <f>VLOOKUP(C22,Theory!B25:CW96,100,FALSE)</f>
        <v>5</v>
      </c>
      <c r="DW22" s="424">
        <f t="shared" si="27"/>
        <v>10</v>
      </c>
      <c r="DX22" s="421">
        <f t="shared" si="3"/>
        <v>17</v>
      </c>
      <c r="DY22" s="430">
        <f t="shared" si="4"/>
        <v>10</v>
      </c>
      <c r="DZ22" s="431">
        <f>VLOOKUP(C22,Lab!B17:D86,3,FALSE)</f>
        <v>0</v>
      </c>
      <c r="EA22" s="432">
        <f>VLOOKUP(C22,Lab!B17:E86,4,FALSE)</f>
        <v>0</v>
      </c>
      <c r="EB22" s="432">
        <f>VLOOKUP(C22,Lab!B17:F86,5,FALSE)</f>
        <v>25</v>
      </c>
      <c r="EC22" s="422">
        <f t="shared" si="37"/>
        <v>25</v>
      </c>
      <c r="ED22" s="436">
        <f>VLOOKUP(C22,Lab!B17:G86,6,FALSE)</f>
        <v>0</v>
      </c>
      <c r="EE22" s="436">
        <f>VLOOKUP(C22,Lab!B17:H86,7,FALSE)</f>
        <v>0</v>
      </c>
      <c r="EF22" s="437">
        <v>8</v>
      </c>
      <c r="EG22" s="443">
        <f t="shared" si="38"/>
        <v>8</v>
      </c>
      <c r="EH22" s="444">
        <f t="shared" si="28"/>
        <v>33</v>
      </c>
      <c r="EI22" s="445">
        <f t="shared" si="29"/>
        <v>13</v>
      </c>
      <c r="EJ22" s="446">
        <f t="shared" si="5"/>
        <v>23</v>
      </c>
      <c r="EK22" s="449">
        <v>20.5</v>
      </c>
      <c r="EM22" s="450">
        <f>VLOOKUP(C22,Theory!B25:DK96,114,FALSE)</f>
        <v>0</v>
      </c>
      <c r="EN22" s="450">
        <f>VLOOKUP(C22,Theory!B25:DL96,115,FALSE)</f>
        <v>0</v>
      </c>
      <c r="EO22" s="450">
        <f>VLOOKUP(C22,Theory!B25:DM96,116,FALSE)</f>
        <v>0</v>
      </c>
      <c r="EP22" s="450">
        <f>VLOOKUP(C22,Theory!B25:DN94,117,FALSE)</f>
        <v>0</v>
      </c>
      <c r="EQ22" s="450">
        <f>VLOOKUP(C22,Theory!B25:DO94,118,FALSE)</f>
        <v>0</v>
      </c>
      <c r="ER22" s="451">
        <f>VLOOKUP(C22,Theory!B25:DP94,119,FALSE)</f>
        <v>0</v>
      </c>
      <c r="ES22" s="454">
        <f>VLOOKUP(C22,Theory!B25:DQ94,120,FALSE)</f>
        <v>0</v>
      </c>
      <c r="ET22" s="455">
        <f t="shared" si="39"/>
        <v>0</v>
      </c>
      <c r="EU22" s="456"/>
      <c r="EV22" s="456"/>
      <c r="EW22" s="456"/>
      <c r="EX22" s="456"/>
      <c r="EY22" s="456"/>
      <c r="EZ22" s="456"/>
      <c r="FA22" s="456"/>
      <c r="FB22" s="456"/>
      <c r="FC22" s="456"/>
      <c r="FD22" s="456"/>
    </row>
    <row r="23" ht="18.35" spans="1:160">
      <c r="A23" s="164">
        <v>10</v>
      </c>
      <c r="B23" s="289" t="str">
        <f>Theory!C26</f>
        <v>ASHWINI GANESH RATOD</v>
      </c>
      <c r="C23" s="360" t="str">
        <f>Theory!B26</f>
        <v>1DS23AI011</v>
      </c>
      <c r="D23" s="361">
        <f>VLOOKUP(C23,Theory!B26:D97,3,FALSE)</f>
        <v>9</v>
      </c>
      <c r="E23" s="361">
        <f>VLOOKUP(C23,Theory!B26:E97,4,FALSE)</f>
        <v>0</v>
      </c>
      <c r="F23" s="361">
        <f>VLOOKUP(C23,Theory!B26:F97,5,FALSE)</f>
        <v>0</v>
      </c>
      <c r="G23" s="361">
        <f>VLOOKUP(C23,Theory!B26:G97,6,FALSE)</f>
        <v>0</v>
      </c>
      <c r="H23" s="369">
        <f t="shared" si="6"/>
        <v>9</v>
      </c>
      <c r="I23" s="370">
        <f>VLOOKUP(C23,Theory!B26:H97,7,FALSE)</f>
        <v>4</v>
      </c>
      <c r="J23" s="371">
        <f>VLOOKUP(C23,Theory!B26:I97,8,FALSE)</f>
        <v>0</v>
      </c>
      <c r="K23" s="371">
        <f>VLOOKUP(C23,Theory!B26:J97,9,FALSE)</f>
        <v>0</v>
      </c>
      <c r="L23" s="371">
        <f>VLOOKUP(C23,Theory!B26:K97,10,FALSE)</f>
        <v>0</v>
      </c>
      <c r="M23" s="369">
        <f t="shared" si="7"/>
        <v>4</v>
      </c>
      <c r="N23" s="373">
        <f>VLOOKUP(C23,Theory!B26:L97,11,FALSE)</f>
        <v>6</v>
      </c>
      <c r="O23" s="373">
        <f>VLOOKUP(C23,Theory!B26:M97,12,FALSE)</f>
        <v>0</v>
      </c>
      <c r="P23" s="373">
        <f>VLOOKUP(C23,Theory!B26:N97,13,FALSE)</f>
        <v>0</v>
      </c>
      <c r="Q23" s="373">
        <f>VLOOKUP(C23,Theory!B26:O97,14,FALSE)</f>
        <v>0</v>
      </c>
      <c r="R23" s="371">
        <f>VLOOKUP(C23,Theory!B26:P97,15,FALSE)</f>
        <v>0</v>
      </c>
      <c r="S23" s="371">
        <f>VLOOKUP(C23,Theory!B26:Q97,16,FALSE)</f>
        <v>0</v>
      </c>
      <c r="T23" s="371">
        <f>VLOOKUP(C23,Theory!B26:R97,17,FALSE)</f>
        <v>0</v>
      </c>
      <c r="U23" s="371">
        <f>VLOOKUP(C23,Theory!B26:S97,18,FALSE)</f>
        <v>0</v>
      </c>
      <c r="V23" s="369">
        <f t="shared" si="8"/>
        <v>6</v>
      </c>
      <c r="W23" s="361">
        <f>VLOOKUP(C23,Theory!B26:T97,19,FALSE)</f>
        <v>0</v>
      </c>
      <c r="X23" s="361">
        <f>VLOOKUP(C23,Theory!B26:U97,20,FALSE)</f>
        <v>0</v>
      </c>
      <c r="Y23" s="361">
        <f>VLOOKUP(C23,Theory!B26:V97,21,FALSE)</f>
        <v>0</v>
      </c>
      <c r="Z23" s="361">
        <f>VLOOKUP(C23,Theory!B26:W97,22,FALSE)</f>
        <v>0</v>
      </c>
      <c r="AA23" s="370">
        <f>VLOOKUP(C23,Theory!B26:X97,23,FALSE)</f>
        <v>3</v>
      </c>
      <c r="AB23" s="370">
        <f>VLOOKUP(C23,Theory!B26:Y97,24,FALSE)</f>
        <v>0</v>
      </c>
      <c r="AC23" s="370">
        <f>VLOOKUP(C23,Theory!B26:Z97,25,FALSE)</f>
        <v>0</v>
      </c>
      <c r="AD23" s="370">
        <f>VLOOKUP(C23,Theory!B26:AA97,26,FALSE)</f>
        <v>0</v>
      </c>
      <c r="AE23" s="369">
        <f t="shared" si="9"/>
        <v>3</v>
      </c>
      <c r="AF23" s="361">
        <f>VLOOKUP(C23,Theory!B26:AB97,27,FALSE)</f>
        <v>0</v>
      </c>
      <c r="AG23" s="361">
        <f>VLOOKUP(C23,Theory!B26:AC97,28,FALSE)</f>
        <v>0</v>
      </c>
      <c r="AH23" s="361">
        <f>VLOOKUP(C23,Theory!B26:AD97,29,FALSE)</f>
        <v>0</v>
      </c>
      <c r="AI23" s="361">
        <f>VLOOKUP(C23,Theory!B26:AE97,30,FALSE)</f>
        <v>0</v>
      </c>
      <c r="AJ23" s="380">
        <f>VLOOKUP(C23,Theory!B26:AF97,31,FALSE)</f>
        <v>4</v>
      </c>
      <c r="AK23" s="380">
        <f>VLOOKUP(C23,Theory!B26:AG97,32,FALSE)</f>
        <v>0</v>
      </c>
      <c r="AL23" s="380">
        <f>VLOOKUP(C23,Theory!B26:AH97,33,FALSE)</f>
        <v>0</v>
      </c>
      <c r="AM23" s="380">
        <f>VLOOKUP(C23,Theory!B26:AI97,34,FALSE)</f>
        <v>0</v>
      </c>
      <c r="AN23" s="369">
        <f t="shared" si="10"/>
        <v>4</v>
      </c>
      <c r="AO23" s="385">
        <f t="shared" si="0"/>
        <v>26</v>
      </c>
      <c r="AP23" s="386">
        <f>VLOOKUP(C23,Theory!B26:AJ97,35,FALSE)</f>
        <v>2</v>
      </c>
      <c r="AQ23" s="386">
        <f>VLOOKUP(C23,Theory!B26:AK97,36,FALSE)</f>
        <v>0</v>
      </c>
      <c r="AR23" s="386">
        <f>VLOOKUP(C23,Theory!B26:AL97,37,FALSE)</f>
        <v>0</v>
      </c>
      <c r="AS23" s="386">
        <f>VLOOKUP(C23,Theory!B26:AM97,38,FALSE)</f>
        <v>0</v>
      </c>
      <c r="AT23" s="369">
        <f t="shared" si="11"/>
        <v>2</v>
      </c>
      <c r="AU23" s="386">
        <f>VLOOKUP(C23,Theory!B26:AN97,39,FALSE)</f>
        <v>6</v>
      </c>
      <c r="AV23" s="386">
        <f>VLOOKUP(C23,Theory!B26:AO97,40,FALSE)</f>
        <v>0</v>
      </c>
      <c r="AW23" s="386">
        <f>VLOOKUP(C23,Theory!B26:AP97,41,FALSE)</f>
        <v>0</v>
      </c>
      <c r="AX23" s="386">
        <f>VLOOKUP(C23,Theory!B26:AQ97,42,FALSE)</f>
        <v>0</v>
      </c>
      <c r="AY23" s="369">
        <f t="shared" si="12"/>
        <v>6</v>
      </c>
      <c r="AZ23" s="386">
        <f>VLOOKUP(C23,Theory!B26:AR97,43,FALSE)</f>
        <v>0</v>
      </c>
      <c r="BA23" s="386">
        <f>VLOOKUP(C23,Theory!B26:AS97,44,FALSE)</f>
        <v>0</v>
      </c>
      <c r="BB23" s="386">
        <f>VLOOKUP(C23,Theory!B26:AT97,45,FALSE)</f>
        <v>0</v>
      </c>
      <c r="BC23" s="386">
        <f>VLOOKUP(C23,Theory!B26:AU97,46,FALSE)</f>
        <v>0</v>
      </c>
      <c r="BD23" s="386">
        <f>VLOOKUP(C23,Theory!B26:AV97,47,FALSE)</f>
        <v>8</v>
      </c>
      <c r="BE23" s="386">
        <f>VLOOKUP(C23,Theory!B26:AW97,48,FALSE)</f>
        <v>0</v>
      </c>
      <c r="BF23" s="386">
        <f>VLOOKUP(C23,Theory!B26:AX97,49,FALSE)</f>
        <v>0</v>
      </c>
      <c r="BG23" s="386">
        <f>VLOOKUP(C23,Theory!B26:AY97,50,FALSE)</f>
        <v>0</v>
      </c>
      <c r="BH23" s="369">
        <f t="shared" si="13"/>
        <v>8</v>
      </c>
      <c r="BI23" s="386">
        <f>VLOOKUP(C23,Theory!B26:AZ97,51,FALSE)</f>
        <v>3</v>
      </c>
      <c r="BJ23" s="386">
        <f>VLOOKUP(C23,Theory!B26:BA97,52,FALSE)</f>
        <v>0</v>
      </c>
      <c r="BK23" s="386">
        <f>VLOOKUP(C23,Theory!B26:BB97,53,FALSE)</f>
        <v>0</v>
      </c>
      <c r="BL23" s="386">
        <f>VLOOKUP(C23,Theory!B26:BC97,54,FALSE)</f>
        <v>0</v>
      </c>
      <c r="BM23" s="386">
        <f>VLOOKUP(C23,Theory!B26:BD97,55,FALSE)</f>
        <v>0</v>
      </c>
      <c r="BN23" s="386">
        <f>VLOOKUP(C23,Theory!B26:BE97,56,FALSE)</f>
        <v>0</v>
      </c>
      <c r="BO23" s="386">
        <f>VLOOKUP(C23,Theory!B26:BF97,57,FALSE)</f>
        <v>0</v>
      </c>
      <c r="BP23" s="386">
        <f>VLOOKUP(C23,Theory!B26:BG97,58,FALSE)</f>
        <v>0</v>
      </c>
      <c r="BQ23" s="369">
        <f t="shared" si="14"/>
        <v>3</v>
      </c>
      <c r="BR23" s="386">
        <f>VLOOKUP(C23,Theory!B26:BH97,59,FALSE)</f>
        <v>7</v>
      </c>
      <c r="BS23" s="386">
        <f>VLOOKUP(C23,Theory!B26:BI97,60,FALSE)</f>
        <v>0</v>
      </c>
      <c r="BT23" s="386">
        <f>VLOOKUP(C23,Theory!B26:BJ97,61,FALSE)</f>
        <v>0</v>
      </c>
      <c r="BU23" s="386">
        <f>VLOOKUP(C23,Theory!B26:BK97,62,FALSE)</f>
        <v>0</v>
      </c>
      <c r="BV23" s="386">
        <f>VLOOKUP(C23,Theory!B26:BL97,63,FALSE)</f>
        <v>0</v>
      </c>
      <c r="BW23" s="386">
        <f>VLOOKUP(C23,Theory!B26:BM97,64,FALSE)</f>
        <v>0</v>
      </c>
      <c r="BX23" s="386">
        <f>VLOOKUP(C23,Theory!B26:BN97,65,FALSE)</f>
        <v>0</v>
      </c>
      <c r="BY23" s="386">
        <f>VLOOKUP(C23,Theory!B26:BO97,66,FALSE)</f>
        <v>0</v>
      </c>
      <c r="BZ23" s="369">
        <f t="shared" si="15"/>
        <v>7</v>
      </c>
      <c r="CA23" s="385">
        <f t="shared" si="1"/>
        <v>26</v>
      </c>
      <c r="CB23" s="386">
        <f>VLOOKUP(C23,Theory!B26:BP97,67,FALSE)</f>
        <v>9</v>
      </c>
      <c r="CC23" s="386">
        <f>VLOOKUP(C23,Theory!B26:BQ97,68,FALSE)</f>
        <v>0</v>
      </c>
      <c r="CD23" s="386">
        <f>VLOOKUP(C23,Theory!B26:BR97,69,FALSE)</f>
        <v>0</v>
      </c>
      <c r="CE23" s="386">
        <f>VLOOKUP(C23,Theory!B26:BS97,70,FALSE)</f>
        <v>0</v>
      </c>
      <c r="CF23" s="369">
        <f t="shared" si="16"/>
        <v>9</v>
      </c>
      <c r="CG23" s="399">
        <f>VLOOKUP(C23,Theory!B26:BT97,71,FALSE)</f>
        <v>9</v>
      </c>
      <c r="CH23" s="399">
        <f>VLOOKUP(C23,Theory!B26:BU97,72,FALSE)</f>
        <v>0</v>
      </c>
      <c r="CI23" s="399">
        <f>VLOOKUP(C23,Theory!B26:BV97,73,FALSE)</f>
        <v>0</v>
      </c>
      <c r="CJ23" s="399">
        <f>VLOOKUP(C23,Theory!B26:BW97,74,FALSE)</f>
        <v>0</v>
      </c>
      <c r="CK23" s="369">
        <f t="shared" si="17"/>
        <v>9</v>
      </c>
      <c r="CL23" s="386">
        <f>VLOOKUP(C23,Theory!B26:BX97,75,FALSE)</f>
        <v>9</v>
      </c>
      <c r="CM23" s="400">
        <f>VLOOKUP(C23,Theory!B26:BY97,76,FALSE)</f>
        <v>0</v>
      </c>
      <c r="CN23" s="400">
        <f>VLOOKUP(C23,Theory!B26:BZ97,77,FALSE)</f>
        <v>0</v>
      </c>
      <c r="CO23" s="400">
        <f>VLOOKUP(C23,Theory!B26:CA97,78,FALSE)</f>
        <v>0</v>
      </c>
      <c r="CP23" s="386">
        <f>VLOOKUP(C23,Theory!B26:CB97,79,FALSE)</f>
        <v>0</v>
      </c>
      <c r="CQ23" s="386">
        <f>VLOOKUP(C23,Theory!B26:CC97,80,FALSE)</f>
        <v>0</v>
      </c>
      <c r="CR23" s="386">
        <f>VLOOKUP(C23,Theory!B26:CD97,81,FALSE)</f>
        <v>0</v>
      </c>
      <c r="CS23" s="386">
        <f>VLOOKUP(C23,Theory!B26:CE97,82,FALSE)</f>
        <v>0</v>
      </c>
      <c r="CT23" s="369">
        <f t="shared" si="18"/>
        <v>9</v>
      </c>
      <c r="CU23" s="399">
        <f>VLOOKUP(C23,Theory!B26:CF97,83,FALSE)</f>
        <v>8</v>
      </c>
      <c r="CV23" s="400">
        <f>VLOOKUP(C23,Theory!B26:CG97,84,FALSE)</f>
        <v>0</v>
      </c>
      <c r="CW23" s="400">
        <f>VLOOKUP(C23,Theory!B26:CH97,85,FALSE)</f>
        <v>0</v>
      </c>
      <c r="CX23" s="400">
        <f>VLOOKUP(C23,Theory!B26:CI97,86,FALSE)</f>
        <v>0</v>
      </c>
      <c r="CY23" s="399">
        <f>VLOOKUP(C23,Theory!B26:CJ97,87,FALSE)</f>
        <v>0</v>
      </c>
      <c r="CZ23" s="399">
        <f>VLOOKUP(C23,Theory!B26:CK97,88,FALSE)</f>
        <v>0</v>
      </c>
      <c r="DA23" s="399">
        <f>VLOOKUP(C23,Theory!B26:CL97,89,FALSE)</f>
        <v>0</v>
      </c>
      <c r="DB23" s="399">
        <f>VLOOKUP(C23,Theory!B26:CM97,90,FALSE)</f>
        <v>0</v>
      </c>
      <c r="DC23" s="369">
        <f t="shared" si="19"/>
        <v>8</v>
      </c>
      <c r="DD23" s="386">
        <f>VLOOKUP(C23,Theory!B26:CN97,91,FALSE)</f>
        <v>9</v>
      </c>
      <c r="DE23" s="400">
        <f>VLOOKUP(C23,Theory!B26:CO97,92,FALSE)</f>
        <v>0</v>
      </c>
      <c r="DF23" s="400">
        <f>VLOOKUP(C23,Theory!B26:CP97,93,FALSE)</f>
        <v>0</v>
      </c>
      <c r="DG23" s="400">
        <f>VLOOKUP(C23,Theory!B26:CQ97,94,FALSE)</f>
        <v>0</v>
      </c>
      <c r="DH23" s="386">
        <f>VLOOKUP(C23,Theory!B26:CR97,95,FALSE)</f>
        <v>0</v>
      </c>
      <c r="DI23" s="386">
        <f>VLOOKUP(C23,Theory!B26:CS97,96,FALSE)</f>
        <v>0</v>
      </c>
      <c r="DJ23" s="386">
        <f>VLOOKUP(C23,Theory!B26:CT97,97,FALSE)</f>
        <v>0</v>
      </c>
      <c r="DK23" s="386">
        <f>VLOOKUP(C23,Theory!B26:CU97,98,FALSE)</f>
        <v>0</v>
      </c>
      <c r="DL23" s="369">
        <f t="shared" si="20"/>
        <v>9</v>
      </c>
      <c r="DM23" s="411">
        <f t="shared" si="2"/>
        <v>44</v>
      </c>
      <c r="DN23" s="413">
        <f t="shared" si="40"/>
        <v>26</v>
      </c>
      <c r="DO23" s="413">
        <f t="shared" si="41"/>
        <v>26</v>
      </c>
      <c r="DP23" s="413">
        <f t="shared" si="42"/>
        <v>44</v>
      </c>
      <c r="DQ23" s="418">
        <f t="shared" si="43"/>
        <v>16</v>
      </c>
      <c r="DR23" s="418">
        <f t="shared" si="44"/>
        <v>16</v>
      </c>
      <c r="DS23" s="418">
        <f t="shared" si="45"/>
        <v>26</v>
      </c>
      <c r="DT23" s="417">
        <f t="shared" si="36"/>
        <v>19</v>
      </c>
      <c r="DU23" s="423">
        <f>VLOOKUP(C23,Theory!B26:CV97,99,FALSE)</f>
        <v>7</v>
      </c>
      <c r="DV23" s="423">
        <f>VLOOKUP(C23,Theory!B26:CW97,100,FALSE)</f>
        <v>10</v>
      </c>
      <c r="DW23" s="424">
        <f t="shared" si="27"/>
        <v>17</v>
      </c>
      <c r="DX23" s="421">
        <f t="shared" si="3"/>
        <v>36</v>
      </c>
      <c r="DY23" s="430">
        <f t="shared" si="4"/>
        <v>22</v>
      </c>
      <c r="DZ23" s="431">
        <f>VLOOKUP(C23,Lab!B18:D87,3,FALSE)</f>
        <v>0</v>
      </c>
      <c r="EA23" s="432">
        <f>VLOOKUP(C23,Lab!B18:E87,4,FALSE)</f>
        <v>0</v>
      </c>
      <c r="EB23" s="432">
        <f>VLOOKUP(C23,Lab!B18:F87,5,FALSE)</f>
        <v>26</v>
      </c>
      <c r="EC23" s="422">
        <f t="shared" si="37"/>
        <v>26</v>
      </c>
      <c r="ED23" s="436">
        <f>VLOOKUP(C23,Lab!B18:G87,6,FALSE)</f>
        <v>0</v>
      </c>
      <c r="EE23" s="436">
        <f>VLOOKUP(C23,Lab!B18:H87,7,FALSE)</f>
        <v>0</v>
      </c>
      <c r="EF23" s="437">
        <v>16</v>
      </c>
      <c r="EG23" s="443">
        <f t="shared" si="38"/>
        <v>16</v>
      </c>
      <c r="EH23" s="444">
        <f t="shared" si="28"/>
        <v>42</v>
      </c>
      <c r="EI23" s="445">
        <f t="shared" si="29"/>
        <v>17</v>
      </c>
      <c r="EJ23" s="446">
        <f t="shared" si="5"/>
        <v>39</v>
      </c>
      <c r="EK23" s="449">
        <v>41</v>
      </c>
      <c r="EM23" s="450">
        <f>VLOOKUP(C23,Theory!B26:DK97,114,FALSE)</f>
        <v>0</v>
      </c>
      <c r="EN23" s="450">
        <f>VLOOKUP(C23,Theory!B26:DL97,115,FALSE)</f>
        <v>0</v>
      </c>
      <c r="EO23" s="450">
        <f>VLOOKUP(C23,Theory!B26:DM97,116,FALSE)</f>
        <v>0</v>
      </c>
      <c r="EP23" s="450">
        <f>VLOOKUP(C23,Theory!B26:DN95,117,FALSE)</f>
        <v>0</v>
      </c>
      <c r="EQ23" s="450">
        <f>VLOOKUP(C23,Theory!B26:DO95,118,FALSE)</f>
        <v>0</v>
      </c>
      <c r="ER23" s="451">
        <f>VLOOKUP(C23,Theory!B26:DP95,119,FALSE)</f>
        <v>0</v>
      </c>
      <c r="ES23" s="454">
        <f>VLOOKUP(C23,Theory!B26:DQ95,120,FALSE)</f>
        <v>0</v>
      </c>
      <c r="ET23" s="455">
        <f t="shared" si="39"/>
        <v>0</v>
      </c>
      <c r="EU23" s="456"/>
      <c r="EV23" s="456"/>
      <c r="EW23" s="456"/>
      <c r="EX23" s="456"/>
      <c r="EY23" s="456"/>
      <c r="EZ23" s="456"/>
      <c r="FA23" s="456"/>
      <c r="FB23" s="456"/>
      <c r="FC23" s="456"/>
      <c r="FD23" s="456"/>
    </row>
    <row r="24" ht="18.35" spans="1:160">
      <c r="A24" s="164">
        <v>11</v>
      </c>
      <c r="B24" s="289" t="str">
        <f>Theory!C27</f>
        <v>AVIDUTT PUROHIT</v>
      </c>
      <c r="C24" s="360" t="str">
        <f>Theory!B27</f>
        <v>1DS23AI012</v>
      </c>
      <c r="D24" s="361">
        <f>VLOOKUP(C24,Theory!B27:D98,3,FALSE)</f>
        <v>9</v>
      </c>
      <c r="E24" s="361">
        <f>VLOOKUP(C24,Theory!B27:E98,4,FALSE)</f>
        <v>0</v>
      </c>
      <c r="F24" s="361">
        <f>VLOOKUP(C24,Theory!B27:F98,5,FALSE)</f>
        <v>0</v>
      </c>
      <c r="G24" s="361">
        <f>VLOOKUP(C24,Theory!B27:G98,6,FALSE)</f>
        <v>0</v>
      </c>
      <c r="H24" s="369">
        <f t="shared" si="6"/>
        <v>9</v>
      </c>
      <c r="I24" s="370">
        <f>VLOOKUP(C24,Theory!B27:H98,7,FALSE)</f>
        <v>8</v>
      </c>
      <c r="J24" s="371">
        <f>VLOOKUP(C24,Theory!B27:I98,8,FALSE)</f>
        <v>0</v>
      </c>
      <c r="K24" s="371">
        <f>VLOOKUP(C24,Theory!B27:J98,9,FALSE)</f>
        <v>0</v>
      </c>
      <c r="L24" s="371">
        <f>VLOOKUP(C24,Theory!B27:K98,10,FALSE)</f>
        <v>0</v>
      </c>
      <c r="M24" s="369">
        <f t="shared" si="7"/>
        <v>8</v>
      </c>
      <c r="N24" s="373">
        <f>VLOOKUP(C24,Theory!B27:L98,11,FALSE)</f>
        <v>6</v>
      </c>
      <c r="O24" s="373">
        <f>VLOOKUP(C24,Theory!B27:M98,12,FALSE)</f>
        <v>0</v>
      </c>
      <c r="P24" s="373">
        <f>VLOOKUP(C24,Theory!B27:N98,13,FALSE)</f>
        <v>0</v>
      </c>
      <c r="Q24" s="373">
        <f>VLOOKUP(C24,Theory!B27:O98,14,FALSE)</f>
        <v>0</v>
      </c>
      <c r="R24" s="371">
        <f>VLOOKUP(C24,Theory!B27:P98,15,FALSE)</f>
        <v>0</v>
      </c>
      <c r="S24" s="371">
        <f>VLOOKUP(C24,Theory!B27:Q98,16,FALSE)</f>
        <v>0</v>
      </c>
      <c r="T24" s="371">
        <f>VLOOKUP(C24,Theory!B27:R98,17,FALSE)</f>
        <v>0</v>
      </c>
      <c r="U24" s="371">
        <f>VLOOKUP(C24,Theory!B27:S98,18,FALSE)</f>
        <v>0</v>
      </c>
      <c r="V24" s="369">
        <f t="shared" si="8"/>
        <v>6</v>
      </c>
      <c r="W24" s="361">
        <f>VLOOKUP(C24,Theory!B27:T98,19,FALSE)</f>
        <v>0</v>
      </c>
      <c r="X24" s="361">
        <f>VLOOKUP(C24,Theory!B27:U98,20,FALSE)</f>
        <v>0</v>
      </c>
      <c r="Y24" s="361">
        <f>VLOOKUP(C24,Theory!B27:V98,21,FALSE)</f>
        <v>0</v>
      </c>
      <c r="Z24" s="361">
        <f>VLOOKUP(C24,Theory!B27:W98,22,FALSE)</f>
        <v>0</v>
      </c>
      <c r="AA24" s="370">
        <f>VLOOKUP(C24,Theory!B27:X98,23,FALSE)</f>
        <v>8</v>
      </c>
      <c r="AB24" s="370">
        <f>VLOOKUP(C24,Theory!B27:Y98,24,FALSE)</f>
        <v>0</v>
      </c>
      <c r="AC24" s="370">
        <f>VLOOKUP(C24,Theory!B27:Z98,25,FALSE)</f>
        <v>0</v>
      </c>
      <c r="AD24" s="370">
        <f>VLOOKUP(C24,Theory!B27:AA98,26,FALSE)</f>
        <v>0</v>
      </c>
      <c r="AE24" s="369">
        <f t="shared" si="9"/>
        <v>8</v>
      </c>
      <c r="AF24" s="361">
        <f>VLOOKUP(C24,Theory!B27:AB98,27,FALSE)</f>
        <v>9</v>
      </c>
      <c r="AG24" s="361">
        <f>VLOOKUP(C24,Theory!B27:AC98,28,FALSE)</f>
        <v>0</v>
      </c>
      <c r="AH24" s="361">
        <f>VLOOKUP(C24,Theory!B27:AD98,29,FALSE)</f>
        <v>0</v>
      </c>
      <c r="AI24" s="361">
        <f>VLOOKUP(C24,Theory!B27:AE98,30,FALSE)</f>
        <v>0</v>
      </c>
      <c r="AJ24" s="380">
        <f>VLOOKUP(C24,Theory!B27:AF98,31,FALSE)</f>
        <v>0</v>
      </c>
      <c r="AK24" s="380">
        <f>VLOOKUP(C24,Theory!B27:AG98,32,FALSE)</f>
        <v>0</v>
      </c>
      <c r="AL24" s="380">
        <f>VLOOKUP(C24,Theory!B27:AH98,33,FALSE)</f>
        <v>0</v>
      </c>
      <c r="AM24" s="380">
        <f>VLOOKUP(C24,Theory!B27:AI98,34,FALSE)</f>
        <v>0</v>
      </c>
      <c r="AN24" s="369">
        <f t="shared" si="10"/>
        <v>9</v>
      </c>
      <c r="AO24" s="385">
        <f t="shared" si="0"/>
        <v>40</v>
      </c>
      <c r="AP24" s="386">
        <f>VLOOKUP(C24,Theory!B27:AJ98,35,FALSE)</f>
        <v>8</v>
      </c>
      <c r="AQ24" s="386">
        <f>VLOOKUP(C24,Theory!B27:AK98,36,FALSE)</f>
        <v>0</v>
      </c>
      <c r="AR24" s="386">
        <f>VLOOKUP(C24,Theory!B27:AL98,37,FALSE)</f>
        <v>0</v>
      </c>
      <c r="AS24" s="386">
        <f>VLOOKUP(C24,Theory!B27:AM98,38,FALSE)</f>
        <v>0</v>
      </c>
      <c r="AT24" s="369">
        <f t="shared" si="11"/>
        <v>8</v>
      </c>
      <c r="AU24" s="386">
        <f>VLOOKUP(C24,Theory!B27:AN98,39,FALSE)</f>
        <v>6</v>
      </c>
      <c r="AV24" s="386">
        <f>VLOOKUP(C24,Theory!B27:AO98,40,FALSE)</f>
        <v>0</v>
      </c>
      <c r="AW24" s="386">
        <f>VLOOKUP(C24,Theory!B27:AP98,41,FALSE)</f>
        <v>0</v>
      </c>
      <c r="AX24" s="386">
        <f>VLOOKUP(C24,Theory!B27:AQ98,42,FALSE)</f>
        <v>0</v>
      </c>
      <c r="AY24" s="369">
        <f t="shared" si="12"/>
        <v>6</v>
      </c>
      <c r="AZ24" s="386">
        <f>VLOOKUP(C24,Theory!B27:AR98,43,FALSE)</f>
        <v>0</v>
      </c>
      <c r="BA24" s="386">
        <f>VLOOKUP(C24,Theory!B27:AS98,44,FALSE)</f>
        <v>0</v>
      </c>
      <c r="BB24" s="386">
        <f>VLOOKUP(C24,Theory!B27:AT98,45,FALSE)</f>
        <v>0</v>
      </c>
      <c r="BC24" s="386">
        <f>VLOOKUP(C24,Theory!B27:AU98,46,FALSE)</f>
        <v>0</v>
      </c>
      <c r="BD24" s="386">
        <f>VLOOKUP(C24,Theory!B27:AV98,47,FALSE)</f>
        <v>9</v>
      </c>
      <c r="BE24" s="386">
        <f>VLOOKUP(C24,Theory!B27:AW98,48,FALSE)</f>
        <v>0</v>
      </c>
      <c r="BF24" s="386">
        <f>VLOOKUP(C24,Theory!B27:AX98,49,FALSE)</f>
        <v>0</v>
      </c>
      <c r="BG24" s="386">
        <f>VLOOKUP(C24,Theory!B27:AY98,50,FALSE)</f>
        <v>0</v>
      </c>
      <c r="BH24" s="369">
        <f t="shared" si="13"/>
        <v>9</v>
      </c>
      <c r="BI24" s="386">
        <f>VLOOKUP(C24,Theory!B27:AZ98,51,FALSE)</f>
        <v>0</v>
      </c>
      <c r="BJ24" s="386">
        <f>VLOOKUP(C24,Theory!B27:BA98,52,FALSE)</f>
        <v>0</v>
      </c>
      <c r="BK24" s="386">
        <f>VLOOKUP(C24,Theory!B27:BB98,53,FALSE)</f>
        <v>0</v>
      </c>
      <c r="BL24" s="386">
        <f>VLOOKUP(C24,Theory!B27:BC98,54,FALSE)</f>
        <v>0</v>
      </c>
      <c r="BM24" s="386">
        <f>VLOOKUP(C24,Theory!B27:BD98,55,FALSE)</f>
        <v>2</v>
      </c>
      <c r="BN24" s="386">
        <f>VLOOKUP(C24,Theory!B27:BE98,56,FALSE)</f>
        <v>0</v>
      </c>
      <c r="BO24" s="386">
        <f>VLOOKUP(C24,Theory!B27:BF98,57,FALSE)</f>
        <v>0</v>
      </c>
      <c r="BP24" s="386">
        <f>VLOOKUP(C24,Theory!B27:BG98,58,FALSE)</f>
        <v>0</v>
      </c>
      <c r="BQ24" s="369">
        <f t="shared" si="14"/>
        <v>2</v>
      </c>
      <c r="BR24" s="386">
        <f>VLOOKUP(C24,Theory!B27:BH98,59,FALSE)</f>
        <v>0</v>
      </c>
      <c r="BS24" s="386">
        <f>VLOOKUP(C24,Theory!B27:BI98,60,FALSE)</f>
        <v>0</v>
      </c>
      <c r="BT24" s="386">
        <f>VLOOKUP(C24,Theory!B27:BJ98,61,FALSE)</f>
        <v>0</v>
      </c>
      <c r="BU24" s="386">
        <f>VLOOKUP(C24,Theory!B27:BK98,62,FALSE)</f>
        <v>0</v>
      </c>
      <c r="BV24" s="386">
        <f>VLOOKUP(C24,Theory!B27:BL98,63,FALSE)</f>
        <v>6</v>
      </c>
      <c r="BW24" s="386">
        <f>VLOOKUP(C24,Theory!B27:BM98,64,FALSE)</f>
        <v>0</v>
      </c>
      <c r="BX24" s="386">
        <f>VLOOKUP(C24,Theory!B27:BN98,65,FALSE)</f>
        <v>0</v>
      </c>
      <c r="BY24" s="386">
        <f>VLOOKUP(C24,Theory!B27:BO98,66,FALSE)</f>
        <v>0</v>
      </c>
      <c r="BZ24" s="369">
        <f t="shared" si="15"/>
        <v>6</v>
      </c>
      <c r="CA24" s="385">
        <f t="shared" si="1"/>
        <v>31</v>
      </c>
      <c r="CB24" s="386">
        <f>VLOOKUP(C24,Theory!B27:BP98,67,FALSE)</f>
        <v>8</v>
      </c>
      <c r="CC24" s="386">
        <f>VLOOKUP(C24,Theory!B27:BQ98,68,FALSE)</f>
        <v>0</v>
      </c>
      <c r="CD24" s="386">
        <f>VLOOKUP(C24,Theory!B27:BR98,69,FALSE)</f>
        <v>0</v>
      </c>
      <c r="CE24" s="386">
        <f>VLOOKUP(C24,Theory!B27:BS98,70,FALSE)</f>
        <v>0</v>
      </c>
      <c r="CF24" s="369">
        <f t="shared" si="16"/>
        <v>8</v>
      </c>
      <c r="CG24" s="399">
        <f>VLOOKUP(C24,Theory!B27:BT98,71,FALSE)</f>
        <v>7</v>
      </c>
      <c r="CH24" s="399">
        <f>VLOOKUP(C24,Theory!B27:BU98,72,FALSE)</f>
        <v>0</v>
      </c>
      <c r="CI24" s="399">
        <f>VLOOKUP(C24,Theory!B27:BV98,73,FALSE)</f>
        <v>0</v>
      </c>
      <c r="CJ24" s="399">
        <f>VLOOKUP(C24,Theory!B27:BW98,74,FALSE)</f>
        <v>0</v>
      </c>
      <c r="CK24" s="369">
        <f t="shared" si="17"/>
        <v>7</v>
      </c>
      <c r="CL24" s="386">
        <f>VLOOKUP(C24,Theory!B27:BX98,75,FALSE)</f>
        <v>7</v>
      </c>
      <c r="CM24" s="400">
        <f>VLOOKUP(C24,Theory!B27:BY98,76,FALSE)</f>
        <v>0</v>
      </c>
      <c r="CN24" s="400">
        <f>VLOOKUP(C24,Theory!B27:BZ98,77,FALSE)</f>
        <v>0</v>
      </c>
      <c r="CO24" s="400">
        <f>VLOOKUP(C24,Theory!B27:CA98,78,FALSE)</f>
        <v>0</v>
      </c>
      <c r="CP24" s="386">
        <f>VLOOKUP(C24,Theory!B27:CB98,79,FALSE)</f>
        <v>0</v>
      </c>
      <c r="CQ24" s="386">
        <f>VLOOKUP(C24,Theory!B27:CC98,80,FALSE)</f>
        <v>0</v>
      </c>
      <c r="CR24" s="386">
        <f>VLOOKUP(C24,Theory!B27:CD98,81,FALSE)</f>
        <v>0</v>
      </c>
      <c r="CS24" s="386">
        <f>VLOOKUP(C24,Theory!B27:CE98,82,FALSE)</f>
        <v>0</v>
      </c>
      <c r="CT24" s="369">
        <f t="shared" si="18"/>
        <v>7</v>
      </c>
      <c r="CU24" s="399">
        <f>VLOOKUP(C24,Theory!B27:CF98,83,FALSE)</f>
        <v>8</v>
      </c>
      <c r="CV24" s="400">
        <f>VLOOKUP(C24,Theory!B27:CG98,84,FALSE)</f>
        <v>0</v>
      </c>
      <c r="CW24" s="400">
        <f>VLOOKUP(C24,Theory!B27:CH98,85,FALSE)</f>
        <v>0</v>
      </c>
      <c r="CX24" s="400">
        <f>VLOOKUP(C24,Theory!B27:CI98,86,FALSE)</f>
        <v>0</v>
      </c>
      <c r="CY24" s="399">
        <f>VLOOKUP(C24,Theory!B27:CJ98,87,FALSE)</f>
        <v>0</v>
      </c>
      <c r="CZ24" s="399">
        <f>VLOOKUP(C24,Theory!B27:CK98,88,FALSE)</f>
        <v>0</v>
      </c>
      <c r="DA24" s="399">
        <f>VLOOKUP(C24,Theory!B27:CL98,89,FALSE)</f>
        <v>0</v>
      </c>
      <c r="DB24" s="399">
        <f>VLOOKUP(C24,Theory!B27:CM98,90,FALSE)</f>
        <v>0</v>
      </c>
      <c r="DC24" s="369">
        <f t="shared" si="19"/>
        <v>8</v>
      </c>
      <c r="DD24" s="386">
        <f>VLOOKUP(C24,Theory!B27:CN98,91,FALSE)</f>
        <v>3</v>
      </c>
      <c r="DE24" s="400">
        <f>VLOOKUP(C24,Theory!B27:CO98,92,FALSE)</f>
        <v>0</v>
      </c>
      <c r="DF24" s="400">
        <f>VLOOKUP(C24,Theory!B27:CP98,93,FALSE)</f>
        <v>0</v>
      </c>
      <c r="DG24" s="400">
        <f>VLOOKUP(C24,Theory!B27:CQ98,94,FALSE)</f>
        <v>0</v>
      </c>
      <c r="DH24" s="386">
        <f>VLOOKUP(C24,Theory!B27:CR98,95,FALSE)</f>
        <v>0</v>
      </c>
      <c r="DI24" s="386">
        <f>VLOOKUP(C24,Theory!B27:CS98,96,FALSE)</f>
        <v>0</v>
      </c>
      <c r="DJ24" s="386">
        <f>VLOOKUP(C24,Theory!B27:CT98,97,FALSE)</f>
        <v>0</v>
      </c>
      <c r="DK24" s="386">
        <f>VLOOKUP(C24,Theory!B27:CU98,98,FALSE)</f>
        <v>0</v>
      </c>
      <c r="DL24" s="369">
        <f t="shared" si="20"/>
        <v>3</v>
      </c>
      <c r="DM24" s="411">
        <f t="shared" si="2"/>
        <v>33</v>
      </c>
      <c r="DN24" s="413">
        <f t="shared" si="40"/>
        <v>40</v>
      </c>
      <c r="DO24" s="413">
        <f t="shared" si="41"/>
        <v>31</v>
      </c>
      <c r="DP24" s="413">
        <f t="shared" si="42"/>
        <v>33</v>
      </c>
      <c r="DQ24" s="418">
        <f t="shared" si="43"/>
        <v>24</v>
      </c>
      <c r="DR24" s="418">
        <f t="shared" si="44"/>
        <v>19</v>
      </c>
      <c r="DS24" s="418">
        <f t="shared" si="45"/>
        <v>20</v>
      </c>
      <c r="DT24" s="417">
        <f t="shared" si="36"/>
        <v>21</v>
      </c>
      <c r="DU24" s="423">
        <f>VLOOKUP(C24,Theory!B27:CV98,99,FALSE)</f>
        <v>8</v>
      </c>
      <c r="DV24" s="423">
        <f>VLOOKUP(C24,Theory!B27:CW98,100,FALSE)</f>
        <v>10</v>
      </c>
      <c r="DW24" s="424">
        <f t="shared" si="27"/>
        <v>18</v>
      </c>
      <c r="DX24" s="421">
        <f t="shared" si="3"/>
        <v>39</v>
      </c>
      <c r="DY24" s="430">
        <f t="shared" si="4"/>
        <v>23</v>
      </c>
      <c r="DZ24" s="431">
        <f>VLOOKUP(C24,Lab!B19:D88,3,FALSE)</f>
        <v>0</v>
      </c>
      <c r="EA24" s="432">
        <f>VLOOKUP(C24,Lab!B19:E88,4,FALSE)</f>
        <v>0</v>
      </c>
      <c r="EB24" s="432">
        <f>VLOOKUP(C24,Lab!B19:F88,5,FALSE)</f>
        <v>25</v>
      </c>
      <c r="EC24" s="422">
        <f t="shared" si="37"/>
        <v>25</v>
      </c>
      <c r="ED24" s="436">
        <f>VLOOKUP(C24,Lab!B19:G88,6,FALSE)</f>
        <v>0</v>
      </c>
      <c r="EE24" s="436">
        <f>VLOOKUP(C24,Lab!B19:H88,7,FALSE)</f>
        <v>0</v>
      </c>
      <c r="EF24" s="437">
        <v>10</v>
      </c>
      <c r="EG24" s="443">
        <f t="shared" si="38"/>
        <v>10</v>
      </c>
      <c r="EH24" s="444">
        <f t="shared" si="28"/>
        <v>35</v>
      </c>
      <c r="EI24" s="445">
        <f t="shared" si="29"/>
        <v>14</v>
      </c>
      <c r="EJ24" s="446">
        <f t="shared" si="5"/>
        <v>37</v>
      </c>
      <c r="EK24" s="449">
        <v>32.5</v>
      </c>
      <c r="EM24" s="450">
        <f>VLOOKUP(C24,Theory!B27:DK98,114,FALSE)</f>
        <v>0</v>
      </c>
      <c r="EN24" s="450">
        <f>VLOOKUP(C24,Theory!B27:DL98,115,FALSE)</f>
        <v>0</v>
      </c>
      <c r="EO24" s="450">
        <f>VLOOKUP(C24,Theory!B27:DM98,116,FALSE)</f>
        <v>0</v>
      </c>
      <c r="EP24" s="450">
        <f>VLOOKUP(C24,Theory!B27:DN96,117,FALSE)</f>
        <v>0</v>
      </c>
      <c r="EQ24" s="450">
        <f>VLOOKUP(C24,Theory!B27:DO96,118,FALSE)</f>
        <v>0</v>
      </c>
      <c r="ER24" s="451">
        <f>VLOOKUP(C24,Theory!B27:DP96,119,FALSE)</f>
        <v>0</v>
      </c>
      <c r="ES24" s="454">
        <f>VLOOKUP(C24,Theory!B27:DQ96,120,FALSE)</f>
        <v>0</v>
      </c>
      <c r="ET24" s="455">
        <f t="shared" si="39"/>
        <v>0</v>
      </c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</row>
    <row r="25" ht="18.35" spans="1:160">
      <c r="A25" s="164">
        <v>12</v>
      </c>
      <c r="B25" s="289" t="str">
        <f>Theory!C28</f>
        <v>B N SHARATH</v>
      </c>
      <c r="C25" s="360" t="str">
        <f>Theory!B28</f>
        <v>1DS23AI013</v>
      </c>
      <c r="D25" s="361">
        <f>VLOOKUP(C25,Theory!B28:D99,3,FALSE)</f>
        <v>8</v>
      </c>
      <c r="E25" s="361">
        <f>VLOOKUP(C25,Theory!B28:E99,4,FALSE)</f>
        <v>0</v>
      </c>
      <c r="F25" s="361">
        <f>VLOOKUP(C25,Theory!B28:F99,5,FALSE)</f>
        <v>0</v>
      </c>
      <c r="G25" s="361">
        <f>VLOOKUP(C25,Theory!B28:G99,6,FALSE)</f>
        <v>0</v>
      </c>
      <c r="H25" s="369">
        <f t="shared" si="6"/>
        <v>8</v>
      </c>
      <c r="I25" s="370">
        <f>VLOOKUP(C25,Theory!B28:H99,7,FALSE)</f>
        <v>4</v>
      </c>
      <c r="J25" s="371">
        <f>VLOOKUP(C25,Theory!B28:I99,8,FALSE)</f>
        <v>0</v>
      </c>
      <c r="K25" s="371">
        <f>VLOOKUP(C25,Theory!B28:J99,9,FALSE)</f>
        <v>0</v>
      </c>
      <c r="L25" s="371">
        <f>VLOOKUP(C25,Theory!B28:K99,10,FALSE)</f>
        <v>0</v>
      </c>
      <c r="M25" s="369">
        <f t="shared" si="7"/>
        <v>4</v>
      </c>
      <c r="N25" s="373">
        <f>VLOOKUP(C25,Theory!B28:L99,11,FALSE)</f>
        <v>4</v>
      </c>
      <c r="O25" s="373">
        <f>VLOOKUP(C25,Theory!B28:M99,12,FALSE)</f>
        <v>0</v>
      </c>
      <c r="P25" s="373">
        <f>VLOOKUP(C25,Theory!B28:N99,13,FALSE)</f>
        <v>0</v>
      </c>
      <c r="Q25" s="373">
        <f>VLOOKUP(C25,Theory!B28:O99,14,FALSE)</f>
        <v>0</v>
      </c>
      <c r="R25" s="371">
        <f>VLOOKUP(C25,Theory!B28:P99,15,FALSE)</f>
        <v>0</v>
      </c>
      <c r="S25" s="371">
        <f>VLOOKUP(C25,Theory!B28:Q99,16,FALSE)</f>
        <v>0</v>
      </c>
      <c r="T25" s="371">
        <f>VLOOKUP(C25,Theory!B28:R99,17,FALSE)</f>
        <v>0</v>
      </c>
      <c r="U25" s="371">
        <f>VLOOKUP(C25,Theory!B28:S99,18,FALSE)</f>
        <v>0</v>
      </c>
      <c r="V25" s="369">
        <f t="shared" si="8"/>
        <v>4</v>
      </c>
      <c r="W25" s="361">
        <f>VLOOKUP(C25,Theory!B28:T99,19,FALSE)</f>
        <v>0</v>
      </c>
      <c r="X25" s="361">
        <f>VLOOKUP(C25,Theory!B28:U99,20,FALSE)</f>
        <v>0</v>
      </c>
      <c r="Y25" s="361">
        <f>VLOOKUP(C25,Theory!B28:V99,21,FALSE)</f>
        <v>0</v>
      </c>
      <c r="Z25" s="361">
        <f>VLOOKUP(C25,Theory!B28:W99,22,FALSE)</f>
        <v>0</v>
      </c>
      <c r="AA25" s="370">
        <f>VLOOKUP(C25,Theory!B28:X99,23,FALSE)</f>
        <v>10</v>
      </c>
      <c r="AB25" s="370">
        <f>VLOOKUP(C25,Theory!B28:Y99,24,FALSE)</f>
        <v>0</v>
      </c>
      <c r="AC25" s="370">
        <f>VLOOKUP(C25,Theory!B28:Z99,25,FALSE)</f>
        <v>0</v>
      </c>
      <c r="AD25" s="370">
        <f>VLOOKUP(C25,Theory!B28:AA99,26,FALSE)</f>
        <v>0</v>
      </c>
      <c r="AE25" s="369">
        <f t="shared" si="9"/>
        <v>10</v>
      </c>
      <c r="AF25" s="361">
        <f>VLOOKUP(C25,Theory!B28:AB99,27,FALSE)</f>
        <v>0</v>
      </c>
      <c r="AG25" s="361">
        <f>VLOOKUP(C25,Theory!B28:AC99,28,FALSE)</f>
        <v>0</v>
      </c>
      <c r="AH25" s="361">
        <f>VLOOKUP(C25,Theory!B28:AD99,29,FALSE)</f>
        <v>0</v>
      </c>
      <c r="AI25" s="361">
        <f>VLOOKUP(C25,Theory!B28:AE99,30,FALSE)</f>
        <v>0</v>
      </c>
      <c r="AJ25" s="380">
        <f>VLOOKUP(C25,Theory!B28:AF99,31,FALSE)</f>
        <v>4</v>
      </c>
      <c r="AK25" s="380">
        <f>VLOOKUP(C25,Theory!B28:AG99,32,FALSE)</f>
        <v>0</v>
      </c>
      <c r="AL25" s="380">
        <f>VLOOKUP(C25,Theory!B28:AH99,33,FALSE)</f>
        <v>0</v>
      </c>
      <c r="AM25" s="380">
        <f>VLOOKUP(C25,Theory!B28:AI99,34,FALSE)</f>
        <v>0</v>
      </c>
      <c r="AN25" s="369">
        <f t="shared" si="10"/>
        <v>4</v>
      </c>
      <c r="AO25" s="385">
        <f t="shared" si="0"/>
        <v>30</v>
      </c>
      <c r="AP25" s="386">
        <f>VLOOKUP(C25,Theory!B28:AJ99,35,FALSE)</f>
        <v>4</v>
      </c>
      <c r="AQ25" s="386">
        <f>VLOOKUP(C25,Theory!B28:AK99,36,FALSE)</f>
        <v>0</v>
      </c>
      <c r="AR25" s="386">
        <f>VLOOKUP(C25,Theory!B28:AL99,37,FALSE)</f>
        <v>0</v>
      </c>
      <c r="AS25" s="386">
        <f>VLOOKUP(C25,Theory!B28:AM99,38,FALSE)</f>
        <v>0</v>
      </c>
      <c r="AT25" s="369">
        <f t="shared" si="11"/>
        <v>4</v>
      </c>
      <c r="AU25" s="386">
        <f>VLOOKUP(C25,Theory!B28:AN99,39,FALSE)</f>
        <v>8</v>
      </c>
      <c r="AV25" s="386">
        <f>VLOOKUP(C25,Theory!B28:AO99,40,FALSE)</f>
        <v>0</v>
      </c>
      <c r="AW25" s="386">
        <f>VLOOKUP(C25,Theory!B28:AP99,41,FALSE)</f>
        <v>0</v>
      </c>
      <c r="AX25" s="386">
        <f>VLOOKUP(C25,Theory!B28:AQ99,42,FALSE)</f>
        <v>0</v>
      </c>
      <c r="AY25" s="369">
        <f t="shared" si="12"/>
        <v>8</v>
      </c>
      <c r="AZ25" s="386">
        <f>VLOOKUP(C25,Theory!B28:AR99,43,FALSE)</f>
        <v>0</v>
      </c>
      <c r="BA25" s="386">
        <f>VLOOKUP(C25,Theory!B28:AS99,44,FALSE)</f>
        <v>0</v>
      </c>
      <c r="BB25" s="386">
        <f>VLOOKUP(C25,Theory!B28:AT99,45,FALSE)</f>
        <v>0</v>
      </c>
      <c r="BC25" s="386">
        <f>VLOOKUP(C25,Theory!B28:AU99,46,FALSE)</f>
        <v>0</v>
      </c>
      <c r="BD25" s="386">
        <f>VLOOKUP(C25,Theory!B28:AV99,47,FALSE)</f>
        <v>8</v>
      </c>
      <c r="BE25" s="386">
        <f>VLOOKUP(C25,Theory!B28:AW99,48,FALSE)</f>
        <v>0</v>
      </c>
      <c r="BF25" s="386">
        <f>VLOOKUP(C25,Theory!B28:AX99,49,FALSE)</f>
        <v>0</v>
      </c>
      <c r="BG25" s="386">
        <f>VLOOKUP(C25,Theory!B28:AY99,50,FALSE)</f>
        <v>0</v>
      </c>
      <c r="BH25" s="369">
        <f t="shared" si="13"/>
        <v>8</v>
      </c>
      <c r="BI25" s="386">
        <f>VLOOKUP(C25,Theory!B28:AZ99,51,FALSE)</f>
        <v>9</v>
      </c>
      <c r="BJ25" s="386">
        <f>VLOOKUP(C25,Theory!B28:BA99,52,FALSE)</f>
        <v>0</v>
      </c>
      <c r="BK25" s="386">
        <f>VLOOKUP(C25,Theory!B28:BB99,53,FALSE)</f>
        <v>0</v>
      </c>
      <c r="BL25" s="386">
        <f>VLOOKUP(C25,Theory!B28:BC99,54,FALSE)</f>
        <v>0</v>
      </c>
      <c r="BM25" s="386">
        <f>VLOOKUP(C25,Theory!B28:BD99,55,FALSE)</f>
        <v>0</v>
      </c>
      <c r="BN25" s="386">
        <f>VLOOKUP(C25,Theory!B28:BE99,56,FALSE)</f>
        <v>0</v>
      </c>
      <c r="BO25" s="386">
        <f>VLOOKUP(C25,Theory!B28:BF99,57,FALSE)</f>
        <v>0</v>
      </c>
      <c r="BP25" s="386">
        <f>VLOOKUP(C25,Theory!B28:BG99,58,FALSE)</f>
        <v>0</v>
      </c>
      <c r="BQ25" s="369">
        <f t="shared" si="14"/>
        <v>9</v>
      </c>
      <c r="BR25" s="386">
        <f>VLOOKUP(C25,Theory!B28:BH99,59,FALSE)</f>
        <v>8</v>
      </c>
      <c r="BS25" s="386">
        <f>VLOOKUP(C25,Theory!B28:BI99,60,FALSE)</f>
        <v>0</v>
      </c>
      <c r="BT25" s="386">
        <f>VLOOKUP(C25,Theory!B28:BJ99,61,FALSE)</f>
        <v>0</v>
      </c>
      <c r="BU25" s="386">
        <f>VLOOKUP(C25,Theory!B28:BK99,62,FALSE)</f>
        <v>0</v>
      </c>
      <c r="BV25" s="386">
        <f>VLOOKUP(C25,Theory!B28:BL99,63,FALSE)</f>
        <v>0</v>
      </c>
      <c r="BW25" s="386">
        <f>VLOOKUP(C25,Theory!B28:BM99,64,FALSE)</f>
        <v>0</v>
      </c>
      <c r="BX25" s="386">
        <f>VLOOKUP(C25,Theory!B28:BN99,65,FALSE)</f>
        <v>0</v>
      </c>
      <c r="BY25" s="386">
        <f>VLOOKUP(C25,Theory!B28:BO99,66,FALSE)</f>
        <v>0</v>
      </c>
      <c r="BZ25" s="369">
        <f t="shared" si="15"/>
        <v>8</v>
      </c>
      <c r="CA25" s="385">
        <f t="shared" si="1"/>
        <v>37</v>
      </c>
      <c r="CB25" s="386">
        <f>VLOOKUP(C25,Theory!B28:BP99,67,FALSE)</f>
        <v>7</v>
      </c>
      <c r="CC25" s="386">
        <f>VLOOKUP(C25,Theory!B28:BQ99,68,FALSE)</f>
        <v>0</v>
      </c>
      <c r="CD25" s="386">
        <f>VLOOKUP(C25,Theory!B28:BR99,69,FALSE)</f>
        <v>0</v>
      </c>
      <c r="CE25" s="386">
        <f>VLOOKUP(C25,Theory!B28:BS99,70,FALSE)</f>
        <v>0</v>
      </c>
      <c r="CF25" s="369">
        <f t="shared" si="16"/>
        <v>7</v>
      </c>
      <c r="CG25" s="399">
        <f>VLOOKUP(C25,Theory!B28:BT99,71,FALSE)</f>
        <v>8</v>
      </c>
      <c r="CH25" s="399">
        <f>VLOOKUP(C25,Theory!B28:BU99,72,FALSE)</f>
        <v>0</v>
      </c>
      <c r="CI25" s="399">
        <f>VLOOKUP(C25,Theory!B28:BV99,73,FALSE)</f>
        <v>0</v>
      </c>
      <c r="CJ25" s="399">
        <f>VLOOKUP(C25,Theory!B28:BW99,74,FALSE)</f>
        <v>0</v>
      </c>
      <c r="CK25" s="369">
        <f t="shared" si="17"/>
        <v>8</v>
      </c>
      <c r="CL25" s="386">
        <f>VLOOKUP(C25,Theory!B28:BX99,75,FALSE)</f>
        <v>7</v>
      </c>
      <c r="CM25" s="400">
        <f>VLOOKUP(C25,Theory!B28:BY99,76,FALSE)</f>
        <v>0</v>
      </c>
      <c r="CN25" s="400">
        <f>VLOOKUP(C25,Theory!B28:BZ99,77,FALSE)</f>
        <v>0</v>
      </c>
      <c r="CO25" s="400">
        <f>VLOOKUP(C25,Theory!B28:CA99,78,FALSE)</f>
        <v>0</v>
      </c>
      <c r="CP25" s="386">
        <f>VLOOKUP(C25,Theory!B28:CB99,79,FALSE)</f>
        <v>0</v>
      </c>
      <c r="CQ25" s="386">
        <f>VLOOKUP(C25,Theory!B28:CC99,80,FALSE)</f>
        <v>0</v>
      </c>
      <c r="CR25" s="386">
        <f>VLOOKUP(C25,Theory!B28:CD99,81,FALSE)</f>
        <v>0</v>
      </c>
      <c r="CS25" s="386">
        <f>VLOOKUP(C25,Theory!B28:CE99,82,FALSE)</f>
        <v>0</v>
      </c>
      <c r="CT25" s="369">
        <f t="shared" si="18"/>
        <v>7</v>
      </c>
      <c r="CU25" s="399">
        <f>VLOOKUP(C25,Theory!B28:CF99,83,FALSE)</f>
        <v>8</v>
      </c>
      <c r="CV25" s="400">
        <f>VLOOKUP(C25,Theory!B28:CG99,84,FALSE)</f>
        <v>0</v>
      </c>
      <c r="CW25" s="400">
        <f>VLOOKUP(C25,Theory!B28:CH99,85,FALSE)</f>
        <v>0</v>
      </c>
      <c r="CX25" s="400">
        <f>VLOOKUP(C25,Theory!B28:CI99,86,FALSE)</f>
        <v>0</v>
      </c>
      <c r="CY25" s="399">
        <f>VLOOKUP(C25,Theory!B28:CJ99,87,FALSE)</f>
        <v>0</v>
      </c>
      <c r="CZ25" s="399">
        <f>VLOOKUP(C25,Theory!B28:CK99,88,FALSE)</f>
        <v>0</v>
      </c>
      <c r="DA25" s="399">
        <f>VLOOKUP(C25,Theory!B28:CL99,89,FALSE)</f>
        <v>0</v>
      </c>
      <c r="DB25" s="399">
        <f>VLOOKUP(C25,Theory!B28:CM99,90,FALSE)</f>
        <v>0</v>
      </c>
      <c r="DC25" s="369">
        <f t="shared" si="19"/>
        <v>8</v>
      </c>
      <c r="DD25" s="386">
        <f>VLOOKUP(C25,Theory!B28:CN99,91,FALSE)</f>
        <v>9</v>
      </c>
      <c r="DE25" s="400">
        <f>VLOOKUP(C25,Theory!B28:CO99,92,FALSE)</f>
        <v>0</v>
      </c>
      <c r="DF25" s="400">
        <f>VLOOKUP(C25,Theory!B28:CP99,93,FALSE)</f>
        <v>0</v>
      </c>
      <c r="DG25" s="400">
        <f>VLOOKUP(C25,Theory!B28:CQ99,94,FALSE)</f>
        <v>0</v>
      </c>
      <c r="DH25" s="386">
        <f>VLOOKUP(C25,Theory!B28:CR99,95,FALSE)</f>
        <v>0</v>
      </c>
      <c r="DI25" s="386">
        <f>VLOOKUP(C25,Theory!B28:CS99,96,FALSE)</f>
        <v>0</v>
      </c>
      <c r="DJ25" s="386">
        <f>VLOOKUP(C25,Theory!B28:CT99,97,FALSE)</f>
        <v>0</v>
      </c>
      <c r="DK25" s="386">
        <f>VLOOKUP(C25,Theory!B28:CU99,98,FALSE)</f>
        <v>0</v>
      </c>
      <c r="DL25" s="369">
        <f t="shared" si="20"/>
        <v>9</v>
      </c>
      <c r="DM25" s="411">
        <f t="shared" si="2"/>
        <v>39</v>
      </c>
      <c r="DN25" s="413">
        <f t="shared" si="40"/>
        <v>30</v>
      </c>
      <c r="DO25" s="413">
        <f t="shared" si="41"/>
        <v>37</v>
      </c>
      <c r="DP25" s="413">
        <f t="shared" si="42"/>
        <v>39</v>
      </c>
      <c r="DQ25" s="418">
        <f t="shared" si="43"/>
        <v>18</v>
      </c>
      <c r="DR25" s="418">
        <f t="shared" si="44"/>
        <v>22</v>
      </c>
      <c r="DS25" s="418">
        <f t="shared" si="45"/>
        <v>23</v>
      </c>
      <c r="DT25" s="417">
        <f t="shared" si="36"/>
        <v>21</v>
      </c>
      <c r="DU25" s="423">
        <f>VLOOKUP(C25,Theory!B28:CV99,99,FALSE)</f>
        <v>9</v>
      </c>
      <c r="DV25" s="423">
        <f>VLOOKUP(C25,Theory!B28:CW99,100,FALSE)</f>
        <v>10</v>
      </c>
      <c r="DW25" s="424">
        <f t="shared" si="27"/>
        <v>19</v>
      </c>
      <c r="DX25" s="421">
        <f t="shared" si="3"/>
        <v>40</v>
      </c>
      <c r="DY25" s="430">
        <f t="shared" si="4"/>
        <v>24</v>
      </c>
      <c r="DZ25" s="431">
        <f>VLOOKUP(C25,Lab!B20:D89,3,FALSE)</f>
        <v>0</v>
      </c>
      <c r="EA25" s="432">
        <f>VLOOKUP(C25,Lab!B20:E89,4,FALSE)</f>
        <v>0</v>
      </c>
      <c r="EB25" s="432">
        <f>VLOOKUP(C25,Lab!B20:F89,5,FALSE)</f>
        <v>28</v>
      </c>
      <c r="EC25" s="422">
        <f t="shared" si="37"/>
        <v>28</v>
      </c>
      <c r="ED25" s="436">
        <f>VLOOKUP(C25,Lab!B20:G89,6,FALSE)</f>
        <v>0</v>
      </c>
      <c r="EE25" s="436">
        <f>VLOOKUP(C25,Lab!B20:H89,7,FALSE)</f>
        <v>0</v>
      </c>
      <c r="EF25" s="437">
        <v>18</v>
      </c>
      <c r="EG25" s="443">
        <f t="shared" si="38"/>
        <v>18</v>
      </c>
      <c r="EH25" s="444">
        <f t="shared" si="28"/>
        <v>46</v>
      </c>
      <c r="EI25" s="445">
        <f t="shared" si="29"/>
        <v>18</v>
      </c>
      <c r="EJ25" s="446">
        <f t="shared" si="5"/>
        <v>42</v>
      </c>
      <c r="EK25" s="449">
        <v>43</v>
      </c>
      <c r="EM25" s="450">
        <f>VLOOKUP(C25,Theory!B28:DK99,114,FALSE)</f>
        <v>0</v>
      </c>
      <c r="EN25" s="450">
        <f>VLOOKUP(C25,Theory!B28:DL99,115,FALSE)</f>
        <v>0</v>
      </c>
      <c r="EO25" s="450">
        <f>VLOOKUP(C25,Theory!B28:DM99,116,FALSE)</f>
        <v>0</v>
      </c>
      <c r="EP25" s="450">
        <f>VLOOKUP(C25,Theory!B28:DN97,117,FALSE)</f>
        <v>0</v>
      </c>
      <c r="EQ25" s="450">
        <f>VLOOKUP(C25,Theory!B28:DO97,118,FALSE)</f>
        <v>0</v>
      </c>
      <c r="ER25" s="451">
        <f>VLOOKUP(C25,Theory!B28:DP97,119,FALSE)</f>
        <v>0</v>
      </c>
      <c r="ES25" s="454">
        <f>VLOOKUP(C25,Theory!B28:DQ97,120,FALSE)</f>
        <v>0</v>
      </c>
      <c r="ET25" s="455">
        <f t="shared" si="39"/>
        <v>0</v>
      </c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</row>
    <row r="26" ht="18.35" spans="1:160">
      <c r="A26" s="164">
        <v>13</v>
      </c>
      <c r="B26" s="289" t="str">
        <f>Theory!C29</f>
        <v>BANNURU NIKHIL TEJ</v>
      </c>
      <c r="C26" s="360" t="str">
        <f>Theory!B29</f>
        <v>1DS23AI014</v>
      </c>
      <c r="D26" s="361">
        <f>VLOOKUP(C26,Theory!B29:D100,3,FALSE)</f>
        <v>9</v>
      </c>
      <c r="E26" s="361">
        <f>VLOOKUP(C26,Theory!B29:E100,4,FALSE)</f>
        <v>0</v>
      </c>
      <c r="F26" s="361">
        <f>VLOOKUP(C26,Theory!B29:F100,5,FALSE)</f>
        <v>0</v>
      </c>
      <c r="G26" s="361">
        <f>VLOOKUP(C26,Theory!B29:G100,6,FALSE)</f>
        <v>0</v>
      </c>
      <c r="H26" s="369">
        <f t="shared" si="6"/>
        <v>9</v>
      </c>
      <c r="I26" s="370">
        <f>VLOOKUP(C26,Theory!B29:H100,7,FALSE)</f>
        <v>8</v>
      </c>
      <c r="J26" s="371">
        <f>VLOOKUP(C26,Theory!B29:I100,8,FALSE)</f>
        <v>0</v>
      </c>
      <c r="K26" s="371">
        <f>VLOOKUP(C26,Theory!B29:J100,9,FALSE)</f>
        <v>0</v>
      </c>
      <c r="L26" s="371">
        <f>VLOOKUP(C26,Theory!B29:K100,10,FALSE)</f>
        <v>0</v>
      </c>
      <c r="M26" s="369">
        <f t="shared" si="7"/>
        <v>8</v>
      </c>
      <c r="N26" s="373">
        <f>VLOOKUP(C26,Theory!B29:L100,11,FALSE)</f>
        <v>6</v>
      </c>
      <c r="O26" s="373">
        <f>VLOOKUP(C26,Theory!B29:M100,12,FALSE)</f>
        <v>0</v>
      </c>
      <c r="P26" s="373">
        <f>VLOOKUP(C26,Theory!B29:N100,13,FALSE)</f>
        <v>0</v>
      </c>
      <c r="Q26" s="373">
        <f>VLOOKUP(C26,Theory!B29:O100,14,FALSE)</f>
        <v>0</v>
      </c>
      <c r="R26" s="371">
        <f>VLOOKUP(C26,Theory!B29:P100,15,FALSE)</f>
        <v>0</v>
      </c>
      <c r="S26" s="371">
        <f>VLOOKUP(C26,Theory!B29:Q100,16,FALSE)</f>
        <v>0</v>
      </c>
      <c r="T26" s="371">
        <f>VLOOKUP(C26,Theory!B29:R100,17,FALSE)</f>
        <v>0</v>
      </c>
      <c r="U26" s="371">
        <f>VLOOKUP(C26,Theory!B29:S100,18,FALSE)</f>
        <v>0</v>
      </c>
      <c r="V26" s="369">
        <f t="shared" si="8"/>
        <v>6</v>
      </c>
      <c r="W26" s="361">
        <f>VLOOKUP(C26,Theory!B29:T100,19,FALSE)</f>
        <v>8</v>
      </c>
      <c r="X26" s="361">
        <f>VLOOKUP(C26,Theory!B29:U100,20,FALSE)</f>
        <v>0</v>
      </c>
      <c r="Y26" s="361">
        <f>VLOOKUP(C26,Theory!B29:V100,21,FALSE)</f>
        <v>0</v>
      </c>
      <c r="Z26" s="361">
        <f>VLOOKUP(C26,Theory!B29:W100,22,FALSE)</f>
        <v>0</v>
      </c>
      <c r="AA26" s="370">
        <f>VLOOKUP(C26,Theory!B29:X100,23,FALSE)</f>
        <v>0</v>
      </c>
      <c r="AB26" s="370">
        <f>VLOOKUP(C26,Theory!B29:Y100,24,FALSE)</f>
        <v>0</v>
      </c>
      <c r="AC26" s="370">
        <f>VLOOKUP(C26,Theory!B29:Z100,25,FALSE)</f>
        <v>0</v>
      </c>
      <c r="AD26" s="370">
        <f>VLOOKUP(C26,Theory!B29:AA100,26,FALSE)</f>
        <v>0</v>
      </c>
      <c r="AE26" s="369">
        <f t="shared" si="9"/>
        <v>8</v>
      </c>
      <c r="AF26" s="361">
        <f>VLOOKUP(C26,Theory!B29:AB100,27,FALSE)</f>
        <v>0</v>
      </c>
      <c r="AG26" s="361">
        <f>VLOOKUP(C26,Theory!B29:AC100,28,FALSE)</f>
        <v>0</v>
      </c>
      <c r="AH26" s="361">
        <f>VLOOKUP(C26,Theory!B29:AD100,29,FALSE)</f>
        <v>0</v>
      </c>
      <c r="AI26" s="361">
        <f>VLOOKUP(C26,Theory!B29:AE100,30,FALSE)</f>
        <v>0</v>
      </c>
      <c r="AJ26" s="380">
        <f>VLOOKUP(C26,Theory!B29:AF100,31,FALSE)</f>
        <v>9</v>
      </c>
      <c r="AK26" s="380">
        <f>VLOOKUP(C26,Theory!B29:AG100,32,FALSE)</f>
        <v>0</v>
      </c>
      <c r="AL26" s="380">
        <f>VLOOKUP(C26,Theory!B29:AH100,33,FALSE)</f>
        <v>0</v>
      </c>
      <c r="AM26" s="380">
        <f>VLOOKUP(C26,Theory!B29:AI100,34,FALSE)</f>
        <v>0</v>
      </c>
      <c r="AN26" s="369">
        <f t="shared" si="10"/>
        <v>9</v>
      </c>
      <c r="AO26" s="385">
        <f t="shared" si="0"/>
        <v>40</v>
      </c>
      <c r="AP26" s="386">
        <f>VLOOKUP(C26,Theory!B29:AJ100,35,FALSE)</f>
        <v>9</v>
      </c>
      <c r="AQ26" s="386">
        <f>VLOOKUP(C26,Theory!B29:AK100,36,FALSE)</f>
        <v>0</v>
      </c>
      <c r="AR26" s="386">
        <f>VLOOKUP(C26,Theory!B29:AL100,37,FALSE)</f>
        <v>0</v>
      </c>
      <c r="AS26" s="386">
        <f>VLOOKUP(C26,Theory!B29:AM100,38,FALSE)</f>
        <v>0</v>
      </c>
      <c r="AT26" s="369">
        <f t="shared" si="11"/>
        <v>9</v>
      </c>
      <c r="AU26" s="386">
        <f>VLOOKUP(C26,Theory!B29:AN100,39,FALSE)</f>
        <v>8</v>
      </c>
      <c r="AV26" s="386">
        <f>VLOOKUP(C26,Theory!B29:AO100,40,FALSE)</f>
        <v>0</v>
      </c>
      <c r="AW26" s="386">
        <f>VLOOKUP(C26,Theory!B29:AP100,41,FALSE)</f>
        <v>0</v>
      </c>
      <c r="AX26" s="386">
        <f>VLOOKUP(C26,Theory!B29:AQ100,42,FALSE)</f>
        <v>0</v>
      </c>
      <c r="AY26" s="369">
        <f t="shared" si="12"/>
        <v>8</v>
      </c>
      <c r="AZ26" s="386">
        <f>VLOOKUP(C26,Theory!B29:AR100,43,FALSE)</f>
        <v>0</v>
      </c>
      <c r="BA26" s="386">
        <f>VLOOKUP(C26,Theory!B29:AS100,44,FALSE)</f>
        <v>0</v>
      </c>
      <c r="BB26" s="386">
        <f>VLOOKUP(C26,Theory!B29:AT100,45,FALSE)</f>
        <v>0</v>
      </c>
      <c r="BC26" s="386">
        <f>VLOOKUP(C26,Theory!B29:AU100,46,FALSE)</f>
        <v>0</v>
      </c>
      <c r="BD26" s="386">
        <f>VLOOKUP(C26,Theory!B29:AV100,47,FALSE)</f>
        <v>10</v>
      </c>
      <c r="BE26" s="386">
        <f>VLOOKUP(C26,Theory!B29:AW100,48,FALSE)</f>
        <v>0</v>
      </c>
      <c r="BF26" s="386">
        <f>VLOOKUP(C26,Theory!B29:AX100,49,FALSE)</f>
        <v>0</v>
      </c>
      <c r="BG26" s="386">
        <f>VLOOKUP(C26,Theory!B29:AY100,50,FALSE)</f>
        <v>0</v>
      </c>
      <c r="BH26" s="369">
        <f t="shared" si="13"/>
        <v>10</v>
      </c>
      <c r="BI26" s="386">
        <f>VLOOKUP(C26,Theory!B29:AZ100,51,FALSE)</f>
        <v>0</v>
      </c>
      <c r="BJ26" s="386">
        <f>VLOOKUP(C26,Theory!B29:BA100,52,FALSE)</f>
        <v>0</v>
      </c>
      <c r="BK26" s="386">
        <f>VLOOKUP(C26,Theory!B29:BB100,53,FALSE)</f>
        <v>0</v>
      </c>
      <c r="BL26" s="386">
        <f>VLOOKUP(C26,Theory!B29:BC100,54,FALSE)</f>
        <v>0</v>
      </c>
      <c r="BM26" s="386">
        <f>VLOOKUP(C26,Theory!B29:BD100,55,FALSE)</f>
        <v>0</v>
      </c>
      <c r="BN26" s="386">
        <f>VLOOKUP(C26,Theory!B29:BE100,56,FALSE)</f>
        <v>0</v>
      </c>
      <c r="BO26" s="386">
        <f>VLOOKUP(C26,Theory!B29:BF100,57,FALSE)</f>
        <v>0</v>
      </c>
      <c r="BP26" s="386">
        <f>VLOOKUP(C26,Theory!B29:BG100,58,FALSE)</f>
        <v>0</v>
      </c>
      <c r="BQ26" s="369">
        <f t="shared" si="14"/>
        <v>0</v>
      </c>
      <c r="BR26" s="386">
        <f>VLOOKUP(C26,Theory!B29:BH100,59,FALSE)</f>
        <v>0</v>
      </c>
      <c r="BS26" s="386">
        <f>VLOOKUP(C26,Theory!B29:BI100,60,FALSE)</f>
        <v>0</v>
      </c>
      <c r="BT26" s="386">
        <f>VLOOKUP(C26,Theory!B29:BJ100,61,FALSE)</f>
        <v>0</v>
      </c>
      <c r="BU26" s="386">
        <f>VLOOKUP(C26,Theory!B29:BK100,62,FALSE)</f>
        <v>0</v>
      </c>
      <c r="BV26" s="386">
        <f>VLOOKUP(C26,Theory!B29:BL100,63,FALSE)</f>
        <v>8</v>
      </c>
      <c r="BW26" s="386">
        <f>VLOOKUP(C26,Theory!B29:BM100,64,FALSE)</f>
        <v>0</v>
      </c>
      <c r="BX26" s="386">
        <f>VLOOKUP(C26,Theory!B29:BN100,65,FALSE)</f>
        <v>0</v>
      </c>
      <c r="BY26" s="386">
        <f>VLOOKUP(C26,Theory!B29:BO100,66,FALSE)</f>
        <v>0</v>
      </c>
      <c r="BZ26" s="369">
        <f t="shared" si="15"/>
        <v>8</v>
      </c>
      <c r="CA26" s="385">
        <f t="shared" si="1"/>
        <v>35</v>
      </c>
      <c r="CB26" s="386">
        <f>VLOOKUP(C26,Theory!B29:BP100,67,FALSE)</f>
        <v>9</v>
      </c>
      <c r="CC26" s="386">
        <f>VLOOKUP(C26,Theory!B29:BQ100,68,FALSE)</f>
        <v>0</v>
      </c>
      <c r="CD26" s="386">
        <f>VLOOKUP(C26,Theory!B29:BR100,69,FALSE)</f>
        <v>0</v>
      </c>
      <c r="CE26" s="386">
        <f>VLOOKUP(C26,Theory!B29:BS100,70,FALSE)</f>
        <v>0</v>
      </c>
      <c r="CF26" s="369">
        <f t="shared" si="16"/>
        <v>9</v>
      </c>
      <c r="CG26" s="399">
        <f>VLOOKUP(C26,Theory!B29:BT100,71,FALSE)</f>
        <v>10</v>
      </c>
      <c r="CH26" s="399">
        <f>VLOOKUP(C26,Theory!B29:BU100,72,FALSE)</f>
        <v>0</v>
      </c>
      <c r="CI26" s="399">
        <f>VLOOKUP(C26,Theory!B29:BV100,73,FALSE)</f>
        <v>0</v>
      </c>
      <c r="CJ26" s="399">
        <f>VLOOKUP(C26,Theory!B29:BW100,74,FALSE)</f>
        <v>0</v>
      </c>
      <c r="CK26" s="369">
        <f t="shared" si="17"/>
        <v>10</v>
      </c>
      <c r="CL26" s="386">
        <f>VLOOKUP(C26,Theory!B29:BX100,75,FALSE)</f>
        <v>0</v>
      </c>
      <c r="CM26" s="400">
        <f>VLOOKUP(C26,Theory!B29:BY100,76,FALSE)</f>
        <v>0</v>
      </c>
      <c r="CN26" s="400">
        <f>VLOOKUP(C26,Theory!B29:BZ100,77,FALSE)</f>
        <v>0</v>
      </c>
      <c r="CO26" s="400">
        <f>VLOOKUP(C26,Theory!B29:CA100,78,FALSE)</f>
        <v>0</v>
      </c>
      <c r="CP26" s="386">
        <f>VLOOKUP(C26,Theory!B29:CB100,79,FALSE)</f>
        <v>10</v>
      </c>
      <c r="CQ26" s="386">
        <f>VLOOKUP(C26,Theory!B29:CC100,80,FALSE)</f>
        <v>0</v>
      </c>
      <c r="CR26" s="386">
        <f>VLOOKUP(C26,Theory!B29:CD100,81,FALSE)</f>
        <v>0</v>
      </c>
      <c r="CS26" s="386">
        <f>VLOOKUP(C26,Theory!B29:CE100,82,FALSE)</f>
        <v>0</v>
      </c>
      <c r="CT26" s="369">
        <f t="shared" si="18"/>
        <v>10</v>
      </c>
      <c r="CU26" s="399">
        <f>VLOOKUP(C26,Theory!B29:CF100,83,FALSE)</f>
        <v>10</v>
      </c>
      <c r="CV26" s="400">
        <f>VLOOKUP(C26,Theory!B29:CG100,84,FALSE)</f>
        <v>0</v>
      </c>
      <c r="CW26" s="400">
        <f>VLOOKUP(C26,Theory!B29:CH100,85,FALSE)</f>
        <v>0</v>
      </c>
      <c r="CX26" s="400">
        <f>VLOOKUP(C26,Theory!B29:CI100,86,FALSE)</f>
        <v>0</v>
      </c>
      <c r="CY26" s="399">
        <f>VLOOKUP(C26,Theory!B29:CJ100,87,FALSE)</f>
        <v>0</v>
      </c>
      <c r="CZ26" s="399">
        <f>VLOOKUP(C26,Theory!B29:CK100,88,FALSE)</f>
        <v>0</v>
      </c>
      <c r="DA26" s="399">
        <f>VLOOKUP(C26,Theory!B29:CL100,89,FALSE)</f>
        <v>0</v>
      </c>
      <c r="DB26" s="399">
        <f>VLOOKUP(C26,Theory!B29:CM100,90,FALSE)</f>
        <v>0</v>
      </c>
      <c r="DC26" s="369">
        <f t="shared" si="19"/>
        <v>10</v>
      </c>
      <c r="DD26" s="386">
        <f>VLOOKUP(C26,Theory!B29:CN100,91,FALSE)</f>
        <v>0</v>
      </c>
      <c r="DE26" s="400">
        <f>VLOOKUP(C26,Theory!B29:CO100,92,FALSE)</f>
        <v>0</v>
      </c>
      <c r="DF26" s="400">
        <f>VLOOKUP(C26,Theory!B29:CP100,93,FALSE)</f>
        <v>0</v>
      </c>
      <c r="DG26" s="400">
        <f>VLOOKUP(C26,Theory!B29:CQ100,94,FALSE)</f>
        <v>0</v>
      </c>
      <c r="DH26" s="386">
        <f>VLOOKUP(C26,Theory!B29:CR100,95,FALSE)</f>
        <v>9</v>
      </c>
      <c r="DI26" s="386">
        <f>VLOOKUP(C26,Theory!B29:CS100,96,FALSE)</f>
        <v>0</v>
      </c>
      <c r="DJ26" s="386">
        <f>VLOOKUP(C26,Theory!B29:CT100,97,FALSE)</f>
        <v>0</v>
      </c>
      <c r="DK26" s="386">
        <f>VLOOKUP(C26,Theory!B29:CU100,98,FALSE)</f>
        <v>0</v>
      </c>
      <c r="DL26" s="369">
        <f t="shared" si="20"/>
        <v>9</v>
      </c>
      <c r="DM26" s="411">
        <f t="shared" si="2"/>
        <v>48</v>
      </c>
      <c r="DN26" s="413">
        <f t="shared" si="40"/>
        <v>40</v>
      </c>
      <c r="DO26" s="413">
        <f t="shared" si="41"/>
        <v>35</v>
      </c>
      <c r="DP26" s="413">
        <f t="shared" si="42"/>
        <v>48</v>
      </c>
      <c r="DQ26" s="418">
        <f t="shared" si="43"/>
        <v>24</v>
      </c>
      <c r="DR26" s="418">
        <f t="shared" si="44"/>
        <v>21</v>
      </c>
      <c r="DS26" s="418">
        <f t="shared" si="45"/>
        <v>29</v>
      </c>
      <c r="DT26" s="417">
        <f t="shared" si="36"/>
        <v>25</v>
      </c>
      <c r="DU26" s="423">
        <f>VLOOKUP(C26,Theory!B29:CV100,99,FALSE)</f>
        <v>7</v>
      </c>
      <c r="DV26" s="423">
        <f>VLOOKUP(C26,Theory!B29:CW100,100,FALSE)</f>
        <v>10</v>
      </c>
      <c r="DW26" s="424">
        <f t="shared" si="27"/>
        <v>17</v>
      </c>
      <c r="DX26" s="421">
        <f t="shared" si="3"/>
        <v>42</v>
      </c>
      <c r="DY26" s="430">
        <f t="shared" si="4"/>
        <v>25</v>
      </c>
      <c r="DZ26" s="431">
        <f>VLOOKUP(C26,Lab!B21:D90,3,FALSE)</f>
        <v>0</v>
      </c>
      <c r="EA26" s="432">
        <f>VLOOKUP(C26,Lab!B21:E90,4,FALSE)</f>
        <v>0</v>
      </c>
      <c r="EB26" s="432">
        <f>VLOOKUP(C26,Lab!B21:F90,5,FALSE)</f>
        <v>27</v>
      </c>
      <c r="EC26" s="422">
        <f t="shared" si="37"/>
        <v>27</v>
      </c>
      <c r="ED26" s="436">
        <f>VLOOKUP(C26,Lab!B21:G90,6,FALSE)</f>
        <v>0</v>
      </c>
      <c r="EE26" s="436">
        <f>VLOOKUP(C26,Lab!B21:H90,7,FALSE)</f>
        <v>0</v>
      </c>
      <c r="EF26" s="437">
        <v>19</v>
      </c>
      <c r="EG26" s="443">
        <f t="shared" si="38"/>
        <v>19</v>
      </c>
      <c r="EH26" s="444">
        <f t="shared" si="28"/>
        <v>46</v>
      </c>
      <c r="EI26" s="445">
        <f t="shared" si="29"/>
        <v>18</v>
      </c>
      <c r="EJ26" s="446">
        <f t="shared" si="5"/>
        <v>43</v>
      </c>
      <c r="EK26" s="449">
        <v>46</v>
      </c>
      <c r="EM26" s="450">
        <f>VLOOKUP(C26,Theory!B29:DK100,114,FALSE)</f>
        <v>0</v>
      </c>
      <c r="EN26" s="450">
        <f>VLOOKUP(C26,Theory!B29:DL100,115,FALSE)</f>
        <v>0</v>
      </c>
      <c r="EO26" s="450">
        <f>VLOOKUP(C26,Theory!B29:DM100,116,FALSE)</f>
        <v>0</v>
      </c>
      <c r="EP26" s="450">
        <f>VLOOKUP(C26,Theory!B29:DN98,117,FALSE)</f>
        <v>0</v>
      </c>
      <c r="EQ26" s="450">
        <f>VLOOKUP(C26,Theory!B29:DO98,118,FALSE)</f>
        <v>0</v>
      </c>
      <c r="ER26" s="451">
        <f>VLOOKUP(C26,Theory!B29:DP98,119,FALSE)</f>
        <v>0</v>
      </c>
      <c r="ES26" s="454">
        <f>VLOOKUP(C26,Theory!B29:DQ98,120,FALSE)</f>
        <v>0</v>
      </c>
      <c r="ET26" s="455">
        <f t="shared" si="39"/>
        <v>0</v>
      </c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</row>
    <row r="27" ht="18.35" spans="1:160">
      <c r="A27" s="164">
        <v>14</v>
      </c>
      <c r="B27" s="289" t="str">
        <f>Theory!C30</f>
        <v>BHOOMIKA RAJESH HEGDE</v>
      </c>
      <c r="C27" s="360" t="str">
        <f>Theory!B30</f>
        <v>1DS23AI015</v>
      </c>
      <c r="D27" s="361">
        <f>VLOOKUP(C27,Theory!B30:D101,3,FALSE)</f>
        <v>8</v>
      </c>
      <c r="E27" s="361">
        <f>VLOOKUP(C27,Theory!B30:E101,4,FALSE)</f>
        <v>0</v>
      </c>
      <c r="F27" s="361">
        <f>VLOOKUP(C27,Theory!B30:F101,5,FALSE)</f>
        <v>0</v>
      </c>
      <c r="G27" s="361">
        <f>VLOOKUP(C27,Theory!B30:G101,6,FALSE)</f>
        <v>0</v>
      </c>
      <c r="H27" s="369">
        <f t="shared" si="6"/>
        <v>8</v>
      </c>
      <c r="I27" s="370">
        <f>VLOOKUP(C27,Theory!B30:H101,7,FALSE)</f>
        <v>9</v>
      </c>
      <c r="J27" s="371">
        <f>VLOOKUP(C27,Theory!B30:I101,8,FALSE)</f>
        <v>0</v>
      </c>
      <c r="K27" s="371">
        <f>VLOOKUP(C27,Theory!B30:J101,9,FALSE)</f>
        <v>0</v>
      </c>
      <c r="L27" s="371">
        <f>VLOOKUP(C27,Theory!B30:K101,10,FALSE)</f>
        <v>0</v>
      </c>
      <c r="M27" s="369">
        <f t="shared" si="7"/>
        <v>9</v>
      </c>
      <c r="N27" s="373">
        <f>VLOOKUP(C27,Theory!B30:L101,11,FALSE)</f>
        <v>0</v>
      </c>
      <c r="O27" s="373">
        <f>VLOOKUP(C27,Theory!B30:M101,12,FALSE)</f>
        <v>0</v>
      </c>
      <c r="P27" s="373">
        <f>VLOOKUP(C27,Theory!B30:N101,13,FALSE)</f>
        <v>0</v>
      </c>
      <c r="Q27" s="373">
        <f>VLOOKUP(C27,Theory!B30:O101,14,FALSE)</f>
        <v>0</v>
      </c>
      <c r="R27" s="371">
        <f>VLOOKUP(C27,Theory!B30:P101,15,FALSE)</f>
        <v>9</v>
      </c>
      <c r="S27" s="371">
        <f>VLOOKUP(C27,Theory!B30:Q101,16,FALSE)</f>
        <v>0</v>
      </c>
      <c r="T27" s="371">
        <f>VLOOKUP(C27,Theory!B30:R101,17,FALSE)</f>
        <v>0</v>
      </c>
      <c r="U27" s="371">
        <f>VLOOKUP(C27,Theory!B30:S101,18,FALSE)</f>
        <v>0</v>
      </c>
      <c r="V27" s="369">
        <f t="shared" si="8"/>
        <v>9</v>
      </c>
      <c r="W27" s="361">
        <f>VLOOKUP(C27,Theory!B30:T101,19,FALSE)</f>
        <v>0</v>
      </c>
      <c r="X27" s="361">
        <f>VLOOKUP(C27,Theory!B30:U101,20,FALSE)</f>
        <v>0</v>
      </c>
      <c r="Y27" s="361">
        <f>VLOOKUP(C27,Theory!B30:V101,21,FALSE)</f>
        <v>0</v>
      </c>
      <c r="Z27" s="361">
        <f>VLOOKUP(C27,Theory!B30:W101,22,FALSE)</f>
        <v>0</v>
      </c>
      <c r="AA27" s="370">
        <f>VLOOKUP(C27,Theory!B30:X101,23,FALSE)</f>
        <v>10</v>
      </c>
      <c r="AB27" s="370">
        <f>VLOOKUP(C27,Theory!B30:Y101,24,FALSE)</f>
        <v>0</v>
      </c>
      <c r="AC27" s="370">
        <f>VLOOKUP(C27,Theory!B30:Z101,25,FALSE)</f>
        <v>0</v>
      </c>
      <c r="AD27" s="370">
        <f>VLOOKUP(C27,Theory!B30:AA101,26,FALSE)</f>
        <v>0</v>
      </c>
      <c r="AE27" s="369">
        <f t="shared" si="9"/>
        <v>10</v>
      </c>
      <c r="AF27" s="361">
        <f>VLOOKUP(C27,Theory!B30:AB101,27,FALSE)</f>
        <v>0</v>
      </c>
      <c r="AG27" s="361">
        <f>VLOOKUP(C27,Theory!B30:AC101,28,FALSE)</f>
        <v>0</v>
      </c>
      <c r="AH27" s="361">
        <f>VLOOKUP(C27,Theory!B30:AD101,29,FALSE)</f>
        <v>0</v>
      </c>
      <c r="AI27" s="361">
        <f>VLOOKUP(C27,Theory!B30:AE101,30,FALSE)</f>
        <v>0</v>
      </c>
      <c r="AJ27" s="380">
        <f>VLOOKUP(C27,Theory!B30:AF101,31,FALSE)</f>
        <v>8</v>
      </c>
      <c r="AK27" s="380">
        <f>VLOOKUP(C27,Theory!B30:AG101,32,FALSE)</f>
        <v>0</v>
      </c>
      <c r="AL27" s="380">
        <f>VLOOKUP(C27,Theory!B30:AH101,33,FALSE)</f>
        <v>0</v>
      </c>
      <c r="AM27" s="380">
        <f>VLOOKUP(C27,Theory!B30:AI101,34,FALSE)</f>
        <v>0</v>
      </c>
      <c r="AN27" s="369">
        <f t="shared" si="10"/>
        <v>8</v>
      </c>
      <c r="AO27" s="385">
        <f t="shared" si="0"/>
        <v>44</v>
      </c>
      <c r="AP27" s="386">
        <f>VLOOKUP(C27,Theory!B30:AJ101,35,FALSE)</f>
        <v>10</v>
      </c>
      <c r="AQ27" s="386">
        <f>VLOOKUP(C27,Theory!B30:AK101,36,FALSE)</f>
        <v>0</v>
      </c>
      <c r="AR27" s="386">
        <f>VLOOKUP(C27,Theory!B30:AL101,37,FALSE)</f>
        <v>0</v>
      </c>
      <c r="AS27" s="386">
        <f>VLOOKUP(C27,Theory!B30:AM101,38,FALSE)</f>
        <v>0</v>
      </c>
      <c r="AT27" s="369">
        <f t="shared" si="11"/>
        <v>10</v>
      </c>
      <c r="AU27" s="386">
        <f>VLOOKUP(C27,Theory!B30:AN101,39,FALSE)</f>
        <v>9</v>
      </c>
      <c r="AV27" s="386">
        <f>VLOOKUP(C27,Theory!B30:AO101,40,FALSE)</f>
        <v>0</v>
      </c>
      <c r="AW27" s="386">
        <f>VLOOKUP(C27,Theory!B30:AP101,41,FALSE)</f>
        <v>0</v>
      </c>
      <c r="AX27" s="386">
        <f>VLOOKUP(C27,Theory!B30:AQ101,42,FALSE)</f>
        <v>0</v>
      </c>
      <c r="AY27" s="369">
        <f t="shared" si="12"/>
        <v>9</v>
      </c>
      <c r="AZ27" s="386">
        <f>VLOOKUP(C27,Theory!B30:AR101,43,FALSE)</f>
        <v>0</v>
      </c>
      <c r="BA27" s="386">
        <f>VLOOKUP(C27,Theory!B30:AS101,44,FALSE)</f>
        <v>0</v>
      </c>
      <c r="BB27" s="386">
        <f>VLOOKUP(C27,Theory!B30:AT101,45,FALSE)</f>
        <v>0</v>
      </c>
      <c r="BC27" s="386">
        <f>VLOOKUP(C27,Theory!B30:AU101,46,FALSE)</f>
        <v>0</v>
      </c>
      <c r="BD27" s="386">
        <f>VLOOKUP(C27,Theory!B30:AV101,47,FALSE)</f>
        <v>10</v>
      </c>
      <c r="BE27" s="386">
        <f>VLOOKUP(C27,Theory!B30:AW101,48,FALSE)</f>
        <v>0</v>
      </c>
      <c r="BF27" s="386">
        <f>VLOOKUP(C27,Theory!B30:AX101,49,FALSE)</f>
        <v>0</v>
      </c>
      <c r="BG27" s="386">
        <f>VLOOKUP(C27,Theory!B30:AY101,50,FALSE)</f>
        <v>0</v>
      </c>
      <c r="BH27" s="369">
        <f t="shared" si="13"/>
        <v>10</v>
      </c>
      <c r="BI27" s="386">
        <f>VLOOKUP(C27,Theory!B30:AZ101,51,FALSE)</f>
        <v>8</v>
      </c>
      <c r="BJ27" s="386">
        <f>VLOOKUP(C27,Theory!B30:BA101,52,FALSE)</f>
        <v>0</v>
      </c>
      <c r="BK27" s="386">
        <f>VLOOKUP(C27,Theory!B30:BB101,53,FALSE)</f>
        <v>0</v>
      </c>
      <c r="BL27" s="386">
        <f>VLOOKUP(C27,Theory!B30:BC101,54,FALSE)</f>
        <v>0</v>
      </c>
      <c r="BM27" s="386">
        <f>VLOOKUP(C27,Theory!B30:BD101,55,FALSE)</f>
        <v>0</v>
      </c>
      <c r="BN27" s="386">
        <f>VLOOKUP(C27,Theory!B30:BE101,56,FALSE)</f>
        <v>0</v>
      </c>
      <c r="BO27" s="386">
        <f>VLOOKUP(C27,Theory!B30:BF101,57,FALSE)</f>
        <v>0</v>
      </c>
      <c r="BP27" s="386">
        <f>VLOOKUP(C27,Theory!B30:BG101,58,FALSE)</f>
        <v>0</v>
      </c>
      <c r="BQ27" s="369">
        <f t="shared" si="14"/>
        <v>8</v>
      </c>
      <c r="BR27" s="386">
        <f>VLOOKUP(C27,Theory!B30:BH101,59,FALSE)</f>
        <v>10</v>
      </c>
      <c r="BS27" s="386">
        <f>VLOOKUP(C27,Theory!B30:BI101,60,FALSE)</f>
        <v>0</v>
      </c>
      <c r="BT27" s="386">
        <f>VLOOKUP(C27,Theory!B30:BJ101,61,FALSE)</f>
        <v>0</v>
      </c>
      <c r="BU27" s="386">
        <f>VLOOKUP(C27,Theory!B30:BK101,62,FALSE)</f>
        <v>0</v>
      </c>
      <c r="BV27" s="386">
        <f>VLOOKUP(C27,Theory!B30:BL101,63,FALSE)</f>
        <v>0</v>
      </c>
      <c r="BW27" s="386">
        <f>VLOOKUP(C27,Theory!B30:BM101,64,FALSE)</f>
        <v>0</v>
      </c>
      <c r="BX27" s="386">
        <f>VLOOKUP(C27,Theory!B30:BN101,65,FALSE)</f>
        <v>0</v>
      </c>
      <c r="BY27" s="386">
        <f>VLOOKUP(C27,Theory!B30:BO101,66,FALSE)</f>
        <v>0</v>
      </c>
      <c r="BZ27" s="369">
        <f t="shared" si="15"/>
        <v>10</v>
      </c>
      <c r="CA27" s="385">
        <f t="shared" si="1"/>
        <v>47</v>
      </c>
      <c r="CB27" s="386">
        <f>VLOOKUP(C27,Theory!B30:BP101,67,FALSE)</f>
        <v>10</v>
      </c>
      <c r="CC27" s="386">
        <f>VLOOKUP(C27,Theory!B30:BQ101,68,FALSE)</f>
        <v>0</v>
      </c>
      <c r="CD27" s="386">
        <f>VLOOKUP(C27,Theory!B30:BR101,69,FALSE)</f>
        <v>0</v>
      </c>
      <c r="CE27" s="386">
        <f>VLOOKUP(C27,Theory!B30:BS101,70,FALSE)</f>
        <v>0</v>
      </c>
      <c r="CF27" s="369">
        <f t="shared" si="16"/>
        <v>10</v>
      </c>
      <c r="CG27" s="399">
        <f>VLOOKUP(C27,Theory!B30:BT101,71,FALSE)</f>
        <v>10</v>
      </c>
      <c r="CH27" s="399">
        <f>VLOOKUP(C27,Theory!B30:BU101,72,FALSE)</f>
        <v>0</v>
      </c>
      <c r="CI27" s="399">
        <f>VLOOKUP(C27,Theory!B30:BV101,73,FALSE)</f>
        <v>0</v>
      </c>
      <c r="CJ27" s="399">
        <f>VLOOKUP(C27,Theory!B30:BW101,74,FALSE)</f>
        <v>0</v>
      </c>
      <c r="CK27" s="369">
        <f t="shared" si="17"/>
        <v>10</v>
      </c>
      <c r="CL27" s="386">
        <f>VLOOKUP(C27,Theory!B30:BX101,75,FALSE)</f>
        <v>9</v>
      </c>
      <c r="CM27" s="400">
        <f>VLOOKUP(C27,Theory!B30:BY101,76,FALSE)</f>
        <v>0</v>
      </c>
      <c r="CN27" s="400">
        <f>VLOOKUP(C27,Theory!B30:BZ101,77,FALSE)</f>
        <v>0</v>
      </c>
      <c r="CO27" s="400">
        <f>VLOOKUP(C27,Theory!B30:CA101,78,FALSE)</f>
        <v>0</v>
      </c>
      <c r="CP27" s="386">
        <f>VLOOKUP(C27,Theory!B30:CB101,79,FALSE)</f>
        <v>0</v>
      </c>
      <c r="CQ27" s="386">
        <f>VLOOKUP(C27,Theory!B30:CC101,80,FALSE)</f>
        <v>0</v>
      </c>
      <c r="CR27" s="386">
        <f>VLOOKUP(C27,Theory!B30:CD101,81,FALSE)</f>
        <v>0</v>
      </c>
      <c r="CS27" s="386">
        <f>VLOOKUP(C27,Theory!B30:CE101,82,FALSE)</f>
        <v>0</v>
      </c>
      <c r="CT27" s="369">
        <f t="shared" si="18"/>
        <v>9</v>
      </c>
      <c r="CU27" s="399">
        <f>VLOOKUP(C27,Theory!B30:CF101,83,FALSE)</f>
        <v>10</v>
      </c>
      <c r="CV27" s="400">
        <f>VLOOKUP(C27,Theory!B30:CG101,84,FALSE)</f>
        <v>0</v>
      </c>
      <c r="CW27" s="400">
        <f>VLOOKUP(C27,Theory!B30:CH101,85,FALSE)</f>
        <v>0</v>
      </c>
      <c r="CX27" s="400">
        <f>VLOOKUP(C27,Theory!B30:CI101,86,FALSE)</f>
        <v>0</v>
      </c>
      <c r="CY27" s="399">
        <f>VLOOKUP(C27,Theory!B30:CJ101,87,FALSE)</f>
        <v>0</v>
      </c>
      <c r="CZ27" s="399">
        <f>VLOOKUP(C27,Theory!B30:CK101,88,FALSE)</f>
        <v>0</v>
      </c>
      <c r="DA27" s="399">
        <f>VLOOKUP(C27,Theory!B30:CL101,89,FALSE)</f>
        <v>0</v>
      </c>
      <c r="DB27" s="399">
        <f>VLOOKUP(C27,Theory!B30:CM101,90,FALSE)</f>
        <v>0</v>
      </c>
      <c r="DC27" s="369">
        <f t="shared" si="19"/>
        <v>10</v>
      </c>
      <c r="DD27" s="386">
        <f>VLOOKUP(C27,Theory!B30:CN101,91,FALSE)</f>
        <v>0</v>
      </c>
      <c r="DE27" s="400">
        <f>VLOOKUP(C27,Theory!B30:CO101,92,FALSE)</f>
        <v>0</v>
      </c>
      <c r="DF27" s="400">
        <f>VLOOKUP(C27,Theory!B30:CP101,93,FALSE)</f>
        <v>0</v>
      </c>
      <c r="DG27" s="400">
        <f>VLOOKUP(C27,Theory!B30:CQ101,94,FALSE)</f>
        <v>0</v>
      </c>
      <c r="DH27" s="386">
        <f>VLOOKUP(C27,Theory!B30:CR101,95,FALSE)</f>
        <v>6</v>
      </c>
      <c r="DI27" s="386">
        <f>VLOOKUP(C27,Theory!B30:CS101,96,FALSE)</f>
        <v>0</v>
      </c>
      <c r="DJ27" s="386">
        <f>VLOOKUP(C27,Theory!B30:CT101,97,FALSE)</f>
        <v>0</v>
      </c>
      <c r="DK27" s="386">
        <f>VLOOKUP(C27,Theory!B30:CU101,98,FALSE)</f>
        <v>0</v>
      </c>
      <c r="DL27" s="369">
        <f t="shared" si="20"/>
        <v>6</v>
      </c>
      <c r="DM27" s="411">
        <f t="shared" si="2"/>
        <v>45</v>
      </c>
      <c r="DN27" s="413">
        <f t="shared" si="40"/>
        <v>44</v>
      </c>
      <c r="DO27" s="413">
        <f t="shared" si="41"/>
        <v>47</v>
      </c>
      <c r="DP27" s="413">
        <f t="shared" si="42"/>
        <v>45</v>
      </c>
      <c r="DQ27" s="418">
        <f t="shared" si="43"/>
        <v>26</v>
      </c>
      <c r="DR27" s="418">
        <f t="shared" si="44"/>
        <v>28</v>
      </c>
      <c r="DS27" s="418">
        <f t="shared" si="45"/>
        <v>27</v>
      </c>
      <c r="DT27" s="417">
        <f t="shared" si="36"/>
        <v>27</v>
      </c>
      <c r="DU27" s="423">
        <f>VLOOKUP(C27,Theory!B30:CV101,99,FALSE)</f>
        <v>8</v>
      </c>
      <c r="DV27" s="423">
        <f>VLOOKUP(C27,Theory!B30:CW101,100,FALSE)</f>
        <v>10</v>
      </c>
      <c r="DW27" s="424">
        <f t="shared" si="27"/>
        <v>18</v>
      </c>
      <c r="DX27" s="421">
        <f t="shared" si="3"/>
        <v>45</v>
      </c>
      <c r="DY27" s="430">
        <f t="shared" si="4"/>
        <v>27</v>
      </c>
      <c r="DZ27" s="431">
        <f>VLOOKUP(C27,Lab!B22:D91,3,FALSE)</f>
        <v>0</v>
      </c>
      <c r="EA27" s="432">
        <f>VLOOKUP(C27,Lab!B22:E91,4,FALSE)</f>
        <v>0</v>
      </c>
      <c r="EB27" s="432">
        <f>VLOOKUP(C27,Lab!B22:F91,5,FALSE)</f>
        <v>28</v>
      </c>
      <c r="EC27" s="422">
        <f t="shared" si="37"/>
        <v>28</v>
      </c>
      <c r="ED27" s="436">
        <f>VLOOKUP(C27,Lab!B22:G91,6,FALSE)</f>
        <v>0</v>
      </c>
      <c r="EE27" s="436">
        <f>VLOOKUP(C27,Lab!B22:H91,7,FALSE)</f>
        <v>0</v>
      </c>
      <c r="EF27" s="437">
        <v>19</v>
      </c>
      <c r="EG27" s="443">
        <f t="shared" si="38"/>
        <v>19</v>
      </c>
      <c r="EH27" s="444">
        <f t="shared" si="28"/>
        <v>47</v>
      </c>
      <c r="EI27" s="445">
        <f t="shared" si="29"/>
        <v>19</v>
      </c>
      <c r="EJ27" s="446">
        <f t="shared" si="5"/>
        <v>46</v>
      </c>
      <c r="EK27" s="449">
        <v>44</v>
      </c>
      <c r="EM27" s="450">
        <f>VLOOKUP(C27,Theory!B30:DK101,114,FALSE)</f>
        <v>0</v>
      </c>
      <c r="EN27" s="450">
        <f>VLOOKUP(C27,Theory!B30:DL101,115,FALSE)</f>
        <v>0</v>
      </c>
      <c r="EO27" s="450">
        <f>VLOOKUP(C27,Theory!B30:DM101,116,FALSE)</f>
        <v>0</v>
      </c>
      <c r="EP27" s="450">
        <f>VLOOKUP(C27,Theory!B30:DN99,117,FALSE)</f>
        <v>0</v>
      </c>
      <c r="EQ27" s="450">
        <f>VLOOKUP(C27,Theory!B30:DO99,118,FALSE)</f>
        <v>0</v>
      </c>
      <c r="ER27" s="451">
        <f>VLOOKUP(C27,Theory!B30:DP99,119,FALSE)</f>
        <v>0</v>
      </c>
      <c r="ES27" s="454">
        <f>VLOOKUP(C27,Theory!B30:DQ99,120,FALSE)</f>
        <v>0</v>
      </c>
      <c r="ET27" s="455">
        <f t="shared" si="39"/>
        <v>0</v>
      </c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</row>
    <row r="28" ht="18.35" spans="1:160">
      <c r="A28" s="164">
        <v>15</v>
      </c>
      <c r="B28" s="289" t="str">
        <f>Theory!C31</f>
        <v>BRIJESH NIRANJAN K</v>
      </c>
      <c r="C28" s="360" t="str">
        <f>Theory!B31</f>
        <v>1DS23AI016</v>
      </c>
      <c r="D28" s="361">
        <f>VLOOKUP(C28,Theory!B31:D102,3,FALSE)</f>
        <v>10</v>
      </c>
      <c r="E28" s="361">
        <f>VLOOKUP(C28,Theory!B31:E102,4,FALSE)</f>
        <v>0</v>
      </c>
      <c r="F28" s="361">
        <f>VLOOKUP(C28,Theory!B31:F102,5,FALSE)</f>
        <v>0</v>
      </c>
      <c r="G28" s="361">
        <f>VLOOKUP(C28,Theory!B31:G102,6,FALSE)</f>
        <v>0</v>
      </c>
      <c r="H28" s="369">
        <f t="shared" si="6"/>
        <v>10</v>
      </c>
      <c r="I28" s="370">
        <f>VLOOKUP(C28,Theory!B31:H102,7,FALSE)</f>
        <v>8</v>
      </c>
      <c r="J28" s="371">
        <f>VLOOKUP(C28,Theory!B31:I102,8,FALSE)</f>
        <v>0</v>
      </c>
      <c r="K28" s="371">
        <f>VLOOKUP(C28,Theory!B31:J102,9,FALSE)</f>
        <v>0</v>
      </c>
      <c r="L28" s="371">
        <f>VLOOKUP(C28,Theory!B31:K102,10,FALSE)</f>
        <v>0</v>
      </c>
      <c r="M28" s="369">
        <f t="shared" si="7"/>
        <v>8</v>
      </c>
      <c r="N28" s="373">
        <f>VLOOKUP(C28,Theory!B31:L102,11,FALSE)</f>
        <v>7</v>
      </c>
      <c r="O28" s="373">
        <f>VLOOKUP(C28,Theory!B31:M102,12,FALSE)</f>
        <v>0</v>
      </c>
      <c r="P28" s="373">
        <f>VLOOKUP(C28,Theory!B31:N102,13,FALSE)</f>
        <v>0</v>
      </c>
      <c r="Q28" s="373">
        <f>VLOOKUP(C28,Theory!B31:O102,14,FALSE)</f>
        <v>0</v>
      </c>
      <c r="R28" s="371">
        <f>VLOOKUP(C28,Theory!B31:P102,15,FALSE)</f>
        <v>0</v>
      </c>
      <c r="S28" s="371">
        <f>VLOOKUP(C28,Theory!B31:Q102,16,FALSE)</f>
        <v>0</v>
      </c>
      <c r="T28" s="371">
        <f>VLOOKUP(C28,Theory!B31:R102,17,FALSE)</f>
        <v>0</v>
      </c>
      <c r="U28" s="371">
        <f>VLOOKUP(C28,Theory!B31:S102,18,FALSE)</f>
        <v>0</v>
      </c>
      <c r="V28" s="369">
        <f t="shared" si="8"/>
        <v>7</v>
      </c>
      <c r="W28" s="361">
        <f>VLOOKUP(C28,Theory!B31:T102,19,FALSE)</f>
        <v>8</v>
      </c>
      <c r="X28" s="361">
        <f>VLOOKUP(C28,Theory!B31:U102,20,FALSE)</f>
        <v>0</v>
      </c>
      <c r="Y28" s="361">
        <f>VLOOKUP(C28,Theory!B31:V102,21,FALSE)</f>
        <v>0</v>
      </c>
      <c r="Z28" s="361">
        <f>VLOOKUP(C28,Theory!B31:W102,22,FALSE)</f>
        <v>0</v>
      </c>
      <c r="AA28" s="370">
        <f>VLOOKUP(C28,Theory!B31:X102,23,FALSE)</f>
        <v>0</v>
      </c>
      <c r="AB28" s="370">
        <f>VLOOKUP(C28,Theory!B31:Y102,24,FALSE)</f>
        <v>0</v>
      </c>
      <c r="AC28" s="370">
        <f>VLOOKUP(C28,Theory!B31:Z102,25,FALSE)</f>
        <v>0</v>
      </c>
      <c r="AD28" s="370">
        <f>VLOOKUP(C28,Theory!B31:AA102,26,FALSE)</f>
        <v>0</v>
      </c>
      <c r="AE28" s="369">
        <f t="shared" si="9"/>
        <v>8</v>
      </c>
      <c r="AF28" s="361">
        <f>VLOOKUP(C28,Theory!B31:AB102,27,FALSE)</f>
        <v>0</v>
      </c>
      <c r="AG28" s="361">
        <f>VLOOKUP(C28,Theory!B31:AC102,28,FALSE)</f>
        <v>0</v>
      </c>
      <c r="AH28" s="361">
        <f>VLOOKUP(C28,Theory!B31:AD102,29,FALSE)</f>
        <v>0</v>
      </c>
      <c r="AI28" s="361">
        <f>VLOOKUP(C28,Theory!B31:AE102,30,FALSE)</f>
        <v>0</v>
      </c>
      <c r="AJ28" s="380">
        <f>VLOOKUP(C28,Theory!B31:AF102,31,FALSE)</f>
        <v>10</v>
      </c>
      <c r="AK28" s="380">
        <f>VLOOKUP(C28,Theory!B31:AG102,32,FALSE)</f>
        <v>0</v>
      </c>
      <c r="AL28" s="380">
        <f>VLOOKUP(C28,Theory!B31:AH102,33,FALSE)</f>
        <v>0</v>
      </c>
      <c r="AM28" s="380">
        <f>VLOOKUP(C28,Theory!B31:AI102,34,FALSE)</f>
        <v>0</v>
      </c>
      <c r="AN28" s="369">
        <f t="shared" si="10"/>
        <v>10</v>
      </c>
      <c r="AO28" s="385">
        <f t="shared" si="0"/>
        <v>43</v>
      </c>
      <c r="AP28" s="386">
        <f>VLOOKUP(C28,Theory!B31:AJ102,35,FALSE)</f>
        <v>6</v>
      </c>
      <c r="AQ28" s="386">
        <f>VLOOKUP(C28,Theory!B31:AK102,36,FALSE)</f>
        <v>0</v>
      </c>
      <c r="AR28" s="386">
        <f>VLOOKUP(C28,Theory!B31:AL102,37,FALSE)</f>
        <v>0</v>
      </c>
      <c r="AS28" s="386">
        <f>VLOOKUP(C28,Theory!B31:AM102,38,FALSE)</f>
        <v>0</v>
      </c>
      <c r="AT28" s="369">
        <f t="shared" si="11"/>
        <v>6</v>
      </c>
      <c r="AU28" s="386">
        <f>VLOOKUP(C28,Theory!B31:AN102,39,FALSE)</f>
        <v>10</v>
      </c>
      <c r="AV28" s="386">
        <f>VLOOKUP(C28,Theory!B31:AO102,40,FALSE)</f>
        <v>0</v>
      </c>
      <c r="AW28" s="386">
        <f>VLOOKUP(C28,Theory!B31:AP102,41,FALSE)</f>
        <v>0</v>
      </c>
      <c r="AX28" s="386">
        <f>VLOOKUP(C28,Theory!B31:AQ102,42,FALSE)</f>
        <v>0</v>
      </c>
      <c r="AY28" s="369">
        <f t="shared" si="12"/>
        <v>10</v>
      </c>
      <c r="AZ28" s="386">
        <f>VLOOKUP(C28,Theory!B31:AR102,43,FALSE)</f>
        <v>0</v>
      </c>
      <c r="BA28" s="386">
        <f>VLOOKUP(C28,Theory!B31:AS102,44,FALSE)</f>
        <v>0</v>
      </c>
      <c r="BB28" s="386">
        <f>VLOOKUP(C28,Theory!B31:AT102,45,FALSE)</f>
        <v>0</v>
      </c>
      <c r="BC28" s="386">
        <f>VLOOKUP(C28,Theory!B31:AU102,46,FALSE)</f>
        <v>0</v>
      </c>
      <c r="BD28" s="386">
        <f>VLOOKUP(C28,Theory!B31:AV102,47,FALSE)</f>
        <v>10</v>
      </c>
      <c r="BE28" s="386">
        <f>VLOOKUP(C28,Theory!B31:AW102,48,FALSE)</f>
        <v>0</v>
      </c>
      <c r="BF28" s="386">
        <f>VLOOKUP(C28,Theory!B31:AX102,49,FALSE)</f>
        <v>0</v>
      </c>
      <c r="BG28" s="386">
        <f>VLOOKUP(C28,Theory!B31:AY102,50,FALSE)</f>
        <v>0</v>
      </c>
      <c r="BH28" s="369">
        <f t="shared" si="13"/>
        <v>10</v>
      </c>
      <c r="BI28" s="386">
        <f>VLOOKUP(C28,Theory!B31:AZ102,51,FALSE)</f>
        <v>0</v>
      </c>
      <c r="BJ28" s="386">
        <f>VLOOKUP(C28,Theory!B31:BA102,52,FALSE)</f>
        <v>0</v>
      </c>
      <c r="BK28" s="386">
        <f>VLOOKUP(C28,Theory!B31:BB102,53,FALSE)</f>
        <v>0</v>
      </c>
      <c r="BL28" s="386">
        <f>VLOOKUP(C28,Theory!B31:BC102,54,FALSE)</f>
        <v>0</v>
      </c>
      <c r="BM28" s="386">
        <f>VLOOKUP(C28,Theory!B31:BD102,55,FALSE)</f>
        <v>8</v>
      </c>
      <c r="BN28" s="386">
        <f>VLOOKUP(C28,Theory!B31:BE102,56,FALSE)</f>
        <v>0</v>
      </c>
      <c r="BO28" s="386">
        <f>VLOOKUP(C28,Theory!B31:BF102,57,FALSE)</f>
        <v>0</v>
      </c>
      <c r="BP28" s="386">
        <f>VLOOKUP(C28,Theory!B31:BG102,58,FALSE)</f>
        <v>0</v>
      </c>
      <c r="BQ28" s="369">
        <f t="shared" si="14"/>
        <v>8</v>
      </c>
      <c r="BR28" s="386">
        <f>VLOOKUP(C28,Theory!B31:BH102,59,FALSE)</f>
        <v>0</v>
      </c>
      <c r="BS28" s="386">
        <f>VLOOKUP(C28,Theory!B31:BI102,60,FALSE)</f>
        <v>0</v>
      </c>
      <c r="BT28" s="386">
        <f>VLOOKUP(C28,Theory!B31:BJ102,61,FALSE)</f>
        <v>0</v>
      </c>
      <c r="BU28" s="386">
        <f>VLOOKUP(C28,Theory!B31:BK102,62,FALSE)</f>
        <v>0</v>
      </c>
      <c r="BV28" s="386">
        <f>VLOOKUP(C28,Theory!B31:BL102,63,FALSE)</f>
        <v>6</v>
      </c>
      <c r="BW28" s="386">
        <f>VLOOKUP(C28,Theory!B31:BM102,64,FALSE)</f>
        <v>0</v>
      </c>
      <c r="BX28" s="386">
        <f>VLOOKUP(C28,Theory!B31:BN102,65,FALSE)</f>
        <v>0</v>
      </c>
      <c r="BY28" s="386">
        <f>VLOOKUP(C28,Theory!B31:BO102,66,FALSE)</f>
        <v>0</v>
      </c>
      <c r="BZ28" s="369">
        <f t="shared" si="15"/>
        <v>6</v>
      </c>
      <c r="CA28" s="385">
        <f t="shared" si="1"/>
        <v>40</v>
      </c>
      <c r="CB28" s="386">
        <f>VLOOKUP(C28,Theory!B31:BP102,67,FALSE)</f>
        <v>10</v>
      </c>
      <c r="CC28" s="386">
        <f>VLOOKUP(C28,Theory!B31:BQ102,68,FALSE)</f>
        <v>0</v>
      </c>
      <c r="CD28" s="386">
        <f>VLOOKUP(C28,Theory!B31:BR102,69,FALSE)</f>
        <v>0</v>
      </c>
      <c r="CE28" s="386">
        <f>VLOOKUP(C28,Theory!B31:BS102,70,FALSE)</f>
        <v>0</v>
      </c>
      <c r="CF28" s="369">
        <f t="shared" si="16"/>
        <v>10</v>
      </c>
      <c r="CG28" s="399">
        <f>VLOOKUP(C28,Theory!B31:BT102,71,FALSE)</f>
        <v>10</v>
      </c>
      <c r="CH28" s="399">
        <f>VLOOKUP(C28,Theory!B31:BU102,72,FALSE)</f>
        <v>0</v>
      </c>
      <c r="CI28" s="399">
        <f>VLOOKUP(C28,Theory!B31:BV102,73,FALSE)</f>
        <v>0</v>
      </c>
      <c r="CJ28" s="399">
        <f>VLOOKUP(C28,Theory!B31:BW102,74,FALSE)</f>
        <v>0</v>
      </c>
      <c r="CK28" s="369">
        <f t="shared" si="17"/>
        <v>10</v>
      </c>
      <c r="CL28" s="386">
        <f>VLOOKUP(C28,Theory!B31:BX102,75,FALSE)</f>
        <v>10</v>
      </c>
      <c r="CM28" s="400">
        <f>VLOOKUP(C28,Theory!B31:BY102,76,FALSE)</f>
        <v>0</v>
      </c>
      <c r="CN28" s="400">
        <f>VLOOKUP(C28,Theory!B31:BZ102,77,FALSE)</f>
        <v>0</v>
      </c>
      <c r="CO28" s="400">
        <f>VLOOKUP(C28,Theory!B31:CA102,78,FALSE)</f>
        <v>0</v>
      </c>
      <c r="CP28" s="386">
        <f>VLOOKUP(C28,Theory!B31:CB102,79,FALSE)</f>
        <v>0</v>
      </c>
      <c r="CQ28" s="386">
        <f>VLOOKUP(C28,Theory!B31:CC102,80,FALSE)</f>
        <v>0</v>
      </c>
      <c r="CR28" s="386">
        <f>VLOOKUP(C28,Theory!B31:CD102,81,FALSE)</f>
        <v>0</v>
      </c>
      <c r="CS28" s="386">
        <f>VLOOKUP(C28,Theory!B31:CE102,82,FALSE)</f>
        <v>0</v>
      </c>
      <c r="CT28" s="369">
        <f t="shared" si="18"/>
        <v>10</v>
      </c>
      <c r="CU28" s="399">
        <f>VLOOKUP(C28,Theory!B31:CF102,83,FALSE)</f>
        <v>7</v>
      </c>
      <c r="CV28" s="400">
        <f>VLOOKUP(C28,Theory!B31:CG102,84,FALSE)</f>
        <v>0</v>
      </c>
      <c r="CW28" s="400">
        <f>VLOOKUP(C28,Theory!B31:CH102,85,FALSE)</f>
        <v>0</v>
      </c>
      <c r="CX28" s="400">
        <f>VLOOKUP(C28,Theory!B31:CI102,86,FALSE)</f>
        <v>0</v>
      </c>
      <c r="CY28" s="399">
        <f>VLOOKUP(C28,Theory!B31:CJ102,87,FALSE)</f>
        <v>0</v>
      </c>
      <c r="CZ28" s="399">
        <f>VLOOKUP(C28,Theory!B31:CK102,88,FALSE)</f>
        <v>0</v>
      </c>
      <c r="DA28" s="399">
        <f>VLOOKUP(C28,Theory!B31:CL102,89,FALSE)</f>
        <v>0</v>
      </c>
      <c r="DB28" s="399">
        <f>VLOOKUP(C28,Theory!B31:CM102,90,FALSE)</f>
        <v>0</v>
      </c>
      <c r="DC28" s="369">
        <f t="shared" si="19"/>
        <v>7</v>
      </c>
      <c r="DD28" s="386">
        <f>VLOOKUP(C28,Theory!B31:CN102,91,FALSE)</f>
        <v>8</v>
      </c>
      <c r="DE28" s="400">
        <f>VLOOKUP(C28,Theory!B31:CO102,92,FALSE)</f>
        <v>0</v>
      </c>
      <c r="DF28" s="400">
        <f>VLOOKUP(C28,Theory!B31:CP102,93,FALSE)</f>
        <v>0</v>
      </c>
      <c r="DG28" s="400">
        <f>VLOOKUP(C28,Theory!B31:CQ102,94,FALSE)</f>
        <v>0</v>
      </c>
      <c r="DH28" s="386">
        <f>VLOOKUP(C28,Theory!B31:CR102,95,FALSE)</f>
        <v>0</v>
      </c>
      <c r="DI28" s="386">
        <f>VLOOKUP(C28,Theory!B31:CS102,96,FALSE)</f>
        <v>0</v>
      </c>
      <c r="DJ28" s="386">
        <f>VLOOKUP(C28,Theory!B31:CT102,97,FALSE)</f>
        <v>0</v>
      </c>
      <c r="DK28" s="386">
        <f>VLOOKUP(C28,Theory!B31:CU102,98,FALSE)</f>
        <v>0</v>
      </c>
      <c r="DL28" s="369">
        <f t="shared" si="20"/>
        <v>8</v>
      </c>
      <c r="DM28" s="411">
        <f t="shared" si="2"/>
        <v>45</v>
      </c>
      <c r="DN28" s="413">
        <f t="shared" si="40"/>
        <v>43</v>
      </c>
      <c r="DO28" s="413">
        <f t="shared" si="41"/>
        <v>40</v>
      </c>
      <c r="DP28" s="413">
        <f t="shared" si="42"/>
        <v>45</v>
      </c>
      <c r="DQ28" s="418">
        <f t="shared" si="43"/>
        <v>26</v>
      </c>
      <c r="DR28" s="418">
        <f t="shared" si="44"/>
        <v>24</v>
      </c>
      <c r="DS28" s="418">
        <f t="shared" si="45"/>
        <v>27</v>
      </c>
      <c r="DT28" s="417">
        <f t="shared" si="36"/>
        <v>26</v>
      </c>
      <c r="DU28" s="423">
        <f>VLOOKUP(C28,Theory!B31:CV102,99,FALSE)</f>
        <v>7</v>
      </c>
      <c r="DV28" s="423">
        <f>VLOOKUP(C28,Theory!B31:CW102,100,FALSE)</f>
        <v>10</v>
      </c>
      <c r="DW28" s="424">
        <f t="shared" si="27"/>
        <v>17</v>
      </c>
      <c r="DX28" s="421">
        <f t="shared" si="3"/>
        <v>43</v>
      </c>
      <c r="DY28" s="430">
        <f t="shared" si="4"/>
        <v>26</v>
      </c>
      <c r="DZ28" s="431">
        <f>VLOOKUP(C28,Lab!B23:D92,3,FALSE)</f>
        <v>0</v>
      </c>
      <c r="EA28" s="432">
        <f>VLOOKUP(C28,Lab!B23:E92,4,FALSE)</f>
        <v>0</v>
      </c>
      <c r="EB28" s="432">
        <f>VLOOKUP(C28,Lab!B23:F92,5,FALSE)</f>
        <v>28</v>
      </c>
      <c r="EC28" s="422">
        <f t="shared" si="37"/>
        <v>28</v>
      </c>
      <c r="ED28" s="436">
        <f>VLOOKUP(C28,Lab!B23:G92,6,FALSE)</f>
        <v>0</v>
      </c>
      <c r="EE28" s="436">
        <f>VLOOKUP(C28,Lab!B23:H92,7,FALSE)</f>
        <v>0</v>
      </c>
      <c r="EF28" s="437">
        <v>19</v>
      </c>
      <c r="EG28" s="443">
        <f t="shared" si="38"/>
        <v>19</v>
      </c>
      <c r="EH28" s="444">
        <f t="shared" si="28"/>
        <v>47</v>
      </c>
      <c r="EI28" s="445">
        <f t="shared" si="29"/>
        <v>19</v>
      </c>
      <c r="EJ28" s="446">
        <f t="shared" si="5"/>
        <v>45</v>
      </c>
      <c r="EK28" s="449">
        <v>41.5</v>
      </c>
      <c r="EM28" s="450">
        <f>VLOOKUP(C28,Theory!B31:DK102,114,FALSE)</f>
        <v>0</v>
      </c>
      <c r="EN28" s="450">
        <f>VLOOKUP(C28,Theory!B31:DL102,115,FALSE)</f>
        <v>0</v>
      </c>
      <c r="EO28" s="450">
        <f>VLOOKUP(C28,Theory!B31:DM102,116,FALSE)</f>
        <v>0</v>
      </c>
      <c r="EP28" s="450">
        <f>VLOOKUP(C28,Theory!B31:DN100,117,FALSE)</f>
        <v>0</v>
      </c>
      <c r="EQ28" s="450">
        <f>VLOOKUP(C28,Theory!B31:DO100,118,FALSE)</f>
        <v>0</v>
      </c>
      <c r="ER28" s="451">
        <f>VLOOKUP(C28,Theory!B31:DP100,119,FALSE)</f>
        <v>0</v>
      </c>
      <c r="ES28" s="454">
        <f>VLOOKUP(C28,Theory!B31:DQ100,120,FALSE)</f>
        <v>0</v>
      </c>
      <c r="ET28" s="455">
        <f t="shared" si="39"/>
        <v>0</v>
      </c>
      <c r="EU28" s="456"/>
      <c r="EV28" s="456"/>
      <c r="EW28" s="456"/>
      <c r="EX28" s="456"/>
      <c r="EY28" s="456"/>
      <c r="EZ28" s="456"/>
      <c r="FA28" s="456"/>
      <c r="FB28" s="456"/>
      <c r="FC28" s="456"/>
      <c r="FD28" s="456"/>
    </row>
    <row r="29" ht="18.35" spans="1:160">
      <c r="A29" s="164">
        <v>16</v>
      </c>
      <c r="B29" s="289" t="str">
        <f>Theory!C32</f>
        <v>CHAITRA R</v>
      </c>
      <c r="C29" s="360" t="str">
        <f>Theory!B32</f>
        <v>1DS23AI017</v>
      </c>
      <c r="D29" s="361">
        <f>VLOOKUP(C29,Theory!B32:D103,3,FALSE)</f>
        <v>9</v>
      </c>
      <c r="E29" s="361">
        <f>VLOOKUP(C29,Theory!B32:E103,4,FALSE)</f>
        <v>0</v>
      </c>
      <c r="F29" s="361">
        <f>VLOOKUP(C29,Theory!B32:F103,5,FALSE)</f>
        <v>0</v>
      </c>
      <c r="G29" s="361">
        <f>VLOOKUP(C29,Theory!B32:G103,6,FALSE)</f>
        <v>0</v>
      </c>
      <c r="H29" s="369">
        <f t="shared" si="6"/>
        <v>9</v>
      </c>
      <c r="I29" s="370">
        <f>VLOOKUP(C29,Theory!B32:H103,7,FALSE)</f>
        <v>10</v>
      </c>
      <c r="J29" s="371">
        <f>VLOOKUP(C29,Theory!B32:I103,8,FALSE)</f>
        <v>0</v>
      </c>
      <c r="K29" s="371">
        <f>VLOOKUP(C29,Theory!B32:J103,9,FALSE)</f>
        <v>0</v>
      </c>
      <c r="L29" s="371">
        <f>VLOOKUP(C29,Theory!B32:K103,10,FALSE)</f>
        <v>0</v>
      </c>
      <c r="M29" s="369">
        <f t="shared" si="7"/>
        <v>10</v>
      </c>
      <c r="N29" s="373">
        <f>VLOOKUP(C29,Theory!B32:L103,11,FALSE)</f>
        <v>8</v>
      </c>
      <c r="O29" s="373">
        <f>VLOOKUP(C29,Theory!B32:M103,12,FALSE)</f>
        <v>0</v>
      </c>
      <c r="P29" s="373">
        <f>VLOOKUP(C29,Theory!B32:N103,13,FALSE)</f>
        <v>0</v>
      </c>
      <c r="Q29" s="373">
        <f>VLOOKUP(C29,Theory!B32:O103,14,FALSE)</f>
        <v>0</v>
      </c>
      <c r="R29" s="371">
        <f>VLOOKUP(C29,Theory!B32:P103,15,FALSE)</f>
        <v>0</v>
      </c>
      <c r="S29" s="371">
        <f>VLOOKUP(C29,Theory!B32:Q103,16,FALSE)</f>
        <v>0</v>
      </c>
      <c r="T29" s="371">
        <f>VLOOKUP(C29,Theory!B32:R103,17,FALSE)</f>
        <v>0</v>
      </c>
      <c r="U29" s="371">
        <f>VLOOKUP(C29,Theory!B32:S103,18,FALSE)</f>
        <v>0</v>
      </c>
      <c r="V29" s="369">
        <f t="shared" si="8"/>
        <v>8</v>
      </c>
      <c r="W29" s="361">
        <f>VLOOKUP(C29,Theory!B32:T103,19,FALSE)</f>
        <v>0</v>
      </c>
      <c r="X29" s="361">
        <f>VLOOKUP(C29,Theory!B32:U103,20,FALSE)</f>
        <v>0</v>
      </c>
      <c r="Y29" s="361">
        <f>VLOOKUP(C29,Theory!B32:V103,21,FALSE)</f>
        <v>0</v>
      </c>
      <c r="Z29" s="361">
        <f>VLOOKUP(C29,Theory!B32:W103,22,FALSE)</f>
        <v>0</v>
      </c>
      <c r="AA29" s="370">
        <f>VLOOKUP(C29,Theory!B32:X103,23,FALSE)</f>
        <v>8</v>
      </c>
      <c r="AB29" s="370">
        <f>VLOOKUP(C29,Theory!B32:Y103,24,FALSE)</f>
        <v>0</v>
      </c>
      <c r="AC29" s="370">
        <f>VLOOKUP(C29,Theory!B32:Z103,25,FALSE)</f>
        <v>0</v>
      </c>
      <c r="AD29" s="370">
        <f>VLOOKUP(C29,Theory!B32:AA103,26,FALSE)</f>
        <v>0</v>
      </c>
      <c r="AE29" s="369">
        <f t="shared" si="9"/>
        <v>8</v>
      </c>
      <c r="AF29" s="361">
        <f>VLOOKUP(C29,Theory!B32:AB103,27,FALSE)</f>
        <v>10</v>
      </c>
      <c r="AG29" s="361">
        <f>VLOOKUP(C29,Theory!B32:AC103,28,FALSE)</f>
        <v>0</v>
      </c>
      <c r="AH29" s="361">
        <f>VLOOKUP(C29,Theory!B32:AD103,29,FALSE)</f>
        <v>0</v>
      </c>
      <c r="AI29" s="361">
        <f>VLOOKUP(C29,Theory!B32:AE103,30,FALSE)</f>
        <v>0</v>
      </c>
      <c r="AJ29" s="380">
        <f>VLOOKUP(C29,Theory!B32:AF103,31,FALSE)</f>
        <v>0</v>
      </c>
      <c r="AK29" s="380">
        <f>VLOOKUP(C29,Theory!B32:AG103,32,FALSE)</f>
        <v>0</v>
      </c>
      <c r="AL29" s="380">
        <f>VLOOKUP(C29,Theory!B32:AH103,33,FALSE)</f>
        <v>0</v>
      </c>
      <c r="AM29" s="380">
        <f>VLOOKUP(C29,Theory!B32:AI103,34,FALSE)</f>
        <v>0</v>
      </c>
      <c r="AN29" s="369">
        <f t="shared" si="10"/>
        <v>10</v>
      </c>
      <c r="AO29" s="385">
        <f t="shared" si="0"/>
        <v>45</v>
      </c>
      <c r="AP29" s="386">
        <f>VLOOKUP(C29,Theory!B32:AJ103,35,FALSE)</f>
        <v>10</v>
      </c>
      <c r="AQ29" s="386">
        <f>VLOOKUP(C29,Theory!B32:AK103,36,FALSE)</f>
        <v>0</v>
      </c>
      <c r="AR29" s="386">
        <f>VLOOKUP(C29,Theory!B32:AL103,37,FALSE)</f>
        <v>0</v>
      </c>
      <c r="AS29" s="386">
        <f>VLOOKUP(C29,Theory!B32:AM103,38,FALSE)</f>
        <v>0</v>
      </c>
      <c r="AT29" s="369">
        <f t="shared" si="11"/>
        <v>10</v>
      </c>
      <c r="AU29" s="386">
        <f>VLOOKUP(C29,Theory!B32:AN103,39,FALSE)</f>
        <v>9</v>
      </c>
      <c r="AV29" s="386">
        <f>VLOOKUP(C29,Theory!B32:AO103,40,FALSE)</f>
        <v>0</v>
      </c>
      <c r="AW29" s="386">
        <f>VLOOKUP(C29,Theory!B32:AP103,41,FALSE)</f>
        <v>0</v>
      </c>
      <c r="AX29" s="386">
        <f>VLOOKUP(C29,Theory!B32:AQ103,42,FALSE)</f>
        <v>0</v>
      </c>
      <c r="AY29" s="369">
        <f t="shared" si="12"/>
        <v>9</v>
      </c>
      <c r="AZ29" s="386">
        <f>VLOOKUP(C29,Theory!B32:AR103,43,FALSE)</f>
        <v>5</v>
      </c>
      <c r="BA29" s="386">
        <f>VLOOKUP(C29,Theory!B32:AS103,44,FALSE)</f>
        <v>0</v>
      </c>
      <c r="BB29" s="386">
        <f>VLOOKUP(C29,Theory!B32:AT103,45,FALSE)</f>
        <v>0</v>
      </c>
      <c r="BC29" s="386">
        <f>VLOOKUP(C29,Theory!B32:AU103,46,FALSE)</f>
        <v>0</v>
      </c>
      <c r="BD29" s="386">
        <f>VLOOKUP(C29,Theory!B32:AV103,47,FALSE)</f>
        <v>0</v>
      </c>
      <c r="BE29" s="386">
        <f>VLOOKUP(C29,Theory!B32:AW103,48,FALSE)</f>
        <v>0</v>
      </c>
      <c r="BF29" s="386">
        <f>VLOOKUP(C29,Theory!B32:AX103,49,FALSE)</f>
        <v>0</v>
      </c>
      <c r="BG29" s="386">
        <f>VLOOKUP(C29,Theory!B32:AY103,50,FALSE)</f>
        <v>0</v>
      </c>
      <c r="BH29" s="369">
        <f t="shared" si="13"/>
        <v>5</v>
      </c>
      <c r="BI29" s="386">
        <f>VLOOKUP(C29,Theory!B32:AZ103,51,FALSE)</f>
        <v>8</v>
      </c>
      <c r="BJ29" s="386">
        <f>VLOOKUP(C29,Theory!B32:BA103,52,FALSE)</f>
        <v>0</v>
      </c>
      <c r="BK29" s="386">
        <f>VLOOKUP(C29,Theory!B32:BB103,53,FALSE)</f>
        <v>0</v>
      </c>
      <c r="BL29" s="386">
        <f>VLOOKUP(C29,Theory!B32:BC103,54,FALSE)</f>
        <v>0</v>
      </c>
      <c r="BM29" s="386">
        <f>VLOOKUP(C29,Theory!B32:BD103,55,FALSE)</f>
        <v>0</v>
      </c>
      <c r="BN29" s="386">
        <f>VLOOKUP(C29,Theory!B32:BE103,56,FALSE)</f>
        <v>0</v>
      </c>
      <c r="BO29" s="386">
        <f>VLOOKUP(C29,Theory!B32:BF103,57,FALSE)</f>
        <v>0</v>
      </c>
      <c r="BP29" s="386">
        <f>VLOOKUP(C29,Theory!B32:BG103,58,FALSE)</f>
        <v>0</v>
      </c>
      <c r="BQ29" s="369">
        <f t="shared" si="14"/>
        <v>8</v>
      </c>
      <c r="BR29" s="386">
        <f>VLOOKUP(C29,Theory!B32:BH103,59,FALSE)</f>
        <v>4</v>
      </c>
      <c r="BS29" s="386">
        <f>VLOOKUP(C29,Theory!B32:BI103,60,FALSE)</f>
        <v>0</v>
      </c>
      <c r="BT29" s="386">
        <f>VLOOKUP(C29,Theory!B32:BJ103,61,FALSE)</f>
        <v>0</v>
      </c>
      <c r="BU29" s="386">
        <f>VLOOKUP(C29,Theory!B32:BK103,62,FALSE)</f>
        <v>0</v>
      </c>
      <c r="BV29" s="386">
        <f>VLOOKUP(C29,Theory!B32:BL103,63,FALSE)</f>
        <v>0</v>
      </c>
      <c r="BW29" s="386">
        <f>VLOOKUP(C29,Theory!B32:BM103,64,FALSE)</f>
        <v>0</v>
      </c>
      <c r="BX29" s="386">
        <f>VLOOKUP(C29,Theory!B32:BN103,65,FALSE)</f>
        <v>0</v>
      </c>
      <c r="BY29" s="386">
        <f>VLOOKUP(C29,Theory!B32:BO103,66,FALSE)</f>
        <v>0</v>
      </c>
      <c r="BZ29" s="369">
        <f t="shared" si="15"/>
        <v>4</v>
      </c>
      <c r="CA29" s="385">
        <f t="shared" si="1"/>
        <v>36</v>
      </c>
      <c r="CB29" s="386">
        <f>VLOOKUP(C29,Theory!B32:BP103,67,FALSE)</f>
        <v>10</v>
      </c>
      <c r="CC29" s="386">
        <f>VLOOKUP(C29,Theory!B32:BQ103,68,FALSE)</f>
        <v>0</v>
      </c>
      <c r="CD29" s="386">
        <f>VLOOKUP(C29,Theory!B32:BR103,69,FALSE)</f>
        <v>0</v>
      </c>
      <c r="CE29" s="386">
        <f>VLOOKUP(C29,Theory!B32:BS103,70,FALSE)</f>
        <v>0</v>
      </c>
      <c r="CF29" s="369">
        <f t="shared" si="16"/>
        <v>10</v>
      </c>
      <c r="CG29" s="399">
        <f>VLOOKUP(C29,Theory!B32:BT103,71,FALSE)</f>
        <v>10</v>
      </c>
      <c r="CH29" s="399">
        <f>VLOOKUP(C29,Theory!B32:BU103,72,FALSE)</f>
        <v>0</v>
      </c>
      <c r="CI29" s="399">
        <f>VLOOKUP(C29,Theory!B32:BV103,73,FALSE)</f>
        <v>0</v>
      </c>
      <c r="CJ29" s="399">
        <f>VLOOKUP(C29,Theory!B32:BW103,74,FALSE)</f>
        <v>0</v>
      </c>
      <c r="CK29" s="369">
        <f t="shared" si="17"/>
        <v>10</v>
      </c>
      <c r="CL29" s="386">
        <f>VLOOKUP(C29,Theory!B32:BX103,75,FALSE)</f>
        <v>9</v>
      </c>
      <c r="CM29" s="400">
        <f>VLOOKUP(C29,Theory!B32:BY103,76,FALSE)</f>
        <v>0</v>
      </c>
      <c r="CN29" s="400">
        <f>VLOOKUP(C29,Theory!B32:BZ103,77,FALSE)</f>
        <v>0</v>
      </c>
      <c r="CO29" s="400">
        <f>VLOOKUP(C29,Theory!B32:CA103,78,FALSE)</f>
        <v>0</v>
      </c>
      <c r="CP29" s="386">
        <f>VLOOKUP(C29,Theory!B32:CB103,79,FALSE)</f>
        <v>0</v>
      </c>
      <c r="CQ29" s="386">
        <f>VLOOKUP(C29,Theory!B32:CC103,80,FALSE)</f>
        <v>0</v>
      </c>
      <c r="CR29" s="386">
        <f>VLOOKUP(C29,Theory!B32:CD103,81,FALSE)</f>
        <v>0</v>
      </c>
      <c r="CS29" s="386">
        <f>VLOOKUP(C29,Theory!B32:CE103,82,FALSE)</f>
        <v>0</v>
      </c>
      <c r="CT29" s="369">
        <f t="shared" si="18"/>
        <v>9</v>
      </c>
      <c r="CU29" s="399">
        <f>VLOOKUP(C29,Theory!B32:CF103,83,FALSE)</f>
        <v>8</v>
      </c>
      <c r="CV29" s="400">
        <f>VLOOKUP(C29,Theory!B32:CG103,84,FALSE)</f>
        <v>0</v>
      </c>
      <c r="CW29" s="400">
        <f>VLOOKUP(C29,Theory!B32:CH103,85,FALSE)</f>
        <v>0</v>
      </c>
      <c r="CX29" s="400">
        <f>VLOOKUP(C29,Theory!B32:CI103,86,FALSE)</f>
        <v>0</v>
      </c>
      <c r="CY29" s="399">
        <f>VLOOKUP(C29,Theory!B32:CJ103,87,FALSE)</f>
        <v>0</v>
      </c>
      <c r="CZ29" s="399">
        <f>VLOOKUP(C29,Theory!B32:CK103,88,FALSE)</f>
        <v>0</v>
      </c>
      <c r="DA29" s="399">
        <f>VLOOKUP(C29,Theory!B32:CL103,89,FALSE)</f>
        <v>0</v>
      </c>
      <c r="DB29" s="399">
        <f>VLOOKUP(C29,Theory!B32:CM103,90,FALSE)</f>
        <v>0</v>
      </c>
      <c r="DC29" s="369">
        <f t="shared" si="19"/>
        <v>8</v>
      </c>
      <c r="DD29" s="386">
        <f>VLOOKUP(C29,Theory!B32:CN103,91,FALSE)</f>
        <v>7</v>
      </c>
      <c r="DE29" s="400">
        <f>VLOOKUP(C29,Theory!B32:CO103,92,FALSE)</f>
        <v>0</v>
      </c>
      <c r="DF29" s="400">
        <f>VLOOKUP(C29,Theory!B32:CP103,93,FALSE)</f>
        <v>0</v>
      </c>
      <c r="DG29" s="400">
        <f>VLOOKUP(C29,Theory!B32:CQ103,94,FALSE)</f>
        <v>0</v>
      </c>
      <c r="DH29" s="386">
        <f>VLOOKUP(C29,Theory!B32:CR103,95,FALSE)</f>
        <v>0</v>
      </c>
      <c r="DI29" s="386">
        <f>VLOOKUP(C29,Theory!B32:CS103,96,FALSE)</f>
        <v>0</v>
      </c>
      <c r="DJ29" s="386">
        <f>VLOOKUP(C29,Theory!B32:CT103,97,FALSE)</f>
        <v>0</v>
      </c>
      <c r="DK29" s="386">
        <f>VLOOKUP(C29,Theory!B32:CU103,98,FALSE)</f>
        <v>0</v>
      </c>
      <c r="DL29" s="369">
        <f t="shared" si="20"/>
        <v>7</v>
      </c>
      <c r="DM29" s="411">
        <f t="shared" si="2"/>
        <v>44</v>
      </c>
      <c r="DN29" s="413">
        <f t="shared" si="40"/>
        <v>45</v>
      </c>
      <c r="DO29" s="413">
        <f t="shared" si="41"/>
        <v>36</v>
      </c>
      <c r="DP29" s="413">
        <f t="shared" si="42"/>
        <v>44</v>
      </c>
      <c r="DQ29" s="418">
        <f t="shared" si="43"/>
        <v>27</v>
      </c>
      <c r="DR29" s="418">
        <f t="shared" si="44"/>
        <v>22</v>
      </c>
      <c r="DS29" s="418">
        <f t="shared" si="45"/>
        <v>26</v>
      </c>
      <c r="DT29" s="417">
        <f t="shared" si="36"/>
        <v>25</v>
      </c>
      <c r="DU29" s="423">
        <f>VLOOKUP(C29,Theory!B32:CV103,99,FALSE)</f>
        <v>7</v>
      </c>
      <c r="DV29" s="423">
        <f>VLOOKUP(C29,Theory!B32:CW103,100,FALSE)</f>
        <v>10</v>
      </c>
      <c r="DW29" s="424">
        <f t="shared" si="27"/>
        <v>17</v>
      </c>
      <c r="DX29" s="421">
        <f t="shared" si="3"/>
        <v>42</v>
      </c>
      <c r="DY29" s="430">
        <f t="shared" si="4"/>
        <v>25</v>
      </c>
      <c r="DZ29" s="431">
        <f>VLOOKUP(C29,Lab!B24:D93,3,FALSE)</f>
        <v>0</v>
      </c>
      <c r="EA29" s="432">
        <f>VLOOKUP(C29,Lab!B24:E93,4,FALSE)</f>
        <v>0</v>
      </c>
      <c r="EB29" s="432">
        <f>VLOOKUP(C29,Lab!B24:F93,5,FALSE)</f>
        <v>29</v>
      </c>
      <c r="EC29" s="422">
        <f t="shared" si="37"/>
        <v>29</v>
      </c>
      <c r="ED29" s="436">
        <f>VLOOKUP(C29,Lab!B24:G93,6,FALSE)</f>
        <v>0</v>
      </c>
      <c r="EE29" s="436">
        <f>VLOOKUP(C29,Lab!B24:H93,7,FALSE)</f>
        <v>0</v>
      </c>
      <c r="EF29" s="437">
        <v>20</v>
      </c>
      <c r="EG29" s="443">
        <f t="shared" si="38"/>
        <v>20</v>
      </c>
      <c r="EH29" s="444">
        <f t="shared" si="28"/>
        <v>49</v>
      </c>
      <c r="EI29" s="445">
        <f t="shared" si="29"/>
        <v>20</v>
      </c>
      <c r="EJ29" s="446">
        <f t="shared" si="5"/>
        <v>45</v>
      </c>
      <c r="EK29" s="449">
        <v>41</v>
      </c>
      <c r="EM29" s="450">
        <f>VLOOKUP(C29,Theory!B32:DK103,114,FALSE)</f>
        <v>0</v>
      </c>
      <c r="EN29" s="450">
        <f>VLOOKUP(C29,Theory!B32:DL103,115,FALSE)</f>
        <v>0</v>
      </c>
      <c r="EO29" s="450">
        <f>VLOOKUP(C29,Theory!B32:DM103,116,FALSE)</f>
        <v>0</v>
      </c>
      <c r="EP29" s="450">
        <f>VLOOKUP(C29,Theory!B32:DN101,117,FALSE)</f>
        <v>0</v>
      </c>
      <c r="EQ29" s="450">
        <f>VLOOKUP(C29,Theory!B32:DO101,118,FALSE)</f>
        <v>0</v>
      </c>
      <c r="ER29" s="451">
        <f>VLOOKUP(C29,Theory!B32:DP101,119,FALSE)</f>
        <v>0</v>
      </c>
      <c r="ES29" s="454">
        <f>VLOOKUP(C29,Theory!B32:DQ101,120,FALSE)</f>
        <v>0</v>
      </c>
      <c r="ET29" s="455">
        <f t="shared" si="39"/>
        <v>0</v>
      </c>
      <c r="EU29" s="456"/>
      <c r="EV29" s="456"/>
      <c r="EW29" s="456"/>
      <c r="EX29" s="456"/>
      <c r="EY29" s="456"/>
      <c r="EZ29" s="456"/>
      <c r="FA29" s="456"/>
      <c r="FB29" s="456"/>
      <c r="FC29" s="456"/>
      <c r="FD29" s="456"/>
    </row>
    <row r="30" ht="18.35" spans="1:160">
      <c r="A30" s="164">
        <v>17</v>
      </c>
      <c r="B30" s="289" t="str">
        <f>Theory!C33</f>
        <v>CHIRANTHAN REDDY H M</v>
      </c>
      <c r="C30" s="360" t="str">
        <f>Theory!B33</f>
        <v>1DS23AI018</v>
      </c>
      <c r="D30" s="361">
        <f>VLOOKUP(C30,Theory!B33:D104,3,FALSE)</f>
        <v>8</v>
      </c>
      <c r="E30" s="361">
        <f>VLOOKUP(C30,Theory!B33:E104,4,FALSE)</f>
        <v>0</v>
      </c>
      <c r="F30" s="361">
        <f>VLOOKUP(C30,Theory!B33:F104,5,FALSE)</f>
        <v>0</v>
      </c>
      <c r="G30" s="361">
        <f>VLOOKUP(C30,Theory!B33:G104,6,FALSE)</f>
        <v>0</v>
      </c>
      <c r="H30" s="369">
        <f t="shared" si="6"/>
        <v>8</v>
      </c>
      <c r="I30" s="370">
        <f>VLOOKUP(C30,Theory!B33:H104,7,FALSE)</f>
        <v>0</v>
      </c>
      <c r="J30" s="371">
        <f>VLOOKUP(C30,Theory!B33:I104,8,FALSE)</f>
        <v>0</v>
      </c>
      <c r="K30" s="371">
        <f>VLOOKUP(C30,Theory!B33:J104,9,FALSE)</f>
        <v>0</v>
      </c>
      <c r="L30" s="371">
        <f>VLOOKUP(C30,Theory!B33:K104,10,FALSE)</f>
        <v>0</v>
      </c>
      <c r="M30" s="369">
        <f t="shared" si="7"/>
        <v>0</v>
      </c>
      <c r="N30" s="373">
        <f>VLOOKUP(C30,Theory!B33:L104,11,FALSE)</f>
        <v>3</v>
      </c>
      <c r="O30" s="373">
        <f>VLOOKUP(C30,Theory!B33:M104,12,FALSE)</f>
        <v>0</v>
      </c>
      <c r="P30" s="373">
        <f>VLOOKUP(C30,Theory!B33:N104,13,FALSE)</f>
        <v>0</v>
      </c>
      <c r="Q30" s="373">
        <f>VLOOKUP(C30,Theory!B33:O104,14,FALSE)</f>
        <v>0</v>
      </c>
      <c r="R30" s="371">
        <f>VLOOKUP(C30,Theory!B33:P104,15,FALSE)</f>
        <v>0</v>
      </c>
      <c r="S30" s="371">
        <f>VLOOKUP(C30,Theory!B33:Q104,16,FALSE)</f>
        <v>0</v>
      </c>
      <c r="T30" s="371">
        <f>VLOOKUP(C30,Theory!B33:R104,17,FALSE)</f>
        <v>0</v>
      </c>
      <c r="U30" s="371">
        <f>VLOOKUP(C30,Theory!B33:S104,18,FALSE)</f>
        <v>0</v>
      </c>
      <c r="V30" s="369">
        <f t="shared" si="8"/>
        <v>3</v>
      </c>
      <c r="W30" s="361">
        <f>VLOOKUP(C30,Theory!B33:T104,19,FALSE)</f>
        <v>0</v>
      </c>
      <c r="X30" s="361">
        <f>VLOOKUP(C30,Theory!B33:U104,20,FALSE)</f>
        <v>0</v>
      </c>
      <c r="Y30" s="361">
        <f>VLOOKUP(C30,Theory!B33:V104,21,FALSE)</f>
        <v>0</v>
      </c>
      <c r="Z30" s="361">
        <f>VLOOKUP(C30,Theory!B33:W104,22,FALSE)</f>
        <v>0</v>
      </c>
      <c r="AA30" s="370">
        <f>VLOOKUP(C30,Theory!B33:X104,23,FALSE)</f>
        <v>9</v>
      </c>
      <c r="AB30" s="370">
        <f>VLOOKUP(C30,Theory!B33:Y104,24,FALSE)</f>
        <v>0</v>
      </c>
      <c r="AC30" s="370">
        <f>VLOOKUP(C30,Theory!B33:Z104,25,FALSE)</f>
        <v>0</v>
      </c>
      <c r="AD30" s="370">
        <f>VLOOKUP(C30,Theory!B33:AA104,26,FALSE)</f>
        <v>0</v>
      </c>
      <c r="AE30" s="369">
        <f t="shared" si="9"/>
        <v>9</v>
      </c>
      <c r="AF30" s="361">
        <f>VLOOKUP(C30,Theory!B33:AB104,27,FALSE)</f>
        <v>0</v>
      </c>
      <c r="AG30" s="361">
        <f>VLOOKUP(C30,Theory!B33:AC104,28,FALSE)</f>
        <v>0</v>
      </c>
      <c r="AH30" s="361">
        <f>VLOOKUP(C30,Theory!B33:AD104,29,FALSE)</f>
        <v>0</v>
      </c>
      <c r="AI30" s="361">
        <f>VLOOKUP(C30,Theory!B33:AE104,30,FALSE)</f>
        <v>0</v>
      </c>
      <c r="AJ30" s="380">
        <f>VLOOKUP(C30,Theory!B33:AF104,31,FALSE)</f>
        <v>2</v>
      </c>
      <c r="AK30" s="380">
        <f>VLOOKUP(C30,Theory!B33:AG104,32,FALSE)</f>
        <v>0</v>
      </c>
      <c r="AL30" s="380">
        <f>VLOOKUP(C30,Theory!B33:AH104,33,FALSE)</f>
        <v>0</v>
      </c>
      <c r="AM30" s="380">
        <f>VLOOKUP(C30,Theory!B33:AI104,34,FALSE)</f>
        <v>0</v>
      </c>
      <c r="AN30" s="369">
        <f t="shared" si="10"/>
        <v>2</v>
      </c>
      <c r="AO30" s="385">
        <f t="shared" si="0"/>
        <v>22</v>
      </c>
      <c r="AP30" s="386">
        <f>VLOOKUP(C30,Theory!B33:AJ104,35,FALSE)</f>
        <v>0</v>
      </c>
      <c r="AQ30" s="386">
        <f>VLOOKUP(C30,Theory!B33:AK104,36,FALSE)</f>
        <v>0</v>
      </c>
      <c r="AR30" s="386">
        <f>VLOOKUP(C30,Theory!B33:AL104,37,FALSE)</f>
        <v>0</v>
      </c>
      <c r="AS30" s="386">
        <f>VLOOKUP(C30,Theory!B33:AM104,38,FALSE)</f>
        <v>0</v>
      </c>
      <c r="AT30" s="369">
        <f t="shared" si="11"/>
        <v>0</v>
      </c>
      <c r="AU30" s="386">
        <f>VLOOKUP(C30,Theory!B33:AN104,39,FALSE)</f>
        <v>5</v>
      </c>
      <c r="AV30" s="386">
        <f>VLOOKUP(C30,Theory!B33:AO104,40,FALSE)</f>
        <v>0</v>
      </c>
      <c r="AW30" s="386">
        <f>VLOOKUP(C30,Theory!B33:AP104,41,FALSE)</f>
        <v>0</v>
      </c>
      <c r="AX30" s="386">
        <f>VLOOKUP(C30,Theory!B33:AQ104,42,FALSE)</f>
        <v>0</v>
      </c>
      <c r="AY30" s="369">
        <f t="shared" si="12"/>
        <v>5</v>
      </c>
      <c r="AZ30" s="386">
        <f>VLOOKUP(C30,Theory!B33:AR104,43,FALSE)</f>
        <v>4</v>
      </c>
      <c r="BA30" s="386">
        <f>VLOOKUP(C30,Theory!B33:AS104,44,FALSE)</f>
        <v>0</v>
      </c>
      <c r="BB30" s="386">
        <f>VLOOKUP(C30,Theory!B33:AT104,45,FALSE)</f>
        <v>0</v>
      </c>
      <c r="BC30" s="386">
        <f>VLOOKUP(C30,Theory!B33:AU104,46,FALSE)</f>
        <v>0</v>
      </c>
      <c r="BD30" s="386">
        <f>VLOOKUP(C30,Theory!B33:AV104,47,FALSE)</f>
        <v>0</v>
      </c>
      <c r="BE30" s="386">
        <f>VLOOKUP(C30,Theory!B33:AW104,48,FALSE)</f>
        <v>0</v>
      </c>
      <c r="BF30" s="386">
        <f>VLOOKUP(C30,Theory!B33:AX104,49,FALSE)</f>
        <v>0</v>
      </c>
      <c r="BG30" s="386">
        <f>VLOOKUP(C30,Theory!B33:AY104,50,FALSE)</f>
        <v>0</v>
      </c>
      <c r="BH30" s="369">
        <f t="shared" si="13"/>
        <v>4</v>
      </c>
      <c r="BI30" s="386">
        <f>VLOOKUP(C30,Theory!B33:AZ104,51,FALSE)</f>
        <v>0</v>
      </c>
      <c r="BJ30" s="386">
        <f>VLOOKUP(C30,Theory!B33:BA104,52,FALSE)</f>
        <v>0</v>
      </c>
      <c r="BK30" s="386">
        <f>VLOOKUP(C30,Theory!B33:BB104,53,FALSE)</f>
        <v>0</v>
      </c>
      <c r="BL30" s="386">
        <f>VLOOKUP(C30,Theory!B33:BC104,54,FALSE)</f>
        <v>0</v>
      </c>
      <c r="BM30" s="386">
        <f>VLOOKUP(C30,Theory!B33:BD104,55,FALSE)</f>
        <v>0</v>
      </c>
      <c r="BN30" s="386">
        <f>VLOOKUP(C30,Theory!B33:BE104,56,FALSE)</f>
        <v>0</v>
      </c>
      <c r="BO30" s="386">
        <f>VLOOKUP(C30,Theory!B33:BF104,57,FALSE)</f>
        <v>0</v>
      </c>
      <c r="BP30" s="386">
        <f>VLOOKUP(C30,Theory!B33:BG104,58,FALSE)</f>
        <v>0</v>
      </c>
      <c r="BQ30" s="369">
        <f t="shared" si="14"/>
        <v>0</v>
      </c>
      <c r="BR30" s="386">
        <f>VLOOKUP(C30,Theory!B33:BH104,59,FALSE)</f>
        <v>2</v>
      </c>
      <c r="BS30" s="386">
        <f>VLOOKUP(C30,Theory!B33:BI104,60,FALSE)</f>
        <v>0</v>
      </c>
      <c r="BT30" s="386">
        <f>VLOOKUP(C30,Theory!B33:BJ104,61,FALSE)</f>
        <v>0</v>
      </c>
      <c r="BU30" s="386">
        <f>VLOOKUP(C30,Theory!B33:BK104,62,FALSE)</f>
        <v>0</v>
      </c>
      <c r="BV30" s="386">
        <f>VLOOKUP(C30,Theory!B33:BL104,63,FALSE)</f>
        <v>0</v>
      </c>
      <c r="BW30" s="386">
        <f>VLOOKUP(C30,Theory!B33:BM104,64,FALSE)</f>
        <v>0</v>
      </c>
      <c r="BX30" s="386">
        <f>VLOOKUP(C30,Theory!B33:BN104,65,FALSE)</f>
        <v>0</v>
      </c>
      <c r="BY30" s="386">
        <f>VLOOKUP(C30,Theory!B33:BO104,66,FALSE)</f>
        <v>0</v>
      </c>
      <c r="BZ30" s="369">
        <f t="shared" si="15"/>
        <v>2</v>
      </c>
      <c r="CA30" s="385">
        <f t="shared" si="1"/>
        <v>11</v>
      </c>
      <c r="CB30" s="386">
        <f>VLOOKUP(C30,Theory!B33:BP104,67,FALSE)</f>
        <v>8</v>
      </c>
      <c r="CC30" s="386">
        <f>VLOOKUP(C30,Theory!B33:BQ104,68,FALSE)</f>
        <v>0</v>
      </c>
      <c r="CD30" s="386">
        <f>VLOOKUP(C30,Theory!B33:BR104,69,FALSE)</f>
        <v>0</v>
      </c>
      <c r="CE30" s="386">
        <f>VLOOKUP(C30,Theory!B33:BS104,70,FALSE)</f>
        <v>0</v>
      </c>
      <c r="CF30" s="369">
        <f t="shared" si="16"/>
        <v>8</v>
      </c>
      <c r="CG30" s="399">
        <f>VLOOKUP(C30,Theory!B33:BT104,71,FALSE)</f>
        <v>6</v>
      </c>
      <c r="CH30" s="399">
        <f>VLOOKUP(C30,Theory!B33:BU104,72,FALSE)</f>
        <v>0</v>
      </c>
      <c r="CI30" s="399">
        <f>VLOOKUP(C30,Theory!B33:BV104,73,FALSE)</f>
        <v>0</v>
      </c>
      <c r="CJ30" s="399">
        <f>VLOOKUP(C30,Theory!B33:BW104,74,FALSE)</f>
        <v>0</v>
      </c>
      <c r="CK30" s="369">
        <f t="shared" si="17"/>
        <v>6</v>
      </c>
      <c r="CL30" s="386">
        <f>VLOOKUP(C30,Theory!B33:BX104,75,FALSE)</f>
        <v>6</v>
      </c>
      <c r="CM30" s="400">
        <f>VLOOKUP(C30,Theory!B33:BY104,76,FALSE)</f>
        <v>0</v>
      </c>
      <c r="CN30" s="400">
        <f>VLOOKUP(C30,Theory!B33:BZ104,77,FALSE)</f>
        <v>0</v>
      </c>
      <c r="CO30" s="400">
        <f>VLOOKUP(C30,Theory!B33:CA104,78,FALSE)</f>
        <v>0</v>
      </c>
      <c r="CP30" s="386">
        <f>VLOOKUP(C30,Theory!B33:CB104,79,FALSE)</f>
        <v>0</v>
      </c>
      <c r="CQ30" s="386">
        <f>VLOOKUP(C30,Theory!B33:CC104,80,FALSE)</f>
        <v>0</v>
      </c>
      <c r="CR30" s="386">
        <f>VLOOKUP(C30,Theory!B33:CD104,81,FALSE)</f>
        <v>0</v>
      </c>
      <c r="CS30" s="386">
        <f>VLOOKUP(C30,Theory!B33:CE104,82,FALSE)</f>
        <v>0</v>
      </c>
      <c r="CT30" s="369">
        <f t="shared" si="18"/>
        <v>6</v>
      </c>
      <c r="CU30" s="399">
        <f>VLOOKUP(C30,Theory!B33:CF104,83,FALSE)</f>
        <v>6</v>
      </c>
      <c r="CV30" s="400">
        <f>VLOOKUP(C30,Theory!B33:CG104,84,FALSE)</f>
        <v>0</v>
      </c>
      <c r="CW30" s="400">
        <f>VLOOKUP(C30,Theory!B33:CH104,85,FALSE)</f>
        <v>0</v>
      </c>
      <c r="CX30" s="400">
        <f>VLOOKUP(C30,Theory!B33:CI104,86,FALSE)</f>
        <v>0</v>
      </c>
      <c r="CY30" s="399">
        <f>VLOOKUP(C30,Theory!B33:CJ104,87,FALSE)</f>
        <v>0</v>
      </c>
      <c r="CZ30" s="399">
        <f>VLOOKUP(C30,Theory!B33:CK104,88,FALSE)</f>
        <v>0</v>
      </c>
      <c r="DA30" s="399">
        <f>VLOOKUP(C30,Theory!B33:CL104,89,FALSE)</f>
        <v>0</v>
      </c>
      <c r="DB30" s="399">
        <f>VLOOKUP(C30,Theory!B33:CM104,90,FALSE)</f>
        <v>0</v>
      </c>
      <c r="DC30" s="369">
        <f t="shared" si="19"/>
        <v>6</v>
      </c>
      <c r="DD30" s="386">
        <f>VLOOKUP(C30,Theory!B33:CN104,91,FALSE)</f>
        <v>0</v>
      </c>
      <c r="DE30" s="400">
        <f>VLOOKUP(C30,Theory!B33:CO104,92,FALSE)</f>
        <v>0</v>
      </c>
      <c r="DF30" s="400">
        <f>VLOOKUP(C30,Theory!B33:CP104,93,FALSE)</f>
        <v>0</v>
      </c>
      <c r="DG30" s="400">
        <f>VLOOKUP(C30,Theory!B33:CQ104,94,FALSE)</f>
        <v>0</v>
      </c>
      <c r="DH30" s="386">
        <f>VLOOKUP(C30,Theory!B33:CR104,95,FALSE)</f>
        <v>7</v>
      </c>
      <c r="DI30" s="386">
        <f>VLOOKUP(C30,Theory!B33:CS104,96,FALSE)</f>
        <v>0</v>
      </c>
      <c r="DJ30" s="386">
        <f>VLOOKUP(C30,Theory!B33:CT104,97,FALSE)</f>
        <v>0</v>
      </c>
      <c r="DK30" s="386">
        <f>VLOOKUP(C30,Theory!B33:CU104,98,FALSE)</f>
        <v>0</v>
      </c>
      <c r="DL30" s="369">
        <f t="shared" si="20"/>
        <v>7</v>
      </c>
      <c r="DM30" s="411">
        <f t="shared" si="2"/>
        <v>33</v>
      </c>
      <c r="DN30" s="413">
        <f t="shared" si="40"/>
        <v>22</v>
      </c>
      <c r="DO30" s="413">
        <f t="shared" si="41"/>
        <v>11</v>
      </c>
      <c r="DP30" s="413">
        <f t="shared" si="42"/>
        <v>33</v>
      </c>
      <c r="DQ30" s="418">
        <f t="shared" si="43"/>
        <v>13</v>
      </c>
      <c r="DR30" s="418">
        <f t="shared" si="44"/>
        <v>7</v>
      </c>
      <c r="DS30" s="418">
        <f t="shared" si="45"/>
        <v>20</v>
      </c>
      <c r="DT30" s="417">
        <f t="shared" si="36"/>
        <v>13</v>
      </c>
      <c r="DU30" s="423">
        <f>VLOOKUP(C30,Theory!B33:CV104,99,FALSE)</f>
        <v>6</v>
      </c>
      <c r="DV30" s="423">
        <f>VLOOKUP(C30,Theory!B33:CW104,100,FALSE)</f>
        <v>10</v>
      </c>
      <c r="DW30" s="424">
        <f t="shared" si="27"/>
        <v>16</v>
      </c>
      <c r="DX30" s="421">
        <f t="shared" si="3"/>
        <v>29</v>
      </c>
      <c r="DY30" s="430">
        <f t="shared" si="4"/>
        <v>17</v>
      </c>
      <c r="DZ30" s="431">
        <f>VLOOKUP(C30,Lab!B25:D94,3,FALSE)</f>
        <v>0</v>
      </c>
      <c r="EA30" s="432">
        <f>VLOOKUP(C30,Lab!B25:E94,4,FALSE)</f>
        <v>0</v>
      </c>
      <c r="EB30" s="432">
        <f>VLOOKUP(C30,Lab!B25:F94,5,FALSE)</f>
        <v>26</v>
      </c>
      <c r="EC30" s="422">
        <f t="shared" si="37"/>
        <v>26</v>
      </c>
      <c r="ED30" s="436">
        <f>VLOOKUP(C30,Lab!B25:G94,6,FALSE)</f>
        <v>0</v>
      </c>
      <c r="EE30" s="436">
        <f>VLOOKUP(C30,Lab!B25:H94,7,FALSE)</f>
        <v>0</v>
      </c>
      <c r="EF30" s="437">
        <v>16</v>
      </c>
      <c r="EG30" s="443">
        <f t="shared" si="38"/>
        <v>16</v>
      </c>
      <c r="EH30" s="444">
        <f t="shared" si="28"/>
        <v>42</v>
      </c>
      <c r="EI30" s="445">
        <f t="shared" si="29"/>
        <v>17</v>
      </c>
      <c r="EJ30" s="446">
        <f t="shared" si="5"/>
        <v>34</v>
      </c>
      <c r="EK30" s="449">
        <v>38.5</v>
      </c>
      <c r="EM30" s="450">
        <f>VLOOKUP(C30,Theory!B33:DK104,114,FALSE)</f>
        <v>0</v>
      </c>
      <c r="EN30" s="450">
        <f>VLOOKUP(C30,Theory!B33:DL104,115,FALSE)</f>
        <v>0</v>
      </c>
      <c r="EO30" s="450">
        <f>VLOOKUP(C30,Theory!B33:DM104,116,FALSE)</f>
        <v>0</v>
      </c>
      <c r="EP30" s="450">
        <f>VLOOKUP(C30,Theory!B33:DN102,117,FALSE)</f>
        <v>0</v>
      </c>
      <c r="EQ30" s="450">
        <f>VLOOKUP(C30,Theory!B33:DO102,118,FALSE)</f>
        <v>0</v>
      </c>
      <c r="ER30" s="451">
        <f>VLOOKUP(C30,Theory!B33:DP102,119,FALSE)</f>
        <v>0</v>
      </c>
      <c r="ES30" s="454">
        <f>VLOOKUP(C30,Theory!B33:DQ102,120,FALSE)</f>
        <v>0</v>
      </c>
      <c r="ET30" s="455">
        <f t="shared" si="39"/>
        <v>0</v>
      </c>
      <c r="EU30" s="456"/>
      <c r="EV30" s="456"/>
      <c r="EW30" s="456"/>
      <c r="EX30" s="456"/>
      <c r="EY30" s="456"/>
      <c r="EZ30" s="456"/>
      <c r="FA30" s="456"/>
      <c r="FB30" s="456"/>
      <c r="FC30" s="456"/>
      <c r="FD30" s="456"/>
    </row>
    <row r="31" ht="18.35" spans="1:160">
      <c r="A31" s="164">
        <v>18</v>
      </c>
      <c r="B31" s="289" t="str">
        <f>Theory!C34</f>
        <v>DEVANSH GOYAL</v>
      </c>
      <c r="C31" s="360" t="str">
        <f>Theory!B34</f>
        <v>1DS23AI019</v>
      </c>
      <c r="D31" s="361">
        <f>VLOOKUP(C31,Theory!B34:D105,3,FALSE)</f>
        <v>9</v>
      </c>
      <c r="E31" s="361">
        <f>VLOOKUP(C31,Theory!B34:E105,4,FALSE)</f>
        <v>0</v>
      </c>
      <c r="F31" s="361">
        <f>VLOOKUP(C31,Theory!B34:F105,5,FALSE)</f>
        <v>0</v>
      </c>
      <c r="G31" s="361">
        <f>VLOOKUP(C31,Theory!B34:G105,6,FALSE)</f>
        <v>0</v>
      </c>
      <c r="H31" s="369">
        <f t="shared" si="6"/>
        <v>9</v>
      </c>
      <c r="I31" s="370">
        <f>VLOOKUP(C31,Theory!B34:H105,7,FALSE)</f>
        <v>6</v>
      </c>
      <c r="J31" s="371">
        <f>VLOOKUP(C31,Theory!B34:I105,8,FALSE)</f>
        <v>0</v>
      </c>
      <c r="K31" s="371">
        <f>VLOOKUP(C31,Theory!B34:J105,9,FALSE)</f>
        <v>0</v>
      </c>
      <c r="L31" s="371">
        <f>VLOOKUP(C31,Theory!B34:K105,10,FALSE)</f>
        <v>0</v>
      </c>
      <c r="M31" s="369">
        <f t="shared" si="7"/>
        <v>6</v>
      </c>
      <c r="N31" s="373">
        <f>VLOOKUP(C31,Theory!B34:L105,11,FALSE)</f>
        <v>0</v>
      </c>
      <c r="O31" s="373">
        <f>VLOOKUP(C31,Theory!B34:M105,12,FALSE)</f>
        <v>0</v>
      </c>
      <c r="P31" s="373">
        <f>VLOOKUP(C31,Theory!B34:N105,13,FALSE)</f>
        <v>0</v>
      </c>
      <c r="Q31" s="373">
        <f>VLOOKUP(C31,Theory!B34:O105,14,FALSE)</f>
        <v>0</v>
      </c>
      <c r="R31" s="371">
        <f>VLOOKUP(C31,Theory!B34:P105,15,FALSE)</f>
        <v>8</v>
      </c>
      <c r="S31" s="371">
        <f>VLOOKUP(C31,Theory!B34:Q105,16,FALSE)</f>
        <v>0</v>
      </c>
      <c r="T31" s="371">
        <f>VLOOKUP(C31,Theory!B34:R105,17,FALSE)</f>
        <v>0</v>
      </c>
      <c r="U31" s="371">
        <f>VLOOKUP(C31,Theory!B34:S105,18,FALSE)</f>
        <v>0</v>
      </c>
      <c r="V31" s="369">
        <f t="shared" si="8"/>
        <v>8</v>
      </c>
      <c r="W31" s="361">
        <f>VLOOKUP(C31,Theory!B34:T105,19,FALSE)</f>
        <v>0</v>
      </c>
      <c r="X31" s="361">
        <f>VLOOKUP(C31,Theory!B34:U105,20,FALSE)</f>
        <v>0</v>
      </c>
      <c r="Y31" s="361">
        <f>VLOOKUP(C31,Theory!B34:V105,21,FALSE)</f>
        <v>0</v>
      </c>
      <c r="Z31" s="361">
        <f>VLOOKUP(C31,Theory!B34:W105,22,FALSE)</f>
        <v>0</v>
      </c>
      <c r="AA31" s="370">
        <f>VLOOKUP(C31,Theory!B34:X105,23,FALSE)</f>
        <v>9</v>
      </c>
      <c r="AB31" s="370">
        <f>VLOOKUP(C31,Theory!B34:Y105,24,FALSE)</f>
        <v>0</v>
      </c>
      <c r="AC31" s="370">
        <f>VLOOKUP(C31,Theory!B34:Z105,25,FALSE)</f>
        <v>0</v>
      </c>
      <c r="AD31" s="370">
        <f>VLOOKUP(C31,Theory!B34:AA105,26,FALSE)</f>
        <v>0</v>
      </c>
      <c r="AE31" s="369">
        <f t="shared" si="9"/>
        <v>9</v>
      </c>
      <c r="AF31" s="361">
        <f>VLOOKUP(C31,Theory!B34:AB105,27,FALSE)</f>
        <v>0</v>
      </c>
      <c r="AG31" s="361">
        <f>VLOOKUP(C31,Theory!B34:AC105,28,FALSE)</f>
        <v>0</v>
      </c>
      <c r="AH31" s="361">
        <f>VLOOKUP(C31,Theory!B34:AD105,29,FALSE)</f>
        <v>0</v>
      </c>
      <c r="AI31" s="361">
        <f>VLOOKUP(C31,Theory!B34:AE105,30,FALSE)</f>
        <v>0</v>
      </c>
      <c r="AJ31" s="380">
        <f>VLOOKUP(C31,Theory!B34:AF105,31,FALSE)</f>
        <v>5</v>
      </c>
      <c r="AK31" s="380">
        <f>VLOOKUP(C31,Theory!B34:AG105,32,FALSE)</f>
        <v>0</v>
      </c>
      <c r="AL31" s="380">
        <f>VLOOKUP(C31,Theory!B34:AH105,33,FALSE)</f>
        <v>0</v>
      </c>
      <c r="AM31" s="380">
        <f>VLOOKUP(C31,Theory!B34:AI105,34,FALSE)</f>
        <v>0</v>
      </c>
      <c r="AN31" s="369">
        <f t="shared" si="10"/>
        <v>5</v>
      </c>
      <c r="AO31" s="385">
        <f t="shared" si="0"/>
        <v>37</v>
      </c>
      <c r="AP31" s="386">
        <f>VLOOKUP(C31,Theory!B34:AJ105,35,FALSE)</f>
        <v>0</v>
      </c>
      <c r="AQ31" s="386">
        <f>VLOOKUP(C31,Theory!B34:AK105,36,FALSE)</f>
        <v>0</v>
      </c>
      <c r="AR31" s="386">
        <f>VLOOKUP(C31,Theory!B34:AL105,37,FALSE)</f>
        <v>0</v>
      </c>
      <c r="AS31" s="386">
        <f>VLOOKUP(C31,Theory!B34:AM105,38,FALSE)</f>
        <v>0</v>
      </c>
      <c r="AT31" s="369">
        <f t="shared" si="11"/>
        <v>0</v>
      </c>
      <c r="AU31" s="386">
        <f>VLOOKUP(C31,Theory!B34:AN105,39,FALSE)</f>
        <v>9</v>
      </c>
      <c r="AV31" s="386">
        <f>VLOOKUP(C31,Theory!B34:AO105,40,FALSE)</f>
        <v>0</v>
      </c>
      <c r="AW31" s="386">
        <f>VLOOKUP(C31,Theory!B34:AP105,41,FALSE)</f>
        <v>0</v>
      </c>
      <c r="AX31" s="386">
        <f>VLOOKUP(C31,Theory!B34:AQ105,42,FALSE)</f>
        <v>0</v>
      </c>
      <c r="AY31" s="369">
        <f t="shared" si="12"/>
        <v>9</v>
      </c>
      <c r="AZ31" s="386">
        <f>VLOOKUP(C31,Theory!B34:AR105,43,FALSE)</f>
        <v>0</v>
      </c>
      <c r="BA31" s="386">
        <f>VLOOKUP(C31,Theory!B34:AS105,44,FALSE)</f>
        <v>0</v>
      </c>
      <c r="BB31" s="386">
        <f>VLOOKUP(C31,Theory!B34:AT105,45,FALSE)</f>
        <v>0</v>
      </c>
      <c r="BC31" s="386">
        <f>VLOOKUP(C31,Theory!B34:AU105,46,FALSE)</f>
        <v>0</v>
      </c>
      <c r="BD31" s="386">
        <f>VLOOKUP(C31,Theory!B34:AV105,47,FALSE)</f>
        <v>9</v>
      </c>
      <c r="BE31" s="386">
        <f>VLOOKUP(C31,Theory!B34:AW105,48,FALSE)</f>
        <v>0</v>
      </c>
      <c r="BF31" s="386">
        <f>VLOOKUP(C31,Theory!B34:AX105,49,FALSE)</f>
        <v>0</v>
      </c>
      <c r="BG31" s="386">
        <f>VLOOKUP(C31,Theory!B34:AY105,50,FALSE)</f>
        <v>0</v>
      </c>
      <c r="BH31" s="369">
        <f t="shared" si="13"/>
        <v>9</v>
      </c>
      <c r="BI31" s="386">
        <f>VLOOKUP(C31,Theory!B34:AZ105,51,FALSE)</f>
        <v>0</v>
      </c>
      <c r="BJ31" s="386">
        <f>VLOOKUP(C31,Theory!B34:BA105,52,FALSE)</f>
        <v>0</v>
      </c>
      <c r="BK31" s="386">
        <f>VLOOKUP(C31,Theory!B34:BB105,53,FALSE)</f>
        <v>0</v>
      </c>
      <c r="BL31" s="386">
        <f>VLOOKUP(C31,Theory!B34:BC105,54,FALSE)</f>
        <v>0</v>
      </c>
      <c r="BM31" s="386">
        <f>VLOOKUP(C31,Theory!B34:BD105,55,FALSE)</f>
        <v>4</v>
      </c>
      <c r="BN31" s="386">
        <f>VLOOKUP(C31,Theory!B34:BE105,56,FALSE)</f>
        <v>0</v>
      </c>
      <c r="BO31" s="386">
        <f>VLOOKUP(C31,Theory!B34:BF105,57,FALSE)</f>
        <v>0</v>
      </c>
      <c r="BP31" s="386">
        <f>VLOOKUP(C31,Theory!B34:BG105,58,FALSE)</f>
        <v>0</v>
      </c>
      <c r="BQ31" s="369">
        <f t="shared" si="14"/>
        <v>4</v>
      </c>
      <c r="BR31" s="386">
        <f>VLOOKUP(C31,Theory!B34:BH105,59,FALSE)</f>
        <v>0</v>
      </c>
      <c r="BS31" s="386">
        <f>VLOOKUP(C31,Theory!B34:BI105,60,FALSE)</f>
        <v>0</v>
      </c>
      <c r="BT31" s="386">
        <f>VLOOKUP(C31,Theory!B34:BJ105,61,FALSE)</f>
        <v>0</v>
      </c>
      <c r="BU31" s="386">
        <f>VLOOKUP(C31,Theory!B34:BK105,62,FALSE)</f>
        <v>0</v>
      </c>
      <c r="BV31" s="386">
        <f>VLOOKUP(C31,Theory!B34:BL105,63,FALSE)</f>
        <v>4</v>
      </c>
      <c r="BW31" s="386">
        <f>VLOOKUP(C31,Theory!B34:BM105,64,FALSE)</f>
        <v>0</v>
      </c>
      <c r="BX31" s="386">
        <f>VLOOKUP(C31,Theory!B34:BN105,65,FALSE)</f>
        <v>0</v>
      </c>
      <c r="BY31" s="386">
        <f>VLOOKUP(C31,Theory!B34:BO105,66,FALSE)</f>
        <v>0</v>
      </c>
      <c r="BZ31" s="369">
        <f t="shared" si="15"/>
        <v>4</v>
      </c>
      <c r="CA31" s="385">
        <f t="shared" si="1"/>
        <v>26</v>
      </c>
      <c r="CB31" s="386">
        <f>VLOOKUP(C31,Theory!B34:BP105,67,FALSE)</f>
        <v>10</v>
      </c>
      <c r="CC31" s="386">
        <f>VLOOKUP(C31,Theory!B34:BQ105,68,FALSE)</f>
        <v>0</v>
      </c>
      <c r="CD31" s="386">
        <f>VLOOKUP(C31,Theory!B34:BR105,69,FALSE)</f>
        <v>0</v>
      </c>
      <c r="CE31" s="386">
        <f>VLOOKUP(C31,Theory!B34:BS105,70,FALSE)</f>
        <v>0</v>
      </c>
      <c r="CF31" s="369">
        <f t="shared" si="16"/>
        <v>10</v>
      </c>
      <c r="CG31" s="399">
        <f>VLOOKUP(C31,Theory!B34:BT105,71,FALSE)</f>
        <v>9</v>
      </c>
      <c r="CH31" s="399">
        <f>VLOOKUP(C31,Theory!B34:BU105,72,FALSE)</f>
        <v>0</v>
      </c>
      <c r="CI31" s="399">
        <f>VLOOKUP(C31,Theory!B34:BV105,73,FALSE)</f>
        <v>0</v>
      </c>
      <c r="CJ31" s="399">
        <f>VLOOKUP(C31,Theory!B34:BW105,74,FALSE)</f>
        <v>0</v>
      </c>
      <c r="CK31" s="369">
        <f t="shared" si="17"/>
        <v>9</v>
      </c>
      <c r="CL31" s="386">
        <f>VLOOKUP(C31,Theory!B34:BX105,75,FALSE)</f>
        <v>0</v>
      </c>
      <c r="CM31" s="400">
        <f>VLOOKUP(C31,Theory!B34:BY105,76,FALSE)</f>
        <v>0</v>
      </c>
      <c r="CN31" s="400">
        <f>VLOOKUP(C31,Theory!B34:BZ105,77,FALSE)</f>
        <v>0</v>
      </c>
      <c r="CO31" s="400">
        <f>VLOOKUP(C31,Theory!B34:CA105,78,FALSE)</f>
        <v>0</v>
      </c>
      <c r="CP31" s="386">
        <f>VLOOKUP(C31,Theory!B34:CB105,79,FALSE)</f>
        <v>9</v>
      </c>
      <c r="CQ31" s="386">
        <f>VLOOKUP(C31,Theory!B34:CC105,80,FALSE)</f>
        <v>0</v>
      </c>
      <c r="CR31" s="386">
        <f>VLOOKUP(C31,Theory!B34:CD105,81,FALSE)</f>
        <v>0</v>
      </c>
      <c r="CS31" s="386">
        <f>VLOOKUP(C31,Theory!B34:CE105,82,FALSE)</f>
        <v>0</v>
      </c>
      <c r="CT31" s="369">
        <f t="shared" si="18"/>
        <v>9</v>
      </c>
      <c r="CU31" s="399">
        <f>VLOOKUP(C31,Theory!B34:CF105,83,FALSE)</f>
        <v>7</v>
      </c>
      <c r="CV31" s="400">
        <f>VLOOKUP(C31,Theory!B34:CG105,84,FALSE)</f>
        <v>0</v>
      </c>
      <c r="CW31" s="400">
        <f>VLOOKUP(C31,Theory!B34:CH105,85,FALSE)</f>
        <v>0</v>
      </c>
      <c r="CX31" s="400">
        <f>VLOOKUP(C31,Theory!B34:CI105,86,FALSE)</f>
        <v>0</v>
      </c>
      <c r="CY31" s="399">
        <f>VLOOKUP(C31,Theory!B34:CJ105,87,FALSE)</f>
        <v>0</v>
      </c>
      <c r="CZ31" s="399">
        <f>VLOOKUP(C31,Theory!B34:CK105,88,FALSE)</f>
        <v>0</v>
      </c>
      <c r="DA31" s="399">
        <f>VLOOKUP(C31,Theory!B34:CL105,89,FALSE)</f>
        <v>0</v>
      </c>
      <c r="DB31" s="399">
        <f>VLOOKUP(C31,Theory!B34:CM105,90,FALSE)</f>
        <v>0</v>
      </c>
      <c r="DC31" s="369">
        <f t="shared" si="19"/>
        <v>7</v>
      </c>
      <c r="DD31" s="386">
        <f>VLOOKUP(C31,Theory!B34:CN105,91,FALSE)</f>
        <v>0</v>
      </c>
      <c r="DE31" s="400">
        <f>VLOOKUP(C31,Theory!B34:CO105,92,FALSE)</f>
        <v>0</v>
      </c>
      <c r="DF31" s="400">
        <f>VLOOKUP(C31,Theory!B34:CP105,93,FALSE)</f>
        <v>0</v>
      </c>
      <c r="DG31" s="400">
        <f>VLOOKUP(C31,Theory!B34:CQ105,94,FALSE)</f>
        <v>0</v>
      </c>
      <c r="DH31" s="386">
        <f>VLOOKUP(C31,Theory!B34:CR105,95,FALSE)</f>
        <v>8</v>
      </c>
      <c r="DI31" s="386">
        <f>VLOOKUP(C31,Theory!B34:CS105,96,FALSE)</f>
        <v>0</v>
      </c>
      <c r="DJ31" s="386">
        <f>VLOOKUP(C31,Theory!B34:CT105,97,FALSE)</f>
        <v>0</v>
      </c>
      <c r="DK31" s="386">
        <f>VLOOKUP(C31,Theory!B34:CU105,98,FALSE)</f>
        <v>0</v>
      </c>
      <c r="DL31" s="369">
        <f t="shared" si="20"/>
        <v>8</v>
      </c>
      <c r="DM31" s="411">
        <f t="shared" si="2"/>
        <v>43</v>
      </c>
      <c r="DN31" s="413">
        <f t="shared" si="40"/>
        <v>37</v>
      </c>
      <c r="DO31" s="413">
        <f t="shared" si="41"/>
        <v>26</v>
      </c>
      <c r="DP31" s="413">
        <f t="shared" si="42"/>
        <v>43</v>
      </c>
      <c r="DQ31" s="418">
        <f t="shared" si="43"/>
        <v>22</v>
      </c>
      <c r="DR31" s="418">
        <f t="shared" si="44"/>
        <v>16</v>
      </c>
      <c r="DS31" s="418">
        <f t="shared" si="45"/>
        <v>26</v>
      </c>
      <c r="DT31" s="417">
        <f t="shared" si="36"/>
        <v>21</v>
      </c>
      <c r="DU31" s="423">
        <f>VLOOKUP(C31,Theory!B34:CV105,99,FALSE)</f>
        <v>8</v>
      </c>
      <c r="DV31" s="423">
        <f>VLOOKUP(C31,Theory!B34:CW105,100,FALSE)</f>
        <v>10</v>
      </c>
      <c r="DW31" s="424">
        <f t="shared" si="27"/>
        <v>18</v>
      </c>
      <c r="DX31" s="421">
        <f t="shared" si="3"/>
        <v>39</v>
      </c>
      <c r="DY31" s="430">
        <f t="shared" si="4"/>
        <v>23</v>
      </c>
      <c r="DZ31" s="431">
        <f>VLOOKUP(C31,Lab!B26:D95,3,FALSE)</f>
        <v>0</v>
      </c>
      <c r="EA31" s="432">
        <f>VLOOKUP(C31,Lab!B26:E95,4,FALSE)</f>
        <v>0</v>
      </c>
      <c r="EB31" s="432">
        <f>VLOOKUP(C31,Lab!B26:F95,5,FALSE)</f>
        <v>30</v>
      </c>
      <c r="EC31" s="422">
        <f t="shared" si="37"/>
        <v>30</v>
      </c>
      <c r="ED31" s="436">
        <f>VLOOKUP(C31,Lab!B26:G95,6,FALSE)</f>
        <v>0</v>
      </c>
      <c r="EE31" s="436">
        <f>VLOOKUP(C31,Lab!B26:H95,7,FALSE)</f>
        <v>0</v>
      </c>
      <c r="EF31" s="437">
        <v>20</v>
      </c>
      <c r="EG31" s="443">
        <f t="shared" si="38"/>
        <v>20</v>
      </c>
      <c r="EH31" s="444">
        <f t="shared" si="28"/>
        <v>50</v>
      </c>
      <c r="EI31" s="445">
        <f t="shared" si="29"/>
        <v>20</v>
      </c>
      <c r="EJ31" s="446">
        <f t="shared" si="5"/>
        <v>43</v>
      </c>
      <c r="EK31" s="449">
        <v>41.5</v>
      </c>
      <c r="EM31" s="450">
        <f>VLOOKUP(C31,Theory!B34:DK105,114,FALSE)</f>
        <v>0</v>
      </c>
      <c r="EN31" s="450">
        <f>VLOOKUP(C31,Theory!B34:DL105,115,FALSE)</f>
        <v>0</v>
      </c>
      <c r="EO31" s="450">
        <f>VLOOKUP(C31,Theory!B34:DM105,116,FALSE)</f>
        <v>0</v>
      </c>
      <c r="EP31" s="450">
        <f>VLOOKUP(C31,Theory!B34:DN103,117,FALSE)</f>
        <v>0</v>
      </c>
      <c r="EQ31" s="450">
        <f>VLOOKUP(C31,Theory!B34:DO103,118,FALSE)</f>
        <v>0</v>
      </c>
      <c r="ER31" s="451">
        <f>VLOOKUP(C31,Theory!B34:DP103,119,FALSE)</f>
        <v>0</v>
      </c>
      <c r="ES31" s="454">
        <f>VLOOKUP(C31,Theory!B34:DQ103,120,FALSE)</f>
        <v>0</v>
      </c>
      <c r="ET31" s="455">
        <f t="shared" si="39"/>
        <v>0</v>
      </c>
      <c r="EU31" s="456"/>
      <c r="EV31" s="456"/>
      <c r="EW31" s="456"/>
      <c r="EX31" s="456"/>
      <c r="EY31" s="456"/>
      <c r="EZ31" s="456"/>
      <c r="FA31" s="456"/>
      <c r="FB31" s="456"/>
      <c r="FC31" s="456"/>
      <c r="FD31" s="456"/>
    </row>
    <row r="32" ht="18.35" spans="1:160">
      <c r="A32" s="164">
        <v>19</v>
      </c>
      <c r="B32" s="289" t="str">
        <f>Theory!C35</f>
        <v>DEVARAJA KATTI</v>
      </c>
      <c r="C32" s="360" t="str">
        <f>Theory!B35</f>
        <v>1DS23AI020</v>
      </c>
      <c r="D32" s="361">
        <f>VLOOKUP(C32,Theory!B35:D106,3,FALSE)</f>
        <v>0</v>
      </c>
      <c r="E32" s="361">
        <f>VLOOKUP(C32,Theory!B35:E106,4,FALSE)</f>
        <v>0</v>
      </c>
      <c r="F32" s="361">
        <f>VLOOKUP(C32,Theory!B35:F106,5,FALSE)</f>
        <v>0</v>
      </c>
      <c r="G32" s="361">
        <f>VLOOKUP(C32,Theory!B35:G106,6,FALSE)</f>
        <v>0</v>
      </c>
      <c r="H32" s="369">
        <f t="shared" si="6"/>
        <v>0</v>
      </c>
      <c r="I32" s="370">
        <f>VLOOKUP(C32,Theory!B35:H106,7,FALSE)</f>
        <v>0</v>
      </c>
      <c r="J32" s="371">
        <f>VLOOKUP(C32,Theory!B35:I106,8,FALSE)</f>
        <v>0</v>
      </c>
      <c r="K32" s="371">
        <f>VLOOKUP(C32,Theory!B35:J106,9,FALSE)</f>
        <v>0</v>
      </c>
      <c r="L32" s="371">
        <f>VLOOKUP(C32,Theory!B35:K106,10,FALSE)</f>
        <v>0</v>
      </c>
      <c r="M32" s="369">
        <f t="shared" si="7"/>
        <v>0</v>
      </c>
      <c r="N32" s="373">
        <f>VLOOKUP(C32,Theory!B35:L106,11,FALSE)</f>
        <v>0</v>
      </c>
      <c r="O32" s="373">
        <f>VLOOKUP(C32,Theory!B35:M106,12,FALSE)</f>
        <v>0</v>
      </c>
      <c r="P32" s="373">
        <f>VLOOKUP(C32,Theory!B35:N106,13,FALSE)</f>
        <v>0</v>
      </c>
      <c r="Q32" s="373">
        <f>VLOOKUP(C32,Theory!B35:O106,14,FALSE)</f>
        <v>0</v>
      </c>
      <c r="R32" s="371">
        <f>VLOOKUP(C32,Theory!B35:P106,15,FALSE)</f>
        <v>6</v>
      </c>
      <c r="S32" s="371">
        <f>VLOOKUP(C32,Theory!B35:Q106,16,FALSE)</f>
        <v>0</v>
      </c>
      <c r="T32" s="371">
        <f>VLOOKUP(C32,Theory!B35:R106,17,FALSE)</f>
        <v>0</v>
      </c>
      <c r="U32" s="371">
        <f>VLOOKUP(C32,Theory!B35:S106,18,FALSE)</f>
        <v>0</v>
      </c>
      <c r="V32" s="369">
        <f t="shared" si="8"/>
        <v>6</v>
      </c>
      <c r="W32" s="361">
        <f>VLOOKUP(C32,Theory!B35:T106,19,FALSE)</f>
        <v>2</v>
      </c>
      <c r="X32" s="361">
        <f>VLOOKUP(C32,Theory!B35:U106,20,FALSE)</f>
        <v>0</v>
      </c>
      <c r="Y32" s="361">
        <f>VLOOKUP(C32,Theory!B35:V106,21,FALSE)</f>
        <v>0</v>
      </c>
      <c r="Z32" s="361">
        <f>VLOOKUP(C32,Theory!B35:W106,22,FALSE)</f>
        <v>0</v>
      </c>
      <c r="AA32" s="370">
        <f>VLOOKUP(C32,Theory!B35:X106,23,FALSE)</f>
        <v>0</v>
      </c>
      <c r="AB32" s="370">
        <f>VLOOKUP(C32,Theory!B35:Y106,24,FALSE)</f>
        <v>0</v>
      </c>
      <c r="AC32" s="370">
        <f>VLOOKUP(C32,Theory!B35:Z106,25,FALSE)</f>
        <v>0</v>
      </c>
      <c r="AD32" s="370">
        <f>VLOOKUP(C32,Theory!B35:AA106,26,FALSE)</f>
        <v>0</v>
      </c>
      <c r="AE32" s="369">
        <f t="shared" si="9"/>
        <v>2</v>
      </c>
      <c r="AF32" s="361">
        <f>VLOOKUP(C32,Theory!B35:AB106,27,FALSE)</f>
        <v>0</v>
      </c>
      <c r="AG32" s="361">
        <f>VLOOKUP(C32,Theory!B35:AC106,28,FALSE)</f>
        <v>0</v>
      </c>
      <c r="AH32" s="361">
        <f>VLOOKUP(C32,Theory!B35:AD106,29,FALSE)</f>
        <v>0</v>
      </c>
      <c r="AI32" s="361">
        <f>VLOOKUP(C32,Theory!B35:AE106,30,FALSE)</f>
        <v>0</v>
      </c>
      <c r="AJ32" s="380">
        <f>VLOOKUP(C32,Theory!B35:AF106,31,FALSE)</f>
        <v>3</v>
      </c>
      <c r="AK32" s="380">
        <f>VLOOKUP(C32,Theory!B35:AG106,32,FALSE)</f>
        <v>0</v>
      </c>
      <c r="AL32" s="380">
        <f>VLOOKUP(C32,Theory!B35:AH106,33,FALSE)</f>
        <v>0</v>
      </c>
      <c r="AM32" s="380">
        <f>VLOOKUP(C32,Theory!B35:AI106,34,FALSE)</f>
        <v>0</v>
      </c>
      <c r="AN32" s="369">
        <f t="shared" si="10"/>
        <v>3</v>
      </c>
      <c r="AO32" s="385">
        <f t="shared" si="0"/>
        <v>11</v>
      </c>
      <c r="AP32" s="386">
        <f>VLOOKUP(C32,Theory!B35:AJ106,35,FALSE)</f>
        <v>7</v>
      </c>
      <c r="AQ32" s="386">
        <f>VLOOKUP(C32,Theory!B35:AK106,36,FALSE)</f>
        <v>0</v>
      </c>
      <c r="AR32" s="386">
        <f>VLOOKUP(C32,Theory!B35:AL106,37,FALSE)</f>
        <v>0</v>
      </c>
      <c r="AS32" s="386">
        <f>VLOOKUP(C32,Theory!B35:AM106,38,FALSE)</f>
        <v>0</v>
      </c>
      <c r="AT32" s="369">
        <f t="shared" si="11"/>
        <v>7</v>
      </c>
      <c r="AU32" s="386">
        <f>VLOOKUP(C32,Theory!B35:AN106,39,FALSE)</f>
        <v>9</v>
      </c>
      <c r="AV32" s="386">
        <f>VLOOKUP(C32,Theory!B35:AO106,40,FALSE)</f>
        <v>0</v>
      </c>
      <c r="AW32" s="386">
        <f>VLOOKUP(C32,Theory!B35:AP106,41,FALSE)</f>
        <v>0</v>
      </c>
      <c r="AX32" s="386">
        <f>VLOOKUP(C32,Theory!B35:AQ106,42,FALSE)</f>
        <v>0</v>
      </c>
      <c r="AY32" s="369">
        <f t="shared" si="12"/>
        <v>9</v>
      </c>
      <c r="AZ32" s="386">
        <f>VLOOKUP(C32,Theory!B35:AR106,43,FALSE)</f>
        <v>0</v>
      </c>
      <c r="BA32" s="386">
        <f>VLOOKUP(C32,Theory!B35:AS106,44,FALSE)</f>
        <v>0</v>
      </c>
      <c r="BB32" s="386">
        <f>VLOOKUP(C32,Theory!B35:AT106,45,FALSE)</f>
        <v>0</v>
      </c>
      <c r="BC32" s="386">
        <f>VLOOKUP(C32,Theory!B35:AU106,46,FALSE)</f>
        <v>0</v>
      </c>
      <c r="BD32" s="386">
        <f>VLOOKUP(C32,Theory!B35:AV106,47,FALSE)</f>
        <v>8</v>
      </c>
      <c r="BE32" s="386">
        <f>VLOOKUP(C32,Theory!B35:AW106,48,FALSE)</f>
        <v>0</v>
      </c>
      <c r="BF32" s="386">
        <f>VLOOKUP(C32,Theory!B35:AX106,49,FALSE)</f>
        <v>0</v>
      </c>
      <c r="BG32" s="386">
        <f>VLOOKUP(C32,Theory!B35:AY106,50,FALSE)</f>
        <v>0</v>
      </c>
      <c r="BH32" s="369">
        <f t="shared" si="13"/>
        <v>8</v>
      </c>
      <c r="BI32" s="386">
        <f>VLOOKUP(C32,Theory!B35:AZ106,51,FALSE)</f>
        <v>6</v>
      </c>
      <c r="BJ32" s="386">
        <f>VLOOKUP(C32,Theory!B35:BA106,52,FALSE)</f>
        <v>0</v>
      </c>
      <c r="BK32" s="386">
        <f>VLOOKUP(C32,Theory!B35:BB106,53,FALSE)</f>
        <v>0</v>
      </c>
      <c r="BL32" s="386">
        <f>VLOOKUP(C32,Theory!B35:BC106,54,FALSE)</f>
        <v>0</v>
      </c>
      <c r="BM32" s="386">
        <f>VLOOKUP(C32,Theory!B35:BD106,55,FALSE)</f>
        <v>0</v>
      </c>
      <c r="BN32" s="386">
        <f>VLOOKUP(C32,Theory!B35:BE106,56,FALSE)</f>
        <v>0</v>
      </c>
      <c r="BO32" s="386">
        <f>VLOOKUP(C32,Theory!B35:BF106,57,FALSE)</f>
        <v>0</v>
      </c>
      <c r="BP32" s="386">
        <f>VLOOKUP(C32,Theory!B35:BG106,58,FALSE)</f>
        <v>0</v>
      </c>
      <c r="BQ32" s="369">
        <f t="shared" si="14"/>
        <v>6</v>
      </c>
      <c r="BR32" s="386">
        <f>VLOOKUP(C32,Theory!B35:BH106,59,FALSE)</f>
        <v>7</v>
      </c>
      <c r="BS32" s="386">
        <f>VLOOKUP(C32,Theory!B35:BI106,60,FALSE)</f>
        <v>0</v>
      </c>
      <c r="BT32" s="386">
        <f>VLOOKUP(C32,Theory!B35:BJ106,61,FALSE)</f>
        <v>0</v>
      </c>
      <c r="BU32" s="386">
        <f>VLOOKUP(C32,Theory!B35:BK106,62,FALSE)</f>
        <v>0</v>
      </c>
      <c r="BV32" s="386">
        <f>VLOOKUP(C32,Theory!B35:BL106,63,FALSE)</f>
        <v>0</v>
      </c>
      <c r="BW32" s="386">
        <f>VLOOKUP(C32,Theory!B35:BM106,64,FALSE)</f>
        <v>0</v>
      </c>
      <c r="BX32" s="386">
        <f>VLOOKUP(C32,Theory!B35:BN106,65,FALSE)</f>
        <v>0</v>
      </c>
      <c r="BY32" s="386">
        <f>VLOOKUP(C32,Theory!B35:BO106,66,FALSE)</f>
        <v>0</v>
      </c>
      <c r="BZ32" s="369">
        <f t="shared" si="15"/>
        <v>7</v>
      </c>
      <c r="CA32" s="385">
        <f t="shared" si="1"/>
        <v>37</v>
      </c>
      <c r="CB32" s="386">
        <f>VLOOKUP(C32,Theory!B35:BP106,67,FALSE)</f>
        <v>7</v>
      </c>
      <c r="CC32" s="386">
        <f>VLOOKUP(C32,Theory!B35:BQ106,68,FALSE)</f>
        <v>0</v>
      </c>
      <c r="CD32" s="386">
        <f>VLOOKUP(C32,Theory!B35:BR106,69,FALSE)</f>
        <v>0</v>
      </c>
      <c r="CE32" s="386">
        <f>VLOOKUP(C32,Theory!B35:BS106,70,FALSE)</f>
        <v>0</v>
      </c>
      <c r="CF32" s="369">
        <f t="shared" si="16"/>
        <v>7</v>
      </c>
      <c r="CG32" s="399">
        <f>VLOOKUP(C32,Theory!B35:BT106,71,FALSE)</f>
        <v>6</v>
      </c>
      <c r="CH32" s="399">
        <f>VLOOKUP(C32,Theory!B35:BU106,72,FALSE)</f>
        <v>0</v>
      </c>
      <c r="CI32" s="399">
        <f>VLOOKUP(C32,Theory!B35:BV106,73,FALSE)</f>
        <v>0</v>
      </c>
      <c r="CJ32" s="399">
        <f>VLOOKUP(C32,Theory!B35:BW106,74,FALSE)</f>
        <v>0</v>
      </c>
      <c r="CK32" s="369">
        <f t="shared" si="17"/>
        <v>6</v>
      </c>
      <c r="CL32" s="386">
        <f>VLOOKUP(C32,Theory!B35:BX106,75,FALSE)</f>
        <v>8</v>
      </c>
      <c r="CM32" s="400">
        <f>VLOOKUP(C32,Theory!B35:BY106,76,FALSE)</f>
        <v>0</v>
      </c>
      <c r="CN32" s="400">
        <f>VLOOKUP(C32,Theory!B35:BZ106,77,FALSE)</f>
        <v>0</v>
      </c>
      <c r="CO32" s="400">
        <f>VLOOKUP(C32,Theory!B35:CA106,78,FALSE)</f>
        <v>0</v>
      </c>
      <c r="CP32" s="386">
        <f>VLOOKUP(C32,Theory!B35:CB106,79,FALSE)</f>
        <v>0</v>
      </c>
      <c r="CQ32" s="386">
        <f>VLOOKUP(C32,Theory!B35:CC106,80,FALSE)</f>
        <v>0</v>
      </c>
      <c r="CR32" s="386">
        <f>VLOOKUP(C32,Theory!B35:CD106,81,FALSE)</f>
        <v>0</v>
      </c>
      <c r="CS32" s="386">
        <f>VLOOKUP(C32,Theory!B35:CE106,82,FALSE)</f>
        <v>0</v>
      </c>
      <c r="CT32" s="369">
        <f t="shared" si="18"/>
        <v>8</v>
      </c>
      <c r="CU32" s="399">
        <f>VLOOKUP(C32,Theory!B35:CF106,83,FALSE)</f>
        <v>8</v>
      </c>
      <c r="CV32" s="400">
        <f>VLOOKUP(C32,Theory!B35:CG106,84,FALSE)</f>
        <v>0</v>
      </c>
      <c r="CW32" s="400">
        <f>VLOOKUP(C32,Theory!B35:CH106,85,FALSE)</f>
        <v>0</v>
      </c>
      <c r="CX32" s="400">
        <f>VLOOKUP(C32,Theory!B35:CI106,86,FALSE)</f>
        <v>0</v>
      </c>
      <c r="CY32" s="399">
        <f>VLOOKUP(C32,Theory!B35:CJ106,87,FALSE)</f>
        <v>0</v>
      </c>
      <c r="CZ32" s="399">
        <f>VLOOKUP(C32,Theory!B35:CK106,88,FALSE)</f>
        <v>0</v>
      </c>
      <c r="DA32" s="399">
        <f>VLOOKUP(C32,Theory!B35:CL106,89,FALSE)</f>
        <v>0</v>
      </c>
      <c r="DB32" s="399">
        <f>VLOOKUP(C32,Theory!B35:CM106,90,FALSE)</f>
        <v>0</v>
      </c>
      <c r="DC32" s="369">
        <f t="shared" si="19"/>
        <v>8</v>
      </c>
      <c r="DD32" s="386">
        <f>VLOOKUP(C32,Theory!B35:CN106,91,FALSE)</f>
        <v>0</v>
      </c>
      <c r="DE32" s="400">
        <f>VLOOKUP(C32,Theory!B35:CO106,92,FALSE)</f>
        <v>0</v>
      </c>
      <c r="DF32" s="400">
        <f>VLOOKUP(C32,Theory!B35:CP106,93,FALSE)</f>
        <v>0</v>
      </c>
      <c r="DG32" s="400">
        <f>VLOOKUP(C32,Theory!B35:CQ106,94,FALSE)</f>
        <v>0</v>
      </c>
      <c r="DH32" s="386">
        <f>VLOOKUP(C32,Theory!B35:CR106,95,FALSE)</f>
        <v>5</v>
      </c>
      <c r="DI32" s="386">
        <f>VLOOKUP(C32,Theory!B35:CS106,96,FALSE)</f>
        <v>0</v>
      </c>
      <c r="DJ32" s="386">
        <f>VLOOKUP(C32,Theory!B35:CT106,97,FALSE)</f>
        <v>0</v>
      </c>
      <c r="DK32" s="386">
        <f>VLOOKUP(C32,Theory!B35:CU106,98,FALSE)</f>
        <v>0</v>
      </c>
      <c r="DL32" s="369">
        <f t="shared" si="20"/>
        <v>5</v>
      </c>
      <c r="DM32" s="411">
        <f t="shared" si="2"/>
        <v>34</v>
      </c>
      <c r="DN32" s="413">
        <f t="shared" si="40"/>
        <v>11</v>
      </c>
      <c r="DO32" s="413">
        <f t="shared" si="41"/>
        <v>37</v>
      </c>
      <c r="DP32" s="413">
        <f t="shared" si="42"/>
        <v>34</v>
      </c>
      <c r="DQ32" s="418">
        <f t="shared" si="43"/>
        <v>7</v>
      </c>
      <c r="DR32" s="418">
        <f t="shared" si="44"/>
        <v>22</v>
      </c>
      <c r="DS32" s="418">
        <f t="shared" si="45"/>
        <v>20</v>
      </c>
      <c r="DT32" s="417">
        <f t="shared" si="36"/>
        <v>16</v>
      </c>
      <c r="DU32" s="423">
        <f>VLOOKUP(C32,Theory!B35:CV106,99,FALSE)</f>
        <v>8</v>
      </c>
      <c r="DV32" s="423">
        <f>VLOOKUP(C32,Theory!B35:CW106,100,FALSE)</f>
        <v>10</v>
      </c>
      <c r="DW32" s="424">
        <f t="shared" si="27"/>
        <v>18</v>
      </c>
      <c r="DX32" s="421">
        <f t="shared" si="3"/>
        <v>34</v>
      </c>
      <c r="DY32" s="430">
        <f t="shared" si="4"/>
        <v>20</v>
      </c>
      <c r="DZ32" s="431">
        <f>VLOOKUP(C32,Lab!B27:D96,3,FALSE)</f>
        <v>0</v>
      </c>
      <c r="EA32" s="432">
        <f>VLOOKUP(C32,Lab!B27:E96,4,FALSE)</f>
        <v>0</v>
      </c>
      <c r="EB32" s="432">
        <f>VLOOKUP(C32,Lab!B27:F96,5,FALSE)</f>
        <v>28</v>
      </c>
      <c r="EC32" s="422">
        <f t="shared" si="37"/>
        <v>28</v>
      </c>
      <c r="ED32" s="436">
        <f>VLOOKUP(C32,Lab!B27:G96,6,FALSE)</f>
        <v>0</v>
      </c>
      <c r="EE32" s="436">
        <f>VLOOKUP(C32,Lab!B27:H96,7,FALSE)</f>
        <v>0</v>
      </c>
      <c r="EF32" s="437">
        <v>19</v>
      </c>
      <c r="EG32" s="443">
        <f t="shared" si="38"/>
        <v>19</v>
      </c>
      <c r="EH32" s="444">
        <f t="shared" si="28"/>
        <v>47</v>
      </c>
      <c r="EI32" s="445">
        <f t="shared" si="29"/>
        <v>19</v>
      </c>
      <c r="EJ32" s="446">
        <f t="shared" si="5"/>
        <v>39</v>
      </c>
      <c r="EK32" s="449">
        <v>40</v>
      </c>
      <c r="EM32" s="450">
        <f>VLOOKUP(C32,Theory!B35:DK106,114,FALSE)</f>
        <v>0</v>
      </c>
      <c r="EN32" s="450">
        <f>VLOOKUP(C32,Theory!B35:DL106,115,FALSE)</f>
        <v>0</v>
      </c>
      <c r="EO32" s="450">
        <f>VLOOKUP(C32,Theory!B35:DM106,116,FALSE)</f>
        <v>0</v>
      </c>
      <c r="EP32" s="450">
        <f>VLOOKUP(C32,Theory!B35:DN104,117,FALSE)</f>
        <v>0</v>
      </c>
      <c r="EQ32" s="450">
        <f>VLOOKUP(C32,Theory!B35:DO104,118,FALSE)</f>
        <v>0</v>
      </c>
      <c r="ER32" s="451">
        <f>VLOOKUP(C32,Theory!B35:DP104,119,FALSE)</f>
        <v>0</v>
      </c>
      <c r="ES32" s="454">
        <f>VLOOKUP(C32,Theory!B35:DQ104,120,FALSE)</f>
        <v>0</v>
      </c>
      <c r="ET32" s="455">
        <f t="shared" si="39"/>
        <v>0</v>
      </c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</row>
    <row r="33" ht="34.75" spans="1:160">
      <c r="A33" s="164">
        <v>20</v>
      </c>
      <c r="B33" s="289" t="str">
        <f>Theory!C36</f>
        <v>DILEEP KARABASAPPA HONNATTER</v>
      </c>
      <c r="C33" s="360" t="str">
        <f>Theory!B36</f>
        <v>1DS23AI021</v>
      </c>
      <c r="D33" s="361">
        <f>VLOOKUP(C33,Theory!B36:D107,3,FALSE)</f>
        <v>7</v>
      </c>
      <c r="E33" s="361">
        <f>VLOOKUP(C33,Theory!B36:E107,4,FALSE)</f>
        <v>0</v>
      </c>
      <c r="F33" s="361">
        <f>VLOOKUP(C33,Theory!B36:F107,5,FALSE)</f>
        <v>0</v>
      </c>
      <c r="G33" s="361">
        <f>VLOOKUP(C33,Theory!B36:G107,6,FALSE)</f>
        <v>0</v>
      </c>
      <c r="H33" s="369">
        <f t="shared" si="6"/>
        <v>7</v>
      </c>
      <c r="I33" s="370">
        <f>VLOOKUP(C33,Theory!B36:H107,7,FALSE)</f>
        <v>0</v>
      </c>
      <c r="J33" s="371">
        <f>VLOOKUP(C33,Theory!B36:I107,8,FALSE)</f>
        <v>0</v>
      </c>
      <c r="K33" s="371">
        <f>VLOOKUP(C33,Theory!B36:J107,9,FALSE)</f>
        <v>0</v>
      </c>
      <c r="L33" s="371">
        <f>VLOOKUP(C33,Theory!B36:K107,10,FALSE)</f>
        <v>0</v>
      </c>
      <c r="M33" s="369">
        <f t="shared" si="7"/>
        <v>0</v>
      </c>
      <c r="N33" s="373">
        <f>VLOOKUP(C33,Theory!B36:L107,11,FALSE)</f>
        <v>4</v>
      </c>
      <c r="O33" s="373">
        <f>VLOOKUP(C33,Theory!B36:M107,12,FALSE)</f>
        <v>0</v>
      </c>
      <c r="P33" s="373">
        <f>VLOOKUP(C33,Theory!B36:N107,13,FALSE)</f>
        <v>0</v>
      </c>
      <c r="Q33" s="373">
        <f>VLOOKUP(C33,Theory!B36:O107,14,FALSE)</f>
        <v>0</v>
      </c>
      <c r="R33" s="371">
        <f>VLOOKUP(C33,Theory!B36:P107,15,FALSE)</f>
        <v>0</v>
      </c>
      <c r="S33" s="371">
        <f>VLOOKUP(C33,Theory!B36:Q107,16,FALSE)</f>
        <v>0</v>
      </c>
      <c r="T33" s="371">
        <f>VLOOKUP(C33,Theory!B36:R107,17,FALSE)</f>
        <v>0</v>
      </c>
      <c r="U33" s="371">
        <f>VLOOKUP(C33,Theory!B36:S107,18,FALSE)</f>
        <v>0</v>
      </c>
      <c r="V33" s="369">
        <f t="shared" si="8"/>
        <v>4</v>
      </c>
      <c r="W33" s="361">
        <f>VLOOKUP(C33,Theory!B36:T107,19,FALSE)</f>
        <v>0</v>
      </c>
      <c r="X33" s="361">
        <f>VLOOKUP(C33,Theory!B36:U107,20,FALSE)</f>
        <v>0</v>
      </c>
      <c r="Y33" s="361">
        <f>VLOOKUP(C33,Theory!B36:V107,21,FALSE)</f>
        <v>0</v>
      </c>
      <c r="Z33" s="361">
        <f>VLOOKUP(C33,Theory!B36:W107,22,FALSE)</f>
        <v>0</v>
      </c>
      <c r="AA33" s="370">
        <f>VLOOKUP(C33,Theory!B36:X107,23,FALSE)</f>
        <v>0</v>
      </c>
      <c r="AB33" s="370">
        <f>VLOOKUP(C33,Theory!B36:Y107,24,FALSE)</f>
        <v>0</v>
      </c>
      <c r="AC33" s="370">
        <f>VLOOKUP(C33,Theory!B36:Z107,25,FALSE)</f>
        <v>0</v>
      </c>
      <c r="AD33" s="370">
        <f>VLOOKUP(C33,Theory!B36:AA107,26,FALSE)</f>
        <v>0</v>
      </c>
      <c r="AE33" s="369">
        <f t="shared" si="9"/>
        <v>0</v>
      </c>
      <c r="AF33" s="361">
        <f>VLOOKUP(C33,Theory!B36:AB107,27,FALSE)</f>
        <v>0</v>
      </c>
      <c r="AG33" s="361">
        <f>VLOOKUP(C33,Theory!B36:AC107,28,FALSE)</f>
        <v>0</v>
      </c>
      <c r="AH33" s="361">
        <f>VLOOKUP(C33,Theory!B36:AD107,29,FALSE)</f>
        <v>0</v>
      </c>
      <c r="AI33" s="361">
        <f>VLOOKUP(C33,Theory!B36:AE107,30,FALSE)</f>
        <v>0</v>
      </c>
      <c r="AJ33" s="380">
        <f>VLOOKUP(C33,Theory!B36:AF107,31,FALSE)</f>
        <v>1</v>
      </c>
      <c r="AK33" s="380">
        <f>VLOOKUP(C33,Theory!B36:AG107,32,FALSE)</f>
        <v>0</v>
      </c>
      <c r="AL33" s="380">
        <f>VLOOKUP(C33,Theory!B36:AH107,33,FALSE)</f>
        <v>0</v>
      </c>
      <c r="AM33" s="380">
        <f>VLOOKUP(C33,Theory!B36:AI107,34,FALSE)</f>
        <v>0</v>
      </c>
      <c r="AN33" s="369">
        <f t="shared" si="10"/>
        <v>1</v>
      </c>
      <c r="AO33" s="385">
        <f t="shared" si="0"/>
        <v>12</v>
      </c>
      <c r="AP33" s="386">
        <f>VLOOKUP(C33,Theory!B36:AJ107,35,FALSE)</f>
        <v>0</v>
      </c>
      <c r="AQ33" s="386">
        <f>VLOOKUP(C33,Theory!B36:AK107,36,FALSE)</f>
        <v>0</v>
      </c>
      <c r="AR33" s="386">
        <f>VLOOKUP(C33,Theory!B36:AL107,37,FALSE)</f>
        <v>0</v>
      </c>
      <c r="AS33" s="386">
        <f>VLOOKUP(C33,Theory!B36:AM107,38,FALSE)</f>
        <v>0</v>
      </c>
      <c r="AT33" s="369">
        <f t="shared" si="11"/>
        <v>0</v>
      </c>
      <c r="AU33" s="386">
        <f>VLOOKUP(C33,Theory!B36:AN107,39,FALSE)</f>
        <v>2</v>
      </c>
      <c r="AV33" s="386">
        <f>VLOOKUP(C33,Theory!B36:AO107,40,FALSE)</f>
        <v>0</v>
      </c>
      <c r="AW33" s="386">
        <f>VLOOKUP(C33,Theory!B36:AP107,41,FALSE)</f>
        <v>0</v>
      </c>
      <c r="AX33" s="386">
        <f>VLOOKUP(C33,Theory!B36:AQ107,42,FALSE)</f>
        <v>0</v>
      </c>
      <c r="AY33" s="369">
        <f t="shared" si="12"/>
        <v>2</v>
      </c>
      <c r="AZ33" s="386">
        <f>VLOOKUP(C33,Theory!B36:AR107,43,FALSE)</f>
        <v>0</v>
      </c>
      <c r="BA33" s="386">
        <f>VLOOKUP(C33,Theory!B36:AS107,44,FALSE)</f>
        <v>0</v>
      </c>
      <c r="BB33" s="386">
        <f>VLOOKUP(C33,Theory!B36:AT107,45,FALSE)</f>
        <v>0</v>
      </c>
      <c r="BC33" s="386">
        <f>VLOOKUP(C33,Theory!B36:AU107,46,FALSE)</f>
        <v>0</v>
      </c>
      <c r="BD33" s="386">
        <f>VLOOKUP(C33,Theory!B36:AV107,47,FALSE)</f>
        <v>6</v>
      </c>
      <c r="BE33" s="386">
        <f>VLOOKUP(C33,Theory!B36:AW107,48,FALSE)</f>
        <v>0</v>
      </c>
      <c r="BF33" s="386">
        <f>VLOOKUP(C33,Theory!B36:AX107,49,FALSE)</f>
        <v>0</v>
      </c>
      <c r="BG33" s="386">
        <f>VLOOKUP(C33,Theory!B36:AY107,50,FALSE)</f>
        <v>0</v>
      </c>
      <c r="BH33" s="369">
        <f t="shared" si="13"/>
        <v>6</v>
      </c>
      <c r="BI33" s="386">
        <f>VLOOKUP(C33,Theory!B36:AZ107,51,FALSE)</f>
        <v>0</v>
      </c>
      <c r="BJ33" s="386">
        <f>VLOOKUP(C33,Theory!B36:BA107,52,FALSE)</f>
        <v>0</v>
      </c>
      <c r="BK33" s="386">
        <f>VLOOKUP(C33,Theory!B36:BB107,53,FALSE)</f>
        <v>0</v>
      </c>
      <c r="BL33" s="386">
        <f>VLOOKUP(C33,Theory!B36:BC107,54,FALSE)</f>
        <v>0</v>
      </c>
      <c r="BM33" s="386">
        <f>VLOOKUP(C33,Theory!B36:BD107,55,FALSE)</f>
        <v>0</v>
      </c>
      <c r="BN33" s="386">
        <f>VLOOKUP(C33,Theory!B36:BE107,56,FALSE)</f>
        <v>0</v>
      </c>
      <c r="BO33" s="386">
        <f>VLOOKUP(C33,Theory!B36:BF107,57,FALSE)</f>
        <v>0</v>
      </c>
      <c r="BP33" s="386">
        <f>VLOOKUP(C33,Theory!B36:BG107,58,FALSE)</f>
        <v>0</v>
      </c>
      <c r="BQ33" s="369">
        <f t="shared" si="14"/>
        <v>0</v>
      </c>
      <c r="BR33" s="386">
        <f>VLOOKUP(C33,Theory!B36:BH107,59,FALSE)</f>
        <v>2</v>
      </c>
      <c r="BS33" s="386">
        <f>VLOOKUP(C33,Theory!B36:BI107,60,FALSE)</f>
        <v>0</v>
      </c>
      <c r="BT33" s="386">
        <f>VLOOKUP(C33,Theory!B36:BJ107,61,FALSE)</f>
        <v>0</v>
      </c>
      <c r="BU33" s="386">
        <f>VLOOKUP(C33,Theory!B36:BK107,62,FALSE)</f>
        <v>0</v>
      </c>
      <c r="BV33" s="386">
        <f>VLOOKUP(C33,Theory!B36:BL107,63,FALSE)</f>
        <v>0</v>
      </c>
      <c r="BW33" s="386">
        <f>VLOOKUP(C33,Theory!B36:BM107,64,FALSE)</f>
        <v>0</v>
      </c>
      <c r="BX33" s="386">
        <f>VLOOKUP(C33,Theory!B36:BN107,65,FALSE)</f>
        <v>0</v>
      </c>
      <c r="BY33" s="386">
        <f>VLOOKUP(C33,Theory!B36:BO107,66,FALSE)</f>
        <v>0</v>
      </c>
      <c r="BZ33" s="369">
        <f t="shared" si="15"/>
        <v>2</v>
      </c>
      <c r="CA33" s="385">
        <f t="shared" si="1"/>
        <v>10</v>
      </c>
      <c r="CB33" s="386">
        <f>VLOOKUP(C33,Theory!B36:BP107,67,FALSE)</f>
        <v>7</v>
      </c>
      <c r="CC33" s="386">
        <f>VLOOKUP(C33,Theory!B36:BQ107,68,FALSE)</f>
        <v>0</v>
      </c>
      <c r="CD33" s="386">
        <f>VLOOKUP(C33,Theory!B36:BR107,69,FALSE)</f>
        <v>0</v>
      </c>
      <c r="CE33" s="386">
        <f>VLOOKUP(C33,Theory!B36:BS107,70,FALSE)</f>
        <v>0</v>
      </c>
      <c r="CF33" s="369">
        <f t="shared" si="16"/>
        <v>7</v>
      </c>
      <c r="CG33" s="399">
        <f>VLOOKUP(C33,Theory!B36:BT107,71,FALSE)</f>
        <v>6</v>
      </c>
      <c r="CH33" s="399">
        <f>VLOOKUP(C33,Theory!B36:BU107,72,FALSE)</f>
        <v>0</v>
      </c>
      <c r="CI33" s="399">
        <f>VLOOKUP(C33,Theory!B36:BV107,73,FALSE)</f>
        <v>0</v>
      </c>
      <c r="CJ33" s="399">
        <f>VLOOKUP(C33,Theory!B36:BW107,74,FALSE)</f>
        <v>0</v>
      </c>
      <c r="CK33" s="369">
        <f t="shared" si="17"/>
        <v>6</v>
      </c>
      <c r="CL33" s="386">
        <f>VLOOKUP(C33,Theory!B36:BX107,75,FALSE)</f>
        <v>8</v>
      </c>
      <c r="CM33" s="400">
        <f>VLOOKUP(C33,Theory!B36:BY107,76,FALSE)</f>
        <v>0</v>
      </c>
      <c r="CN33" s="400">
        <f>VLOOKUP(C33,Theory!B36:BZ107,77,FALSE)</f>
        <v>0</v>
      </c>
      <c r="CO33" s="400">
        <f>VLOOKUP(C33,Theory!B36:CA107,78,FALSE)</f>
        <v>0</v>
      </c>
      <c r="CP33" s="386">
        <f>VLOOKUP(C33,Theory!B36:CB107,79,FALSE)</f>
        <v>0</v>
      </c>
      <c r="CQ33" s="386">
        <f>VLOOKUP(C33,Theory!B36:CC107,80,FALSE)</f>
        <v>0</v>
      </c>
      <c r="CR33" s="386">
        <f>VLOOKUP(C33,Theory!B36:CD107,81,FALSE)</f>
        <v>0</v>
      </c>
      <c r="CS33" s="386">
        <f>VLOOKUP(C33,Theory!B36:CE107,82,FALSE)</f>
        <v>0</v>
      </c>
      <c r="CT33" s="369">
        <f t="shared" si="18"/>
        <v>8</v>
      </c>
      <c r="CU33" s="399">
        <f>VLOOKUP(C33,Theory!B36:CF107,83,FALSE)</f>
        <v>6</v>
      </c>
      <c r="CV33" s="400">
        <f>VLOOKUP(C33,Theory!B36:CG107,84,FALSE)</f>
        <v>0</v>
      </c>
      <c r="CW33" s="400">
        <f>VLOOKUP(C33,Theory!B36:CH107,85,FALSE)</f>
        <v>0</v>
      </c>
      <c r="CX33" s="400">
        <f>VLOOKUP(C33,Theory!B36:CI107,86,FALSE)</f>
        <v>0</v>
      </c>
      <c r="CY33" s="399">
        <f>VLOOKUP(C33,Theory!B36:CJ107,87,FALSE)</f>
        <v>0</v>
      </c>
      <c r="CZ33" s="399">
        <f>VLOOKUP(C33,Theory!B36:CK107,88,FALSE)</f>
        <v>0</v>
      </c>
      <c r="DA33" s="399">
        <f>VLOOKUP(C33,Theory!B36:CL107,89,FALSE)</f>
        <v>0</v>
      </c>
      <c r="DB33" s="399">
        <f>VLOOKUP(C33,Theory!B36:CM107,90,FALSE)</f>
        <v>0</v>
      </c>
      <c r="DC33" s="369">
        <f t="shared" si="19"/>
        <v>6</v>
      </c>
      <c r="DD33" s="386">
        <f>VLOOKUP(C33,Theory!B36:CN107,91,FALSE)</f>
        <v>6</v>
      </c>
      <c r="DE33" s="400">
        <f>VLOOKUP(C33,Theory!B36:CO107,92,FALSE)</f>
        <v>0</v>
      </c>
      <c r="DF33" s="400">
        <f>VLOOKUP(C33,Theory!B36:CP107,93,FALSE)</f>
        <v>0</v>
      </c>
      <c r="DG33" s="400">
        <f>VLOOKUP(C33,Theory!B36:CQ107,94,FALSE)</f>
        <v>0</v>
      </c>
      <c r="DH33" s="386">
        <f>VLOOKUP(C33,Theory!B36:CR107,95,FALSE)</f>
        <v>0</v>
      </c>
      <c r="DI33" s="386">
        <f>VLOOKUP(C33,Theory!B36:CS107,96,FALSE)</f>
        <v>0</v>
      </c>
      <c r="DJ33" s="386">
        <f>VLOOKUP(C33,Theory!B36:CT107,97,FALSE)</f>
        <v>0</v>
      </c>
      <c r="DK33" s="386">
        <f>VLOOKUP(C33,Theory!B36:CU107,98,FALSE)</f>
        <v>0</v>
      </c>
      <c r="DL33" s="369">
        <f t="shared" si="20"/>
        <v>6</v>
      </c>
      <c r="DM33" s="411">
        <f t="shared" si="2"/>
        <v>33</v>
      </c>
      <c r="DN33" s="413">
        <f t="shared" si="40"/>
        <v>12</v>
      </c>
      <c r="DO33" s="413">
        <f t="shared" si="41"/>
        <v>10</v>
      </c>
      <c r="DP33" s="413">
        <f t="shared" si="42"/>
        <v>33</v>
      </c>
      <c r="DQ33" s="418">
        <f t="shared" si="43"/>
        <v>7</v>
      </c>
      <c r="DR33" s="418">
        <f t="shared" si="44"/>
        <v>6</v>
      </c>
      <c r="DS33" s="418">
        <f t="shared" si="45"/>
        <v>20</v>
      </c>
      <c r="DT33" s="417">
        <f t="shared" si="36"/>
        <v>11</v>
      </c>
      <c r="DU33" s="423">
        <f>VLOOKUP(C33,Theory!B36:CV107,99,FALSE)</f>
        <v>6</v>
      </c>
      <c r="DV33" s="423">
        <f>VLOOKUP(C33,Theory!B36:CW107,100,FALSE)</f>
        <v>10</v>
      </c>
      <c r="DW33" s="424">
        <f t="shared" si="27"/>
        <v>16</v>
      </c>
      <c r="DX33" s="421">
        <f t="shared" si="3"/>
        <v>27</v>
      </c>
      <c r="DY33" s="430">
        <f t="shared" si="4"/>
        <v>16</v>
      </c>
      <c r="DZ33" s="431">
        <f>VLOOKUP(C33,Lab!B28:D97,3,FALSE)</f>
        <v>0</v>
      </c>
      <c r="EA33" s="432">
        <f>VLOOKUP(C33,Lab!B28:E97,4,FALSE)</f>
        <v>0</v>
      </c>
      <c r="EB33" s="432">
        <f>VLOOKUP(C33,Lab!B28:F97,5,FALSE)</f>
        <v>25</v>
      </c>
      <c r="EC33" s="422">
        <f t="shared" si="37"/>
        <v>25</v>
      </c>
      <c r="ED33" s="436">
        <f>VLOOKUP(C33,Lab!B28:G97,6,FALSE)</f>
        <v>0</v>
      </c>
      <c r="EE33" s="436">
        <f>VLOOKUP(C33,Lab!B28:H97,7,FALSE)</f>
        <v>0</v>
      </c>
      <c r="EF33" s="437">
        <v>16</v>
      </c>
      <c r="EG33" s="443">
        <f t="shared" si="38"/>
        <v>16</v>
      </c>
      <c r="EH33" s="444">
        <f t="shared" si="28"/>
        <v>41</v>
      </c>
      <c r="EI33" s="445">
        <f t="shared" si="29"/>
        <v>16</v>
      </c>
      <c r="EJ33" s="446">
        <f t="shared" si="5"/>
        <v>32</v>
      </c>
      <c r="EK33" s="449">
        <v>28</v>
      </c>
      <c r="EM33" s="450">
        <f>VLOOKUP(C33,Theory!B36:DK107,114,FALSE)</f>
        <v>0</v>
      </c>
      <c r="EN33" s="450">
        <f>VLOOKUP(C33,Theory!B36:DL107,115,FALSE)</f>
        <v>0</v>
      </c>
      <c r="EO33" s="450">
        <f>VLOOKUP(C33,Theory!B36:DM107,116,FALSE)</f>
        <v>0</v>
      </c>
      <c r="EP33" s="450">
        <f>VLOOKUP(C33,Theory!B36:DN105,117,FALSE)</f>
        <v>0</v>
      </c>
      <c r="EQ33" s="450">
        <f>VLOOKUP(C33,Theory!B36:DO105,118,FALSE)</f>
        <v>0</v>
      </c>
      <c r="ER33" s="451">
        <f>VLOOKUP(C33,Theory!B36:DP105,119,FALSE)</f>
        <v>0</v>
      </c>
      <c r="ES33" s="454">
        <f>VLOOKUP(C33,Theory!B36:DQ105,120,FALSE)</f>
        <v>0</v>
      </c>
      <c r="ET33" s="455">
        <f t="shared" si="39"/>
        <v>0</v>
      </c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</row>
    <row r="34" ht="18.35" spans="1:160">
      <c r="A34" s="164">
        <v>21</v>
      </c>
      <c r="B34" s="289" t="str">
        <f>Theory!C37</f>
        <v>DRUTHI U S</v>
      </c>
      <c r="C34" s="360" t="str">
        <f>Theory!B37</f>
        <v>1DS23AI022</v>
      </c>
      <c r="D34" s="361">
        <f>VLOOKUP(C34,Theory!B37:D108,3,FALSE)</f>
        <v>8</v>
      </c>
      <c r="E34" s="361">
        <f>VLOOKUP(C34,Theory!B37:E108,4,FALSE)</f>
        <v>0</v>
      </c>
      <c r="F34" s="361">
        <f>VLOOKUP(C34,Theory!B37:F108,5,FALSE)</f>
        <v>0</v>
      </c>
      <c r="G34" s="361">
        <f>VLOOKUP(C34,Theory!B37:G108,6,FALSE)</f>
        <v>0</v>
      </c>
      <c r="H34" s="369">
        <f t="shared" si="6"/>
        <v>8</v>
      </c>
      <c r="I34" s="370">
        <f>VLOOKUP(C34,Theory!B37:H108,7,FALSE)</f>
        <v>3</v>
      </c>
      <c r="J34" s="371">
        <f>VLOOKUP(C34,Theory!B37:I108,8,FALSE)</f>
        <v>0</v>
      </c>
      <c r="K34" s="371">
        <f>VLOOKUP(C34,Theory!B37:J108,9,FALSE)</f>
        <v>0</v>
      </c>
      <c r="L34" s="371">
        <f>VLOOKUP(C34,Theory!B37:K108,10,FALSE)</f>
        <v>0</v>
      </c>
      <c r="M34" s="369">
        <f t="shared" si="7"/>
        <v>3</v>
      </c>
      <c r="N34" s="373">
        <f>VLOOKUP(C34,Theory!B37:L108,11,FALSE)</f>
        <v>6</v>
      </c>
      <c r="O34" s="373">
        <f>VLOOKUP(C34,Theory!B37:M108,12,FALSE)</f>
        <v>0</v>
      </c>
      <c r="P34" s="373">
        <f>VLOOKUP(C34,Theory!B37:N108,13,FALSE)</f>
        <v>0</v>
      </c>
      <c r="Q34" s="373">
        <f>VLOOKUP(C34,Theory!B37:O108,14,FALSE)</f>
        <v>0</v>
      </c>
      <c r="R34" s="371">
        <f>VLOOKUP(C34,Theory!B37:P108,15,FALSE)</f>
        <v>0</v>
      </c>
      <c r="S34" s="371">
        <f>VLOOKUP(C34,Theory!B37:Q108,16,FALSE)</f>
        <v>0</v>
      </c>
      <c r="T34" s="371">
        <f>VLOOKUP(C34,Theory!B37:R108,17,FALSE)</f>
        <v>0</v>
      </c>
      <c r="U34" s="371">
        <f>VLOOKUP(C34,Theory!B37:S108,18,FALSE)</f>
        <v>0</v>
      </c>
      <c r="V34" s="369">
        <f t="shared" si="8"/>
        <v>6</v>
      </c>
      <c r="W34" s="361">
        <f>VLOOKUP(C34,Theory!B37:T108,19,FALSE)</f>
        <v>8</v>
      </c>
      <c r="X34" s="361">
        <f>VLOOKUP(C34,Theory!B37:U108,20,FALSE)</f>
        <v>0</v>
      </c>
      <c r="Y34" s="361">
        <f>VLOOKUP(C34,Theory!B37:V108,21,FALSE)</f>
        <v>0</v>
      </c>
      <c r="Z34" s="361">
        <f>VLOOKUP(C34,Theory!B37:W108,22,FALSE)</f>
        <v>0</v>
      </c>
      <c r="AA34" s="370">
        <f>VLOOKUP(C34,Theory!B37:X108,23,FALSE)</f>
        <v>0</v>
      </c>
      <c r="AB34" s="370">
        <f>VLOOKUP(C34,Theory!B37:Y108,24,FALSE)</f>
        <v>0</v>
      </c>
      <c r="AC34" s="370">
        <f>VLOOKUP(C34,Theory!B37:Z108,25,FALSE)</f>
        <v>0</v>
      </c>
      <c r="AD34" s="370">
        <f>VLOOKUP(C34,Theory!B37:AA108,26,FALSE)</f>
        <v>0</v>
      </c>
      <c r="AE34" s="369">
        <f t="shared" si="9"/>
        <v>8</v>
      </c>
      <c r="AF34" s="361">
        <f>VLOOKUP(C34,Theory!B37:AB108,27,FALSE)</f>
        <v>0</v>
      </c>
      <c r="AG34" s="361">
        <f>VLOOKUP(C34,Theory!B37:AC108,28,FALSE)</f>
        <v>0</v>
      </c>
      <c r="AH34" s="361">
        <f>VLOOKUP(C34,Theory!B37:AD108,29,FALSE)</f>
        <v>0</v>
      </c>
      <c r="AI34" s="361">
        <f>VLOOKUP(C34,Theory!B37:AE108,30,FALSE)</f>
        <v>0</v>
      </c>
      <c r="AJ34" s="380">
        <f>VLOOKUP(C34,Theory!B37:AF108,31,FALSE)</f>
        <v>1</v>
      </c>
      <c r="AK34" s="380">
        <f>VLOOKUP(C34,Theory!B37:AG108,32,FALSE)</f>
        <v>0</v>
      </c>
      <c r="AL34" s="380">
        <f>VLOOKUP(C34,Theory!B37:AH108,33,FALSE)</f>
        <v>0</v>
      </c>
      <c r="AM34" s="380">
        <f>VLOOKUP(C34,Theory!B37:AI108,34,FALSE)</f>
        <v>0</v>
      </c>
      <c r="AN34" s="369">
        <f t="shared" si="10"/>
        <v>1</v>
      </c>
      <c r="AO34" s="385">
        <f t="shared" si="0"/>
        <v>26</v>
      </c>
      <c r="AP34" s="386">
        <f>VLOOKUP(C34,Theory!B37:AJ108,35,FALSE)</f>
        <v>0</v>
      </c>
      <c r="AQ34" s="386">
        <f>VLOOKUP(C34,Theory!B37:AK108,36,FALSE)</f>
        <v>0</v>
      </c>
      <c r="AR34" s="386">
        <f>VLOOKUP(C34,Theory!B37:AL108,37,FALSE)</f>
        <v>0</v>
      </c>
      <c r="AS34" s="386">
        <f>VLOOKUP(C34,Theory!B37:AM108,38,FALSE)</f>
        <v>0</v>
      </c>
      <c r="AT34" s="369">
        <f t="shared" si="11"/>
        <v>0</v>
      </c>
      <c r="AU34" s="386">
        <f>VLOOKUP(C34,Theory!B37:AN108,39,FALSE)</f>
        <v>0</v>
      </c>
      <c r="AV34" s="386">
        <f>VLOOKUP(C34,Theory!B37:AO108,40,FALSE)</f>
        <v>0</v>
      </c>
      <c r="AW34" s="386">
        <f>VLOOKUP(C34,Theory!B37:AP108,41,FALSE)</f>
        <v>0</v>
      </c>
      <c r="AX34" s="386">
        <f>VLOOKUP(C34,Theory!B37:AQ108,42,FALSE)</f>
        <v>0</v>
      </c>
      <c r="AY34" s="369">
        <f t="shared" si="12"/>
        <v>0</v>
      </c>
      <c r="AZ34" s="386">
        <f>VLOOKUP(C34,Theory!B37:AR108,43,FALSE)</f>
        <v>0</v>
      </c>
      <c r="BA34" s="386">
        <f>VLOOKUP(C34,Theory!B37:AS108,44,FALSE)</f>
        <v>0</v>
      </c>
      <c r="BB34" s="386">
        <f>VLOOKUP(C34,Theory!B37:AT108,45,FALSE)</f>
        <v>0</v>
      </c>
      <c r="BC34" s="386">
        <f>VLOOKUP(C34,Theory!B37:AU108,46,FALSE)</f>
        <v>0</v>
      </c>
      <c r="BD34" s="386">
        <f>VLOOKUP(C34,Theory!B37:AV108,47,FALSE)</f>
        <v>0</v>
      </c>
      <c r="BE34" s="386">
        <f>VLOOKUP(C34,Theory!B37:AW108,48,FALSE)</f>
        <v>0</v>
      </c>
      <c r="BF34" s="386">
        <f>VLOOKUP(C34,Theory!B37:AX108,49,FALSE)</f>
        <v>0</v>
      </c>
      <c r="BG34" s="386">
        <f>VLOOKUP(C34,Theory!B37:AY108,50,FALSE)</f>
        <v>0</v>
      </c>
      <c r="BH34" s="369">
        <f t="shared" si="13"/>
        <v>0</v>
      </c>
      <c r="BI34" s="386">
        <f>VLOOKUP(C34,Theory!B37:AZ108,51,FALSE)</f>
        <v>3</v>
      </c>
      <c r="BJ34" s="386">
        <f>VLOOKUP(C34,Theory!B37:BA108,52,FALSE)</f>
        <v>0</v>
      </c>
      <c r="BK34" s="386">
        <f>VLOOKUP(C34,Theory!B37:BB108,53,FALSE)</f>
        <v>0</v>
      </c>
      <c r="BL34" s="386">
        <f>VLOOKUP(C34,Theory!B37:BC108,54,FALSE)</f>
        <v>0</v>
      </c>
      <c r="BM34" s="386">
        <f>VLOOKUP(C34,Theory!B37:BD108,55,FALSE)</f>
        <v>0</v>
      </c>
      <c r="BN34" s="386">
        <f>VLOOKUP(C34,Theory!B37:BE108,56,FALSE)</f>
        <v>0</v>
      </c>
      <c r="BO34" s="386">
        <f>VLOOKUP(C34,Theory!B37:BF108,57,FALSE)</f>
        <v>0</v>
      </c>
      <c r="BP34" s="386">
        <f>VLOOKUP(C34,Theory!B37:BG108,58,FALSE)</f>
        <v>0</v>
      </c>
      <c r="BQ34" s="369">
        <f t="shared" si="14"/>
        <v>3</v>
      </c>
      <c r="BR34" s="386">
        <f>VLOOKUP(C34,Theory!B37:BH108,59,FALSE)</f>
        <v>1</v>
      </c>
      <c r="BS34" s="386">
        <f>VLOOKUP(C34,Theory!B37:BI108,60,FALSE)</f>
        <v>0</v>
      </c>
      <c r="BT34" s="386">
        <f>VLOOKUP(C34,Theory!B37:BJ108,61,FALSE)</f>
        <v>0</v>
      </c>
      <c r="BU34" s="386">
        <f>VLOOKUP(C34,Theory!B37:BK108,62,FALSE)</f>
        <v>0</v>
      </c>
      <c r="BV34" s="386">
        <f>VLOOKUP(C34,Theory!B37:BL108,63,FALSE)</f>
        <v>0</v>
      </c>
      <c r="BW34" s="386">
        <f>VLOOKUP(C34,Theory!B37:BM108,64,FALSE)</f>
        <v>0</v>
      </c>
      <c r="BX34" s="386">
        <f>VLOOKUP(C34,Theory!B37:BN108,65,FALSE)</f>
        <v>0</v>
      </c>
      <c r="BY34" s="386">
        <f>VLOOKUP(C34,Theory!B37:BO108,66,FALSE)</f>
        <v>0</v>
      </c>
      <c r="BZ34" s="369">
        <f t="shared" si="15"/>
        <v>1</v>
      </c>
      <c r="CA34" s="385">
        <f t="shared" si="1"/>
        <v>4</v>
      </c>
      <c r="CB34" s="386">
        <f>VLOOKUP(C34,Theory!B37:BP108,67,FALSE)</f>
        <v>8</v>
      </c>
      <c r="CC34" s="386">
        <f>VLOOKUP(C34,Theory!B37:BQ108,68,FALSE)</f>
        <v>0</v>
      </c>
      <c r="CD34" s="386">
        <f>VLOOKUP(C34,Theory!B37:BR108,69,FALSE)</f>
        <v>0</v>
      </c>
      <c r="CE34" s="386">
        <f>VLOOKUP(C34,Theory!B37:BS108,70,FALSE)</f>
        <v>0</v>
      </c>
      <c r="CF34" s="369">
        <f t="shared" si="16"/>
        <v>8</v>
      </c>
      <c r="CG34" s="399">
        <f>VLOOKUP(C34,Theory!B37:BT108,71,FALSE)</f>
        <v>6</v>
      </c>
      <c r="CH34" s="399">
        <f>VLOOKUP(C34,Theory!B37:BU108,72,FALSE)</f>
        <v>0</v>
      </c>
      <c r="CI34" s="399">
        <f>VLOOKUP(C34,Theory!B37:BV108,73,FALSE)</f>
        <v>0</v>
      </c>
      <c r="CJ34" s="399">
        <f>VLOOKUP(C34,Theory!B37:BW108,74,FALSE)</f>
        <v>0</v>
      </c>
      <c r="CK34" s="369">
        <f t="shared" si="17"/>
        <v>6</v>
      </c>
      <c r="CL34" s="386">
        <f>VLOOKUP(C34,Theory!B37:BX108,75,FALSE)</f>
        <v>8</v>
      </c>
      <c r="CM34" s="400">
        <f>VLOOKUP(C34,Theory!B37:BY108,76,FALSE)</f>
        <v>0</v>
      </c>
      <c r="CN34" s="400">
        <f>VLOOKUP(C34,Theory!B37:BZ108,77,FALSE)</f>
        <v>0</v>
      </c>
      <c r="CO34" s="400">
        <f>VLOOKUP(C34,Theory!B37:CA108,78,FALSE)</f>
        <v>0</v>
      </c>
      <c r="CP34" s="386">
        <f>VLOOKUP(C34,Theory!B37:CB108,79,FALSE)</f>
        <v>0</v>
      </c>
      <c r="CQ34" s="386">
        <f>VLOOKUP(C34,Theory!B37:CC108,80,FALSE)</f>
        <v>0</v>
      </c>
      <c r="CR34" s="386">
        <f>VLOOKUP(C34,Theory!B37:CD108,81,FALSE)</f>
        <v>0</v>
      </c>
      <c r="CS34" s="386">
        <f>VLOOKUP(C34,Theory!B37:CE108,82,FALSE)</f>
        <v>0</v>
      </c>
      <c r="CT34" s="369">
        <f t="shared" si="18"/>
        <v>8</v>
      </c>
      <c r="CU34" s="399">
        <f>VLOOKUP(C34,Theory!B37:CF108,83,FALSE)</f>
        <v>8</v>
      </c>
      <c r="CV34" s="400">
        <f>VLOOKUP(C34,Theory!B37:CG108,84,FALSE)</f>
        <v>0</v>
      </c>
      <c r="CW34" s="400">
        <f>VLOOKUP(C34,Theory!B37:CH108,85,FALSE)</f>
        <v>0</v>
      </c>
      <c r="CX34" s="400">
        <f>VLOOKUP(C34,Theory!B37:CI108,86,FALSE)</f>
        <v>0</v>
      </c>
      <c r="CY34" s="399">
        <f>VLOOKUP(C34,Theory!B37:CJ108,87,FALSE)</f>
        <v>0</v>
      </c>
      <c r="CZ34" s="399">
        <f>VLOOKUP(C34,Theory!B37:CK108,88,FALSE)</f>
        <v>0</v>
      </c>
      <c r="DA34" s="399">
        <f>VLOOKUP(C34,Theory!B37:CL108,89,FALSE)</f>
        <v>0</v>
      </c>
      <c r="DB34" s="399">
        <f>VLOOKUP(C34,Theory!B37:CM108,90,FALSE)</f>
        <v>0</v>
      </c>
      <c r="DC34" s="369">
        <f t="shared" si="19"/>
        <v>8</v>
      </c>
      <c r="DD34" s="386">
        <f>VLOOKUP(C34,Theory!B37:CN108,91,FALSE)</f>
        <v>6</v>
      </c>
      <c r="DE34" s="400">
        <f>VLOOKUP(C34,Theory!B37:CO108,92,FALSE)</f>
        <v>0</v>
      </c>
      <c r="DF34" s="400">
        <f>VLOOKUP(C34,Theory!B37:CP108,93,FALSE)</f>
        <v>0</v>
      </c>
      <c r="DG34" s="400">
        <f>VLOOKUP(C34,Theory!B37:CQ108,94,FALSE)</f>
        <v>0</v>
      </c>
      <c r="DH34" s="386">
        <f>VLOOKUP(C34,Theory!B37:CR108,95,FALSE)</f>
        <v>0</v>
      </c>
      <c r="DI34" s="386">
        <f>VLOOKUP(C34,Theory!B37:CS108,96,FALSE)</f>
        <v>0</v>
      </c>
      <c r="DJ34" s="386">
        <f>VLOOKUP(C34,Theory!B37:CT108,97,FALSE)</f>
        <v>0</v>
      </c>
      <c r="DK34" s="386">
        <f>VLOOKUP(C34,Theory!B37:CU108,98,FALSE)</f>
        <v>0</v>
      </c>
      <c r="DL34" s="369">
        <f t="shared" si="20"/>
        <v>6</v>
      </c>
      <c r="DM34" s="411">
        <f t="shared" si="2"/>
        <v>36</v>
      </c>
      <c r="DN34" s="413">
        <f t="shared" si="40"/>
        <v>26</v>
      </c>
      <c r="DO34" s="413">
        <f t="shared" si="41"/>
        <v>4</v>
      </c>
      <c r="DP34" s="413">
        <f t="shared" si="42"/>
        <v>36</v>
      </c>
      <c r="DQ34" s="418">
        <f t="shared" si="43"/>
        <v>16</v>
      </c>
      <c r="DR34" s="418">
        <f t="shared" si="44"/>
        <v>2</v>
      </c>
      <c r="DS34" s="418">
        <f t="shared" si="45"/>
        <v>22</v>
      </c>
      <c r="DT34" s="417">
        <f t="shared" si="36"/>
        <v>13</v>
      </c>
      <c r="DU34" s="423">
        <f>VLOOKUP(C34,Theory!B37:CV108,99,FALSE)</f>
        <v>8</v>
      </c>
      <c r="DV34" s="423">
        <f>VLOOKUP(C34,Theory!B37:CW108,100,FALSE)</f>
        <v>10</v>
      </c>
      <c r="DW34" s="424">
        <f t="shared" si="27"/>
        <v>18</v>
      </c>
      <c r="DX34" s="421">
        <f t="shared" si="3"/>
        <v>31</v>
      </c>
      <c r="DY34" s="430">
        <f t="shared" si="4"/>
        <v>19</v>
      </c>
      <c r="DZ34" s="431">
        <f>VLOOKUP(C34,Lab!B29:D98,3,FALSE)</f>
        <v>0</v>
      </c>
      <c r="EA34" s="432">
        <f>VLOOKUP(C34,Lab!B29:E98,4,FALSE)</f>
        <v>0</v>
      </c>
      <c r="EB34" s="432">
        <f>VLOOKUP(C34,Lab!B29:F98,5,FALSE)</f>
        <v>25</v>
      </c>
      <c r="EC34" s="422">
        <f t="shared" si="37"/>
        <v>25</v>
      </c>
      <c r="ED34" s="436">
        <f>VLOOKUP(C34,Lab!B29:G98,6,FALSE)</f>
        <v>0</v>
      </c>
      <c r="EE34" s="436">
        <f>VLOOKUP(C34,Lab!B29:H98,7,FALSE)</f>
        <v>0</v>
      </c>
      <c r="EF34" s="437">
        <v>9</v>
      </c>
      <c r="EG34" s="443">
        <f t="shared" si="38"/>
        <v>9</v>
      </c>
      <c r="EH34" s="444">
        <f t="shared" si="28"/>
        <v>34</v>
      </c>
      <c r="EI34" s="445">
        <f t="shared" si="29"/>
        <v>14</v>
      </c>
      <c r="EJ34" s="446">
        <f t="shared" si="5"/>
        <v>33</v>
      </c>
      <c r="EK34" s="449">
        <v>32.5</v>
      </c>
      <c r="EM34" s="450">
        <f>VLOOKUP(C34,Theory!B37:DK108,114,FALSE)</f>
        <v>0</v>
      </c>
      <c r="EN34" s="450">
        <f>VLOOKUP(C34,Theory!B37:DL108,115,FALSE)</f>
        <v>0</v>
      </c>
      <c r="EO34" s="450">
        <f>VLOOKUP(C34,Theory!B37:DM108,116,FALSE)</f>
        <v>0</v>
      </c>
      <c r="EP34" s="450">
        <f>VLOOKUP(C34,Theory!B37:DN106,117,FALSE)</f>
        <v>0</v>
      </c>
      <c r="EQ34" s="450">
        <f>VLOOKUP(C34,Theory!B37:DO106,118,FALSE)</f>
        <v>0</v>
      </c>
      <c r="ER34" s="451">
        <f>VLOOKUP(C34,Theory!B37:DP106,119,FALSE)</f>
        <v>0</v>
      </c>
      <c r="ES34" s="454">
        <f>VLOOKUP(C34,Theory!B37:DQ106,120,FALSE)</f>
        <v>0</v>
      </c>
      <c r="ET34" s="455">
        <f t="shared" si="39"/>
        <v>0</v>
      </c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</row>
    <row r="35" ht="18.35" spans="1:160">
      <c r="A35" s="164">
        <v>22</v>
      </c>
      <c r="B35" s="289" t="str">
        <f>Theory!C38</f>
        <v>E JAYA SIDDARTHA</v>
      </c>
      <c r="C35" s="360" t="str">
        <f>Theory!B38</f>
        <v>1DS23AI023</v>
      </c>
      <c r="D35" s="361">
        <f>VLOOKUP(C35,Theory!B38:D109,3,FALSE)</f>
        <v>10</v>
      </c>
      <c r="E35" s="361">
        <f>VLOOKUP(C35,Theory!B38:E109,4,FALSE)</f>
        <v>0</v>
      </c>
      <c r="F35" s="361">
        <f>VLOOKUP(C35,Theory!B38:F109,5,FALSE)</f>
        <v>0</v>
      </c>
      <c r="G35" s="361">
        <f>VLOOKUP(C35,Theory!B38:G109,6,FALSE)</f>
        <v>0</v>
      </c>
      <c r="H35" s="369">
        <f t="shared" si="6"/>
        <v>10</v>
      </c>
      <c r="I35" s="370">
        <f>VLOOKUP(C35,Theory!B38:H109,7,FALSE)</f>
        <v>9</v>
      </c>
      <c r="J35" s="371">
        <f>VLOOKUP(C35,Theory!B38:I109,8,FALSE)</f>
        <v>0</v>
      </c>
      <c r="K35" s="371">
        <f>VLOOKUP(C35,Theory!B38:J109,9,FALSE)</f>
        <v>0</v>
      </c>
      <c r="L35" s="371">
        <f>VLOOKUP(C35,Theory!B38:K109,10,FALSE)</f>
        <v>0</v>
      </c>
      <c r="M35" s="369">
        <f t="shared" si="7"/>
        <v>9</v>
      </c>
      <c r="N35" s="373">
        <f>VLOOKUP(C35,Theory!B38:L109,11,FALSE)</f>
        <v>9</v>
      </c>
      <c r="O35" s="373">
        <f>VLOOKUP(C35,Theory!B38:M109,12,FALSE)</f>
        <v>0</v>
      </c>
      <c r="P35" s="373">
        <f>VLOOKUP(C35,Theory!B38:N109,13,FALSE)</f>
        <v>0</v>
      </c>
      <c r="Q35" s="373">
        <f>VLOOKUP(C35,Theory!B38:O109,14,FALSE)</f>
        <v>0</v>
      </c>
      <c r="R35" s="371">
        <f>VLOOKUP(C35,Theory!B38:P109,15,FALSE)</f>
        <v>0</v>
      </c>
      <c r="S35" s="371">
        <f>VLOOKUP(C35,Theory!B38:Q109,16,FALSE)</f>
        <v>0</v>
      </c>
      <c r="T35" s="371">
        <f>VLOOKUP(C35,Theory!B38:R109,17,FALSE)</f>
        <v>0</v>
      </c>
      <c r="U35" s="371">
        <f>VLOOKUP(C35,Theory!B38:S109,18,FALSE)</f>
        <v>0</v>
      </c>
      <c r="V35" s="369">
        <f t="shared" si="8"/>
        <v>9</v>
      </c>
      <c r="W35" s="361">
        <f>VLOOKUP(C35,Theory!B38:T109,19,FALSE)</f>
        <v>9</v>
      </c>
      <c r="X35" s="361">
        <f>VLOOKUP(C35,Theory!B38:U109,20,FALSE)</f>
        <v>0</v>
      </c>
      <c r="Y35" s="361">
        <f>VLOOKUP(C35,Theory!B38:V109,21,FALSE)</f>
        <v>0</v>
      </c>
      <c r="Z35" s="361">
        <f>VLOOKUP(C35,Theory!B38:W109,22,FALSE)</f>
        <v>0</v>
      </c>
      <c r="AA35" s="370">
        <f>VLOOKUP(C35,Theory!B38:X109,23,FALSE)</f>
        <v>0</v>
      </c>
      <c r="AB35" s="370">
        <f>VLOOKUP(C35,Theory!B38:Y109,24,FALSE)</f>
        <v>0</v>
      </c>
      <c r="AC35" s="370">
        <f>VLOOKUP(C35,Theory!B38:Z109,25,FALSE)</f>
        <v>0</v>
      </c>
      <c r="AD35" s="370">
        <f>VLOOKUP(C35,Theory!B38:AA109,26,FALSE)</f>
        <v>0</v>
      </c>
      <c r="AE35" s="369">
        <f t="shared" si="9"/>
        <v>9</v>
      </c>
      <c r="AF35" s="361">
        <f>VLOOKUP(C35,Theory!B38:AB109,27,FALSE)</f>
        <v>0</v>
      </c>
      <c r="AG35" s="361">
        <f>VLOOKUP(C35,Theory!B38:AC109,28,FALSE)</f>
        <v>0</v>
      </c>
      <c r="AH35" s="361">
        <f>VLOOKUP(C35,Theory!B38:AD109,29,FALSE)</f>
        <v>0</v>
      </c>
      <c r="AI35" s="361">
        <f>VLOOKUP(C35,Theory!B38:AE109,30,FALSE)</f>
        <v>0</v>
      </c>
      <c r="AJ35" s="380">
        <f>VLOOKUP(C35,Theory!B38:AF109,31,FALSE)</f>
        <v>7</v>
      </c>
      <c r="AK35" s="380">
        <f>VLOOKUP(C35,Theory!B38:AG109,32,FALSE)</f>
        <v>0</v>
      </c>
      <c r="AL35" s="380">
        <f>VLOOKUP(C35,Theory!B38:AH109,33,FALSE)</f>
        <v>0</v>
      </c>
      <c r="AM35" s="380">
        <f>VLOOKUP(C35,Theory!B38:AI109,34,FALSE)</f>
        <v>0</v>
      </c>
      <c r="AN35" s="369">
        <f t="shared" si="10"/>
        <v>7</v>
      </c>
      <c r="AO35" s="385">
        <f t="shared" si="0"/>
        <v>44</v>
      </c>
      <c r="AP35" s="386">
        <f>VLOOKUP(C35,Theory!B38:AJ109,35,FALSE)</f>
        <v>0</v>
      </c>
      <c r="AQ35" s="386">
        <f>VLOOKUP(C35,Theory!B38:AK109,36,FALSE)</f>
        <v>0</v>
      </c>
      <c r="AR35" s="386">
        <f>VLOOKUP(C35,Theory!B38:AL109,37,FALSE)</f>
        <v>0</v>
      </c>
      <c r="AS35" s="386">
        <f>VLOOKUP(C35,Theory!B38:AM109,38,FALSE)</f>
        <v>0</v>
      </c>
      <c r="AT35" s="369">
        <f t="shared" si="11"/>
        <v>0</v>
      </c>
      <c r="AU35" s="386">
        <f>VLOOKUP(C35,Theory!B38:AN109,39,FALSE)</f>
        <v>7</v>
      </c>
      <c r="AV35" s="386">
        <f>VLOOKUP(C35,Theory!B38:AO109,40,FALSE)</f>
        <v>0</v>
      </c>
      <c r="AW35" s="386">
        <f>VLOOKUP(C35,Theory!B38:AP109,41,FALSE)</f>
        <v>0</v>
      </c>
      <c r="AX35" s="386">
        <f>VLOOKUP(C35,Theory!B38:AQ109,42,FALSE)</f>
        <v>0</v>
      </c>
      <c r="AY35" s="369">
        <f t="shared" si="12"/>
        <v>7</v>
      </c>
      <c r="AZ35" s="386">
        <f>VLOOKUP(C35,Theory!B38:AR109,43,FALSE)</f>
        <v>0</v>
      </c>
      <c r="BA35" s="386">
        <f>VLOOKUP(C35,Theory!B38:AS109,44,FALSE)</f>
        <v>0</v>
      </c>
      <c r="BB35" s="386">
        <f>VLOOKUP(C35,Theory!B38:AT109,45,FALSE)</f>
        <v>0</v>
      </c>
      <c r="BC35" s="386">
        <f>VLOOKUP(C35,Theory!B38:AU109,46,FALSE)</f>
        <v>0</v>
      </c>
      <c r="BD35" s="386">
        <f>VLOOKUP(C35,Theory!B38:AV109,47,FALSE)</f>
        <v>8</v>
      </c>
      <c r="BE35" s="386">
        <f>VLOOKUP(C35,Theory!B38:AW109,48,FALSE)</f>
        <v>0</v>
      </c>
      <c r="BF35" s="386">
        <f>VLOOKUP(C35,Theory!B38:AX109,49,FALSE)</f>
        <v>0</v>
      </c>
      <c r="BG35" s="386">
        <f>VLOOKUP(C35,Theory!B38:AY109,50,FALSE)</f>
        <v>0</v>
      </c>
      <c r="BH35" s="369">
        <f t="shared" si="13"/>
        <v>8</v>
      </c>
      <c r="BI35" s="386">
        <f>VLOOKUP(C35,Theory!B38:AZ109,51,FALSE)</f>
        <v>9</v>
      </c>
      <c r="BJ35" s="386">
        <f>VLOOKUP(C35,Theory!B38:BA109,52,FALSE)</f>
        <v>0</v>
      </c>
      <c r="BK35" s="386">
        <f>VLOOKUP(C35,Theory!B38:BB109,53,FALSE)</f>
        <v>0</v>
      </c>
      <c r="BL35" s="386">
        <f>VLOOKUP(C35,Theory!B38:BC109,54,FALSE)</f>
        <v>0</v>
      </c>
      <c r="BM35" s="386">
        <f>VLOOKUP(C35,Theory!B38:BD109,55,FALSE)</f>
        <v>0</v>
      </c>
      <c r="BN35" s="386">
        <f>VLOOKUP(C35,Theory!B38:BE109,56,FALSE)</f>
        <v>0</v>
      </c>
      <c r="BO35" s="386">
        <f>VLOOKUP(C35,Theory!B38:BF109,57,FALSE)</f>
        <v>0</v>
      </c>
      <c r="BP35" s="386">
        <f>VLOOKUP(C35,Theory!B38:BG109,58,FALSE)</f>
        <v>0</v>
      </c>
      <c r="BQ35" s="369">
        <f t="shared" si="14"/>
        <v>9</v>
      </c>
      <c r="BR35" s="386">
        <f>VLOOKUP(C35,Theory!B38:BH109,59,FALSE)</f>
        <v>0</v>
      </c>
      <c r="BS35" s="386">
        <f>VLOOKUP(C35,Theory!B38:BI109,60,FALSE)</f>
        <v>0</v>
      </c>
      <c r="BT35" s="386">
        <f>VLOOKUP(C35,Theory!B38:BJ109,61,FALSE)</f>
        <v>0</v>
      </c>
      <c r="BU35" s="386">
        <f>VLOOKUP(C35,Theory!B38:BK109,62,FALSE)</f>
        <v>0</v>
      </c>
      <c r="BV35" s="386">
        <f>VLOOKUP(C35,Theory!B38:BL109,63,FALSE)</f>
        <v>10</v>
      </c>
      <c r="BW35" s="386">
        <f>VLOOKUP(C35,Theory!B38:BM109,64,FALSE)</f>
        <v>0</v>
      </c>
      <c r="BX35" s="386">
        <f>VLOOKUP(C35,Theory!B38:BN109,65,FALSE)</f>
        <v>0</v>
      </c>
      <c r="BY35" s="386">
        <f>VLOOKUP(C35,Theory!B38:BO109,66,FALSE)</f>
        <v>0</v>
      </c>
      <c r="BZ35" s="369">
        <f t="shared" si="15"/>
        <v>10</v>
      </c>
      <c r="CA35" s="385">
        <f t="shared" si="1"/>
        <v>34</v>
      </c>
      <c r="CB35" s="386">
        <f>VLOOKUP(C35,Theory!B38:BP109,67,FALSE)</f>
        <v>10</v>
      </c>
      <c r="CC35" s="386">
        <f>VLOOKUP(C35,Theory!B38:BQ109,68,FALSE)</f>
        <v>0</v>
      </c>
      <c r="CD35" s="386">
        <f>VLOOKUP(C35,Theory!B38:BR109,69,FALSE)</f>
        <v>0</v>
      </c>
      <c r="CE35" s="386">
        <f>VLOOKUP(C35,Theory!B38:BS109,70,FALSE)</f>
        <v>0</v>
      </c>
      <c r="CF35" s="369">
        <f t="shared" si="16"/>
        <v>10</v>
      </c>
      <c r="CG35" s="399">
        <f>VLOOKUP(C35,Theory!B38:BT109,71,FALSE)</f>
        <v>9</v>
      </c>
      <c r="CH35" s="399">
        <f>VLOOKUP(C35,Theory!B38:BU109,72,FALSE)</f>
        <v>0</v>
      </c>
      <c r="CI35" s="399">
        <f>VLOOKUP(C35,Theory!B38:BV109,73,FALSE)</f>
        <v>0</v>
      </c>
      <c r="CJ35" s="399">
        <f>VLOOKUP(C35,Theory!B38:BW109,74,FALSE)</f>
        <v>0</v>
      </c>
      <c r="CK35" s="369">
        <f t="shared" si="17"/>
        <v>9</v>
      </c>
      <c r="CL35" s="386">
        <f>VLOOKUP(C35,Theory!B38:BX109,75,FALSE)</f>
        <v>10</v>
      </c>
      <c r="CM35" s="400">
        <f>VLOOKUP(C35,Theory!B38:BY109,76,FALSE)</f>
        <v>0</v>
      </c>
      <c r="CN35" s="400">
        <f>VLOOKUP(C35,Theory!B38:BZ109,77,FALSE)</f>
        <v>0</v>
      </c>
      <c r="CO35" s="400">
        <f>VLOOKUP(C35,Theory!B38:CA109,78,FALSE)</f>
        <v>0</v>
      </c>
      <c r="CP35" s="386">
        <f>VLOOKUP(C35,Theory!B38:CB109,79,FALSE)</f>
        <v>0</v>
      </c>
      <c r="CQ35" s="386">
        <f>VLOOKUP(C35,Theory!B38:CC109,80,FALSE)</f>
        <v>0</v>
      </c>
      <c r="CR35" s="386">
        <f>VLOOKUP(C35,Theory!B38:CD109,81,FALSE)</f>
        <v>0</v>
      </c>
      <c r="CS35" s="386">
        <f>VLOOKUP(C35,Theory!B38:CE109,82,FALSE)</f>
        <v>0</v>
      </c>
      <c r="CT35" s="369">
        <f t="shared" si="18"/>
        <v>10</v>
      </c>
      <c r="CU35" s="399">
        <f>VLOOKUP(C35,Theory!B38:CF109,83,FALSE)</f>
        <v>0</v>
      </c>
      <c r="CV35" s="400">
        <f>VLOOKUP(C35,Theory!B38:CG109,84,FALSE)</f>
        <v>0</v>
      </c>
      <c r="CW35" s="400">
        <f>VLOOKUP(C35,Theory!B38:CH109,85,FALSE)</f>
        <v>0</v>
      </c>
      <c r="CX35" s="400">
        <f>VLOOKUP(C35,Theory!B38:CI109,86,FALSE)</f>
        <v>0</v>
      </c>
      <c r="CY35" s="399">
        <f>VLOOKUP(C35,Theory!B38:CJ109,87,FALSE)</f>
        <v>9</v>
      </c>
      <c r="CZ35" s="399">
        <f>VLOOKUP(C35,Theory!B38:CK109,88,FALSE)</f>
        <v>0</v>
      </c>
      <c r="DA35" s="399">
        <f>VLOOKUP(C35,Theory!B38:CL109,89,FALSE)</f>
        <v>0</v>
      </c>
      <c r="DB35" s="399">
        <f>VLOOKUP(C35,Theory!B38:CM109,90,FALSE)</f>
        <v>0</v>
      </c>
      <c r="DC35" s="369">
        <f t="shared" si="19"/>
        <v>9</v>
      </c>
      <c r="DD35" s="386">
        <f>VLOOKUP(C35,Theory!B38:CN109,91,FALSE)</f>
        <v>9</v>
      </c>
      <c r="DE35" s="400">
        <f>VLOOKUP(C35,Theory!B38:CO109,92,FALSE)</f>
        <v>0</v>
      </c>
      <c r="DF35" s="400">
        <f>VLOOKUP(C35,Theory!B38:CP109,93,FALSE)</f>
        <v>0</v>
      </c>
      <c r="DG35" s="400">
        <f>VLOOKUP(C35,Theory!B38:CQ109,94,FALSE)</f>
        <v>0</v>
      </c>
      <c r="DH35" s="386">
        <f>VLOOKUP(C35,Theory!B38:CR109,95,FALSE)</f>
        <v>0</v>
      </c>
      <c r="DI35" s="386">
        <f>VLOOKUP(C35,Theory!B38:CS109,96,FALSE)</f>
        <v>0</v>
      </c>
      <c r="DJ35" s="386">
        <f>VLOOKUP(C35,Theory!B38:CT109,97,FALSE)</f>
        <v>0</v>
      </c>
      <c r="DK35" s="386">
        <f>VLOOKUP(C35,Theory!B38:CU109,98,FALSE)</f>
        <v>0</v>
      </c>
      <c r="DL35" s="369">
        <f t="shared" si="20"/>
        <v>9</v>
      </c>
      <c r="DM35" s="411">
        <f t="shared" si="2"/>
        <v>47</v>
      </c>
      <c r="DN35" s="413">
        <f t="shared" si="40"/>
        <v>44</v>
      </c>
      <c r="DO35" s="413">
        <f t="shared" si="41"/>
        <v>34</v>
      </c>
      <c r="DP35" s="413">
        <f t="shared" si="42"/>
        <v>47</v>
      </c>
      <c r="DQ35" s="418">
        <f t="shared" si="43"/>
        <v>26</v>
      </c>
      <c r="DR35" s="418">
        <f t="shared" si="44"/>
        <v>20</v>
      </c>
      <c r="DS35" s="418">
        <f t="shared" si="45"/>
        <v>28</v>
      </c>
      <c r="DT35" s="417">
        <f t="shared" si="36"/>
        <v>25</v>
      </c>
      <c r="DU35" s="423">
        <f>VLOOKUP(C35,Theory!B38:CV109,99,FALSE)</f>
        <v>8</v>
      </c>
      <c r="DV35" s="423">
        <f>VLOOKUP(C35,Theory!B38:CW109,100,FALSE)</f>
        <v>10</v>
      </c>
      <c r="DW35" s="424">
        <f t="shared" si="27"/>
        <v>18</v>
      </c>
      <c r="DX35" s="421">
        <f t="shared" si="3"/>
        <v>43</v>
      </c>
      <c r="DY35" s="430">
        <f t="shared" si="4"/>
        <v>26</v>
      </c>
      <c r="DZ35" s="431">
        <f>VLOOKUP(C35,Lab!B30:D99,3,FALSE)</f>
        <v>0</v>
      </c>
      <c r="EA35" s="432">
        <f>VLOOKUP(C35,Lab!B30:E99,4,FALSE)</f>
        <v>0</v>
      </c>
      <c r="EB35" s="432">
        <f>VLOOKUP(C35,Lab!B30:F99,5,FALSE)</f>
        <v>30</v>
      </c>
      <c r="EC35" s="422">
        <f t="shared" si="37"/>
        <v>30</v>
      </c>
      <c r="ED35" s="436">
        <f>VLOOKUP(C35,Lab!B30:G99,6,FALSE)</f>
        <v>0</v>
      </c>
      <c r="EE35" s="436">
        <f>VLOOKUP(C35,Lab!B30:H99,7,FALSE)</f>
        <v>0</v>
      </c>
      <c r="EF35" s="437">
        <f>VLOOKUP(C35,Lab!B30:I99,8,FALSE)</f>
        <v>20</v>
      </c>
      <c r="EG35" s="443">
        <f t="shared" si="38"/>
        <v>20</v>
      </c>
      <c r="EH35" s="444">
        <f t="shared" si="28"/>
        <v>50</v>
      </c>
      <c r="EI35" s="445">
        <f t="shared" si="29"/>
        <v>20</v>
      </c>
      <c r="EJ35" s="446">
        <f t="shared" si="5"/>
        <v>46</v>
      </c>
      <c r="EK35" s="449">
        <v>39</v>
      </c>
      <c r="EM35" s="450">
        <f>VLOOKUP(C35,Theory!B38:DK109,114,FALSE)</f>
        <v>0</v>
      </c>
      <c r="EN35" s="450">
        <f>VLOOKUP(C35,Theory!B38:DL109,115,FALSE)</f>
        <v>0</v>
      </c>
      <c r="EO35" s="450">
        <f>VLOOKUP(C35,Theory!B38:DM109,116,FALSE)</f>
        <v>0</v>
      </c>
      <c r="EP35" s="450">
        <f>VLOOKUP(C35,Theory!B38:DN107,117,FALSE)</f>
        <v>0</v>
      </c>
      <c r="EQ35" s="450">
        <f>VLOOKUP(C35,Theory!B38:DO107,118,FALSE)</f>
        <v>0</v>
      </c>
      <c r="ER35" s="451">
        <f>VLOOKUP(C35,Theory!B38:DP107,119,FALSE)</f>
        <v>0</v>
      </c>
      <c r="ES35" s="454">
        <f>VLOOKUP(C35,Theory!B38:DQ107,120,FALSE)</f>
        <v>0</v>
      </c>
      <c r="ET35" s="455">
        <f t="shared" si="39"/>
        <v>0</v>
      </c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</row>
    <row r="36" ht="21" customHeight="1" spans="1:160">
      <c r="A36" s="164">
        <v>23</v>
      </c>
      <c r="B36" s="289" t="str">
        <f>Theory!C39</f>
        <v>FARIA AHMED</v>
      </c>
      <c r="C36" s="360" t="str">
        <f>Theory!B39</f>
        <v>1DS23AI024</v>
      </c>
      <c r="D36" s="361">
        <f>VLOOKUP(C36,Theory!B39:D110,3,FALSE)</f>
        <v>9</v>
      </c>
      <c r="E36" s="361">
        <f>VLOOKUP(C36,Theory!B39:E110,4,FALSE)</f>
        <v>0</v>
      </c>
      <c r="F36" s="361">
        <f>VLOOKUP(C36,Theory!B39:F110,5,FALSE)</f>
        <v>0</v>
      </c>
      <c r="G36" s="361">
        <f>VLOOKUP(C36,Theory!B39:G110,6,FALSE)</f>
        <v>0</v>
      </c>
      <c r="H36" s="369">
        <f t="shared" si="6"/>
        <v>9</v>
      </c>
      <c r="I36" s="370">
        <f>VLOOKUP(C36,Theory!B39:H110,7,FALSE)</f>
        <v>5</v>
      </c>
      <c r="J36" s="371">
        <f>VLOOKUP(C36,Theory!B39:I110,8,FALSE)</f>
        <v>0</v>
      </c>
      <c r="K36" s="371">
        <f>VLOOKUP(C36,Theory!B39:J110,9,FALSE)</f>
        <v>0</v>
      </c>
      <c r="L36" s="371">
        <f>VLOOKUP(C36,Theory!B39:K110,10,FALSE)</f>
        <v>0</v>
      </c>
      <c r="M36" s="369">
        <f t="shared" si="7"/>
        <v>5</v>
      </c>
      <c r="N36" s="373">
        <f>VLOOKUP(C36,Theory!B39:L110,11,FALSE)</f>
        <v>6</v>
      </c>
      <c r="O36" s="373">
        <f>VLOOKUP(C36,Theory!B39:M110,12,FALSE)</f>
        <v>0</v>
      </c>
      <c r="P36" s="373">
        <f>VLOOKUP(C36,Theory!B39:N110,13,FALSE)</f>
        <v>0</v>
      </c>
      <c r="Q36" s="373">
        <f>VLOOKUP(C36,Theory!B39:O110,14,FALSE)</f>
        <v>0</v>
      </c>
      <c r="R36" s="371">
        <f>VLOOKUP(C36,Theory!B39:P110,15,FALSE)</f>
        <v>0</v>
      </c>
      <c r="S36" s="371">
        <f>VLOOKUP(C36,Theory!B39:Q110,16,FALSE)</f>
        <v>0</v>
      </c>
      <c r="T36" s="371">
        <f>VLOOKUP(C36,Theory!B39:R110,17,FALSE)</f>
        <v>0</v>
      </c>
      <c r="U36" s="371">
        <f>VLOOKUP(C36,Theory!B39:S110,18,FALSE)</f>
        <v>0</v>
      </c>
      <c r="V36" s="369">
        <f t="shared" si="8"/>
        <v>6</v>
      </c>
      <c r="W36" s="361">
        <f>VLOOKUP(C36,Theory!B39:T110,19,FALSE)</f>
        <v>0</v>
      </c>
      <c r="X36" s="361">
        <f>VLOOKUP(C36,Theory!B39:U110,20,FALSE)</f>
        <v>0</v>
      </c>
      <c r="Y36" s="361">
        <f>VLOOKUP(C36,Theory!B39:V110,21,FALSE)</f>
        <v>0</v>
      </c>
      <c r="Z36" s="361">
        <f>VLOOKUP(C36,Theory!B39:W110,22,FALSE)</f>
        <v>0</v>
      </c>
      <c r="AA36" s="370">
        <f>VLOOKUP(C36,Theory!B39:X110,23,FALSE)</f>
        <v>9</v>
      </c>
      <c r="AB36" s="370">
        <f>VLOOKUP(C36,Theory!B39:Y110,24,FALSE)</f>
        <v>0</v>
      </c>
      <c r="AC36" s="370">
        <f>VLOOKUP(C36,Theory!B39:Z110,25,FALSE)</f>
        <v>0</v>
      </c>
      <c r="AD36" s="370">
        <f>VLOOKUP(C36,Theory!B39:AA110,26,FALSE)</f>
        <v>0</v>
      </c>
      <c r="AE36" s="369">
        <f t="shared" si="9"/>
        <v>9</v>
      </c>
      <c r="AF36" s="361">
        <f>VLOOKUP(C36,Theory!B39:AB110,27,FALSE)</f>
        <v>3</v>
      </c>
      <c r="AG36" s="361">
        <f>VLOOKUP(C36,Theory!B39:AC110,28,FALSE)</f>
        <v>0</v>
      </c>
      <c r="AH36" s="361">
        <f>VLOOKUP(C36,Theory!B39:AD110,29,FALSE)</f>
        <v>0</v>
      </c>
      <c r="AI36" s="361">
        <f>VLOOKUP(C36,Theory!B39:AE110,30,FALSE)</f>
        <v>0</v>
      </c>
      <c r="AJ36" s="380">
        <f>VLOOKUP(C36,Theory!B39:AF110,31,FALSE)</f>
        <v>0</v>
      </c>
      <c r="AK36" s="380">
        <f>VLOOKUP(C36,Theory!B39:AG110,32,FALSE)</f>
        <v>0</v>
      </c>
      <c r="AL36" s="380">
        <f>VLOOKUP(C36,Theory!B39:AH110,33,FALSE)</f>
        <v>0</v>
      </c>
      <c r="AM36" s="380">
        <f>VLOOKUP(C36,Theory!B39:AI110,34,FALSE)</f>
        <v>0</v>
      </c>
      <c r="AN36" s="369">
        <f t="shared" si="10"/>
        <v>3</v>
      </c>
      <c r="AO36" s="385">
        <f t="shared" si="0"/>
        <v>32</v>
      </c>
      <c r="AP36" s="386">
        <f>VLOOKUP(C36,Theory!B39:AJ110,35,FALSE)</f>
        <v>0</v>
      </c>
      <c r="AQ36" s="386">
        <f>VLOOKUP(C36,Theory!B39:AK110,36,FALSE)</f>
        <v>0</v>
      </c>
      <c r="AR36" s="386">
        <f>VLOOKUP(C36,Theory!B39:AL110,37,FALSE)</f>
        <v>0</v>
      </c>
      <c r="AS36" s="386">
        <f>VLOOKUP(C36,Theory!B39:AM110,38,FALSE)</f>
        <v>0</v>
      </c>
      <c r="AT36" s="369">
        <f t="shared" si="11"/>
        <v>0</v>
      </c>
      <c r="AU36" s="386">
        <f>VLOOKUP(C36,Theory!B39:AN110,39,FALSE)</f>
        <v>9</v>
      </c>
      <c r="AV36" s="386">
        <f>VLOOKUP(C36,Theory!B39:AO110,40,FALSE)</f>
        <v>0</v>
      </c>
      <c r="AW36" s="386">
        <f>VLOOKUP(C36,Theory!B39:AP110,41,FALSE)</f>
        <v>0</v>
      </c>
      <c r="AX36" s="386">
        <f>VLOOKUP(C36,Theory!B39:AQ110,42,FALSE)</f>
        <v>0</v>
      </c>
      <c r="AY36" s="369">
        <f t="shared" si="12"/>
        <v>9</v>
      </c>
      <c r="AZ36" s="386">
        <f>VLOOKUP(C36,Theory!B39:AR110,43,FALSE)</f>
        <v>0</v>
      </c>
      <c r="BA36" s="386">
        <f>VLOOKUP(C36,Theory!B39:AS110,44,FALSE)</f>
        <v>0</v>
      </c>
      <c r="BB36" s="386">
        <f>VLOOKUP(C36,Theory!B39:AT110,45,FALSE)</f>
        <v>0</v>
      </c>
      <c r="BC36" s="386">
        <f>VLOOKUP(C36,Theory!B39:AU110,46,FALSE)</f>
        <v>0</v>
      </c>
      <c r="BD36" s="386">
        <f>VLOOKUP(C36,Theory!B39:AV110,47,FALSE)</f>
        <v>9</v>
      </c>
      <c r="BE36" s="386">
        <f>VLOOKUP(C36,Theory!B39:AW110,48,FALSE)</f>
        <v>0</v>
      </c>
      <c r="BF36" s="386">
        <f>VLOOKUP(C36,Theory!B39:AX110,49,FALSE)</f>
        <v>0</v>
      </c>
      <c r="BG36" s="386">
        <f>VLOOKUP(C36,Theory!B39:AY110,50,FALSE)</f>
        <v>0</v>
      </c>
      <c r="BH36" s="369">
        <f t="shared" si="13"/>
        <v>9</v>
      </c>
      <c r="BI36" s="386">
        <f>VLOOKUP(C36,Theory!B39:AZ110,51,FALSE)</f>
        <v>4</v>
      </c>
      <c r="BJ36" s="386">
        <f>VLOOKUP(C36,Theory!B39:BA110,52,FALSE)</f>
        <v>0</v>
      </c>
      <c r="BK36" s="386">
        <f>VLOOKUP(C36,Theory!B39:BB110,53,FALSE)</f>
        <v>0</v>
      </c>
      <c r="BL36" s="386">
        <f>VLOOKUP(C36,Theory!B39:BC110,54,FALSE)</f>
        <v>0</v>
      </c>
      <c r="BM36" s="386">
        <f>VLOOKUP(C36,Theory!B39:BD110,55,FALSE)</f>
        <v>0</v>
      </c>
      <c r="BN36" s="386">
        <f>VLOOKUP(C36,Theory!B39:BE110,56,FALSE)</f>
        <v>0</v>
      </c>
      <c r="BO36" s="386">
        <f>VLOOKUP(C36,Theory!B39:BF110,57,FALSE)</f>
        <v>0</v>
      </c>
      <c r="BP36" s="386">
        <f>VLOOKUP(C36,Theory!B39:BG110,58,FALSE)</f>
        <v>0</v>
      </c>
      <c r="BQ36" s="369">
        <f t="shared" si="14"/>
        <v>4</v>
      </c>
      <c r="BR36" s="386">
        <f>VLOOKUP(C36,Theory!B39:BH110,59,FALSE)</f>
        <v>6</v>
      </c>
      <c r="BS36" s="386">
        <f>VLOOKUP(C36,Theory!B39:BI110,60,FALSE)</f>
        <v>0</v>
      </c>
      <c r="BT36" s="386">
        <f>VLOOKUP(C36,Theory!B39:BJ110,61,FALSE)</f>
        <v>0</v>
      </c>
      <c r="BU36" s="386">
        <f>VLOOKUP(C36,Theory!B39:BK110,62,FALSE)</f>
        <v>0</v>
      </c>
      <c r="BV36" s="386">
        <f>VLOOKUP(C36,Theory!B39:BL110,63,FALSE)</f>
        <v>0</v>
      </c>
      <c r="BW36" s="386">
        <f>VLOOKUP(C36,Theory!B39:BM110,64,FALSE)</f>
        <v>0</v>
      </c>
      <c r="BX36" s="386">
        <f>VLOOKUP(C36,Theory!B39:BN110,65,FALSE)</f>
        <v>0</v>
      </c>
      <c r="BY36" s="386">
        <f>VLOOKUP(C36,Theory!B39:BO110,66,FALSE)</f>
        <v>0</v>
      </c>
      <c r="BZ36" s="369">
        <f t="shared" si="15"/>
        <v>6</v>
      </c>
      <c r="CA36" s="385">
        <f t="shared" si="1"/>
        <v>28</v>
      </c>
      <c r="CB36" s="386">
        <f>VLOOKUP(C36,Theory!B39:BP110,67,FALSE)</f>
        <v>10</v>
      </c>
      <c r="CC36" s="386">
        <f>VLOOKUP(C36,Theory!B39:BQ110,68,FALSE)</f>
        <v>0</v>
      </c>
      <c r="CD36" s="386">
        <f>VLOOKUP(C36,Theory!B39:BR110,69,FALSE)</f>
        <v>0</v>
      </c>
      <c r="CE36" s="386">
        <f>VLOOKUP(C36,Theory!B39:BS110,70,FALSE)</f>
        <v>0</v>
      </c>
      <c r="CF36" s="369">
        <f t="shared" si="16"/>
        <v>10</v>
      </c>
      <c r="CG36" s="399">
        <f>VLOOKUP(C36,Theory!B39:BT110,71,FALSE)</f>
        <v>0</v>
      </c>
      <c r="CH36" s="399">
        <f>VLOOKUP(C36,Theory!B39:BU110,72,FALSE)</f>
        <v>0</v>
      </c>
      <c r="CI36" s="399">
        <f>VLOOKUP(C36,Theory!B39:BV110,73,FALSE)</f>
        <v>0</v>
      </c>
      <c r="CJ36" s="399">
        <f>VLOOKUP(C36,Theory!B39:BW110,74,FALSE)</f>
        <v>0</v>
      </c>
      <c r="CK36" s="369">
        <f t="shared" si="17"/>
        <v>0</v>
      </c>
      <c r="CL36" s="386">
        <f>VLOOKUP(C36,Theory!B39:BX110,75,FALSE)</f>
        <v>8</v>
      </c>
      <c r="CM36" s="400">
        <f>VLOOKUP(C36,Theory!B39:BY110,76,FALSE)</f>
        <v>0</v>
      </c>
      <c r="CN36" s="400">
        <f>VLOOKUP(C36,Theory!B39:BZ110,77,FALSE)</f>
        <v>0</v>
      </c>
      <c r="CO36" s="400">
        <f>VLOOKUP(C36,Theory!B39:CA110,78,FALSE)</f>
        <v>0</v>
      </c>
      <c r="CP36" s="386">
        <f>VLOOKUP(C36,Theory!B39:CB110,79,FALSE)</f>
        <v>0</v>
      </c>
      <c r="CQ36" s="386">
        <f>VLOOKUP(C36,Theory!B39:CC110,80,FALSE)</f>
        <v>0</v>
      </c>
      <c r="CR36" s="386">
        <f>VLOOKUP(C36,Theory!B39:CD110,81,FALSE)</f>
        <v>0</v>
      </c>
      <c r="CS36" s="386">
        <f>VLOOKUP(C36,Theory!B39:CE110,82,FALSE)</f>
        <v>0</v>
      </c>
      <c r="CT36" s="369">
        <f t="shared" si="18"/>
        <v>8</v>
      </c>
      <c r="CU36" s="399">
        <f>VLOOKUP(C36,Theory!B39:CF110,83,FALSE)</f>
        <v>9</v>
      </c>
      <c r="CV36" s="400">
        <f>VLOOKUP(C36,Theory!B39:CG110,84,FALSE)</f>
        <v>0</v>
      </c>
      <c r="CW36" s="400">
        <f>VLOOKUP(C36,Theory!B39:CH110,85,FALSE)</f>
        <v>0</v>
      </c>
      <c r="CX36" s="400">
        <f>VLOOKUP(C36,Theory!B39:CI110,86,FALSE)</f>
        <v>0</v>
      </c>
      <c r="CY36" s="399">
        <f>VLOOKUP(C36,Theory!B39:CJ110,87,FALSE)</f>
        <v>0</v>
      </c>
      <c r="CZ36" s="399">
        <f>VLOOKUP(C36,Theory!B39:CK110,88,FALSE)</f>
        <v>0</v>
      </c>
      <c r="DA36" s="399">
        <f>VLOOKUP(C36,Theory!B39:CL110,89,FALSE)</f>
        <v>0</v>
      </c>
      <c r="DB36" s="399">
        <f>VLOOKUP(C36,Theory!B39:CM110,90,FALSE)</f>
        <v>0</v>
      </c>
      <c r="DC36" s="369">
        <f t="shared" si="19"/>
        <v>9</v>
      </c>
      <c r="DD36" s="386">
        <f>VLOOKUP(C36,Theory!B39:CN110,91,FALSE)</f>
        <v>0</v>
      </c>
      <c r="DE36" s="400">
        <f>VLOOKUP(C36,Theory!B39:CO110,92,FALSE)</f>
        <v>0</v>
      </c>
      <c r="DF36" s="400">
        <f>VLOOKUP(C36,Theory!B39:CP110,93,FALSE)</f>
        <v>0</v>
      </c>
      <c r="DG36" s="400">
        <f>VLOOKUP(C36,Theory!B39:CQ110,94,FALSE)</f>
        <v>0</v>
      </c>
      <c r="DH36" s="386">
        <f>VLOOKUP(C36,Theory!B39:CR110,95,FALSE)</f>
        <v>6</v>
      </c>
      <c r="DI36" s="386">
        <f>VLOOKUP(C36,Theory!B39:CS110,96,FALSE)</f>
        <v>0</v>
      </c>
      <c r="DJ36" s="386">
        <f>VLOOKUP(C36,Theory!B39:CT110,97,FALSE)</f>
        <v>0</v>
      </c>
      <c r="DK36" s="386">
        <f>VLOOKUP(C36,Theory!B39:CU110,98,FALSE)</f>
        <v>0</v>
      </c>
      <c r="DL36" s="369">
        <f t="shared" si="20"/>
        <v>6</v>
      </c>
      <c r="DM36" s="411">
        <f t="shared" si="2"/>
        <v>33</v>
      </c>
      <c r="DN36" s="413">
        <f t="shared" si="40"/>
        <v>32</v>
      </c>
      <c r="DO36" s="413">
        <f t="shared" si="41"/>
        <v>28</v>
      </c>
      <c r="DP36" s="413">
        <f t="shared" si="42"/>
        <v>33</v>
      </c>
      <c r="DQ36" s="418">
        <f t="shared" si="43"/>
        <v>19</v>
      </c>
      <c r="DR36" s="418">
        <f t="shared" si="44"/>
        <v>17</v>
      </c>
      <c r="DS36" s="418">
        <f t="shared" si="45"/>
        <v>20</v>
      </c>
      <c r="DT36" s="417">
        <f t="shared" si="36"/>
        <v>19</v>
      </c>
      <c r="DU36" s="423">
        <f>VLOOKUP(C36,Theory!B39:CV110,99,FALSE)</f>
        <v>6</v>
      </c>
      <c r="DV36" s="423">
        <f>VLOOKUP(C36,Theory!B39:CW110,100,FALSE)</f>
        <v>10</v>
      </c>
      <c r="DW36" s="424">
        <f t="shared" si="27"/>
        <v>16</v>
      </c>
      <c r="DX36" s="421">
        <f t="shared" si="3"/>
        <v>35</v>
      </c>
      <c r="DY36" s="430">
        <f t="shared" si="4"/>
        <v>21</v>
      </c>
      <c r="DZ36" s="431">
        <f>VLOOKUP(C36,Lab!B31:D100,3,FALSE)</f>
        <v>0</v>
      </c>
      <c r="EA36" s="432">
        <f>VLOOKUP(C36,Lab!B31:E100,4,FALSE)</f>
        <v>0</v>
      </c>
      <c r="EB36" s="432">
        <f>VLOOKUP(C36,Lab!B31:F100,5,FALSE)</f>
        <v>27</v>
      </c>
      <c r="EC36" s="422">
        <f t="shared" si="37"/>
        <v>27</v>
      </c>
      <c r="ED36" s="436">
        <f>VLOOKUP(C36,Lab!B31:G100,6,FALSE)</f>
        <v>0</v>
      </c>
      <c r="EE36" s="436">
        <f>VLOOKUP(C36,Lab!B31:H100,7,FALSE)</f>
        <v>0</v>
      </c>
      <c r="EF36" s="437">
        <f>VLOOKUP(C36,Lab!B31:I100,8,FALSE)</f>
        <v>18</v>
      </c>
      <c r="EG36" s="443">
        <f t="shared" si="38"/>
        <v>18</v>
      </c>
      <c r="EH36" s="444">
        <f t="shared" si="28"/>
        <v>45</v>
      </c>
      <c r="EI36" s="445">
        <f t="shared" si="29"/>
        <v>18</v>
      </c>
      <c r="EJ36" s="446">
        <f t="shared" si="5"/>
        <v>39</v>
      </c>
      <c r="EK36" s="449">
        <v>28</v>
      </c>
      <c r="EM36" s="450">
        <f>VLOOKUP(C36,Theory!B39:DK110,114,FALSE)</f>
        <v>0</v>
      </c>
      <c r="EN36" s="450">
        <f>VLOOKUP(C36,Theory!B39:DL110,115,FALSE)</f>
        <v>0</v>
      </c>
      <c r="EO36" s="450">
        <f>VLOOKUP(C36,Theory!B39:DM110,116,FALSE)</f>
        <v>0</v>
      </c>
      <c r="EP36" s="450">
        <f>VLOOKUP(C36,Theory!B39:DN108,117,FALSE)</f>
        <v>0</v>
      </c>
      <c r="EQ36" s="450">
        <f>VLOOKUP(C36,Theory!B39:DO108,118,FALSE)</f>
        <v>0</v>
      </c>
      <c r="ER36" s="451">
        <f>VLOOKUP(C36,Theory!B39:DP108,119,FALSE)</f>
        <v>0</v>
      </c>
      <c r="ES36" s="454">
        <f>VLOOKUP(C36,Theory!B39:DQ108,120,FALSE)</f>
        <v>0</v>
      </c>
      <c r="ET36" s="455">
        <f t="shared" si="39"/>
        <v>0</v>
      </c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</row>
    <row r="37" ht="18.35" spans="1:160">
      <c r="A37" s="164">
        <v>24</v>
      </c>
      <c r="B37" s="289" t="str">
        <f>Theory!C40</f>
        <v>G M VARSHINI</v>
      </c>
      <c r="C37" s="360" t="str">
        <f>Theory!B40</f>
        <v>1DS23AI025</v>
      </c>
      <c r="D37" s="361">
        <f>VLOOKUP(C37,Theory!B40:D111,3,FALSE)</f>
        <v>8</v>
      </c>
      <c r="E37" s="361">
        <f>VLOOKUP(C37,Theory!B40:E111,4,FALSE)</f>
        <v>0</v>
      </c>
      <c r="F37" s="361">
        <f>VLOOKUP(C37,Theory!B40:F111,5,FALSE)</f>
        <v>0</v>
      </c>
      <c r="G37" s="361">
        <f>VLOOKUP(C37,Theory!B40:G111,6,FALSE)</f>
        <v>0</v>
      </c>
      <c r="H37" s="369">
        <f t="shared" si="6"/>
        <v>8</v>
      </c>
      <c r="I37" s="370">
        <f>VLOOKUP(C37,Theory!B40:H111,7,FALSE)</f>
        <v>4</v>
      </c>
      <c r="J37" s="371">
        <f>VLOOKUP(C37,Theory!B40:I111,8,FALSE)</f>
        <v>0</v>
      </c>
      <c r="K37" s="371">
        <f>VLOOKUP(C37,Theory!B40:J111,9,FALSE)</f>
        <v>0</v>
      </c>
      <c r="L37" s="371">
        <f>VLOOKUP(C37,Theory!B40:K111,10,FALSE)</f>
        <v>0</v>
      </c>
      <c r="M37" s="369">
        <f t="shared" si="7"/>
        <v>4</v>
      </c>
      <c r="N37" s="373">
        <f>VLOOKUP(C37,Theory!B40:L111,11,FALSE)</f>
        <v>5</v>
      </c>
      <c r="O37" s="373">
        <f>VLOOKUP(C37,Theory!B40:M111,12,FALSE)</f>
        <v>0</v>
      </c>
      <c r="P37" s="373">
        <f>VLOOKUP(C37,Theory!B40:N111,13,FALSE)</f>
        <v>0</v>
      </c>
      <c r="Q37" s="373">
        <f>VLOOKUP(C37,Theory!B40:O111,14,FALSE)</f>
        <v>0</v>
      </c>
      <c r="R37" s="371">
        <f>VLOOKUP(C37,Theory!B40:P111,15,FALSE)</f>
        <v>0</v>
      </c>
      <c r="S37" s="371">
        <f>VLOOKUP(C37,Theory!B40:Q111,16,FALSE)</f>
        <v>0</v>
      </c>
      <c r="T37" s="371">
        <f>VLOOKUP(C37,Theory!B40:R111,17,FALSE)</f>
        <v>0</v>
      </c>
      <c r="U37" s="371">
        <f>VLOOKUP(C37,Theory!B40:S111,18,FALSE)</f>
        <v>0</v>
      </c>
      <c r="V37" s="369">
        <f t="shared" si="8"/>
        <v>5</v>
      </c>
      <c r="W37" s="361">
        <f>VLOOKUP(C37,Theory!B40:T111,19,FALSE)</f>
        <v>0</v>
      </c>
      <c r="X37" s="361">
        <f>VLOOKUP(C37,Theory!B40:U111,20,FALSE)</f>
        <v>0</v>
      </c>
      <c r="Y37" s="361">
        <f>VLOOKUP(C37,Theory!B40:V111,21,FALSE)</f>
        <v>0</v>
      </c>
      <c r="Z37" s="361">
        <f>VLOOKUP(C37,Theory!B40:W111,22,FALSE)</f>
        <v>0</v>
      </c>
      <c r="AA37" s="370">
        <f>VLOOKUP(C37,Theory!B40:X111,23,FALSE)</f>
        <v>9</v>
      </c>
      <c r="AB37" s="370">
        <f>VLOOKUP(C37,Theory!B40:Y111,24,FALSE)</f>
        <v>0</v>
      </c>
      <c r="AC37" s="370">
        <f>VLOOKUP(C37,Theory!B40:Z111,25,FALSE)</f>
        <v>0</v>
      </c>
      <c r="AD37" s="370">
        <f>VLOOKUP(C37,Theory!B40:AA111,26,FALSE)</f>
        <v>0</v>
      </c>
      <c r="AE37" s="369">
        <f t="shared" si="9"/>
        <v>9</v>
      </c>
      <c r="AF37" s="361">
        <f>VLOOKUP(C37,Theory!B40:AB111,27,FALSE)</f>
        <v>0</v>
      </c>
      <c r="AG37" s="361">
        <f>VLOOKUP(C37,Theory!B40:AC111,28,FALSE)</f>
        <v>0</v>
      </c>
      <c r="AH37" s="361">
        <f>VLOOKUP(C37,Theory!B40:AD111,29,FALSE)</f>
        <v>0</v>
      </c>
      <c r="AI37" s="361">
        <f>VLOOKUP(C37,Theory!B40:AE111,30,FALSE)</f>
        <v>0</v>
      </c>
      <c r="AJ37" s="380">
        <f>VLOOKUP(C37,Theory!B40:AF111,31,FALSE)</f>
        <v>8</v>
      </c>
      <c r="AK37" s="380">
        <f>VLOOKUP(C37,Theory!B40:AG111,32,FALSE)</f>
        <v>0</v>
      </c>
      <c r="AL37" s="380">
        <f>VLOOKUP(C37,Theory!B40:AH111,33,FALSE)</f>
        <v>0</v>
      </c>
      <c r="AM37" s="380">
        <f>VLOOKUP(C37,Theory!B40:AI111,34,FALSE)</f>
        <v>0</v>
      </c>
      <c r="AN37" s="369">
        <f t="shared" si="10"/>
        <v>8</v>
      </c>
      <c r="AO37" s="385">
        <f t="shared" si="0"/>
        <v>34</v>
      </c>
      <c r="AP37" s="386">
        <f>VLOOKUP(C37,Theory!B40:AJ111,35,FALSE)</f>
        <v>6</v>
      </c>
      <c r="AQ37" s="386">
        <f>VLOOKUP(C37,Theory!B40:AK111,36,FALSE)</f>
        <v>0</v>
      </c>
      <c r="AR37" s="386">
        <f>VLOOKUP(C37,Theory!B40:AL111,37,FALSE)</f>
        <v>0</v>
      </c>
      <c r="AS37" s="386">
        <f>VLOOKUP(C37,Theory!B40:AM111,38,FALSE)</f>
        <v>0</v>
      </c>
      <c r="AT37" s="369">
        <f t="shared" si="11"/>
        <v>6</v>
      </c>
      <c r="AU37" s="386">
        <f>VLOOKUP(C37,Theory!B40:AN111,39,FALSE)</f>
        <v>10</v>
      </c>
      <c r="AV37" s="386">
        <f>VLOOKUP(C37,Theory!B40:AO111,40,FALSE)</f>
        <v>0</v>
      </c>
      <c r="AW37" s="386">
        <f>VLOOKUP(C37,Theory!B40:AP111,41,FALSE)</f>
        <v>0</v>
      </c>
      <c r="AX37" s="386">
        <f>VLOOKUP(C37,Theory!B40:AQ111,42,FALSE)</f>
        <v>0</v>
      </c>
      <c r="AY37" s="369">
        <f t="shared" si="12"/>
        <v>10</v>
      </c>
      <c r="AZ37" s="386">
        <f>VLOOKUP(C37,Theory!B40:AR111,43,FALSE)</f>
        <v>0</v>
      </c>
      <c r="BA37" s="386">
        <f>VLOOKUP(C37,Theory!B40:AS111,44,FALSE)</f>
        <v>0</v>
      </c>
      <c r="BB37" s="386">
        <f>VLOOKUP(C37,Theory!B40:AT111,45,FALSE)</f>
        <v>0</v>
      </c>
      <c r="BC37" s="386">
        <f>VLOOKUP(C37,Theory!B40:AU111,46,FALSE)</f>
        <v>0</v>
      </c>
      <c r="BD37" s="386">
        <f>VLOOKUP(C37,Theory!B40:AV111,47,FALSE)</f>
        <v>8</v>
      </c>
      <c r="BE37" s="386">
        <f>VLOOKUP(C37,Theory!B40:AW111,48,FALSE)</f>
        <v>0</v>
      </c>
      <c r="BF37" s="386">
        <f>VLOOKUP(C37,Theory!B40:AX111,49,FALSE)</f>
        <v>0</v>
      </c>
      <c r="BG37" s="386">
        <f>VLOOKUP(C37,Theory!B40:AY111,50,FALSE)</f>
        <v>0</v>
      </c>
      <c r="BH37" s="369">
        <f t="shared" si="13"/>
        <v>8</v>
      </c>
      <c r="BI37" s="386">
        <f>VLOOKUP(C37,Theory!B40:AZ111,51,FALSE)</f>
        <v>6</v>
      </c>
      <c r="BJ37" s="386">
        <f>VLOOKUP(C37,Theory!B40:BA111,52,FALSE)</f>
        <v>0</v>
      </c>
      <c r="BK37" s="386">
        <f>VLOOKUP(C37,Theory!B40:BB111,53,FALSE)</f>
        <v>0</v>
      </c>
      <c r="BL37" s="386">
        <f>VLOOKUP(C37,Theory!B40:BC111,54,FALSE)</f>
        <v>0</v>
      </c>
      <c r="BM37" s="386">
        <f>VLOOKUP(C37,Theory!B40:BD111,55,FALSE)</f>
        <v>0</v>
      </c>
      <c r="BN37" s="386">
        <f>VLOOKUP(C37,Theory!B40:BE111,56,FALSE)</f>
        <v>0</v>
      </c>
      <c r="BO37" s="386">
        <f>VLOOKUP(C37,Theory!B40:BF111,57,FALSE)</f>
        <v>0</v>
      </c>
      <c r="BP37" s="386">
        <f>VLOOKUP(C37,Theory!B40:BG111,58,FALSE)</f>
        <v>0</v>
      </c>
      <c r="BQ37" s="369">
        <f t="shared" si="14"/>
        <v>6</v>
      </c>
      <c r="BR37" s="386">
        <f>VLOOKUP(C37,Theory!B40:BH111,59,FALSE)</f>
        <v>0</v>
      </c>
      <c r="BS37" s="386">
        <f>VLOOKUP(C37,Theory!B40:BI111,60,FALSE)</f>
        <v>0</v>
      </c>
      <c r="BT37" s="386">
        <f>VLOOKUP(C37,Theory!B40:BJ111,61,FALSE)</f>
        <v>0</v>
      </c>
      <c r="BU37" s="386">
        <f>VLOOKUP(C37,Theory!B40:BK111,62,FALSE)</f>
        <v>0</v>
      </c>
      <c r="BV37" s="386">
        <f>VLOOKUP(C37,Theory!B40:BL111,63,FALSE)</f>
        <v>2</v>
      </c>
      <c r="BW37" s="386">
        <f>VLOOKUP(C37,Theory!B40:BM111,64,FALSE)</f>
        <v>0</v>
      </c>
      <c r="BX37" s="386">
        <f>VLOOKUP(C37,Theory!B40:BN111,65,FALSE)</f>
        <v>0</v>
      </c>
      <c r="BY37" s="386">
        <f>VLOOKUP(C37,Theory!B40:BO111,66,FALSE)</f>
        <v>0</v>
      </c>
      <c r="BZ37" s="369">
        <f t="shared" si="15"/>
        <v>2</v>
      </c>
      <c r="CA37" s="385">
        <f t="shared" si="1"/>
        <v>32</v>
      </c>
      <c r="CB37" s="386">
        <f>VLOOKUP(C37,Theory!B40:BP111,67,FALSE)</f>
        <v>0</v>
      </c>
      <c r="CC37" s="386">
        <f>VLOOKUP(C37,Theory!B40:BQ111,68,FALSE)</f>
        <v>0</v>
      </c>
      <c r="CD37" s="386">
        <f>VLOOKUP(C37,Theory!B40:BR111,69,FALSE)</f>
        <v>0</v>
      </c>
      <c r="CE37" s="386">
        <f>VLOOKUP(C37,Theory!B40:BS111,70,FALSE)</f>
        <v>0</v>
      </c>
      <c r="CF37" s="369">
        <f t="shared" si="16"/>
        <v>0</v>
      </c>
      <c r="CG37" s="399">
        <f>VLOOKUP(C37,Theory!B40:BT111,71,FALSE)</f>
        <v>8</v>
      </c>
      <c r="CH37" s="399">
        <f>VLOOKUP(C37,Theory!B40:BU111,72,FALSE)</f>
        <v>0</v>
      </c>
      <c r="CI37" s="399">
        <f>VLOOKUP(C37,Theory!B40:BV111,73,FALSE)</f>
        <v>0</v>
      </c>
      <c r="CJ37" s="399">
        <f>VLOOKUP(C37,Theory!B40:BW111,74,FALSE)</f>
        <v>0</v>
      </c>
      <c r="CK37" s="369">
        <f t="shared" si="17"/>
        <v>8</v>
      </c>
      <c r="CL37" s="386">
        <f>VLOOKUP(C37,Theory!B40:BX111,75,FALSE)</f>
        <v>8</v>
      </c>
      <c r="CM37" s="400">
        <f>VLOOKUP(C37,Theory!B40:BY111,76,FALSE)</f>
        <v>0</v>
      </c>
      <c r="CN37" s="400">
        <f>VLOOKUP(C37,Theory!B40:BZ111,77,FALSE)</f>
        <v>0</v>
      </c>
      <c r="CO37" s="400">
        <f>VLOOKUP(C37,Theory!B40:CA111,78,FALSE)</f>
        <v>0</v>
      </c>
      <c r="CP37" s="386">
        <f>VLOOKUP(C37,Theory!B40:CB111,79,FALSE)</f>
        <v>8</v>
      </c>
      <c r="CQ37" s="386">
        <f>VLOOKUP(C37,Theory!B40:CC111,80,FALSE)</f>
        <v>0</v>
      </c>
      <c r="CR37" s="386">
        <f>VLOOKUP(C37,Theory!B40:CD111,81,FALSE)</f>
        <v>0</v>
      </c>
      <c r="CS37" s="386">
        <f>VLOOKUP(C37,Theory!B40:CE111,82,FALSE)</f>
        <v>0</v>
      </c>
      <c r="CT37" s="369">
        <f t="shared" si="18"/>
        <v>8</v>
      </c>
      <c r="CU37" s="399">
        <f>VLOOKUP(C37,Theory!B40:CF111,83,FALSE)</f>
        <v>8</v>
      </c>
      <c r="CV37" s="400">
        <f>VLOOKUP(C37,Theory!B40:CG111,84,FALSE)</f>
        <v>0</v>
      </c>
      <c r="CW37" s="400">
        <f>VLOOKUP(C37,Theory!B40:CH111,85,FALSE)</f>
        <v>0</v>
      </c>
      <c r="CX37" s="400">
        <f>VLOOKUP(C37,Theory!B40:CI111,86,FALSE)</f>
        <v>0</v>
      </c>
      <c r="CY37" s="399">
        <f>VLOOKUP(C37,Theory!B40:CJ111,87,FALSE)</f>
        <v>0</v>
      </c>
      <c r="CZ37" s="399">
        <f>VLOOKUP(C37,Theory!B40:CK111,88,FALSE)</f>
        <v>0</v>
      </c>
      <c r="DA37" s="399">
        <f>VLOOKUP(C37,Theory!B40:CL111,89,FALSE)</f>
        <v>0</v>
      </c>
      <c r="DB37" s="399">
        <f>VLOOKUP(C37,Theory!B40:CM111,90,FALSE)</f>
        <v>0</v>
      </c>
      <c r="DC37" s="369">
        <f t="shared" si="19"/>
        <v>8</v>
      </c>
      <c r="DD37" s="386">
        <f>VLOOKUP(C37,Theory!B40:CN111,91,FALSE)</f>
        <v>0</v>
      </c>
      <c r="DE37" s="400">
        <f>VLOOKUP(C37,Theory!B40:CO111,92,FALSE)</f>
        <v>0</v>
      </c>
      <c r="DF37" s="400">
        <f>VLOOKUP(C37,Theory!B40:CP111,93,FALSE)</f>
        <v>0</v>
      </c>
      <c r="DG37" s="400">
        <f>VLOOKUP(C37,Theory!B40:CQ111,94,FALSE)</f>
        <v>0</v>
      </c>
      <c r="DH37" s="386">
        <f>VLOOKUP(C37,Theory!B40:CR111,95,FALSE)</f>
        <v>3</v>
      </c>
      <c r="DI37" s="386">
        <f>VLOOKUP(C37,Theory!B40:CS111,96,FALSE)</f>
        <v>0</v>
      </c>
      <c r="DJ37" s="386">
        <f>VLOOKUP(C37,Theory!B40:CT111,97,FALSE)</f>
        <v>0</v>
      </c>
      <c r="DK37" s="386">
        <f>VLOOKUP(C37,Theory!B40:CU111,98,FALSE)</f>
        <v>0</v>
      </c>
      <c r="DL37" s="369">
        <f t="shared" si="20"/>
        <v>3</v>
      </c>
      <c r="DM37" s="411">
        <f t="shared" si="2"/>
        <v>27</v>
      </c>
      <c r="DN37" s="413">
        <f t="shared" si="40"/>
        <v>34</v>
      </c>
      <c r="DO37" s="413">
        <f t="shared" si="41"/>
        <v>32</v>
      </c>
      <c r="DP37" s="413">
        <f t="shared" si="42"/>
        <v>27</v>
      </c>
      <c r="DQ37" s="418">
        <f t="shared" si="43"/>
        <v>20</v>
      </c>
      <c r="DR37" s="418">
        <f t="shared" si="44"/>
        <v>19</v>
      </c>
      <c r="DS37" s="418">
        <f t="shared" si="45"/>
        <v>16</v>
      </c>
      <c r="DT37" s="417">
        <f t="shared" si="36"/>
        <v>18</v>
      </c>
      <c r="DU37" s="423">
        <f>VLOOKUP(C37,Theory!B40:CV111,99,FALSE)</f>
        <v>6</v>
      </c>
      <c r="DV37" s="423">
        <f>VLOOKUP(C37,Theory!B40:CW111,100,FALSE)</f>
        <v>10</v>
      </c>
      <c r="DW37" s="424">
        <f t="shared" si="27"/>
        <v>16</v>
      </c>
      <c r="DX37" s="421">
        <f t="shared" si="3"/>
        <v>34</v>
      </c>
      <c r="DY37" s="430">
        <f t="shared" si="4"/>
        <v>20</v>
      </c>
      <c r="DZ37" s="431">
        <f>VLOOKUP(C37,Lab!B32:D101,3,FALSE)</f>
        <v>0</v>
      </c>
      <c r="EA37" s="432">
        <f>VLOOKUP(C37,Lab!B32:E101,4,FALSE)</f>
        <v>0</v>
      </c>
      <c r="EB37" s="432">
        <f>VLOOKUP(C37,Lab!B32:F101,5,FALSE)</f>
        <v>29</v>
      </c>
      <c r="EC37" s="422">
        <f t="shared" si="37"/>
        <v>29</v>
      </c>
      <c r="ED37" s="436">
        <f>VLOOKUP(C37,Lab!B32:G101,6,FALSE)</f>
        <v>0</v>
      </c>
      <c r="EE37" s="436">
        <f>VLOOKUP(C37,Lab!B32:H101,7,FALSE)</f>
        <v>0</v>
      </c>
      <c r="EF37" s="437">
        <f>VLOOKUP(C37,Lab!B32:I101,8,FALSE)</f>
        <v>19</v>
      </c>
      <c r="EG37" s="443">
        <f t="shared" si="38"/>
        <v>19</v>
      </c>
      <c r="EH37" s="444">
        <f t="shared" si="28"/>
        <v>48</v>
      </c>
      <c r="EI37" s="445">
        <f t="shared" si="29"/>
        <v>19</v>
      </c>
      <c r="EJ37" s="446">
        <f t="shared" si="5"/>
        <v>39</v>
      </c>
      <c r="EK37" s="449">
        <v>32.5</v>
      </c>
      <c r="EM37" s="450">
        <f>VLOOKUP(C37,Theory!B40:DK111,114,FALSE)</f>
        <v>0</v>
      </c>
      <c r="EN37" s="450">
        <f>VLOOKUP(C37,Theory!B40:DL111,115,FALSE)</f>
        <v>0</v>
      </c>
      <c r="EO37" s="450">
        <f>VLOOKUP(C37,Theory!B40:DM111,116,FALSE)</f>
        <v>0</v>
      </c>
      <c r="EP37" s="450">
        <f>VLOOKUP(C37,Theory!B40:DN109,117,FALSE)</f>
        <v>0</v>
      </c>
      <c r="EQ37" s="450">
        <f>VLOOKUP(C37,Theory!B40:DO109,118,FALSE)</f>
        <v>0</v>
      </c>
      <c r="ER37" s="451">
        <f>VLOOKUP(C37,Theory!B40:DP109,119,FALSE)</f>
        <v>0</v>
      </c>
      <c r="ES37" s="454">
        <f>VLOOKUP(C37,Theory!B40:DQ109,120,FALSE)</f>
        <v>0</v>
      </c>
      <c r="ET37" s="455">
        <f t="shared" si="39"/>
        <v>0</v>
      </c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</row>
    <row r="38" ht="18.35" spans="1:160">
      <c r="A38" s="164">
        <v>25</v>
      </c>
      <c r="B38" s="289" t="str">
        <f>Theory!C41</f>
        <v>GANGEDDULA JOSHITH REDDY</v>
      </c>
      <c r="C38" s="360" t="str">
        <f>Theory!B41</f>
        <v>1DS23AI026</v>
      </c>
      <c r="D38" s="361">
        <f>VLOOKUP(C38,Theory!B41:D112,3,FALSE)</f>
        <v>7</v>
      </c>
      <c r="E38" s="361">
        <f>VLOOKUP(C38,Theory!B41:E112,4,FALSE)</f>
        <v>0</v>
      </c>
      <c r="F38" s="361">
        <f>VLOOKUP(C38,Theory!B41:F112,5,FALSE)</f>
        <v>0</v>
      </c>
      <c r="G38" s="361">
        <f>VLOOKUP(C38,Theory!B41:G112,6,FALSE)</f>
        <v>0</v>
      </c>
      <c r="H38" s="369">
        <f t="shared" si="6"/>
        <v>7</v>
      </c>
      <c r="I38" s="370">
        <f>VLOOKUP(C38,Theory!B41:H112,7,FALSE)</f>
        <v>2</v>
      </c>
      <c r="J38" s="371">
        <f>VLOOKUP(C38,Theory!B41:I112,8,FALSE)</f>
        <v>0</v>
      </c>
      <c r="K38" s="371">
        <f>VLOOKUP(C38,Theory!B41:J112,9,FALSE)</f>
        <v>0</v>
      </c>
      <c r="L38" s="371">
        <f>VLOOKUP(C38,Theory!B41:K112,10,FALSE)</f>
        <v>0</v>
      </c>
      <c r="M38" s="369">
        <f t="shared" si="7"/>
        <v>2</v>
      </c>
      <c r="N38" s="373">
        <f>VLOOKUP(C38,Theory!B41:L112,11,FALSE)</f>
        <v>2</v>
      </c>
      <c r="O38" s="373">
        <f>VLOOKUP(C38,Theory!B41:M112,12,FALSE)</f>
        <v>0</v>
      </c>
      <c r="P38" s="373">
        <f>VLOOKUP(C38,Theory!B41:N112,13,FALSE)</f>
        <v>0</v>
      </c>
      <c r="Q38" s="373">
        <f>VLOOKUP(C38,Theory!B41:O112,14,FALSE)</f>
        <v>0</v>
      </c>
      <c r="R38" s="371">
        <f>VLOOKUP(C38,Theory!B41:P112,15,FALSE)</f>
        <v>0</v>
      </c>
      <c r="S38" s="371">
        <f>VLOOKUP(C38,Theory!B41:Q112,16,FALSE)</f>
        <v>0</v>
      </c>
      <c r="T38" s="371">
        <f>VLOOKUP(C38,Theory!B41:R112,17,FALSE)</f>
        <v>0</v>
      </c>
      <c r="U38" s="371">
        <f>VLOOKUP(C38,Theory!B41:S112,18,FALSE)</f>
        <v>0</v>
      </c>
      <c r="V38" s="369">
        <f t="shared" si="8"/>
        <v>2</v>
      </c>
      <c r="W38" s="361">
        <f>VLOOKUP(C38,Theory!B41:T112,19,FALSE)</f>
        <v>0</v>
      </c>
      <c r="X38" s="361">
        <f>VLOOKUP(C38,Theory!B41:U112,20,FALSE)</f>
        <v>0</v>
      </c>
      <c r="Y38" s="361">
        <f>VLOOKUP(C38,Theory!B41:V112,21,FALSE)</f>
        <v>0</v>
      </c>
      <c r="Z38" s="361">
        <f>VLOOKUP(C38,Theory!B41:W112,22,FALSE)</f>
        <v>0</v>
      </c>
      <c r="AA38" s="370">
        <f>VLOOKUP(C38,Theory!B41:X112,23,FALSE)</f>
        <v>9</v>
      </c>
      <c r="AB38" s="370">
        <f>VLOOKUP(C38,Theory!B41:Y112,24,FALSE)</f>
        <v>0</v>
      </c>
      <c r="AC38" s="370">
        <f>VLOOKUP(C38,Theory!B41:Z112,25,FALSE)</f>
        <v>0</v>
      </c>
      <c r="AD38" s="370">
        <f>VLOOKUP(C38,Theory!B41:AA112,26,FALSE)</f>
        <v>0</v>
      </c>
      <c r="AE38" s="369">
        <f t="shared" si="9"/>
        <v>9</v>
      </c>
      <c r="AF38" s="361">
        <f>VLOOKUP(C38,Theory!B41:AB112,27,FALSE)</f>
        <v>0</v>
      </c>
      <c r="AG38" s="361">
        <f>VLOOKUP(C38,Theory!B41:AC112,28,FALSE)</f>
        <v>0</v>
      </c>
      <c r="AH38" s="361">
        <f>VLOOKUP(C38,Theory!B41:AD112,29,FALSE)</f>
        <v>0</v>
      </c>
      <c r="AI38" s="361">
        <f>VLOOKUP(C38,Theory!B41:AE112,30,FALSE)</f>
        <v>0</v>
      </c>
      <c r="AJ38" s="380">
        <f>VLOOKUP(C38,Theory!B41:AF112,31,FALSE)</f>
        <v>3</v>
      </c>
      <c r="AK38" s="380">
        <f>VLOOKUP(C38,Theory!B41:AG112,32,FALSE)</f>
        <v>0</v>
      </c>
      <c r="AL38" s="380">
        <f>VLOOKUP(C38,Theory!B41:AH112,33,FALSE)</f>
        <v>0</v>
      </c>
      <c r="AM38" s="380">
        <f>VLOOKUP(C38,Theory!B41:AI112,34,FALSE)</f>
        <v>0</v>
      </c>
      <c r="AN38" s="369">
        <f t="shared" si="10"/>
        <v>3</v>
      </c>
      <c r="AO38" s="385">
        <f t="shared" si="0"/>
        <v>23</v>
      </c>
      <c r="AP38" s="386">
        <f>VLOOKUP(C38,Theory!B41:AJ112,35,FALSE)</f>
        <v>6</v>
      </c>
      <c r="AQ38" s="386">
        <f>VLOOKUP(C38,Theory!B41:AK112,36,FALSE)</f>
        <v>0</v>
      </c>
      <c r="AR38" s="386">
        <f>VLOOKUP(C38,Theory!B41:AL112,37,FALSE)</f>
        <v>0</v>
      </c>
      <c r="AS38" s="386">
        <f>VLOOKUP(C38,Theory!B41:AM112,38,FALSE)</f>
        <v>0</v>
      </c>
      <c r="AT38" s="369">
        <f t="shared" si="11"/>
        <v>6</v>
      </c>
      <c r="AU38" s="386">
        <f>VLOOKUP(C38,Theory!B41:AN112,39,FALSE)</f>
        <v>0</v>
      </c>
      <c r="AV38" s="386">
        <f>VLOOKUP(C38,Theory!B41:AO112,40,FALSE)</f>
        <v>0</v>
      </c>
      <c r="AW38" s="386">
        <f>VLOOKUP(C38,Theory!B41:AP112,41,FALSE)</f>
        <v>0</v>
      </c>
      <c r="AX38" s="386">
        <f>VLOOKUP(C38,Theory!B41:AQ112,42,FALSE)</f>
        <v>0</v>
      </c>
      <c r="AY38" s="369">
        <f t="shared" si="12"/>
        <v>0</v>
      </c>
      <c r="AZ38" s="386">
        <f>VLOOKUP(C38,Theory!B41:AR112,43,FALSE)</f>
        <v>8</v>
      </c>
      <c r="BA38" s="386">
        <f>VLOOKUP(C38,Theory!B41:AS112,44,FALSE)</f>
        <v>0</v>
      </c>
      <c r="BB38" s="386">
        <f>VLOOKUP(C38,Theory!B41:AT112,45,FALSE)</f>
        <v>0</v>
      </c>
      <c r="BC38" s="386">
        <f>VLOOKUP(C38,Theory!B41:AU112,46,FALSE)</f>
        <v>0</v>
      </c>
      <c r="BD38" s="386">
        <f>VLOOKUP(C38,Theory!B41:AV112,47,FALSE)</f>
        <v>0</v>
      </c>
      <c r="BE38" s="386">
        <f>VLOOKUP(C38,Theory!B41:AW112,48,FALSE)</f>
        <v>0</v>
      </c>
      <c r="BF38" s="386">
        <f>VLOOKUP(C38,Theory!B41:AX112,49,FALSE)</f>
        <v>0</v>
      </c>
      <c r="BG38" s="386">
        <f>VLOOKUP(C38,Theory!B41:AY112,50,FALSE)</f>
        <v>0</v>
      </c>
      <c r="BH38" s="369">
        <f t="shared" si="13"/>
        <v>8</v>
      </c>
      <c r="BI38" s="386">
        <f>VLOOKUP(C38,Theory!B41:AZ112,51,FALSE)</f>
        <v>0</v>
      </c>
      <c r="BJ38" s="386">
        <f>VLOOKUP(C38,Theory!B41:BA112,52,FALSE)</f>
        <v>0</v>
      </c>
      <c r="BK38" s="386">
        <f>VLOOKUP(C38,Theory!B41:BB112,53,FALSE)</f>
        <v>0</v>
      </c>
      <c r="BL38" s="386">
        <f>VLOOKUP(C38,Theory!B41:BC112,54,FALSE)</f>
        <v>0</v>
      </c>
      <c r="BM38" s="386">
        <f>VLOOKUP(C38,Theory!B41:BD112,55,FALSE)</f>
        <v>0</v>
      </c>
      <c r="BN38" s="386">
        <f>VLOOKUP(C38,Theory!B41:BE112,56,FALSE)</f>
        <v>0</v>
      </c>
      <c r="BO38" s="386">
        <f>VLOOKUP(C38,Theory!B41:BF112,57,FALSE)</f>
        <v>0</v>
      </c>
      <c r="BP38" s="386">
        <f>VLOOKUP(C38,Theory!B41:BG112,58,FALSE)</f>
        <v>0</v>
      </c>
      <c r="BQ38" s="369">
        <f t="shared" si="14"/>
        <v>0</v>
      </c>
      <c r="BR38" s="386">
        <f>VLOOKUP(C38,Theory!B41:BH112,59,FALSE)</f>
        <v>4</v>
      </c>
      <c r="BS38" s="386">
        <f>VLOOKUP(C38,Theory!B41:BI112,60,FALSE)</f>
        <v>0</v>
      </c>
      <c r="BT38" s="386">
        <f>VLOOKUP(C38,Theory!B41:BJ112,61,FALSE)</f>
        <v>0</v>
      </c>
      <c r="BU38" s="386">
        <f>VLOOKUP(C38,Theory!B41:BK112,62,FALSE)</f>
        <v>0</v>
      </c>
      <c r="BV38" s="386">
        <f>VLOOKUP(C38,Theory!B41:BL112,63,FALSE)</f>
        <v>0</v>
      </c>
      <c r="BW38" s="386">
        <f>VLOOKUP(C38,Theory!B41:BM112,64,FALSE)</f>
        <v>0</v>
      </c>
      <c r="BX38" s="386">
        <f>VLOOKUP(C38,Theory!B41:BN112,65,FALSE)</f>
        <v>0</v>
      </c>
      <c r="BY38" s="386">
        <f>VLOOKUP(C38,Theory!B41:BO112,66,FALSE)</f>
        <v>0</v>
      </c>
      <c r="BZ38" s="369">
        <f t="shared" si="15"/>
        <v>4</v>
      </c>
      <c r="CA38" s="385">
        <f t="shared" si="1"/>
        <v>18</v>
      </c>
      <c r="CB38" s="386">
        <f>VLOOKUP(C38,Theory!B41:BP112,67,FALSE)</f>
        <v>8</v>
      </c>
      <c r="CC38" s="386">
        <f>VLOOKUP(C38,Theory!B41:BQ112,68,FALSE)</f>
        <v>0</v>
      </c>
      <c r="CD38" s="386">
        <f>VLOOKUP(C38,Theory!B41:BR112,69,FALSE)</f>
        <v>0</v>
      </c>
      <c r="CE38" s="386">
        <f>VLOOKUP(C38,Theory!B41:BS112,70,FALSE)</f>
        <v>0</v>
      </c>
      <c r="CF38" s="369">
        <f t="shared" si="16"/>
        <v>8</v>
      </c>
      <c r="CG38" s="399">
        <f>VLOOKUP(C38,Theory!B41:BT112,71,FALSE)</f>
        <v>6</v>
      </c>
      <c r="CH38" s="399">
        <f>VLOOKUP(C38,Theory!B41:BU112,72,FALSE)</f>
        <v>0</v>
      </c>
      <c r="CI38" s="399">
        <f>VLOOKUP(C38,Theory!B41:BV112,73,FALSE)</f>
        <v>0</v>
      </c>
      <c r="CJ38" s="399">
        <f>VLOOKUP(C38,Theory!B41:BW112,74,FALSE)</f>
        <v>0</v>
      </c>
      <c r="CK38" s="369">
        <f t="shared" si="17"/>
        <v>6</v>
      </c>
      <c r="CL38" s="386">
        <f>VLOOKUP(C38,Theory!B41:BX112,75,FALSE)</f>
        <v>8</v>
      </c>
      <c r="CM38" s="400">
        <f>VLOOKUP(C38,Theory!B41:BY112,76,FALSE)</f>
        <v>0</v>
      </c>
      <c r="CN38" s="400">
        <f>VLOOKUP(C38,Theory!B41:BZ112,77,FALSE)</f>
        <v>0</v>
      </c>
      <c r="CO38" s="400">
        <f>VLOOKUP(C38,Theory!B41:CA112,78,FALSE)</f>
        <v>0</v>
      </c>
      <c r="CP38" s="386">
        <f>VLOOKUP(C38,Theory!B41:CB112,79,FALSE)</f>
        <v>0</v>
      </c>
      <c r="CQ38" s="386">
        <f>VLOOKUP(C38,Theory!B41:CC112,80,FALSE)</f>
        <v>0</v>
      </c>
      <c r="CR38" s="386">
        <f>VLOOKUP(C38,Theory!B41:CD112,81,FALSE)</f>
        <v>0</v>
      </c>
      <c r="CS38" s="386">
        <f>VLOOKUP(C38,Theory!B41:CE112,82,FALSE)</f>
        <v>0</v>
      </c>
      <c r="CT38" s="369">
        <f t="shared" si="18"/>
        <v>8</v>
      </c>
      <c r="CU38" s="399">
        <f>VLOOKUP(C38,Theory!B41:CF112,83,FALSE)</f>
        <v>8</v>
      </c>
      <c r="CV38" s="400">
        <f>VLOOKUP(C38,Theory!B41:CG112,84,FALSE)</f>
        <v>0</v>
      </c>
      <c r="CW38" s="400">
        <f>VLOOKUP(C38,Theory!B41:CH112,85,FALSE)</f>
        <v>0</v>
      </c>
      <c r="CX38" s="400">
        <f>VLOOKUP(C38,Theory!B41:CI112,86,FALSE)</f>
        <v>0</v>
      </c>
      <c r="CY38" s="399">
        <f>VLOOKUP(C38,Theory!B41:CJ112,87,FALSE)</f>
        <v>0</v>
      </c>
      <c r="CZ38" s="399">
        <f>VLOOKUP(C38,Theory!B41:CK112,88,FALSE)</f>
        <v>0</v>
      </c>
      <c r="DA38" s="399">
        <f>VLOOKUP(C38,Theory!B41:CL112,89,FALSE)</f>
        <v>0</v>
      </c>
      <c r="DB38" s="399">
        <f>VLOOKUP(C38,Theory!B41:CM112,90,FALSE)</f>
        <v>0</v>
      </c>
      <c r="DC38" s="369">
        <f t="shared" si="19"/>
        <v>8</v>
      </c>
      <c r="DD38" s="386">
        <f>VLOOKUP(C38,Theory!B41:CN112,91,FALSE)</f>
        <v>2</v>
      </c>
      <c r="DE38" s="400">
        <f>VLOOKUP(C38,Theory!B41:CO112,92,FALSE)</f>
        <v>0</v>
      </c>
      <c r="DF38" s="400">
        <f>VLOOKUP(C38,Theory!B41:CP112,93,FALSE)</f>
        <v>0</v>
      </c>
      <c r="DG38" s="400">
        <f>VLOOKUP(C38,Theory!B41:CQ112,94,FALSE)</f>
        <v>0</v>
      </c>
      <c r="DH38" s="386">
        <f>VLOOKUP(C38,Theory!B41:CR112,95,FALSE)</f>
        <v>0</v>
      </c>
      <c r="DI38" s="386">
        <f>VLOOKUP(C38,Theory!B41:CS112,96,FALSE)</f>
        <v>0</v>
      </c>
      <c r="DJ38" s="386">
        <f>VLOOKUP(C38,Theory!B41:CT112,97,FALSE)</f>
        <v>0</v>
      </c>
      <c r="DK38" s="386">
        <f>VLOOKUP(C38,Theory!B41:CU112,98,FALSE)</f>
        <v>0</v>
      </c>
      <c r="DL38" s="369">
        <f t="shared" si="20"/>
        <v>2</v>
      </c>
      <c r="DM38" s="411">
        <f t="shared" si="2"/>
        <v>32</v>
      </c>
      <c r="DN38" s="413">
        <f t="shared" si="40"/>
        <v>23</v>
      </c>
      <c r="DO38" s="413">
        <f t="shared" si="41"/>
        <v>18</v>
      </c>
      <c r="DP38" s="413">
        <f t="shared" si="42"/>
        <v>32</v>
      </c>
      <c r="DQ38" s="418">
        <f t="shared" si="43"/>
        <v>14</v>
      </c>
      <c r="DR38" s="418">
        <f t="shared" si="44"/>
        <v>11</v>
      </c>
      <c r="DS38" s="418">
        <f t="shared" si="45"/>
        <v>19</v>
      </c>
      <c r="DT38" s="417">
        <f t="shared" si="36"/>
        <v>15</v>
      </c>
      <c r="DU38" s="423">
        <f>VLOOKUP(C38,Theory!B41:CV112,99,FALSE)</f>
        <v>6</v>
      </c>
      <c r="DV38" s="423">
        <f>VLOOKUP(C38,Theory!B41:CW112,100,FALSE)</f>
        <v>10</v>
      </c>
      <c r="DW38" s="424">
        <f t="shared" si="27"/>
        <v>16</v>
      </c>
      <c r="DX38" s="421">
        <f t="shared" si="3"/>
        <v>31</v>
      </c>
      <c r="DY38" s="430">
        <f t="shared" si="4"/>
        <v>19</v>
      </c>
      <c r="DZ38" s="431">
        <f>VLOOKUP(C38,Lab!B33:D102,3,FALSE)</f>
        <v>0</v>
      </c>
      <c r="EA38" s="432">
        <f>VLOOKUP(C38,Lab!B33:E102,4,FALSE)</f>
        <v>0</v>
      </c>
      <c r="EB38" s="432">
        <f>VLOOKUP(C38,Lab!B33:F102,5,FALSE)</f>
        <v>29</v>
      </c>
      <c r="EC38" s="422">
        <f t="shared" si="37"/>
        <v>29</v>
      </c>
      <c r="ED38" s="436">
        <f>VLOOKUP(C38,Lab!B33:G102,6,FALSE)</f>
        <v>0</v>
      </c>
      <c r="EE38" s="436">
        <f>VLOOKUP(C38,Lab!B33:H102,7,FALSE)</f>
        <v>0</v>
      </c>
      <c r="EF38" s="437">
        <v>16</v>
      </c>
      <c r="EG38" s="443">
        <f t="shared" si="38"/>
        <v>16</v>
      </c>
      <c r="EH38" s="444">
        <f t="shared" si="28"/>
        <v>45</v>
      </c>
      <c r="EI38" s="445">
        <f t="shared" si="29"/>
        <v>18</v>
      </c>
      <c r="EJ38" s="446">
        <f t="shared" si="5"/>
        <v>37</v>
      </c>
      <c r="EK38" s="449">
        <v>25.5</v>
      </c>
      <c r="EM38" s="450">
        <f>VLOOKUP(C38,Theory!B41:DK112,114,FALSE)</f>
        <v>0</v>
      </c>
      <c r="EN38" s="450">
        <f>VLOOKUP(C38,Theory!B41:DL112,115,FALSE)</f>
        <v>0</v>
      </c>
      <c r="EO38" s="450">
        <f>VLOOKUP(C38,Theory!B41:DM112,116,FALSE)</f>
        <v>0</v>
      </c>
      <c r="EP38" s="450">
        <f>VLOOKUP(C38,Theory!B41:DN110,117,FALSE)</f>
        <v>0</v>
      </c>
      <c r="EQ38" s="450">
        <f>VLOOKUP(C38,Theory!B41:DO110,118,FALSE)</f>
        <v>0</v>
      </c>
      <c r="ER38" s="451">
        <f>VLOOKUP(C38,Theory!B41:DP110,119,FALSE)</f>
        <v>0</v>
      </c>
      <c r="ES38" s="454">
        <f>VLOOKUP(C38,Theory!B41:DQ110,120,FALSE)</f>
        <v>0</v>
      </c>
      <c r="ET38" s="455">
        <f t="shared" si="39"/>
        <v>0</v>
      </c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</row>
    <row r="39" ht="18.35" spans="1:160">
      <c r="A39" s="164">
        <v>26</v>
      </c>
      <c r="B39" s="289" t="str">
        <f>Theory!C42</f>
        <v>HARSHIT GOSWAMI</v>
      </c>
      <c r="C39" s="360" t="str">
        <f>Theory!B42</f>
        <v>1DS23AI027</v>
      </c>
      <c r="D39" s="361">
        <f>VLOOKUP(C39,Theory!B42:D113,3,FALSE)</f>
        <v>9</v>
      </c>
      <c r="E39" s="361">
        <f>VLOOKUP(C39,Theory!B42:E113,4,FALSE)</f>
        <v>0</v>
      </c>
      <c r="F39" s="361">
        <f>VLOOKUP(C39,Theory!B42:F113,5,FALSE)</f>
        <v>0</v>
      </c>
      <c r="G39" s="361">
        <f>VLOOKUP(C39,Theory!B42:G113,6,FALSE)</f>
        <v>0</v>
      </c>
      <c r="H39" s="369">
        <f t="shared" si="6"/>
        <v>9</v>
      </c>
      <c r="I39" s="370">
        <f>VLOOKUP(C39,Theory!B42:H113,7,FALSE)</f>
        <v>4</v>
      </c>
      <c r="J39" s="371">
        <f>VLOOKUP(C39,Theory!B42:I113,8,FALSE)</f>
        <v>0</v>
      </c>
      <c r="K39" s="371">
        <f>VLOOKUP(C39,Theory!B42:J113,9,FALSE)</f>
        <v>0</v>
      </c>
      <c r="L39" s="371">
        <f>VLOOKUP(C39,Theory!B42:K113,10,FALSE)</f>
        <v>0</v>
      </c>
      <c r="M39" s="369">
        <f t="shared" si="7"/>
        <v>4</v>
      </c>
      <c r="N39" s="373">
        <f>VLOOKUP(C39,Theory!B42:L113,11,FALSE)</f>
        <v>0</v>
      </c>
      <c r="O39" s="373">
        <f>VLOOKUP(C39,Theory!B42:M113,12,FALSE)</f>
        <v>0</v>
      </c>
      <c r="P39" s="373">
        <f>VLOOKUP(C39,Theory!B42:N113,13,FALSE)</f>
        <v>0</v>
      </c>
      <c r="Q39" s="373">
        <f>VLOOKUP(C39,Theory!B42:O113,14,FALSE)</f>
        <v>0</v>
      </c>
      <c r="R39" s="371">
        <f>VLOOKUP(C39,Theory!B42:P113,15,FALSE)</f>
        <v>3</v>
      </c>
      <c r="S39" s="371">
        <f>VLOOKUP(C39,Theory!B42:Q113,16,FALSE)</f>
        <v>0</v>
      </c>
      <c r="T39" s="371">
        <f>VLOOKUP(C39,Theory!B42:R113,17,FALSE)</f>
        <v>0</v>
      </c>
      <c r="U39" s="371">
        <f>VLOOKUP(C39,Theory!B42:S113,18,FALSE)</f>
        <v>0</v>
      </c>
      <c r="V39" s="369">
        <f t="shared" si="8"/>
        <v>3</v>
      </c>
      <c r="W39" s="361">
        <f>VLOOKUP(C39,Theory!B42:T113,19,FALSE)</f>
        <v>0</v>
      </c>
      <c r="X39" s="361">
        <f>VLOOKUP(C39,Theory!B42:U113,20,FALSE)</f>
        <v>0</v>
      </c>
      <c r="Y39" s="361">
        <f>VLOOKUP(C39,Theory!B42:V113,21,FALSE)</f>
        <v>0</v>
      </c>
      <c r="Z39" s="361">
        <f>VLOOKUP(C39,Theory!B42:W113,22,FALSE)</f>
        <v>0</v>
      </c>
      <c r="AA39" s="370">
        <f>VLOOKUP(C39,Theory!B42:X113,23,FALSE)</f>
        <v>8</v>
      </c>
      <c r="AB39" s="370">
        <f>VLOOKUP(C39,Theory!B42:Y113,24,FALSE)</f>
        <v>0</v>
      </c>
      <c r="AC39" s="370">
        <f>VLOOKUP(C39,Theory!B42:Z113,25,FALSE)</f>
        <v>0</v>
      </c>
      <c r="AD39" s="370">
        <f>VLOOKUP(C39,Theory!B42:AA113,26,FALSE)</f>
        <v>0</v>
      </c>
      <c r="AE39" s="369">
        <f t="shared" si="9"/>
        <v>8</v>
      </c>
      <c r="AF39" s="361">
        <f>VLOOKUP(C39,Theory!B42:AB113,27,FALSE)</f>
        <v>0</v>
      </c>
      <c r="AG39" s="361">
        <f>VLOOKUP(C39,Theory!B42:AC113,28,FALSE)</f>
        <v>0</v>
      </c>
      <c r="AH39" s="361">
        <f>VLOOKUP(C39,Theory!B42:AD113,29,FALSE)</f>
        <v>0</v>
      </c>
      <c r="AI39" s="361">
        <f>VLOOKUP(C39,Theory!B42:AE113,30,FALSE)</f>
        <v>0</v>
      </c>
      <c r="AJ39" s="380">
        <f>VLOOKUP(C39,Theory!B42:AF113,31,FALSE)</f>
        <v>9</v>
      </c>
      <c r="AK39" s="380">
        <f>VLOOKUP(C39,Theory!B42:AG113,32,FALSE)</f>
        <v>0</v>
      </c>
      <c r="AL39" s="380">
        <f>VLOOKUP(C39,Theory!B42:AH113,33,FALSE)</f>
        <v>0</v>
      </c>
      <c r="AM39" s="380">
        <f>VLOOKUP(C39,Theory!B42:AI113,34,FALSE)</f>
        <v>0</v>
      </c>
      <c r="AN39" s="369">
        <f t="shared" si="10"/>
        <v>9</v>
      </c>
      <c r="AO39" s="385">
        <f t="shared" si="0"/>
        <v>33</v>
      </c>
      <c r="AP39" s="386">
        <f>VLOOKUP(C39,Theory!B42:AJ113,35,FALSE)</f>
        <v>8</v>
      </c>
      <c r="AQ39" s="386">
        <f>VLOOKUP(C39,Theory!B42:AK113,36,FALSE)</f>
        <v>0</v>
      </c>
      <c r="AR39" s="386">
        <f>VLOOKUP(C39,Theory!B42:AL113,37,FALSE)</f>
        <v>0</v>
      </c>
      <c r="AS39" s="386">
        <f>VLOOKUP(C39,Theory!B42:AM113,38,FALSE)</f>
        <v>0</v>
      </c>
      <c r="AT39" s="369">
        <f t="shared" si="11"/>
        <v>8</v>
      </c>
      <c r="AU39" s="386">
        <f>VLOOKUP(C39,Theory!B42:AN113,39,FALSE)</f>
        <v>0</v>
      </c>
      <c r="AV39" s="386">
        <f>VLOOKUP(C39,Theory!B42:AO113,40,FALSE)</f>
        <v>0</v>
      </c>
      <c r="AW39" s="386">
        <f>VLOOKUP(C39,Theory!B42:AP113,41,FALSE)</f>
        <v>0</v>
      </c>
      <c r="AX39" s="386">
        <f>VLOOKUP(C39,Theory!B42:AQ113,42,FALSE)</f>
        <v>0</v>
      </c>
      <c r="AY39" s="369">
        <f t="shared" si="12"/>
        <v>0</v>
      </c>
      <c r="AZ39" s="386">
        <f>VLOOKUP(C39,Theory!B42:AR113,43,FALSE)</f>
        <v>8</v>
      </c>
      <c r="BA39" s="386">
        <f>VLOOKUP(C39,Theory!B42:AS113,44,FALSE)</f>
        <v>0</v>
      </c>
      <c r="BB39" s="386">
        <f>VLOOKUP(C39,Theory!B42:AT113,45,FALSE)</f>
        <v>0</v>
      </c>
      <c r="BC39" s="386">
        <f>VLOOKUP(C39,Theory!B42:AU113,46,FALSE)</f>
        <v>0</v>
      </c>
      <c r="BD39" s="386">
        <f>VLOOKUP(C39,Theory!B42:AV113,47,FALSE)</f>
        <v>0</v>
      </c>
      <c r="BE39" s="386">
        <f>VLOOKUP(C39,Theory!B42:AW113,48,FALSE)</f>
        <v>0</v>
      </c>
      <c r="BF39" s="386">
        <f>VLOOKUP(C39,Theory!B42:AX113,49,FALSE)</f>
        <v>0</v>
      </c>
      <c r="BG39" s="386">
        <f>VLOOKUP(C39,Theory!B42:AY113,50,FALSE)</f>
        <v>0</v>
      </c>
      <c r="BH39" s="369">
        <f t="shared" si="13"/>
        <v>8</v>
      </c>
      <c r="BI39" s="386">
        <f>VLOOKUP(C39,Theory!B42:AZ113,51,FALSE)</f>
        <v>0</v>
      </c>
      <c r="BJ39" s="386">
        <f>VLOOKUP(C39,Theory!B42:BA113,52,FALSE)</f>
        <v>0</v>
      </c>
      <c r="BK39" s="386">
        <f>VLOOKUP(C39,Theory!B42:BB113,53,FALSE)</f>
        <v>0</v>
      </c>
      <c r="BL39" s="386">
        <f>VLOOKUP(C39,Theory!B42:BC113,54,FALSE)</f>
        <v>0</v>
      </c>
      <c r="BM39" s="386">
        <f>VLOOKUP(C39,Theory!B42:BD113,55,FALSE)</f>
        <v>2</v>
      </c>
      <c r="BN39" s="386">
        <f>VLOOKUP(C39,Theory!B42:BE113,56,FALSE)</f>
        <v>0</v>
      </c>
      <c r="BO39" s="386">
        <f>VLOOKUP(C39,Theory!B42:BF113,57,FALSE)</f>
        <v>0</v>
      </c>
      <c r="BP39" s="386">
        <f>VLOOKUP(C39,Theory!B42:BG113,58,FALSE)</f>
        <v>0</v>
      </c>
      <c r="BQ39" s="369">
        <f t="shared" si="14"/>
        <v>2</v>
      </c>
      <c r="BR39" s="386">
        <f>VLOOKUP(C39,Theory!B42:BH113,59,FALSE)</f>
        <v>8</v>
      </c>
      <c r="BS39" s="386">
        <f>VLOOKUP(C39,Theory!B42:BI113,60,FALSE)</f>
        <v>0</v>
      </c>
      <c r="BT39" s="386">
        <f>VLOOKUP(C39,Theory!B42:BJ113,61,FALSE)</f>
        <v>0</v>
      </c>
      <c r="BU39" s="386">
        <f>VLOOKUP(C39,Theory!B42:BK113,62,FALSE)</f>
        <v>0</v>
      </c>
      <c r="BV39" s="386">
        <f>VLOOKUP(C39,Theory!B42:BL113,63,FALSE)</f>
        <v>0</v>
      </c>
      <c r="BW39" s="386">
        <f>VLOOKUP(C39,Theory!B42:BM113,64,FALSE)</f>
        <v>0</v>
      </c>
      <c r="BX39" s="386">
        <f>VLOOKUP(C39,Theory!B42:BN113,65,FALSE)</f>
        <v>0</v>
      </c>
      <c r="BY39" s="386">
        <f>VLOOKUP(C39,Theory!B42:BO113,66,FALSE)</f>
        <v>0</v>
      </c>
      <c r="BZ39" s="369">
        <f t="shared" si="15"/>
        <v>8</v>
      </c>
      <c r="CA39" s="385">
        <f t="shared" si="1"/>
        <v>26</v>
      </c>
      <c r="CB39" s="386">
        <f>VLOOKUP(C39,Theory!B42:BP113,67,FALSE)</f>
        <v>4</v>
      </c>
      <c r="CC39" s="386">
        <f>VLOOKUP(C39,Theory!B42:BQ113,68,FALSE)</f>
        <v>0</v>
      </c>
      <c r="CD39" s="386">
        <f>VLOOKUP(C39,Theory!B42:BR113,69,FALSE)</f>
        <v>0</v>
      </c>
      <c r="CE39" s="386">
        <f>VLOOKUP(C39,Theory!B42:BS113,70,FALSE)</f>
        <v>0</v>
      </c>
      <c r="CF39" s="369">
        <f t="shared" si="16"/>
        <v>4</v>
      </c>
      <c r="CG39" s="399">
        <f>VLOOKUP(C39,Theory!B42:BT113,71,FALSE)</f>
        <v>6</v>
      </c>
      <c r="CH39" s="399">
        <f>VLOOKUP(C39,Theory!B42:BU113,72,FALSE)</f>
        <v>0</v>
      </c>
      <c r="CI39" s="399">
        <f>VLOOKUP(C39,Theory!B42:BV113,73,FALSE)</f>
        <v>0</v>
      </c>
      <c r="CJ39" s="399">
        <f>VLOOKUP(C39,Theory!B42:BW113,74,FALSE)</f>
        <v>0</v>
      </c>
      <c r="CK39" s="369">
        <f t="shared" si="17"/>
        <v>6</v>
      </c>
      <c r="CL39" s="386">
        <f>VLOOKUP(C39,Theory!B42:BX113,75,FALSE)</f>
        <v>0</v>
      </c>
      <c r="CM39" s="400">
        <f>VLOOKUP(C39,Theory!B42:BY113,76,FALSE)</f>
        <v>0</v>
      </c>
      <c r="CN39" s="400">
        <f>VLOOKUP(C39,Theory!B42:BZ113,77,FALSE)</f>
        <v>0</v>
      </c>
      <c r="CO39" s="400">
        <f>VLOOKUP(C39,Theory!B42:CA113,78,FALSE)</f>
        <v>0</v>
      </c>
      <c r="CP39" s="386">
        <f>VLOOKUP(C39,Theory!B42:CB113,79,FALSE)</f>
        <v>5</v>
      </c>
      <c r="CQ39" s="386">
        <f>VLOOKUP(C39,Theory!B42:CC113,80,FALSE)</f>
        <v>0</v>
      </c>
      <c r="CR39" s="386">
        <f>VLOOKUP(C39,Theory!B42:CD113,81,FALSE)</f>
        <v>0</v>
      </c>
      <c r="CS39" s="386">
        <f>VLOOKUP(C39,Theory!B42:CE113,82,FALSE)</f>
        <v>0</v>
      </c>
      <c r="CT39" s="369">
        <f t="shared" si="18"/>
        <v>5</v>
      </c>
      <c r="CU39" s="399">
        <f>VLOOKUP(C39,Theory!B42:CF113,83,FALSE)</f>
        <v>0</v>
      </c>
      <c r="CV39" s="400">
        <f>VLOOKUP(C39,Theory!B42:CG113,84,FALSE)</f>
        <v>0</v>
      </c>
      <c r="CW39" s="400">
        <f>VLOOKUP(C39,Theory!B42:CH113,85,FALSE)</f>
        <v>0</v>
      </c>
      <c r="CX39" s="400">
        <f>VLOOKUP(C39,Theory!B42:CI113,86,FALSE)</f>
        <v>0</v>
      </c>
      <c r="CY39" s="399">
        <f>VLOOKUP(C39,Theory!B42:CJ113,87,FALSE)</f>
        <v>7</v>
      </c>
      <c r="CZ39" s="399">
        <f>VLOOKUP(C39,Theory!B42:CK113,88,FALSE)</f>
        <v>0</v>
      </c>
      <c r="DA39" s="399">
        <f>VLOOKUP(C39,Theory!B42:CL113,89,FALSE)</f>
        <v>0</v>
      </c>
      <c r="DB39" s="399">
        <f>VLOOKUP(C39,Theory!B42:CM113,90,FALSE)</f>
        <v>0</v>
      </c>
      <c r="DC39" s="369">
        <f t="shared" si="19"/>
        <v>7</v>
      </c>
      <c r="DD39" s="386">
        <f>VLOOKUP(C39,Theory!B42:CN113,91,FALSE)</f>
        <v>0</v>
      </c>
      <c r="DE39" s="400">
        <f>VLOOKUP(C39,Theory!B42:CO113,92,FALSE)</f>
        <v>0</v>
      </c>
      <c r="DF39" s="400">
        <f>VLOOKUP(C39,Theory!B42:CP113,93,FALSE)</f>
        <v>0</v>
      </c>
      <c r="DG39" s="400">
        <f>VLOOKUP(C39,Theory!B42:CQ113,94,FALSE)</f>
        <v>0</v>
      </c>
      <c r="DH39" s="386">
        <f>VLOOKUP(C39,Theory!B42:CR113,95,FALSE)</f>
        <v>8</v>
      </c>
      <c r="DI39" s="386">
        <f>VLOOKUP(C39,Theory!B42:CS113,96,FALSE)</f>
        <v>0</v>
      </c>
      <c r="DJ39" s="386">
        <f>VLOOKUP(C39,Theory!B42:CT113,97,FALSE)</f>
        <v>0</v>
      </c>
      <c r="DK39" s="386">
        <f>VLOOKUP(C39,Theory!B42:CU113,98,FALSE)</f>
        <v>0</v>
      </c>
      <c r="DL39" s="369">
        <f t="shared" si="20"/>
        <v>8</v>
      </c>
      <c r="DM39" s="411">
        <f t="shared" si="2"/>
        <v>30</v>
      </c>
      <c r="DN39" s="413">
        <f t="shared" si="40"/>
        <v>33</v>
      </c>
      <c r="DO39" s="413">
        <f t="shared" si="41"/>
        <v>26</v>
      </c>
      <c r="DP39" s="413">
        <f t="shared" si="42"/>
        <v>30</v>
      </c>
      <c r="DQ39" s="418">
        <f t="shared" si="43"/>
        <v>20</v>
      </c>
      <c r="DR39" s="418">
        <f t="shared" si="44"/>
        <v>16</v>
      </c>
      <c r="DS39" s="418">
        <f t="shared" si="45"/>
        <v>18</v>
      </c>
      <c r="DT39" s="417">
        <f t="shared" si="36"/>
        <v>18</v>
      </c>
      <c r="DU39" s="423">
        <f>VLOOKUP(C39,Theory!B42:CV113,99,FALSE)</f>
        <v>8</v>
      </c>
      <c r="DV39" s="423">
        <f>VLOOKUP(C39,Theory!B42:CW113,100,FALSE)</f>
        <v>10</v>
      </c>
      <c r="DW39" s="424">
        <f t="shared" si="27"/>
        <v>18</v>
      </c>
      <c r="DX39" s="421">
        <f t="shared" si="3"/>
        <v>36</v>
      </c>
      <c r="DY39" s="430">
        <f t="shared" si="4"/>
        <v>22</v>
      </c>
      <c r="DZ39" s="431">
        <f>VLOOKUP(C39,Lab!B34:D103,3,FALSE)</f>
        <v>0</v>
      </c>
      <c r="EA39" s="432">
        <f>VLOOKUP(C39,Lab!B34:E103,4,FALSE)</f>
        <v>0</v>
      </c>
      <c r="EB39" s="432">
        <f>VLOOKUP(C39,Lab!B34:F103,5,FALSE)</f>
        <v>26</v>
      </c>
      <c r="EC39" s="422">
        <f t="shared" si="37"/>
        <v>26</v>
      </c>
      <c r="ED39" s="436">
        <f>VLOOKUP(C39,Lab!B34:G103,6,FALSE)</f>
        <v>0</v>
      </c>
      <c r="EE39" s="436">
        <f>VLOOKUP(C39,Lab!B34:H103,7,FALSE)</f>
        <v>0</v>
      </c>
      <c r="EF39" s="437">
        <f>VLOOKUP(C39,Lab!B34:I103,8,FALSE)</f>
        <v>17</v>
      </c>
      <c r="EG39" s="443">
        <f t="shared" si="38"/>
        <v>17</v>
      </c>
      <c r="EH39" s="444">
        <f t="shared" si="28"/>
        <v>43</v>
      </c>
      <c r="EI39" s="445">
        <f t="shared" si="29"/>
        <v>17</v>
      </c>
      <c r="EJ39" s="446">
        <f t="shared" si="5"/>
        <v>39</v>
      </c>
      <c r="EK39" s="449">
        <v>31</v>
      </c>
      <c r="EM39" s="450">
        <f>VLOOKUP(C39,Theory!B42:DK113,114,FALSE)</f>
        <v>0</v>
      </c>
      <c r="EN39" s="450">
        <f>VLOOKUP(C39,Theory!B42:DL113,115,FALSE)</f>
        <v>0</v>
      </c>
      <c r="EO39" s="450">
        <f>VLOOKUP(C39,Theory!B42:DM113,116,FALSE)</f>
        <v>0</v>
      </c>
      <c r="EP39" s="450">
        <f>VLOOKUP(C39,Theory!B42:DN111,117,FALSE)</f>
        <v>0</v>
      </c>
      <c r="EQ39" s="450">
        <f>VLOOKUP(C39,Theory!B42:DO111,118,FALSE)</f>
        <v>0</v>
      </c>
      <c r="ER39" s="451">
        <f>VLOOKUP(C39,Theory!B42:DP111,119,FALSE)</f>
        <v>0</v>
      </c>
      <c r="ES39" s="454">
        <f>VLOOKUP(C39,Theory!B42:DQ111,120,FALSE)</f>
        <v>0</v>
      </c>
      <c r="ET39" s="455">
        <f t="shared" si="39"/>
        <v>0</v>
      </c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</row>
    <row r="40" s="11" customFormat="1" ht="18.35" spans="1:160">
      <c r="A40" s="363">
        <v>27</v>
      </c>
      <c r="B40" s="289" t="str">
        <f>Theory!C43</f>
        <v>HITESH JAIN</v>
      </c>
      <c r="C40" s="360" t="str">
        <f>Theory!B43</f>
        <v>1DS23AI028</v>
      </c>
      <c r="D40" s="361">
        <f>VLOOKUP(C40,Theory!B43:D114,3,FALSE)</f>
        <v>5</v>
      </c>
      <c r="E40" s="361">
        <f>VLOOKUP(C40,Theory!B43:E114,4,FALSE)</f>
        <v>0</v>
      </c>
      <c r="F40" s="361">
        <f>VLOOKUP(C40,Theory!B43:F114,5,FALSE)</f>
        <v>0</v>
      </c>
      <c r="G40" s="361">
        <f>VLOOKUP(C40,Theory!B43:G114,6,FALSE)</f>
        <v>0</v>
      </c>
      <c r="H40" s="369">
        <f t="shared" si="6"/>
        <v>5</v>
      </c>
      <c r="I40" s="370">
        <f>VLOOKUP(C40,Theory!B43:H114,7,FALSE)</f>
        <v>6</v>
      </c>
      <c r="J40" s="371">
        <f>VLOOKUP(C40,Theory!B43:I114,8,FALSE)</f>
        <v>0</v>
      </c>
      <c r="K40" s="371">
        <f>VLOOKUP(C40,Theory!B43:J114,9,FALSE)</f>
        <v>0</v>
      </c>
      <c r="L40" s="371">
        <f>VLOOKUP(C40,Theory!B43:K114,10,FALSE)</f>
        <v>0</v>
      </c>
      <c r="M40" s="369">
        <f t="shared" si="7"/>
        <v>6</v>
      </c>
      <c r="N40" s="373">
        <f>VLOOKUP(C40,Theory!B43:L114,11,FALSE)</f>
        <v>3</v>
      </c>
      <c r="O40" s="373">
        <f>VLOOKUP(C40,Theory!B43:M114,12,FALSE)</f>
        <v>0</v>
      </c>
      <c r="P40" s="373">
        <f>VLOOKUP(C40,Theory!B43:N114,13,FALSE)</f>
        <v>0</v>
      </c>
      <c r="Q40" s="373">
        <f>VLOOKUP(C40,Theory!B43:O114,14,FALSE)</f>
        <v>0</v>
      </c>
      <c r="R40" s="371">
        <f>VLOOKUP(C40,Theory!B43:P114,15,FALSE)</f>
        <v>0</v>
      </c>
      <c r="S40" s="371">
        <f>VLOOKUP(C40,Theory!B43:Q114,16,FALSE)</f>
        <v>0</v>
      </c>
      <c r="T40" s="371">
        <f>VLOOKUP(C40,Theory!B43:R114,17,FALSE)</f>
        <v>0</v>
      </c>
      <c r="U40" s="371">
        <f>VLOOKUP(C40,Theory!B43:S114,18,FALSE)</f>
        <v>0</v>
      </c>
      <c r="V40" s="369">
        <f t="shared" si="8"/>
        <v>3</v>
      </c>
      <c r="W40" s="361">
        <f>VLOOKUP(C40,Theory!B43:T114,19,FALSE)</f>
        <v>5</v>
      </c>
      <c r="X40" s="361">
        <f>VLOOKUP(C40,Theory!B43:U114,20,FALSE)</f>
        <v>0</v>
      </c>
      <c r="Y40" s="361">
        <f>VLOOKUP(C40,Theory!B43:V114,21,FALSE)</f>
        <v>0</v>
      </c>
      <c r="Z40" s="361">
        <f>VLOOKUP(C40,Theory!B43:W114,22,FALSE)</f>
        <v>0</v>
      </c>
      <c r="AA40" s="370">
        <f>VLOOKUP(C40,Theory!B43:X114,23,FALSE)</f>
        <v>0</v>
      </c>
      <c r="AB40" s="370">
        <f>VLOOKUP(C40,Theory!B43:Y114,24,FALSE)</f>
        <v>0</v>
      </c>
      <c r="AC40" s="370">
        <f>VLOOKUP(C40,Theory!B43:Z114,25,FALSE)</f>
        <v>0</v>
      </c>
      <c r="AD40" s="370">
        <f>VLOOKUP(C40,Theory!B43:AA114,26,FALSE)</f>
        <v>0</v>
      </c>
      <c r="AE40" s="369">
        <f t="shared" si="9"/>
        <v>5</v>
      </c>
      <c r="AF40" s="361">
        <f>VLOOKUP(C40,Theory!B43:AB114,27,FALSE)</f>
        <v>7</v>
      </c>
      <c r="AG40" s="361">
        <f>VLOOKUP(C40,Theory!B43:AC114,28,FALSE)</f>
        <v>0</v>
      </c>
      <c r="AH40" s="361">
        <f>VLOOKUP(C40,Theory!B43:AD114,29,FALSE)</f>
        <v>0</v>
      </c>
      <c r="AI40" s="361">
        <f>VLOOKUP(C40,Theory!B43:AE114,30,FALSE)</f>
        <v>0</v>
      </c>
      <c r="AJ40" s="380">
        <f>VLOOKUP(C40,Theory!B43:AF114,31,FALSE)</f>
        <v>0</v>
      </c>
      <c r="AK40" s="380">
        <f>VLOOKUP(C40,Theory!B43:AG114,32,FALSE)</f>
        <v>0</v>
      </c>
      <c r="AL40" s="380">
        <f>VLOOKUP(C40,Theory!B43:AH114,33,FALSE)</f>
        <v>0</v>
      </c>
      <c r="AM40" s="380">
        <f>VLOOKUP(C40,Theory!B43:AI114,34,FALSE)</f>
        <v>0</v>
      </c>
      <c r="AN40" s="369">
        <f t="shared" si="10"/>
        <v>7</v>
      </c>
      <c r="AO40" s="385">
        <f t="shared" si="0"/>
        <v>26</v>
      </c>
      <c r="AP40" s="386">
        <f>VLOOKUP(C40,Theory!B43:AJ114,35,FALSE)</f>
        <v>0</v>
      </c>
      <c r="AQ40" s="386">
        <f>VLOOKUP(C40,Theory!B43:AK114,36,FALSE)</f>
        <v>0</v>
      </c>
      <c r="AR40" s="386">
        <f>VLOOKUP(C40,Theory!B43:AL114,37,FALSE)</f>
        <v>0</v>
      </c>
      <c r="AS40" s="386">
        <f>VLOOKUP(C40,Theory!B43:AM114,38,FALSE)</f>
        <v>0</v>
      </c>
      <c r="AT40" s="369">
        <f t="shared" si="11"/>
        <v>0</v>
      </c>
      <c r="AU40" s="386">
        <f>VLOOKUP(C40,Theory!B43:AN114,39,FALSE)</f>
        <v>4</v>
      </c>
      <c r="AV40" s="386">
        <f>VLOOKUP(C40,Theory!B43:AO114,40,FALSE)</f>
        <v>0</v>
      </c>
      <c r="AW40" s="386">
        <f>VLOOKUP(C40,Theory!B43:AP114,41,FALSE)</f>
        <v>0</v>
      </c>
      <c r="AX40" s="386">
        <f>VLOOKUP(C40,Theory!B43:AQ114,42,FALSE)</f>
        <v>0</v>
      </c>
      <c r="AY40" s="369">
        <f t="shared" si="12"/>
        <v>4</v>
      </c>
      <c r="AZ40" s="386">
        <f>VLOOKUP(C40,Theory!B43:AR114,43,FALSE)</f>
        <v>0</v>
      </c>
      <c r="BA40" s="386">
        <f>VLOOKUP(C40,Theory!B43:AS114,44,FALSE)</f>
        <v>0</v>
      </c>
      <c r="BB40" s="386">
        <f>VLOOKUP(C40,Theory!B43:AT114,45,FALSE)</f>
        <v>0</v>
      </c>
      <c r="BC40" s="386">
        <f>VLOOKUP(C40,Theory!B43:AU114,46,FALSE)</f>
        <v>0</v>
      </c>
      <c r="BD40" s="386">
        <f>VLOOKUP(C40,Theory!B43:AV114,47,FALSE)</f>
        <v>8</v>
      </c>
      <c r="BE40" s="386">
        <f>VLOOKUP(C40,Theory!B43:AW114,48,FALSE)</f>
        <v>0</v>
      </c>
      <c r="BF40" s="386">
        <f>VLOOKUP(C40,Theory!B43:AX114,49,FALSE)</f>
        <v>0</v>
      </c>
      <c r="BG40" s="386">
        <f>VLOOKUP(C40,Theory!B43:AY114,50,FALSE)</f>
        <v>0</v>
      </c>
      <c r="BH40" s="369">
        <f t="shared" si="13"/>
        <v>8</v>
      </c>
      <c r="BI40" s="386">
        <f>VLOOKUP(C40,Theory!B43:AZ114,51,FALSE)</f>
        <v>8</v>
      </c>
      <c r="BJ40" s="386">
        <f>VLOOKUP(C40,Theory!B43:BA114,52,FALSE)</f>
        <v>0</v>
      </c>
      <c r="BK40" s="386">
        <f>VLOOKUP(C40,Theory!B43:BB114,53,FALSE)</f>
        <v>0</v>
      </c>
      <c r="BL40" s="386">
        <f>VLOOKUP(C40,Theory!B43:BC114,54,FALSE)</f>
        <v>0</v>
      </c>
      <c r="BM40" s="386">
        <f>VLOOKUP(C40,Theory!B43:BD114,55,FALSE)</f>
        <v>0</v>
      </c>
      <c r="BN40" s="386">
        <f>VLOOKUP(C40,Theory!B43:BE114,56,FALSE)</f>
        <v>0</v>
      </c>
      <c r="BO40" s="386">
        <f>VLOOKUP(C40,Theory!B43:BF114,57,FALSE)</f>
        <v>0</v>
      </c>
      <c r="BP40" s="386">
        <f>VLOOKUP(C40,Theory!B43:BG114,58,FALSE)</f>
        <v>0</v>
      </c>
      <c r="BQ40" s="369">
        <f t="shared" si="14"/>
        <v>8</v>
      </c>
      <c r="BR40" s="386">
        <f>VLOOKUP(C40,Theory!B43:BH114,59,FALSE)</f>
        <v>0</v>
      </c>
      <c r="BS40" s="386">
        <f>VLOOKUP(C40,Theory!B43:BI114,60,FALSE)</f>
        <v>0</v>
      </c>
      <c r="BT40" s="386">
        <f>VLOOKUP(C40,Theory!B43:BJ114,61,FALSE)</f>
        <v>0</v>
      </c>
      <c r="BU40" s="386">
        <f>VLOOKUP(C40,Theory!B43:BK114,62,FALSE)</f>
        <v>0</v>
      </c>
      <c r="BV40" s="386">
        <f>VLOOKUP(C40,Theory!B43:BL114,63,FALSE)</f>
        <v>10</v>
      </c>
      <c r="BW40" s="386">
        <f>VLOOKUP(C40,Theory!B43:BM114,64,FALSE)</f>
        <v>0</v>
      </c>
      <c r="BX40" s="386">
        <f>VLOOKUP(C40,Theory!B43:BN114,65,FALSE)</f>
        <v>0</v>
      </c>
      <c r="BY40" s="386">
        <f>VLOOKUP(C40,Theory!B43:BO114,66,FALSE)</f>
        <v>0</v>
      </c>
      <c r="BZ40" s="369">
        <f t="shared" si="15"/>
        <v>10</v>
      </c>
      <c r="CA40" s="385">
        <f t="shared" si="1"/>
        <v>30</v>
      </c>
      <c r="CB40" s="386">
        <f>VLOOKUP(C40,Theory!B43:BP114,67,FALSE)</f>
        <v>9</v>
      </c>
      <c r="CC40" s="386">
        <f>VLOOKUP(C40,Theory!B43:BQ114,68,FALSE)</f>
        <v>0</v>
      </c>
      <c r="CD40" s="386">
        <f>VLOOKUP(C40,Theory!B43:BR114,69,FALSE)</f>
        <v>0</v>
      </c>
      <c r="CE40" s="386">
        <f>VLOOKUP(C40,Theory!B43:BS114,70,FALSE)</f>
        <v>0</v>
      </c>
      <c r="CF40" s="369">
        <f t="shared" si="16"/>
        <v>9</v>
      </c>
      <c r="CG40" s="399">
        <f>VLOOKUP(C40,Theory!B43:BT114,71,FALSE)</f>
        <v>10</v>
      </c>
      <c r="CH40" s="399">
        <f>VLOOKUP(C40,Theory!B43:BU114,72,FALSE)</f>
        <v>0</v>
      </c>
      <c r="CI40" s="399">
        <f>VLOOKUP(C40,Theory!B43:BV114,73,FALSE)</f>
        <v>0</v>
      </c>
      <c r="CJ40" s="399">
        <f>VLOOKUP(C40,Theory!B43:BW114,74,FALSE)</f>
        <v>0</v>
      </c>
      <c r="CK40" s="369">
        <f t="shared" si="17"/>
        <v>10</v>
      </c>
      <c r="CL40" s="386">
        <f>VLOOKUP(C40,Theory!B43:BX114,75,FALSE)</f>
        <v>0</v>
      </c>
      <c r="CM40" s="400">
        <f>VLOOKUP(C40,Theory!B43:BY114,76,FALSE)</f>
        <v>0</v>
      </c>
      <c r="CN40" s="400">
        <f>VLOOKUP(C40,Theory!B43:BZ114,77,FALSE)</f>
        <v>0</v>
      </c>
      <c r="CO40" s="400">
        <f>VLOOKUP(C40,Theory!B43:CA114,78,FALSE)</f>
        <v>0</v>
      </c>
      <c r="CP40" s="386">
        <f>VLOOKUP(C40,Theory!B43:CB114,79,FALSE)</f>
        <v>6</v>
      </c>
      <c r="CQ40" s="386">
        <f>VLOOKUP(C40,Theory!B43:CC114,80,FALSE)</f>
        <v>0</v>
      </c>
      <c r="CR40" s="386">
        <f>VLOOKUP(C40,Theory!B43:CD114,81,FALSE)</f>
        <v>0</v>
      </c>
      <c r="CS40" s="386">
        <f>VLOOKUP(C40,Theory!B43:CE114,82,FALSE)</f>
        <v>0</v>
      </c>
      <c r="CT40" s="369">
        <f t="shared" si="18"/>
        <v>6</v>
      </c>
      <c r="CU40" s="399">
        <f>VLOOKUP(C40,Theory!B43:CF114,83,FALSE)</f>
        <v>6</v>
      </c>
      <c r="CV40" s="400">
        <f>VLOOKUP(C40,Theory!B43:CG114,84,FALSE)</f>
        <v>0</v>
      </c>
      <c r="CW40" s="400">
        <f>VLOOKUP(C40,Theory!B43:CH114,85,FALSE)</f>
        <v>0</v>
      </c>
      <c r="CX40" s="400">
        <f>VLOOKUP(C40,Theory!B43:CI114,86,FALSE)</f>
        <v>0</v>
      </c>
      <c r="CY40" s="399">
        <f>VLOOKUP(C40,Theory!B43:CJ114,87,FALSE)</f>
        <v>0</v>
      </c>
      <c r="CZ40" s="399">
        <f>VLOOKUP(C40,Theory!B43:CK114,88,FALSE)</f>
        <v>0</v>
      </c>
      <c r="DA40" s="399">
        <f>VLOOKUP(C40,Theory!B43:CL114,89,FALSE)</f>
        <v>0</v>
      </c>
      <c r="DB40" s="399">
        <f>VLOOKUP(C40,Theory!B43:CM114,90,FALSE)</f>
        <v>0</v>
      </c>
      <c r="DC40" s="369">
        <f t="shared" si="19"/>
        <v>6</v>
      </c>
      <c r="DD40" s="386">
        <f>VLOOKUP(C40,Theory!B43:CN114,91,FALSE)</f>
        <v>0</v>
      </c>
      <c r="DE40" s="400">
        <f>VLOOKUP(C40,Theory!B43:CO114,92,FALSE)</f>
        <v>0</v>
      </c>
      <c r="DF40" s="400">
        <f>VLOOKUP(C40,Theory!B43:CP114,93,FALSE)</f>
        <v>0</v>
      </c>
      <c r="DG40" s="400">
        <f>VLOOKUP(C40,Theory!B43:CQ114,94,FALSE)</f>
        <v>0</v>
      </c>
      <c r="DH40" s="386">
        <f>VLOOKUP(C40,Theory!B43:CR114,95,FALSE)</f>
        <v>0</v>
      </c>
      <c r="DI40" s="386">
        <f>VLOOKUP(C40,Theory!B43:CS114,96,FALSE)</f>
        <v>0</v>
      </c>
      <c r="DJ40" s="386">
        <f>VLOOKUP(C40,Theory!B43:CT114,97,FALSE)</f>
        <v>0</v>
      </c>
      <c r="DK40" s="386">
        <f>VLOOKUP(C40,Theory!B43:CU114,98,FALSE)</f>
        <v>0</v>
      </c>
      <c r="DL40" s="369">
        <f t="shared" si="20"/>
        <v>0</v>
      </c>
      <c r="DM40" s="411">
        <f t="shared" si="2"/>
        <v>31</v>
      </c>
      <c r="DN40" s="413">
        <f t="shared" si="40"/>
        <v>26</v>
      </c>
      <c r="DO40" s="413">
        <f t="shared" si="41"/>
        <v>30</v>
      </c>
      <c r="DP40" s="413">
        <f t="shared" si="42"/>
        <v>31</v>
      </c>
      <c r="DQ40" s="418">
        <f t="shared" si="43"/>
        <v>16</v>
      </c>
      <c r="DR40" s="418">
        <f t="shared" si="44"/>
        <v>18</v>
      </c>
      <c r="DS40" s="418">
        <f t="shared" si="45"/>
        <v>19</v>
      </c>
      <c r="DT40" s="417">
        <f t="shared" si="36"/>
        <v>18</v>
      </c>
      <c r="DU40" s="423">
        <f>VLOOKUP(C40,Theory!B43:CV114,99,FALSE)</f>
        <v>6</v>
      </c>
      <c r="DV40" s="423">
        <f>VLOOKUP(C40,Theory!B43:CW114,100,FALSE)</f>
        <v>10</v>
      </c>
      <c r="DW40" s="424">
        <f t="shared" si="27"/>
        <v>16</v>
      </c>
      <c r="DX40" s="421">
        <f t="shared" si="3"/>
        <v>34</v>
      </c>
      <c r="DY40" s="430">
        <f t="shared" si="4"/>
        <v>20</v>
      </c>
      <c r="DZ40" s="431">
        <f>VLOOKUP(C40,Lab!B35:D104,3,FALSE)</f>
        <v>0</v>
      </c>
      <c r="EA40" s="432">
        <f>VLOOKUP(C40,Lab!B35:E104,4,FALSE)</f>
        <v>0</v>
      </c>
      <c r="EB40" s="432">
        <f>VLOOKUP(C40,Lab!B35:F104,5,FALSE)</f>
        <v>26</v>
      </c>
      <c r="EC40" s="422">
        <f t="shared" si="37"/>
        <v>26</v>
      </c>
      <c r="ED40" s="436">
        <f>VLOOKUP(C40,Lab!B35:G104,6,FALSE)</f>
        <v>0</v>
      </c>
      <c r="EE40" s="436">
        <f>VLOOKUP(C40,Lab!B35:H104,7,FALSE)</f>
        <v>0</v>
      </c>
      <c r="EF40" s="437">
        <v>8</v>
      </c>
      <c r="EG40" s="443">
        <f t="shared" si="38"/>
        <v>8</v>
      </c>
      <c r="EH40" s="444">
        <f t="shared" si="28"/>
        <v>34</v>
      </c>
      <c r="EI40" s="445">
        <f t="shared" si="29"/>
        <v>14</v>
      </c>
      <c r="EJ40" s="446">
        <f t="shared" si="5"/>
        <v>34</v>
      </c>
      <c r="EK40" s="449">
        <v>31.5</v>
      </c>
      <c r="EL40" s="336"/>
      <c r="EM40" s="450">
        <f>VLOOKUP(C40,Theory!B43:DK114,114,FALSE)</f>
        <v>0</v>
      </c>
      <c r="EN40" s="450">
        <f>VLOOKUP(C40,Theory!B43:DL114,115,FALSE)</f>
        <v>0</v>
      </c>
      <c r="EO40" s="450">
        <f>VLOOKUP(C40,Theory!B43:DM114,116,FALSE)</f>
        <v>0</v>
      </c>
      <c r="EP40" s="450">
        <f>VLOOKUP(C40,Theory!B43:DN112,117,FALSE)</f>
        <v>0</v>
      </c>
      <c r="EQ40" s="450">
        <f>VLOOKUP(C40,Theory!B43:DO112,118,FALSE)</f>
        <v>0</v>
      </c>
      <c r="ER40" s="451">
        <f>VLOOKUP(C40,Theory!B43:DP112,119,FALSE)</f>
        <v>0</v>
      </c>
      <c r="ES40" s="454">
        <f>VLOOKUP(C40,Theory!B43:DQ112,120,FALSE)</f>
        <v>0</v>
      </c>
      <c r="ET40" s="455">
        <f t="shared" si="39"/>
        <v>0</v>
      </c>
      <c r="EU40" s="457"/>
      <c r="EV40" s="457"/>
      <c r="EW40" s="457"/>
      <c r="EX40" s="457"/>
      <c r="EY40" s="457"/>
      <c r="EZ40" s="457"/>
      <c r="FA40" s="457"/>
      <c r="FB40" s="457"/>
      <c r="FC40" s="457"/>
      <c r="FD40" s="457"/>
    </row>
    <row r="41" ht="18.35" spans="1:160">
      <c r="A41" s="164">
        <v>28</v>
      </c>
      <c r="B41" s="289" t="str">
        <f>Theory!C44</f>
        <v>JAYASHREEDEVI K T</v>
      </c>
      <c r="C41" s="360" t="str">
        <f>Theory!B44</f>
        <v>1DS23AI029</v>
      </c>
      <c r="D41" s="361">
        <f>VLOOKUP(C41,Theory!B44:D115,3,FALSE)</f>
        <v>8</v>
      </c>
      <c r="E41" s="361">
        <f>VLOOKUP(C41,Theory!B44:E115,4,FALSE)</f>
        <v>0</v>
      </c>
      <c r="F41" s="361">
        <f>VLOOKUP(C41,Theory!B44:F115,5,FALSE)</f>
        <v>0</v>
      </c>
      <c r="G41" s="361">
        <f>VLOOKUP(C41,Theory!B44:G115,6,FALSE)</f>
        <v>0</v>
      </c>
      <c r="H41" s="369">
        <f t="shared" si="6"/>
        <v>8</v>
      </c>
      <c r="I41" s="370">
        <f>VLOOKUP(C41,Theory!B44:H115,7,FALSE)</f>
        <v>8</v>
      </c>
      <c r="J41" s="371">
        <f>VLOOKUP(C41,Theory!B44:I115,8,FALSE)</f>
        <v>0</v>
      </c>
      <c r="K41" s="371">
        <f>VLOOKUP(C41,Theory!B44:J115,9,FALSE)</f>
        <v>0</v>
      </c>
      <c r="L41" s="371">
        <f>VLOOKUP(C41,Theory!B44:K115,10,FALSE)</f>
        <v>0</v>
      </c>
      <c r="M41" s="369">
        <f t="shared" si="7"/>
        <v>8</v>
      </c>
      <c r="N41" s="373">
        <f>VLOOKUP(C41,Theory!B44:L115,11,FALSE)</f>
        <v>8</v>
      </c>
      <c r="O41" s="373">
        <f>VLOOKUP(C41,Theory!B44:M115,12,FALSE)</f>
        <v>0</v>
      </c>
      <c r="P41" s="373">
        <f>VLOOKUP(C41,Theory!B44:N115,13,FALSE)</f>
        <v>0</v>
      </c>
      <c r="Q41" s="373">
        <f>VLOOKUP(C41,Theory!B44:O115,14,FALSE)</f>
        <v>0</v>
      </c>
      <c r="R41" s="371">
        <f>VLOOKUP(C41,Theory!B44:P115,15,FALSE)</f>
        <v>0</v>
      </c>
      <c r="S41" s="371">
        <f>VLOOKUP(C41,Theory!B44:Q115,16,FALSE)</f>
        <v>0</v>
      </c>
      <c r="T41" s="371">
        <f>VLOOKUP(C41,Theory!B44:R115,17,FALSE)</f>
        <v>0</v>
      </c>
      <c r="U41" s="371">
        <f>VLOOKUP(C41,Theory!B44:S115,18,FALSE)</f>
        <v>0</v>
      </c>
      <c r="V41" s="369">
        <f t="shared" si="8"/>
        <v>8</v>
      </c>
      <c r="W41" s="361">
        <f>VLOOKUP(C41,Theory!B44:T115,19,FALSE)</f>
        <v>0</v>
      </c>
      <c r="X41" s="361">
        <f>VLOOKUP(C41,Theory!B44:U115,20,FALSE)</f>
        <v>0</v>
      </c>
      <c r="Y41" s="361">
        <f>VLOOKUP(C41,Theory!B44:V115,21,FALSE)</f>
        <v>0</v>
      </c>
      <c r="Z41" s="361">
        <f>VLOOKUP(C41,Theory!B44:W115,22,FALSE)</f>
        <v>0</v>
      </c>
      <c r="AA41" s="370">
        <f>VLOOKUP(C41,Theory!B44:X115,23,FALSE)</f>
        <v>6</v>
      </c>
      <c r="AB41" s="370">
        <f>VLOOKUP(C41,Theory!B44:Y115,24,FALSE)</f>
        <v>0</v>
      </c>
      <c r="AC41" s="370">
        <f>VLOOKUP(C41,Theory!B44:Z115,25,FALSE)</f>
        <v>0</v>
      </c>
      <c r="AD41" s="370">
        <f>VLOOKUP(C41,Theory!B44:AA115,26,FALSE)</f>
        <v>0</v>
      </c>
      <c r="AE41" s="369">
        <f t="shared" si="9"/>
        <v>6</v>
      </c>
      <c r="AF41" s="361">
        <f>VLOOKUP(C41,Theory!B44:AB115,27,FALSE)</f>
        <v>9</v>
      </c>
      <c r="AG41" s="361">
        <f>VLOOKUP(C41,Theory!B44:AC115,28,FALSE)</f>
        <v>0</v>
      </c>
      <c r="AH41" s="361">
        <f>VLOOKUP(C41,Theory!B44:AD115,29,FALSE)</f>
        <v>0</v>
      </c>
      <c r="AI41" s="361">
        <f>VLOOKUP(C41,Theory!B44:AE115,30,FALSE)</f>
        <v>0</v>
      </c>
      <c r="AJ41" s="380">
        <f>VLOOKUP(C41,Theory!B44:AF115,31,FALSE)</f>
        <v>0</v>
      </c>
      <c r="AK41" s="380">
        <f>VLOOKUP(C41,Theory!B44:AG115,32,FALSE)</f>
        <v>0</v>
      </c>
      <c r="AL41" s="380">
        <f>VLOOKUP(C41,Theory!B44:AH115,33,FALSE)</f>
        <v>0</v>
      </c>
      <c r="AM41" s="380">
        <f>VLOOKUP(C41,Theory!B44:AI115,34,FALSE)</f>
        <v>0</v>
      </c>
      <c r="AN41" s="369">
        <f t="shared" si="10"/>
        <v>9</v>
      </c>
      <c r="AO41" s="385">
        <f t="shared" si="0"/>
        <v>39</v>
      </c>
      <c r="AP41" s="386">
        <f>VLOOKUP(C41,Theory!B44:AJ115,35,FALSE)</f>
        <v>9</v>
      </c>
      <c r="AQ41" s="386">
        <f>VLOOKUP(C41,Theory!B44:AK115,36,FALSE)</f>
        <v>0</v>
      </c>
      <c r="AR41" s="386">
        <f>VLOOKUP(C41,Theory!B44:AL115,37,FALSE)</f>
        <v>0</v>
      </c>
      <c r="AS41" s="386">
        <f>VLOOKUP(C41,Theory!B44:AM115,38,FALSE)</f>
        <v>0</v>
      </c>
      <c r="AT41" s="369">
        <f t="shared" si="11"/>
        <v>9</v>
      </c>
      <c r="AU41" s="386">
        <f>VLOOKUP(C41,Theory!B44:AN115,39,FALSE)</f>
        <v>8</v>
      </c>
      <c r="AV41" s="386">
        <f>VLOOKUP(C41,Theory!B44:AO115,40,FALSE)</f>
        <v>0</v>
      </c>
      <c r="AW41" s="386">
        <f>VLOOKUP(C41,Theory!B44:AP115,41,FALSE)</f>
        <v>0</v>
      </c>
      <c r="AX41" s="386">
        <f>VLOOKUP(C41,Theory!B44:AQ115,42,FALSE)</f>
        <v>0</v>
      </c>
      <c r="AY41" s="369">
        <f t="shared" si="12"/>
        <v>8</v>
      </c>
      <c r="AZ41" s="386">
        <f>VLOOKUP(C41,Theory!B44:AR115,43,FALSE)</f>
        <v>0</v>
      </c>
      <c r="BA41" s="386">
        <f>VLOOKUP(C41,Theory!B44:AS115,44,FALSE)</f>
        <v>0</v>
      </c>
      <c r="BB41" s="386">
        <f>VLOOKUP(C41,Theory!B44:AT115,45,FALSE)</f>
        <v>0</v>
      </c>
      <c r="BC41" s="386">
        <f>VLOOKUP(C41,Theory!B44:AU115,46,FALSE)</f>
        <v>0</v>
      </c>
      <c r="BD41" s="386">
        <f>VLOOKUP(C41,Theory!B44:AV115,47,FALSE)</f>
        <v>9</v>
      </c>
      <c r="BE41" s="386">
        <f>VLOOKUP(C41,Theory!B44:AW115,48,FALSE)</f>
        <v>0</v>
      </c>
      <c r="BF41" s="386">
        <f>VLOOKUP(C41,Theory!B44:AX115,49,FALSE)</f>
        <v>0</v>
      </c>
      <c r="BG41" s="386">
        <f>VLOOKUP(C41,Theory!B44:AY115,50,FALSE)</f>
        <v>0</v>
      </c>
      <c r="BH41" s="369">
        <f t="shared" si="13"/>
        <v>9</v>
      </c>
      <c r="BI41" s="386">
        <f>VLOOKUP(C41,Theory!B44:AZ115,51,FALSE)</f>
        <v>3</v>
      </c>
      <c r="BJ41" s="386">
        <f>VLOOKUP(C41,Theory!B44:BA115,52,FALSE)</f>
        <v>0</v>
      </c>
      <c r="BK41" s="386">
        <f>VLOOKUP(C41,Theory!B44:BB115,53,FALSE)</f>
        <v>0</v>
      </c>
      <c r="BL41" s="386">
        <f>VLOOKUP(C41,Theory!B44:BC115,54,FALSE)</f>
        <v>0</v>
      </c>
      <c r="BM41" s="386">
        <f>VLOOKUP(C41,Theory!B44:BD115,55,FALSE)</f>
        <v>0</v>
      </c>
      <c r="BN41" s="386">
        <f>VLOOKUP(C41,Theory!B44:BE115,56,FALSE)</f>
        <v>0</v>
      </c>
      <c r="BO41" s="386">
        <f>VLOOKUP(C41,Theory!B44:BF115,57,FALSE)</f>
        <v>0</v>
      </c>
      <c r="BP41" s="386">
        <f>VLOOKUP(C41,Theory!B44:BG115,58,FALSE)</f>
        <v>0</v>
      </c>
      <c r="BQ41" s="369">
        <f t="shared" si="14"/>
        <v>3</v>
      </c>
      <c r="BR41" s="386">
        <f>VLOOKUP(C41,Theory!B44:BH115,59,FALSE)</f>
        <v>9</v>
      </c>
      <c r="BS41" s="386">
        <f>VLOOKUP(C41,Theory!B44:BI115,60,FALSE)</f>
        <v>0</v>
      </c>
      <c r="BT41" s="386">
        <f>VLOOKUP(C41,Theory!B44:BJ115,61,FALSE)</f>
        <v>0</v>
      </c>
      <c r="BU41" s="386">
        <f>VLOOKUP(C41,Theory!B44:BK115,62,FALSE)</f>
        <v>0</v>
      </c>
      <c r="BV41" s="386">
        <f>VLOOKUP(C41,Theory!B44:BL115,63,FALSE)</f>
        <v>0</v>
      </c>
      <c r="BW41" s="386">
        <f>VLOOKUP(C41,Theory!B44:BM115,64,FALSE)</f>
        <v>0</v>
      </c>
      <c r="BX41" s="386">
        <f>VLOOKUP(C41,Theory!B44:BN115,65,FALSE)</f>
        <v>0</v>
      </c>
      <c r="BY41" s="386">
        <f>VLOOKUP(C41,Theory!B44:BO115,66,FALSE)</f>
        <v>0</v>
      </c>
      <c r="BZ41" s="369">
        <f t="shared" si="15"/>
        <v>9</v>
      </c>
      <c r="CA41" s="385">
        <f t="shared" si="1"/>
        <v>38</v>
      </c>
      <c r="CB41" s="386">
        <f>VLOOKUP(C41,Theory!B44:BP115,67,FALSE)</f>
        <v>9</v>
      </c>
      <c r="CC41" s="386">
        <f>VLOOKUP(C41,Theory!B44:BQ115,68,FALSE)</f>
        <v>0</v>
      </c>
      <c r="CD41" s="386">
        <f>VLOOKUP(C41,Theory!B44:BR115,69,FALSE)</f>
        <v>0</v>
      </c>
      <c r="CE41" s="386">
        <f>VLOOKUP(C41,Theory!B44:BS115,70,FALSE)</f>
        <v>0</v>
      </c>
      <c r="CF41" s="369">
        <f t="shared" si="16"/>
        <v>9</v>
      </c>
      <c r="CG41" s="399">
        <f>VLOOKUP(C41,Theory!B44:BT115,71,FALSE)</f>
        <v>8</v>
      </c>
      <c r="CH41" s="399">
        <f>VLOOKUP(C41,Theory!B44:BU115,72,FALSE)</f>
        <v>0</v>
      </c>
      <c r="CI41" s="399">
        <f>VLOOKUP(C41,Theory!B44:BV115,73,FALSE)</f>
        <v>0</v>
      </c>
      <c r="CJ41" s="399">
        <f>VLOOKUP(C41,Theory!B44:BW115,74,FALSE)</f>
        <v>0</v>
      </c>
      <c r="CK41" s="369">
        <f t="shared" si="17"/>
        <v>8</v>
      </c>
      <c r="CL41" s="386">
        <f>VLOOKUP(C41,Theory!B44:BX115,75,FALSE)</f>
        <v>0</v>
      </c>
      <c r="CM41" s="400">
        <f>VLOOKUP(C41,Theory!B44:BY115,76,FALSE)</f>
        <v>0</v>
      </c>
      <c r="CN41" s="400">
        <f>VLOOKUP(C41,Theory!B44:BZ115,77,FALSE)</f>
        <v>0</v>
      </c>
      <c r="CO41" s="400">
        <f>VLOOKUP(C41,Theory!B44:CA115,78,FALSE)</f>
        <v>0</v>
      </c>
      <c r="CP41" s="386">
        <f>VLOOKUP(C41,Theory!B44:CB115,79,FALSE)</f>
        <v>10</v>
      </c>
      <c r="CQ41" s="386">
        <f>VLOOKUP(C41,Theory!B44:CC115,80,FALSE)</f>
        <v>0</v>
      </c>
      <c r="CR41" s="386">
        <f>VLOOKUP(C41,Theory!B44:CD115,81,FALSE)</f>
        <v>0</v>
      </c>
      <c r="CS41" s="386">
        <f>VLOOKUP(C41,Theory!B44:CE115,82,FALSE)</f>
        <v>0</v>
      </c>
      <c r="CT41" s="369">
        <f t="shared" si="18"/>
        <v>10</v>
      </c>
      <c r="CU41" s="399">
        <f>VLOOKUP(C41,Theory!B44:CF115,83,FALSE)</f>
        <v>0</v>
      </c>
      <c r="CV41" s="400">
        <f>VLOOKUP(C41,Theory!B44:CG115,84,FALSE)</f>
        <v>0</v>
      </c>
      <c r="CW41" s="400">
        <f>VLOOKUP(C41,Theory!B44:CH115,85,FALSE)</f>
        <v>0</v>
      </c>
      <c r="CX41" s="400">
        <f>VLOOKUP(C41,Theory!B44:CI115,86,FALSE)</f>
        <v>0</v>
      </c>
      <c r="CY41" s="399">
        <f>VLOOKUP(C41,Theory!B44:CJ115,87,FALSE)</f>
        <v>10</v>
      </c>
      <c r="CZ41" s="399">
        <f>VLOOKUP(C41,Theory!B44:CK115,88,FALSE)</f>
        <v>0</v>
      </c>
      <c r="DA41" s="399">
        <f>VLOOKUP(C41,Theory!B44:CL115,89,FALSE)</f>
        <v>0</v>
      </c>
      <c r="DB41" s="399">
        <f>VLOOKUP(C41,Theory!B44:CM115,90,FALSE)</f>
        <v>0</v>
      </c>
      <c r="DC41" s="369">
        <f t="shared" si="19"/>
        <v>10</v>
      </c>
      <c r="DD41" s="386">
        <f>VLOOKUP(C41,Theory!B44:CN115,91,FALSE)</f>
        <v>0</v>
      </c>
      <c r="DE41" s="400">
        <f>VLOOKUP(C41,Theory!B44:CO115,92,FALSE)</f>
        <v>0</v>
      </c>
      <c r="DF41" s="400">
        <f>VLOOKUP(C41,Theory!B44:CP115,93,FALSE)</f>
        <v>0</v>
      </c>
      <c r="DG41" s="400">
        <f>VLOOKUP(C41,Theory!B44:CQ115,94,FALSE)</f>
        <v>0</v>
      </c>
      <c r="DH41" s="386">
        <f>VLOOKUP(C41,Theory!B44:CR115,95,FALSE)</f>
        <v>8</v>
      </c>
      <c r="DI41" s="386">
        <f>VLOOKUP(C41,Theory!B44:CS115,96,FALSE)</f>
        <v>0</v>
      </c>
      <c r="DJ41" s="386">
        <f>VLOOKUP(C41,Theory!B44:CT115,97,FALSE)</f>
        <v>0</v>
      </c>
      <c r="DK41" s="386">
        <f>VLOOKUP(C41,Theory!B44:CU115,98,FALSE)</f>
        <v>0</v>
      </c>
      <c r="DL41" s="369">
        <f t="shared" si="20"/>
        <v>8</v>
      </c>
      <c r="DM41" s="411">
        <f t="shared" si="2"/>
        <v>45</v>
      </c>
      <c r="DN41" s="413">
        <f t="shared" si="40"/>
        <v>39</v>
      </c>
      <c r="DO41" s="413">
        <f t="shared" si="41"/>
        <v>38</v>
      </c>
      <c r="DP41" s="413">
        <f t="shared" si="42"/>
        <v>45</v>
      </c>
      <c r="DQ41" s="418">
        <f t="shared" si="43"/>
        <v>23</v>
      </c>
      <c r="DR41" s="418">
        <f t="shared" si="44"/>
        <v>23</v>
      </c>
      <c r="DS41" s="418">
        <f t="shared" si="45"/>
        <v>27</v>
      </c>
      <c r="DT41" s="417">
        <f t="shared" si="36"/>
        <v>24</v>
      </c>
      <c r="DU41" s="423">
        <f>VLOOKUP(C41,Theory!B44:CV115,99,FALSE)</f>
        <v>9</v>
      </c>
      <c r="DV41" s="423">
        <f>VLOOKUP(C41,Theory!B44:CW115,100,FALSE)</f>
        <v>10</v>
      </c>
      <c r="DW41" s="424">
        <f t="shared" si="27"/>
        <v>19</v>
      </c>
      <c r="DX41" s="421">
        <f t="shared" si="3"/>
        <v>43</v>
      </c>
      <c r="DY41" s="430">
        <f t="shared" si="4"/>
        <v>26</v>
      </c>
      <c r="DZ41" s="431">
        <f>VLOOKUP(C41,Lab!B36:D105,3,FALSE)</f>
        <v>0</v>
      </c>
      <c r="EA41" s="432">
        <f>VLOOKUP(C41,Lab!B36:E105,4,FALSE)</f>
        <v>0</v>
      </c>
      <c r="EB41" s="432">
        <f>VLOOKUP(C41,Lab!B36:F105,5,FALSE)</f>
        <v>30</v>
      </c>
      <c r="EC41" s="422">
        <f t="shared" si="37"/>
        <v>30</v>
      </c>
      <c r="ED41" s="436">
        <f>VLOOKUP(C41,Lab!B36:G105,6,FALSE)</f>
        <v>0</v>
      </c>
      <c r="EE41" s="436">
        <f>VLOOKUP(C41,Lab!B36:H105,7,FALSE)</f>
        <v>0</v>
      </c>
      <c r="EF41" s="437">
        <f>VLOOKUP(C41,Lab!B36:I105,8,FALSE)</f>
        <v>20</v>
      </c>
      <c r="EG41" s="443">
        <f t="shared" si="38"/>
        <v>20</v>
      </c>
      <c r="EH41" s="444">
        <f t="shared" si="28"/>
        <v>50</v>
      </c>
      <c r="EI41" s="445">
        <f t="shared" si="29"/>
        <v>20</v>
      </c>
      <c r="EJ41" s="446">
        <f t="shared" si="5"/>
        <v>46</v>
      </c>
      <c r="EK41" s="449">
        <v>33.5</v>
      </c>
      <c r="EM41" s="450">
        <f>VLOOKUP(C41,Theory!B44:DK115,114,FALSE)</f>
        <v>0</v>
      </c>
      <c r="EN41" s="450">
        <f>VLOOKUP(C41,Theory!B44:DL115,115,FALSE)</f>
        <v>0</v>
      </c>
      <c r="EO41" s="450">
        <f>VLOOKUP(C41,Theory!B44:DM115,116,FALSE)</f>
        <v>0</v>
      </c>
      <c r="EP41" s="450">
        <f>VLOOKUP(C41,Theory!B44:DN113,117,FALSE)</f>
        <v>0</v>
      </c>
      <c r="EQ41" s="450">
        <f>VLOOKUP(C41,Theory!B44:DO113,118,FALSE)</f>
        <v>0</v>
      </c>
      <c r="ER41" s="451">
        <f>VLOOKUP(C41,Theory!B44:DP113,119,FALSE)</f>
        <v>0</v>
      </c>
      <c r="ES41" s="454">
        <f>VLOOKUP(C41,Theory!B44:DQ113,120,FALSE)</f>
        <v>0</v>
      </c>
      <c r="ET41" s="455">
        <f t="shared" si="39"/>
        <v>0</v>
      </c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</row>
    <row r="42" ht="18.35" spans="1:160">
      <c r="A42" s="164">
        <v>29</v>
      </c>
      <c r="B42" s="289" t="str">
        <f>Theory!C45</f>
        <v>JIYA PATEL</v>
      </c>
      <c r="C42" s="360" t="str">
        <f>Theory!B45</f>
        <v>1DS23AI030</v>
      </c>
      <c r="D42" s="361">
        <f>VLOOKUP(C42,Theory!B45:D116,3,FALSE)</f>
        <v>0</v>
      </c>
      <c r="E42" s="361">
        <f>VLOOKUP(C42,Theory!B45:E116,4,FALSE)</f>
        <v>0</v>
      </c>
      <c r="F42" s="361">
        <f>VLOOKUP(C42,Theory!B45:F116,5,FALSE)</f>
        <v>0</v>
      </c>
      <c r="G42" s="361">
        <f>VLOOKUP(C42,Theory!B45:G116,6,FALSE)</f>
        <v>0</v>
      </c>
      <c r="H42" s="369">
        <f t="shared" si="6"/>
        <v>0</v>
      </c>
      <c r="I42" s="370">
        <f>VLOOKUP(C42,Theory!B45:H116,7,FALSE)</f>
        <v>5</v>
      </c>
      <c r="J42" s="371">
        <f>VLOOKUP(C42,Theory!B45:I116,8,FALSE)</f>
        <v>0</v>
      </c>
      <c r="K42" s="371">
        <f>VLOOKUP(C42,Theory!B45:J116,9,FALSE)</f>
        <v>0</v>
      </c>
      <c r="L42" s="371">
        <f>VLOOKUP(C42,Theory!B45:K116,10,FALSE)</f>
        <v>0</v>
      </c>
      <c r="M42" s="369">
        <f t="shared" si="7"/>
        <v>5</v>
      </c>
      <c r="N42" s="373">
        <f>VLOOKUP(C42,Theory!B45:L116,11,FALSE)</f>
        <v>3</v>
      </c>
      <c r="O42" s="373">
        <f>VLOOKUP(C42,Theory!B45:M116,12,FALSE)</f>
        <v>0</v>
      </c>
      <c r="P42" s="373">
        <f>VLOOKUP(C42,Theory!B45:N116,13,FALSE)</f>
        <v>0</v>
      </c>
      <c r="Q42" s="373">
        <f>VLOOKUP(C42,Theory!B45:O116,14,FALSE)</f>
        <v>0</v>
      </c>
      <c r="R42" s="371">
        <f>VLOOKUP(C42,Theory!B45:P116,15,FALSE)</f>
        <v>0</v>
      </c>
      <c r="S42" s="371">
        <f>VLOOKUP(C42,Theory!B45:Q116,16,FALSE)</f>
        <v>0</v>
      </c>
      <c r="T42" s="371">
        <f>VLOOKUP(C42,Theory!B45:R116,17,FALSE)</f>
        <v>0</v>
      </c>
      <c r="U42" s="371">
        <f>VLOOKUP(C42,Theory!B45:S116,18,FALSE)</f>
        <v>0</v>
      </c>
      <c r="V42" s="369">
        <f t="shared" si="8"/>
        <v>3</v>
      </c>
      <c r="W42" s="361">
        <f>VLOOKUP(C42,Theory!B45:T116,19,FALSE)</f>
        <v>0</v>
      </c>
      <c r="X42" s="361">
        <f>VLOOKUP(C42,Theory!B45:U116,20,FALSE)</f>
        <v>0</v>
      </c>
      <c r="Y42" s="361">
        <f>VLOOKUP(C42,Theory!B45:V116,21,FALSE)</f>
        <v>0</v>
      </c>
      <c r="Z42" s="361">
        <f>VLOOKUP(C42,Theory!B45:W116,22,FALSE)</f>
        <v>0</v>
      </c>
      <c r="AA42" s="370">
        <f>VLOOKUP(C42,Theory!B45:X116,23,FALSE)</f>
        <v>6</v>
      </c>
      <c r="AB42" s="370">
        <f>VLOOKUP(C42,Theory!B45:Y116,24,FALSE)</f>
        <v>0</v>
      </c>
      <c r="AC42" s="370">
        <f>VLOOKUP(C42,Theory!B45:Z116,25,FALSE)</f>
        <v>0</v>
      </c>
      <c r="AD42" s="370">
        <f>VLOOKUP(C42,Theory!B45:AA116,26,FALSE)</f>
        <v>0</v>
      </c>
      <c r="AE42" s="369">
        <f t="shared" si="9"/>
        <v>6</v>
      </c>
      <c r="AF42" s="361">
        <f>VLOOKUP(C42,Theory!B45:AB116,27,FALSE)</f>
        <v>0</v>
      </c>
      <c r="AG42" s="361">
        <f>VLOOKUP(C42,Theory!B45:AC116,28,FALSE)</f>
        <v>0</v>
      </c>
      <c r="AH42" s="361">
        <f>VLOOKUP(C42,Theory!B45:AD116,29,FALSE)</f>
        <v>0</v>
      </c>
      <c r="AI42" s="361">
        <f>VLOOKUP(C42,Theory!B45:AE116,30,FALSE)</f>
        <v>0</v>
      </c>
      <c r="AJ42" s="380">
        <f>VLOOKUP(C42,Theory!B45:AF116,31,FALSE)</f>
        <v>0</v>
      </c>
      <c r="AK42" s="380">
        <f>VLOOKUP(C42,Theory!B45:AG116,32,FALSE)</f>
        <v>0</v>
      </c>
      <c r="AL42" s="380">
        <f>VLOOKUP(C42,Theory!B45:AH116,33,FALSE)</f>
        <v>0</v>
      </c>
      <c r="AM42" s="380">
        <f>VLOOKUP(C42,Theory!B45:AI116,34,FALSE)</f>
        <v>0</v>
      </c>
      <c r="AN42" s="369">
        <f t="shared" si="10"/>
        <v>0</v>
      </c>
      <c r="AO42" s="385">
        <f t="shared" si="0"/>
        <v>14</v>
      </c>
      <c r="AP42" s="386">
        <f>VLOOKUP(C42,Theory!B45:AJ116,35,FALSE)</f>
        <v>0</v>
      </c>
      <c r="AQ42" s="386">
        <f>VLOOKUP(C42,Theory!B45:AK116,36,FALSE)</f>
        <v>0</v>
      </c>
      <c r="AR42" s="386">
        <f>VLOOKUP(C42,Theory!B45:AL116,37,FALSE)</f>
        <v>0</v>
      </c>
      <c r="AS42" s="386">
        <f>VLOOKUP(C42,Theory!B45:AM116,38,FALSE)</f>
        <v>0</v>
      </c>
      <c r="AT42" s="369">
        <f t="shared" si="11"/>
        <v>0</v>
      </c>
      <c r="AU42" s="386">
        <f>VLOOKUP(C42,Theory!B45:AN116,39,FALSE)</f>
        <v>10</v>
      </c>
      <c r="AV42" s="386">
        <f>VLOOKUP(C42,Theory!B45:AO116,40,FALSE)</f>
        <v>0</v>
      </c>
      <c r="AW42" s="386">
        <f>VLOOKUP(C42,Theory!B45:AP116,41,FALSE)</f>
        <v>0</v>
      </c>
      <c r="AX42" s="386">
        <f>VLOOKUP(C42,Theory!B45:AQ116,42,FALSE)</f>
        <v>0</v>
      </c>
      <c r="AY42" s="369">
        <f t="shared" si="12"/>
        <v>10</v>
      </c>
      <c r="AZ42" s="386">
        <f>VLOOKUP(C42,Theory!B45:AR116,43,FALSE)</f>
        <v>0</v>
      </c>
      <c r="BA42" s="386">
        <f>VLOOKUP(C42,Theory!B45:AS116,44,FALSE)</f>
        <v>0</v>
      </c>
      <c r="BB42" s="386">
        <f>VLOOKUP(C42,Theory!B45:AT116,45,FALSE)</f>
        <v>0</v>
      </c>
      <c r="BC42" s="386">
        <f>VLOOKUP(C42,Theory!B45:AU116,46,FALSE)</f>
        <v>0</v>
      </c>
      <c r="BD42" s="386">
        <f>VLOOKUP(C42,Theory!B45:AV116,47,FALSE)</f>
        <v>0</v>
      </c>
      <c r="BE42" s="386">
        <f>VLOOKUP(C42,Theory!B45:AW116,48,FALSE)</f>
        <v>0</v>
      </c>
      <c r="BF42" s="386">
        <f>VLOOKUP(C42,Theory!B45:AX116,49,FALSE)</f>
        <v>0</v>
      </c>
      <c r="BG42" s="386">
        <f>VLOOKUP(C42,Theory!B45:AY116,50,FALSE)</f>
        <v>0</v>
      </c>
      <c r="BH42" s="369">
        <f t="shared" si="13"/>
        <v>0</v>
      </c>
      <c r="BI42" s="386">
        <f>VLOOKUP(C42,Theory!B45:AZ116,51,FALSE)</f>
        <v>1</v>
      </c>
      <c r="BJ42" s="386">
        <f>VLOOKUP(C42,Theory!B45:BA116,52,FALSE)</f>
        <v>0</v>
      </c>
      <c r="BK42" s="386">
        <f>VLOOKUP(C42,Theory!B45:BB116,53,FALSE)</f>
        <v>0</v>
      </c>
      <c r="BL42" s="386">
        <f>VLOOKUP(C42,Theory!B45:BC116,54,FALSE)</f>
        <v>0</v>
      </c>
      <c r="BM42" s="386">
        <f>VLOOKUP(C42,Theory!B45:BD116,55,FALSE)</f>
        <v>0</v>
      </c>
      <c r="BN42" s="386">
        <f>VLOOKUP(C42,Theory!B45:BE116,56,FALSE)</f>
        <v>0</v>
      </c>
      <c r="BO42" s="386">
        <f>VLOOKUP(C42,Theory!B45:BF116,57,FALSE)</f>
        <v>0</v>
      </c>
      <c r="BP42" s="386">
        <f>VLOOKUP(C42,Theory!B45:BG116,58,FALSE)</f>
        <v>0</v>
      </c>
      <c r="BQ42" s="369">
        <f t="shared" si="14"/>
        <v>1</v>
      </c>
      <c r="BR42" s="386">
        <f>VLOOKUP(C42,Theory!B45:BH116,59,FALSE)</f>
        <v>1</v>
      </c>
      <c r="BS42" s="386">
        <f>VLOOKUP(C42,Theory!B45:BI116,60,FALSE)</f>
        <v>0</v>
      </c>
      <c r="BT42" s="386">
        <f>VLOOKUP(C42,Theory!B45:BJ116,61,FALSE)</f>
        <v>0</v>
      </c>
      <c r="BU42" s="386">
        <f>VLOOKUP(C42,Theory!B45:BK116,62,FALSE)</f>
        <v>0</v>
      </c>
      <c r="BV42" s="386">
        <f>VLOOKUP(C42,Theory!B45:BL116,63,FALSE)</f>
        <v>0</v>
      </c>
      <c r="BW42" s="386">
        <f>VLOOKUP(C42,Theory!B45:BM116,64,FALSE)</f>
        <v>0</v>
      </c>
      <c r="BX42" s="386">
        <f>VLOOKUP(C42,Theory!B45:BN116,65,FALSE)</f>
        <v>0</v>
      </c>
      <c r="BY42" s="386">
        <f>VLOOKUP(C42,Theory!B45:BO116,66,FALSE)</f>
        <v>0</v>
      </c>
      <c r="BZ42" s="369">
        <f t="shared" si="15"/>
        <v>1</v>
      </c>
      <c r="CA42" s="385">
        <f t="shared" si="1"/>
        <v>12</v>
      </c>
      <c r="CB42" s="386">
        <f>VLOOKUP(C42,Theory!B45:BP116,67,FALSE)</f>
        <v>0</v>
      </c>
      <c r="CC42" s="386">
        <f>VLOOKUP(C42,Theory!B45:BQ116,68,FALSE)</f>
        <v>0</v>
      </c>
      <c r="CD42" s="386">
        <f>VLOOKUP(C42,Theory!B45:BR116,69,FALSE)</f>
        <v>0</v>
      </c>
      <c r="CE42" s="386">
        <f>VLOOKUP(C42,Theory!B45:BS116,70,FALSE)</f>
        <v>0</v>
      </c>
      <c r="CF42" s="369">
        <f t="shared" si="16"/>
        <v>0</v>
      </c>
      <c r="CG42" s="399">
        <f>VLOOKUP(C42,Theory!B45:BT116,71,FALSE)</f>
        <v>0</v>
      </c>
      <c r="CH42" s="399">
        <f>VLOOKUP(C42,Theory!B45:BU116,72,FALSE)</f>
        <v>0</v>
      </c>
      <c r="CI42" s="399">
        <f>VLOOKUP(C42,Theory!B45:BV116,73,FALSE)</f>
        <v>0</v>
      </c>
      <c r="CJ42" s="399">
        <f>VLOOKUP(C42,Theory!B45:BW116,74,FALSE)</f>
        <v>0</v>
      </c>
      <c r="CK42" s="369">
        <f t="shared" si="17"/>
        <v>0</v>
      </c>
      <c r="CL42" s="386">
        <f>VLOOKUP(C42,Theory!B45:BX116,75,FALSE)</f>
        <v>0</v>
      </c>
      <c r="CM42" s="400">
        <f>VLOOKUP(C42,Theory!B45:BY116,76,FALSE)</f>
        <v>0</v>
      </c>
      <c r="CN42" s="400">
        <f>VLOOKUP(C42,Theory!B45:BZ116,77,FALSE)</f>
        <v>0</v>
      </c>
      <c r="CO42" s="400">
        <f>VLOOKUP(C42,Theory!B45:CA116,78,FALSE)</f>
        <v>0</v>
      </c>
      <c r="CP42" s="386">
        <f>VLOOKUP(C42,Theory!B45:CB116,79,FALSE)</f>
        <v>0</v>
      </c>
      <c r="CQ42" s="386">
        <f>VLOOKUP(C42,Theory!B45:CC116,80,FALSE)</f>
        <v>0</v>
      </c>
      <c r="CR42" s="386">
        <f>VLOOKUP(C42,Theory!B45:CD116,81,FALSE)</f>
        <v>0</v>
      </c>
      <c r="CS42" s="386">
        <f>VLOOKUP(C42,Theory!B45:CE116,82,FALSE)</f>
        <v>0</v>
      </c>
      <c r="CT42" s="369">
        <f t="shared" si="18"/>
        <v>0</v>
      </c>
      <c r="CU42" s="399">
        <f>VLOOKUP(C42,Theory!B45:CF116,83,FALSE)</f>
        <v>0</v>
      </c>
      <c r="CV42" s="400">
        <f>VLOOKUP(C42,Theory!B45:CG116,84,FALSE)</f>
        <v>0</v>
      </c>
      <c r="CW42" s="400">
        <f>VLOOKUP(C42,Theory!B45:CH116,85,FALSE)</f>
        <v>0</v>
      </c>
      <c r="CX42" s="400">
        <f>VLOOKUP(C42,Theory!B45:CI116,86,FALSE)</f>
        <v>0</v>
      </c>
      <c r="CY42" s="399">
        <f>VLOOKUP(C42,Theory!B45:CJ116,87,FALSE)</f>
        <v>0</v>
      </c>
      <c r="CZ42" s="399">
        <f>VLOOKUP(C42,Theory!B45:CK116,88,FALSE)</f>
        <v>0</v>
      </c>
      <c r="DA42" s="399">
        <f>VLOOKUP(C42,Theory!B45:CL116,89,FALSE)</f>
        <v>0</v>
      </c>
      <c r="DB42" s="399">
        <f>VLOOKUP(C42,Theory!B45:CM116,90,FALSE)</f>
        <v>0</v>
      </c>
      <c r="DC42" s="369">
        <f t="shared" si="19"/>
        <v>0</v>
      </c>
      <c r="DD42" s="386">
        <f>VLOOKUP(C42,Theory!B45:CN116,91,FALSE)</f>
        <v>0</v>
      </c>
      <c r="DE42" s="400">
        <f>VLOOKUP(C42,Theory!B45:CO116,92,FALSE)</f>
        <v>0</v>
      </c>
      <c r="DF42" s="400">
        <f>VLOOKUP(C42,Theory!B45:CP116,93,FALSE)</f>
        <v>0</v>
      </c>
      <c r="DG42" s="400">
        <f>VLOOKUP(C42,Theory!B45:CQ116,94,FALSE)</f>
        <v>0</v>
      </c>
      <c r="DH42" s="386">
        <f>VLOOKUP(C42,Theory!B45:CR116,95,FALSE)</f>
        <v>0</v>
      </c>
      <c r="DI42" s="386">
        <f>VLOOKUP(C42,Theory!B45:CS116,96,FALSE)</f>
        <v>0</v>
      </c>
      <c r="DJ42" s="386">
        <f>VLOOKUP(C42,Theory!B45:CT116,97,FALSE)</f>
        <v>0</v>
      </c>
      <c r="DK42" s="386">
        <f>VLOOKUP(C42,Theory!B45:CU116,98,FALSE)</f>
        <v>0</v>
      </c>
      <c r="DL42" s="369">
        <f t="shared" si="20"/>
        <v>0</v>
      </c>
      <c r="DM42" s="411">
        <f t="shared" si="2"/>
        <v>0</v>
      </c>
      <c r="DN42" s="413">
        <f t="shared" si="40"/>
        <v>14</v>
      </c>
      <c r="DO42" s="413">
        <f t="shared" si="41"/>
        <v>12</v>
      </c>
      <c r="DP42" s="413">
        <f t="shared" si="42"/>
        <v>0</v>
      </c>
      <c r="DQ42" s="418">
        <f t="shared" si="43"/>
        <v>8</v>
      </c>
      <c r="DR42" s="418">
        <f t="shared" si="44"/>
        <v>7</v>
      </c>
      <c r="DS42" s="418">
        <f t="shared" si="45"/>
        <v>0</v>
      </c>
      <c r="DT42" s="417">
        <f t="shared" si="36"/>
        <v>5</v>
      </c>
      <c r="DU42" s="423">
        <f>VLOOKUP(C42,Theory!B45:CV116,99,FALSE)</f>
        <v>7</v>
      </c>
      <c r="DV42" s="423">
        <f>VLOOKUP(C42,Theory!B45:CW116,100,FALSE)</f>
        <v>10</v>
      </c>
      <c r="DW42" s="424">
        <f t="shared" si="27"/>
        <v>17</v>
      </c>
      <c r="DX42" s="421">
        <f t="shared" si="3"/>
        <v>22</v>
      </c>
      <c r="DY42" s="430">
        <f t="shared" si="4"/>
        <v>13</v>
      </c>
      <c r="DZ42" s="431">
        <f>VLOOKUP(C42,Lab!B37:D106,3,FALSE)</f>
        <v>0</v>
      </c>
      <c r="EA42" s="432">
        <f>VLOOKUP(C42,Lab!B37:E106,4,FALSE)</f>
        <v>0</v>
      </c>
      <c r="EB42" s="432">
        <f>VLOOKUP(C42,Lab!B37:F106,5,FALSE)</f>
        <v>25</v>
      </c>
      <c r="EC42" s="422">
        <f t="shared" si="37"/>
        <v>25</v>
      </c>
      <c r="ED42" s="436">
        <f>VLOOKUP(C42,Lab!B37:G106,6,FALSE)</f>
        <v>0</v>
      </c>
      <c r="EE42" s="436">
        <f>VLOOKUP(C42,Lab!B37:H106,7,FALSE)</f>
        <v>0</v>
      </c>
      <c r="EF42" s="437">
        <v>8</v>
      </c>
      <c r="EG42" s="443">
        <f t="shared" si="38"/>
        <v>8</v>
      </c>
      <c r="EH42" s="444">
        <f t="shared" si="28"/>
        <v>33</v>
      </c>
      <c r="EI42" s="445">
        <f t="shared" si="29"/>
        <v>13</v>
      </c>
      <c r="EJ42" s="446">
        <f t="shared" si="5"/>
        <v>26</v>
      </c>
      <c r="EK42" s="449">
        <v>27.5</v>
      </c>
      <c r="EM42" s="450">
        <f>VLOOKUP(C42,Theory!B45:DK116,114,FALSE)</f>
        <v>0</v>
      </c>
      <c r="EN42" s="450">
        <f>VLOOKUP(C42,Theory!B45:DL116,115,FALSE)</f>
        <v>0</v>
      </c>
      <c r="EO42" s="450">
        <f>VLOOKUP(C42,Theory!B45:DM116,116,FALSE)</f>
        <v>0</v>
      </c>
      <c r="EP42" s="450">
        <f>VLOOKUP(C42,Theory!B45:DN114,117,FALSE)</f>
        <v>0</v>
      </c>
      <c r="EQ42" s="450">
        <f>VLOOKUP(C42,Theory!B45:DO114,118,FALSE)</f>
        <v>0</v>
      </c>
      <c r="ER42" s="451">
        <f>VLOOKUP(C42,Theory!B45:DP114,119,FALSE)</f>
        <v>0</v>
      </c>
      <c r="ES42" s="454">
        <f>VLOOKUP(C42,Theory!B45:DQ114,120,FALSE)</f>
        <v>0</v>
      </c>
      <c r="ET42" s="455">
        <f t="shared" si="39"/>
        <v>0</v>
      </c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</row>
    <row r="43" ht="18.35" spans="1:160">
      <c r="A43" s="164">
        <v>30</v>
      </c>
      <c r="B43" s="289" t="str">
        <f>Theory!C46</f>
        <v>K SPOORTHI REDDY</v>
      </c>
      <c r="C43" s="360" t="str">
        <f>Theory!B46</f>
        <v>1DS23AI031</v>
      </c>
      <c r="D43" s="361">
        <f>VLOOKUP(C43,Theory!B46:D117,3,FALSE)</f>
        <v>8</v>
      </c>
      <c r="E43" s="361">
        <f>VLOOKUP(C43,Theory!B46:E117,4,FALSE)</f>
        <v>0</v>
      </c>
      <c r="F43" s="361">
        <f>VLOOKUP(C43,Theory!B46:F117,5,FALSE)</f>
        <v>0</v>
      </c>
      <c r="G43" s="361">
        <f>VLOOKUP(C43,Theory!B46:G117,6,FALSE)</f>
        <v>0</v>
      </c>
      <c r="H43" s="369">
        <f t="shared" si="6"/>
        <v>8</v>
      </c>
      <c r="I43" s="370">
        <f>VLOOKUP(C43,Theory!B46:H117,7,FALSE)</f>
        <v>4</v>
      </c>
      <c r="J43" s="371">
        <f>VLOOKUP(C43,Theory!B46:I117,8,FALSE)</f>
        <v>0</v>
      </c>
      <c r="K43" s="371">
        <f>VLOOKUP(C43,Theory!B46:J117,9,FALSE)</f>
        <v>0</v>
      </c>
      <c r="L43" s="371">
        <f>VLOOKUP(C43,Theory!B46:K117,10,FALSE)</f>
        <v>0</v>
      </c>
      <c r="M43" s="369">
        <f t="shared" si="7"/>
        <v>4</v>
      </c>
      <c r="N43" s="373">
        <f>VLOOKUP(C43,Theory!B46:L117,11,FALSE)</f>
        <v>6</v>
      </c>
      <c r="O43" s="373">
        <f>VLOOKUP(C43,Theory!B46:M117,12,FALSE)</f>
        <v>0</v>
      </c>
      <c r="P43" s="373">
        <f>VLOOKUP(C43,Theory!B46:N117,13,FALSE)</f>
        <v>0</v>
      </c>
      <c r="Q43" s="373">
        <f>VLOOKUP(C43,Theory!B46:O117,14,FALSE)</f>
        <v>0</v>
      </c>
      <c r="R43" s="371">
        <f>VLOOKUP(C43,Theory!B46:P117,15,FALSE)</f>
        <v>0</v>
      </c>
      <c r="S43" s="371">
        <f>VLOOKUP(C43,Theory!B46:Q117,16,FALSE)</f>
        <v>0</v>
      </c>
      <c r="T43" s="371">
        <f>VLOOKUP(C43,Theory!B46:R117,17,FALSE)</f>
        <v>0</v>
      </c>
      <c r="U43" s="371">
        <f>VLOOKUP(C43,Theory!B46:S117,18,FALSE)</f>
        <v>0</v>
      </c>
      <c r="V43" s="369">
        <f t="shared" si="8"/>
        <v>6</v>
      </c>
      <c r="W43" s="361">
        <f>VLOOKUP(C43,Theory!B46:T117,19,FALSE)</f>
        <v>0</v>
      </c>
      <c r="X43" s="361">
        <f>VLOOKUP(C43,Theory!B46:U117,20,FALSE)</f>
        <v>0</v>
      </c>
      <c r="Y43" s="361">
        <f>VLOOKUP(C43,Theory!B46:V117,21,FALSE)</f>
        <v>0</v>
      </c>
      <c r="Z43" s="361">
        <f>VLOOKUP(C43,Theory!B46:W117,22,FALSE)</f>
        <v>0</v>
      </c>
      <c r="AA43" s="370">
        <f>VLOOKUP(C43,Theory!B46:X117,23,FALSE)</f>
        <v>8</v>
      </c>
      <c r="AB43" s="370">
        <f>VLOOKUP(C43,Theory!B46:Y117,24,FALSE)</f>
        <v>0</v>
      </c>
      <c r="AC43" s="370">
        <f>VLOOKUP(C43,Theory!B46:Z117,25,FALSE)</f>
        <v>0</v>
      </c>
      <c r="AD43" s="370">
        <f>VLOOKUP(C43,Theory!B46:AA117,26,FALSE)</f>
        <v>0</v>
      </c>
      <c r="AE43" s="369">
        <f t="shared" si="9"/>
        <v>8</v>
      </c>
      <c r="AF43" s="361">
        <f>VLOOKUP(C43,Theory!B46:AB117,27,FALSE)</f>
        <v>0</v>
      </c>
      <c r="AG43" s="361">
        <f>VLOOKUP(C43,Theory!B46:AC117,28,FALSE)</f>
        <v>0</v>
      </c>
      <c r="AH43" s="361">
        <f>VLOOKUP(C43,Theory!B46:AD117,29,FALSE)</f>
        <v>0</v>
      </c>
      <c r="AI43" s="361">
        <f>VLOOKUP(C43,Theory!B46:AE117,30,FALSE)</f>
        <v>0</v>
      </c>
      <c r="AJ43" s="380">
        <f>VLOOKUP(C43,Theory!B46:AF117,31,FALSE)</f>
        <v>9</v>
      </c>
      <c r="AK43" s="380">
        <f>VLOOKUP(C43,Theory!B46:AG117,32,FALSE)</f>
        <v>0</v>
      </c>
      <c r="AL43" s="380">
        <f>VLOOKUP(C43,Theory!B46:AH117,33,FALSE)</f>
        <v>0</v>
      </c>
      <c r="AM43" s="380">
        <f>VLOOKUP(C43,Theory!B46:AI117,34,FALSE)</f>
        <v>0</v>
      </c>
      <c r="AN43" s="369">
        <f t="shared" si="10"/>
        <v>9</v>
      </c>
      <c r="AO43" s="385">
        <f t="shared" si="0"/>
        <v>35</v>
      </c>
      <c r="AP43" s="386">
        <f>VLOOKUP(C43,Theory!B46:AJ117,35,FALSE)</f>
        <v>0</v>
      </c>
      <c r="AQ43" s="386">
        <f>VLOOKUP(C43,Theory!B46:AK117,36,FALSE)</f>
        <v>0</v>
      </c>
      <c r="AR43" s="386">
        <f>VLOOKUP(C43,Theory!B46:AL117,37,FALSE)</f>
        <v>0</v>
      </c>
      <c r="AS43" s="386">
        <f>VLOOKUP(C43,Theory!B46:AM117,38,FALSE)</f>
        <v>0</v>
      </c>
      <c r="AT43" s="369">
        <f t="shared" si="11"/>
        <v>0</v>
      </c>
      <c r="AU43" s="386">
        <f>VLOOKUP(C43,Theory!B46:AN117,39,FALSE)</f>
        <v>5</v>
      </c>
      <c r="AV43" s="386">
        <f>VLOOKUP(C43,Theory!B46:AO117,40,FALSE)</f>
        <v>0</v>
      </c>
      <c r="AW43" s="386">
        <f>VLOOKUP(C43,Theory!B46:AP117,41,FALSE)</f>
        <v>0</v>
      </c>
      <c r="AX43" s="386">
        <f>VLOOKUP(C43,Theory!B46:AQ117,42,FALSE)</f>
        <v>0</v>
      </c>
      <c r="AY43" s="369">
        <f t="shared" si="12"/>
        <v>5</v>
      </c>
      <c r="AZ43" s="386">
        <f>VLOOKUP(C43,Theory!B46:AR117,43,FALSE)</f>
        <v>6</v>
      </c>
      <c r="BA43" s="386">
        <f>VLOOKUP(C43,Theory!B46:AS117,44,FALSE)</f>
        <v>0</v>
      </c>
      <c r="BB43" s="386">
        <f>VLOOKUP(C43,Theory!B46:AT117,45,FALSE)</f>
        <v>0</v>
      </c>
      <c r="BC43" s="386">
        <f>VLOOKUP(C43,Theory!B46:AU117,46,FALSE)</f>
        <v>0</v>
      </c>
      <c r="BD43" s="386">
        <f>VLOOKUP(C43,Theory!B46:AV117,47,FALSE)</f>
        <v>0</v>
      </c>
      <c r="BE43" s="386">
        <f>VLOOKUP(C43,Theory!B46:AW117,48,FALSE)</f>
        <v>0</v>
      </c>
      <c r="BF43" s="386">
        <f>VLOOKUP(C43,Theory!B46:AX117,49,FALSE)</f>
        <v>0</v>
      </c>
      <c r="BG43" s="386">
        <f>VLOOKUP(C43,Theory!B46:AY117,50,FALSE)</f>
        <v>0</v>
      </c>
      <c r="BH43" s="369">
        <f t="shared" si="13"/>
        <v>6</v>
      </c>
      <c r="BI43" s="386">
        <f>VLOOKUP(C43,Theory!B46:AZ117,51,FALSE)</f>
        <v>0</v>
      </c>
      <c r="BJ43" s="386">
        <f>VLOOKUP(C43,Theory!B46:BA117,52,FALSE)</f>
        <v>0</v>
      </c>
      <c r="BK43" s="386">
        <f>VLOOKUP(C43,Theory!B46:BB117,53,FALSE)</f>
        <v>0</v>
      </c>
      <c r="BL43" s="386">
        <f>VLOOKUP(C43,Theory!B46:BC117,54,FALSE)</f>
        <v>0</v>
      </c>
      <c r="BM43" s="386">
        <f>VLOOKUP(C43,Theory!B46:BD117,55,FALSE)</f>
        <v>8</v>
      </c>
      <c r="BN43" s="386">
        <f>VLOOKUP(C43,Theory!B46:BE117,56,FALSE)</f>
        <v>0</v>
      </c>
      <c r="BO43" s="386">
        <f>VLOOKUP(C43,Theory!B46:BF117,57,FALSE)</f>
        <v>0</v>
      </c>
      <c r="BP43" s="386">
        <f>VLOOKUP(C43,Theory!B46:BG117,58,FALSE)</f>
        <v>0</v>
      </c>
      <c r="BQ43" s="369">
        <f t="shared" si="14"/>
        <v>8</v>
      </c>
      <c r="BR43" s="386">
        <f>VLOOKUP(C43,Theory!B46:BH117,59,FALSE)</f>
        <v>0</v>
      </c>
      <c r="BS43" s="386">
        <f>VLOOKUP(C43,Theory!B46:BI117,60,FALSE)</f>
        <v>0</v>
      </c>
      <c r="BT43" s="386">
        <f>VLOOKUP(C43,Theory!B46:BJ117,61,FALSE)</f>
        <v>0</v>
      </c>
      <c r="BU43" s="386">
        <f>VLOOKUP(C43,Theory!B46:BK117,62,FALSE)</f>
        <v>0</v>
      </c>
      <c r="BV43" s="386">
        <f>VLOOKUP(C43,Theory!B46:BL117,63,FALSE)</f>
        <v>8</v>
      </c>
      <c r="BW43" s="386">
        <f>VLOOKUP(C43,Theory!B46:BM117,64,FALSE)</f>
        <v>0</v>
      </c>
      <c r="BX43" s="386">
        <f>VLOOKUP(C43,Theory!B46:BN117,65,FALSE)</f>
        <v>0</v>
      </c>
      <c r="BY43" s="386">
        <f>VLOOKUP(C43,Theory!B46:BO117,66,FALSE)</f>
        <v>0</v>
      </c>
      <c r="BZ43" s="369">
        <f t="shared" si="15"/>
        <v>8</v>
      </c>
      <c r="CA43" s="385">
        <f t="shared" si="1"/>
        <v>27</v>
      </c>
      <c r="CB43" s="386">
        <f>VLOOKUP(C43,Theory!B46:BP117,67,FALSE)</f>
        <v>7</v>
      </c>
      <c r="CC43" s="386">
        <f>VLOOKUP(C43,Theory!B46:BQ117,68,FALSE)</f>
        <v>0</v>
      </c>
      <c r="CD43" s="386">
        <f>VLOOKUP(C43,Theory!B46:BR117,69,FALSE)</f>
        <v>0</v>
      </c>
      <c r="CE43" s="386">
        <f>VLOOKUP(C43,Theory!B46:BS117,70,FALSE)</f>
        <v>0</v>
      </c>
      <c r="CF43" s="369">
        <f t="shared" si="16"/>
        <v>7</v>
      </c>
      <c r="CG43" s="399">
        <f>VLOOKUP(C43,Theory!B46:BT117,71,FALSE)</f>
        <v>8</v>
      </c>
      <c r="CH43" s="399">
        <f>VLOOKUP(C43,Theory!B46:BU117,72,FALSE)</f>
        <v>0</v>
      </c>
      <c r="CI43" s="399">
        <f>VLOOKUP(C43,Theory!B46:BV117,73,FALSE)</f>
        <v>0</v>
      </c>
      <c r="CJ43" s="399">
        <f>VLOOKUP(C43,Theory!B46:BW117,74,FALSE)</f>
        <v>0</v>
      </c>
      <c r="CK43" s="369">
        <f t="shared" si="17"/>
        <v>8</v>
      </c>
      <c r="CL43" s="386">
        <f>VLOOKUP(C43,Theory!B46:BX117,75,FALSE)</f>
        <v>0</v>
      </c>
      <c r="CM43" s="400">
        <f>VLOOKUP(C43,Theory!B46:BY117,76,FALSE)</f>
        <v>0</v>
      </c>
      <c r="CN43" s="400">
        <f>VLOOKUP(C43,Theory!B46:BZ117,77,FALSE)</f>
        <v>0</v>
      </c>
      <c r="CO43" s="400">
        <f>VLOOKUP(C43,Theory!B46:CA117,78,FALSE)</f>
        <v>0</v>
      </c>
      <c r="CP43" s="386">
        <f>VLOOKUP(C43,Theory!B46:CB117,79,FALSE)</f>
        <v>6</v>
      </c>
      <c r="CQ43" s="386">
        <f>VLOOKUP(C43,Theory!B46:CC117,80,FALSE)</f>
        <v>0</v>
      </c>
      <c r="CR43" s="386">
        <f>VLOOKUP(C43,Theory!B46:CD117,81,FALSE)</f>
        <v>0</v>
      </c>
      <c r="CS43" s="386">
        <f>VLOOKUP(C43,Theory!B46:CE117,82,FALSE)</f>
        <v>0</v>
      </c>
      <c r="CT43" s="369">
        <f t="shared" si="18"/>
        <v>6</v>
      </c>
      <c r="CU43" s="399">
        <f>VLOOKUP(C43,Theory!B46:CF117,83,FALSE)</f>
        <v>8</v>
      </c>
      <c r="CV43" s="400">
        <f>VLOOKUP(C43,Theory!B46:CG117,84,FALSE)</f>
        <v>0</v>
      </c>
      <c r="CW43" s="400">
        <f>VLOOKUP(C43,Theory!B46:CH117,85,FALSE)</f>
        <v>0</v>
      </c>
      <c r="CX43" s="400">
        <f>VLOOKUP(C43,Theory!B46:CI117,86,FALSE)</f>
        <v>0</v>
      </c>
      <c r="CY43" s="399">
        <f>VLOOKUP(C43,Theory!B46:CJ117,87,FALSE)</f>
        <v>0</v>
      </c>
      <c r="CZ43" s="399">
        <f>VLOOKUP(C43,Theory!B46:CK117,88,FALSE)</f>
        <v>0</v>
      </c>
      <c r="DA43" s="399">
        <f>VLOOKUP(C43,Theory!B46:CL117,89,FALSE)</f>
        <v>0</v>
      </c>
      <c r="DB43" s="399">
        <f>VLOOKUP(C43,Theory!B46:CM117,90,FALSE)</f>
        <v>0</v>
      </c>
      <c r="DC43" s="369">
        <f t="shared" si="19"/>
        <v>8</v>
      </c>
      <c r="DD43" s="386">
        <f>VLOOKUP(C43,Theory!B46:CN117,91,FALSE)</f>
        <v>4</v>
      </c>
      <c r="DE43" s="400">
        <f>VLOOKUP(C43,Theory!B46:CO117,92,FALSE)</f>
        <v>0</v>
      </c>
      <c r="DF43" s="400">
        <f>VLOOKUP(C43,Theory!B46:CP117,93,FALSE)</f>
        <v>0</v>
      </c>
      <c r="DG43" s="400">
        <f>VLOOKUP(C43,Theory!B46:CQ117,94,FALSE)</f>
        <v>0</v>
      </c>
      <c r="DH43" s="386">
        <f>VLOOKUP(C43,Theory!B46:CR117,95,FALSE)</f>
        <v>0</v>
      </c>
      <c r="DI43" s="386">
        <f>VLOOKUP(C43,Theory!B46:CS117,96,FALSE)</f>
        <v>0</v>
      </c>
      <c r="DJ43" s="386">
        <f>VLOOKUP(C43,Theory!B46:CT117,97,FALSE)</f>
        <v>0</v>
      </c>
      <c r="DK43" s="386">
        <f>VLOOKUP(C43,Theory!B46:CU117,98,FALSE)</f>
        <v>0</v>
      </c>
      <c r="DL43" s="369">
        <f t="shared" si="20"/>
        <v>4</v>
      </c>
      <c r="DM43" s="411">
        <f t="shared" si="2"/>
        <v>33</v>
      </c>
      <c r="DN43" s="413">
        <f t="shared" si="40"/>
        <v>35</v>
      </c>
      <c r="DO43" s="413">
        <f t="shared" si="41"/>
        <v>27</v>
      </c>
      <c r="DP43" s="413">
        <f t="shared" si="42"/>
        <v>33</v>
      </c>
      <c r="DQ43" s="418">
        <f t="shared" si="43"/>
        <v>21</v>
      </c>
      <c r="DR43" s="418">
        <f t="shared" si="44"/>
        <v>16</v>
      </c>
      <c r="DS43" s="418">
        <f t="shared" si="45"/>
        <v>20</v>
      </c>
      <c r="DT43" s="417">
        <f t="shared" si="36"/>
        <v>19</v>
      </c>
      <c r="DU43" s="423">
        <f>VLOOKUP(C43,Theory!B46:CV117,99,FALSE)</f>
        <v>7</v>
      </c>
      <c r="DV43" s="423">
        <f>VLOOKUP(C43,Theory!B46:CW117,100,FALSE)</f>
        <v>10</v>
      </c>
      <c r="DW43" s="424">
        <f t="shared" si="27"/>
        <v>17</v>
      </c>
      <c r="DX43" s="421">
        <f t="shared" si="3"/>
        <v>36</v>
      </c>
      <c r="DY43" s="430">
        <f t="shared" si="4"/>
        <v>22</v>
      </c>
      <c r="DZ43" s="431">
        <f>VLOOKUP(C43,Lab!B38:D107,3,FALSE)</f>
        <v>0</v>
      </c>
      <c r="EA43" s="432">
        <f>VLOOKUP(C43,Lab!B38:E107,4,FALSE)</f>
        <v>0</v>
      </c>
      <c r="EB43" s="432">
        <f>VLOOKUP(C43,Lab!B38:F107,5,FALSE)</f>
        <v>30</v>
      </c>
      <c r="EC43" s="422">
        <f t="shared" si="37"/>
        <v>30</v>
      </c>
      <c r="ED43" s="436">
        <f>VLOOKUP(C43,Lab!B38:G107,6,FALSE)</f>
        <v>0</v>
      </c>
      <c r="EE43" s="436">
        <f>VLOOKUP(C43,Lab!B38:H107,7,FALSE)</f>
        <v>0</v>
      </c>
      <c r="EF43" s="437">
        <f>VLOOKUP(C43,Lab!B38:I107,8,FALSE)</f>
        <v>20</v>
      </c>
      <c r="EG43" s="443">
        <f t="shared" si="38"/>
        <v>20</v>
      </c>
      <c r="EH43" s="444">
        <f t="shared" si="28"/>
        <v>50</v>
      </c>
      <c r="EI43" s="445">
        <f t="shared" si="29"/>
        <v>20</v>
      </c>
      <c r="EJ43" s="446">
        <f t="shared" si="5"/>
        <v>42</v>
      </c>
      <c r="EK43" s="449">
        <v>31</v>
      </c>
      <c r="EM43" s="450">
        <f>VLOOKUP(C43,Theory!B46:DK117,114,FALSE)</f>
        <v>0</v>
      </c>
      <c r="EN43" s="450">
        <f>VLOOKUP(C43,Theory!B46:DL117,115,FALSE)</f>
        <v>0</v>
      </c>
      <c r="EO43" s="450">
        <f>VLOOKUP(C43,Theory!B46:DM117,116,FALSE)</f>
        <v>0</v>
      </c>
      <c r="EP43" s="450">
        <f>VLOOKUP(C43,Theory!B46:DN115,117,FALSE)</f>
        <v>0</v>
      </c>
      <c r="EQ43" s="450">
        <f>VLOOKUP(C43,Theory!B46:DO115,118,FALSE)</f>
        <v>0</v>
      </c>
      <c r="ER43" s="451">
        <f>VLOOKUP(C43,Theory!B46:DP115,119,FALSE)</f>
        <v>0</v>
      </c>
      <c r="ES43" s="454">
        <f>VLOOKUP(C43,Theory!B46:DQ115,120,FALSE)</f>
        <v>0</v>
      </c>
      <c r="ET43" s="455">
        <f t="shared" si="39"/>
        <v>0</v>
      </c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</row>
    <row r="44" ht="18.35" spans="1:160">
      <c r="A44" s="164">
        <v>31</v>
      </c>
      <c r="B44" s="289" t="str">
        <f>Theory!C47</f>
        <v>KARTHIK B</v>
      </c>
      <c r="C44" s="360" t="str">
        <f>Theory!B47</f>
        <v>1DS23AI032</v>
      </c>
      <c r="D44" s="361">
        <f>VLOOKUP(C44,Theory!B47:D118,3,FALSE)</f>
        <v>0</v>
      </c>
      <c r="E44" s="361">
        <f>VLOOKUP(C44,Theory!B47:E118,4,FALSE)</f>
        <v>0</v>
      </c>
      <c r="F44" s="361">
        <f>VLOOKUP(C44,Theory!B47:F118,5,FALSE)</f>
        <v>0</v>
      </c>
      <c r="G44" s="361">
        <f>VLOOKUP(C44,Theory!B47:G118,6,FALSE)</f>
        <v>0</v>
      </c>
      <c r="H44" s="369">
        <f t="shared" si="6"/>
        <v>0</v>
      </c>
      <c r="I44" s="370">
        <f>VLOOKUP(C44,Theory!B47:H118,7,FALSE)</f>
        <v>6</v>
      </c>
      <c r="J44" s="371">
        <f>VLOOKUP(C44,Theory!B47:I118,8,FALSE)</f>
        <v>0</v>
      </c>
      <c r="K44" s="371">
        <f>VLOOKUP(C44,Theory!B47:J118,9,FALSE)</f>
        <v>0</v>
      </c>
      <c r="L44" s="371">
        <f>VLOOKUP(C44,Theory!B47:K118,10,FALSE)</f>
        <v>0</v>
      </c>
      <c r="M44" s="369">
        <f t="shared" si="7"/>
        <v>6</v>
      </c>
      <c r="N44" s="373">
        <f>VLOOKUP(C44,Theory!B47:L118,11,FALSE)</f>
        <v>0</v>
      </c>
      <c r="O44" s="373">
        <f>VLOOKUP(C44,Theory!B47:M118,12,FALSE)</f>
        <v>0</v>
      </c>
      <c r="P44" s="373">
        <f>VLOOKUP(C44,Theory!B47:N118,13,FALSE)</f>
        <v>0</v>
      </c>
      <c r="Q44" s="373">
        <f>VLOOKUP(C44,Theory!B47:O118,14,FALSE)</f>
        <v>0</v>
      </c>
      <c r="R44" s="371">
        <f>VLOOKUP(C44,Theory!B47:P118,15,FALSE)</f>
        <v>4</v>
      </c>
      <c r="S44" s="371">
        <f>VLOOKUP(C44,Theory!B47:Q118,16,FALSE)</f>
        <v>0</v>
      </c>
      <c r="T44" s="371">
        <f>VLOOKUP(C44,Theory!B47:R118,17,FALSE)</f>
        <v>0</v>
      </c>
      <c r="U44" s="371">
        <f>VLOOKUP(C44,Theory!B47:S118,18,FALSE)</f>
        <v>0</v>
      </c>
      <c r="V44" s="369">
        <f t="shared" si="8"/>
        <v>4</v>
      </c>
      <c r="W44" s="361">
        <f>VLOOKUP(C44,Theory!B47:T118,19,FALSE)</f>
        <v>9</v>
      </c>
      <c r="X44" s="361">
        <f>VLOOKUP(C44,Theory!B47:U118,20,FALSE)</f>
        <v>0</v>
      </c>
      <c r="Y44" s="361">
        <f>VLOOKUP(C44,Theory!B47:V118,21,FALSE)</f>
        <v>0</v>
      </c>
      <c r="Z44" s="361">
        <f>VLOOKUP(C44,Theory!B47:W118,22,FALSE)</f>
        <v>0</v>
      </c>
      <c r="AA44" s="370">
        <f>VLOOKUP(C44,Theory!B47:X118,23,FALSE)</f>
        <v>0</v>
      </c>
      <c r="AB44" s="370">
        <f>VLOOKUP(C44,Theory!B47:Y118,24,FALSE)</f>
        <v>0</v>
      </c>
      <c r="AC44" s="370">
        <f>VLOOKUP(C44,Theory!B47:Z118,25,FALSE)</f>
        <v>0</v>
      </c>
      <c r="AD44" s="370">
        <f>VLOOKUP(C44,Theory!B47:AA118,26,FALSE)</f>
        <v>0</v>
      </c>
      <c r="AE44" s="369">
        <f t="shared" si="9"/>
        <v>9</v>
      </c>
      <c r="AF44" s="361">
        <f>VLOOKUP(C44,Theory!B47:AB118,27,FALSE)</f>
        <v>6</v>
      </c>
      <c r="AG44" s="361">
        <f>VLOOKUP(C44,Theory!B47:AC118,28,FALSE)</f>
        <v>0</v>
      </c>
      <c r="AH44" s="361">
        <f>VLOOKUP(C44,Theory!B47:AD118,29,FALSE)</f>
        <v>0</v>
      </c>
      <c r="AI44" s="361">
        <f>VLOOKUP(C44,Theory!B47:AE118,30,FALSE)</f>
        <v>0</v>
      </c>
      <c r="AJ44" s="380">
        <f>VLOOKUP(C44,Theory!B47:AF118,31,FALSE)</f>
        <v>0</v>
      </c>
      <c r="AK44" s="380">
        <f>VLOOKUP(C44,Theory!B47:AG118,32,FALSE)</f>
        <v>0</v>
      </c>
      <c r="AL44" s="380">
        <f>VLOOKUP(C44,Theory!B47:AH118,33,FALSE)</f>
        <v>0</v>
      </c>
      <c r="AM44" s="380">
        <f>VLOOKUP(C44,Theory!B47:AI118,34,FALSE)</f>
        <v>0</v>
      </c>
      <c r="AN44" s="369">
        <f t="shared" si="10"/>
        <v>6</v>
      </c>
      <c r="AO44" s="385">
        <f t="shared" si="0"/>
        <v>25</v>
      </c>
      <c r="AP44" s="386">
        <f>VLOOKUP(C44,Theory!B47:AJ118,35,FALSE)</f>
        <v>0</v>
      </c>
      <c r="AQ44" s="386">
        <f>VLOOKUP(C44,Theory!B47:AK118,36,FALSE)</f>
        <v>0</v>
      </c>
      <c r="AR44" s="386">
        <f>VLOOKUP(C44,Theory!B47:AL118,37,FALSE)</f>
        <v>0</v>
      </c>
      <c r="AS44" s="386">
        <f>VLOOKUP(C44,Theory!B47:AM118,38,FALSE)</f>
        <v>0</v>
      </c>
      <c r="AT44" s="369">
        <f t="shared" si="11"/>
        <v>0</v>
      </c>
      <c r="AU44" s="386">
        <f>VLOOKUP(C44,Theory!B47:AN118,39,FALSE)</f>
        <v>0</v>
      </c>
      <c r="AV44" s="386">
        <f>VLOOKUP(C44,Theory!B47:AO118,40,FALSE)</f>
        <v>0</v>
      </c>
      <c r="AW44" s="386">
        <f>VLOOKUP(C44,Theory!B47:AP118,41,FALSE)</f>
        <v>0</v>
      </c>
      <c r="AX44" s="386">
        <f>VLOOKUP(C44,Theory!B47:AQ118,42,FALSE)</f>
        <v>0</v>
      </c>
      <c r="AY44" s="369">
        <f t="shared" si="12"/>
        <v>0</v>
      </c>
      <c r="AZ44" s="386">
        <f>VLOOKUP(C44,Theory!B47:AR118,43,FALSE)</f>
        <v>0</v>
      </c>
      <c r="BA44" s="386">
        <f>VLOOKUP(C44,Theory!B47:AS118,44,FALSE)</f>
        <v>0</v>
      </c>
      <c r="BB44" s="386">
        <f>VLOOKUP(C44,Theory!B47:AT118,45,FALSE)</f>
        <v>0</v>
      </c>
      <c r="BC44" s="386">
        <f>VLOOKUP(C44,Theory!B47:AU118,46,FALSE)</f>
        <v>0</v>
      </c>
      <c r="BD44" s="386">
        <f>VLOOKUP(C44,Theory!B47:AV118,47,FALSE)</f>
        <v>0</v>
      </c>
      <c r="BE44" s="386">
        <f>VLOOKUP(C44,Theory!B47:AW118,48,FALSE)</f>
        <v>0</v>
      </c>
      <c r="BF44" s="386">
        <f>VLOOKUP(C44,Theory!B47:AX118,49,FALSE)</f>
        <v>0</v>
      </c>
      <c r="BG44" s="386">
        <f>VLOOKUP(C44,Theory!B47:AY118,50,FALSE)</f>
        <v>0</v>
      </c>
      <c r="BH44" s="369">
        <f t="shared" si="13"/>
        <v>0</v>
      </c>
      <c r="BI44" s="386">
        <f>VLOOKUP(C44,Theory!B47:AZ118,51,FALSE)</f>
        <v>0</v>
      </c>
      <c r="BJ44" s="386">
        <f>VLOOKUP(C44,Theory!B47:BA118,52,FALSE)</f>
        <v>0</v>
      </c>
      <c r="BK44" s="386">
        <f>VLOOKUP(C44,Theory!B47:BB118,53,FALSE)</f>
        <v>0</v>
      </c>
      <c r="BL44" s="386">
        <f>VLOOKUP(C44,Theory!B47:BC118,54,FALSE)</f>
        <v>0</v>
      </c>
      <c r="BM44" s="386">
        <f>VLOOKUP(C44,Theory!B47:BD118,55,FALSE)</f>
        <v>0</v>
      </c>
      <c r="BN44" s="386">
        <f>VLOOKUP(C44,Theory!B47:BE118,56,FALSE)</f>
        <v>0</v>
      </c>
      <c r="BO44" s="386">
        <f>VLOOKUP(C44,Theory!B47:BF118,57,FALSE)</f>
        <v>0</v>
      </c>
      <c r="BP44" s="386">
        <f>VLOOKUP(C44,Theory!B47:BG118,58,FALSE)</f>
        <v>0</v>
      </c>
      <c r="BQ44" s="369">
        <f t="shared" si="14"/>
        <v>0</v>
      </c>
      <c r="BR44" s="386">
        <f>VLOOKUP(C44,Theory!B47:BH118,59,FALSE)</f>
        <v>0</v>
      </c>
      <c r="BS44" s="386">
        <f>VLOOKUP(C44,Theory!B47:BI118,60,FALSE)</f>
        <v>0</v>
      </c>
      <c r="BT44" s="386">
        <f>VLOOKUP(C44,Theory!B47:BJ118,61,FALSE)</f>
        <v>0</v>
      </c>
      <c r="BU44" s="386">
        <f>VLOOKUP(C44,Theory!B47:BK118,62,FALSE)</f>
        <v>0</v>
      </c>
      <c r="BV44" s="386">
        <f>VLOOKUP(C44,Theory!B47:BL118,63,FALSE)</f>
        <v>0</v>
      </c>
      <c r="BW44" s="386">
        <f>VLOOKUP(C44,Theory!B47:BM118,64,FALSE)</f>
        <v>0</v>
      </c>
      <c r="BX44" s="386">
        <f>VLOOKUP(C44,Theory!B47:BN118,65,FALSE)</f>
        <v>0</v>
      </c>
      <c r="BY44" s="386">
        <f>VLOOKUP(C44,Theory!B47:BO118,66,FALSE)</f>
        <v>0</v>
      </c>
      <c r="BZ44" s="369">
        <f t="shared" si="15"/>
        <v>0</v>
      </c>
      <c r="CA44" s="385">
        <f t="shared" si="1"/>
        <v>0</v>
      </c>
      <c r="CB44" s="386">
        <f>VLOOKUP(C44,Theory!B47:BP118,67,FALSE)</f>
        <v>5</v>
      </c>
      <c r="CC44" s="386">
        <f>VLOOKUP(C44,Theory!B47:BQ118,68,FALSE)</f>
        <v>0</v>
      </c>
      <c r="CD44" s="386">
        <f>VLOOKUP(C44,Theory!B47:BR118,69,FALSE)</f>
        <v>0</v>
      </c>
      <c r="CE44" s="386">
        <f>VLOOKUP(C44,Theory!B47:BS118,70,FALSE)</f>
        <v>0</v>
      </c>
      <c r="CF44" s="369">
        <f t="shared" si="16"/>
        <v>5</v>
      </c>
      <c r="CG44" s="399">
        <f>VLOOKUP(C44,Theory!B47:BT118,71,FALSE)</f>
        <v>8</v>
      </c>
      <c r="CH44" s="399">
        <f>VLOOKUP(C44,Theory!B47:BU118,72,FALSE)</f>
        <v>0</v>
      </c>
      <c r="CI44" s="399">
        <f>VLOOKUP(C44,Theory!B47:BV118,73,FALSE)</f>
        <v>0</v>
      </c>
      <c r="CJ44" s="399">
        <f>VLOOKUP(C44,Theory!B47:BW118,74,FALSE)</f>
        <v>0</v>
      </c>
      <c r="CK44" s="369">
        <f t="shared" si="17"/>
        <v>8</v>
      </c>
      <c r="CL44" s="386">
        <f>VLOOKUP(C44,Theory!B47:BX118,75,FALSE)</f>
        <v>0</v>
      </c>
      <c r="CM44" s="400">
        <f>VLOOKUP(C44,Theory!B47:BY118,76,FALSE)</f>
        <v>0</v>
      </c>
      <c r="CN44" s="400">
        <f>VLOOKUP(C44,Theory!B47:BZ118,77,FALSE)</f>
        <v>0</v>
      </c>
      <c r="CO44" s="400">
        <f>VLOOKUP(C44,Theory!B47:CA118,78,FALSE)</f>
        <v>0</v>
      </c>
      <c r="CP44" s="386">
        <f>VLOOKUP(C44,Theory!B47:CB118,79,FALSE)</f>
        <v>3</v>
      </c>
      <c r="CQ44" s="386">
        <f>VLOOKUP(C44,Theory!B47:CC118,80,FALSE)</f>
        <v>0</v>
      </c>
      <c r="CR44" s="386">
        <f>VLOOKUP(C44,Theory!B47:CD118,81,FALSE)</f>
        <v>0</v>
      </c>
      <c r="CS44" s="386">
        <f>VLOOKUP(C44,Theory!B47:CE118,82,FALSE)</f>
        <v>0</v>
      </c>
      <c r="CT44" s="369">
        <f t="shared" si="18"/>
        <v>3</v>
      </c>
      <c r="CU44" s="399">
        <f>VLOOKUP(C44,Theory!B47:CF118,83,FALSE)</f>
        <v>10</v>
      </c>
      <c r="CV44" s="400">
        <f>VLOOKUP(C44,Theory!B47:CG118,84,FALSE)</f>
        <v>0</v>
      </c>
      <c r="CW44" s="400">
        <f>VLOOKUP(C44,Theory!B47:CH118,85,FALSE)</f>
        <v>0</v>
      </c>
      <c r="CX44" s="400">
        <f>VLOOKUP(C44,Theory!B47:CI118,86,FALSE)</f>
        <v>0</v>
      </c>
      <c r="CY44" s="399">
        <f>VLOOKUP(C44,Theory!B47:CJ118,87,FALSE)</f>
        <v>0</v>
      </c>
      <c r="CZ44" s="399">
        <f>VLOOKUP(C44,Theory!B47:CK118,88,FALSE)</f>
        <v>0</v>
      </c>
      <c r="DA44" s="399">
        <f>VLOOKUP(C44,Theory!B47:CL118,89,FALSE)</f>
        <v>0</v>
      </c>
      <c r="DB44" s="399">
        <f>VLOOKUP(C44,Theory!B47:CM118,90,FALSE)</f>
        <v>0</v>
      </c>
      <c r="DC44" s="369">
        <f t="shared" si="19"/>
        <v>10</v>
      </c>
      <c r="DD44" s="386">
        <f>VLOOKUP(C44,Theory!B47:CN118,91,FALSE)</f>
        <v>0</v>
      </c>
      <c r="DE44" s="400">
        <f>VLOOKUP(C44,Theory!B47:CO118,92,FALSE)</f>
        <v>0</v>
      </c>
      <c r="DF44" s="400">
        <f>VLOOKUP(C44,Theory!B47:CP118,93,FALSE)</f>
        <v>0</v>
      </c>
      <c r="DG44" s="400">
        <f>VLOOKUP(C44,Theory!B47:CQ118,94,FALSE)</f>
        <v>0</v>
      </c>
      <c r="DH44" s="386">
        <f>VLOOKUP(C44,Theory!B47:CR118,95,FALSE)</f>
        <v>7</v>
      </c>
      <c r="DI44" s="386">
        <f>VLOOKUP(C44,Theory!B47:CS118,96,FALSE)</f>
        <v>0</v>
      </c>
      <c r="DJ44" s="386">
        <f>VLOOKUP(C44,Theory!B47:CT118,97,FALSE)</f>
        <v>0</v>
      </c>
      <c r="DK44" s="386">
        <f>VLOOKUP(C44,Theory!B47:CU118,98,FALSE)</f>
        <v>0</v>
      </c>
      <c r="DL44" s="369">
        <f t="shared" si="20"/>
        <v>7</v>
      </c>
      <c r="DM44" s="411">
        <f t="shared" si="2"/>
        <v>33</v>
      </c>
      <c r="DN44" s="413">
        <f t="shared" si="40"/>
        <v>25</v>
      </c>
      <c r="DO44" s="413">
        <f t="shared" si="41"/>
        <v>0</v>
      </c>
      <c r="DP44" s="413">
        <f t="shared" si="42"/>
        <v>33</v>
      </c>
      <c r="DQ44" s="418">
        <f t="shared" si="43"/>
        <v>15</v>
      </c>
      <c r="DR44" s="418">
        <f t="shared" si="44"/>
        <v>0</v>
      </c>
      <c r="DS44" s="418">
        <f t="shared" si="45"/>
        <v>20</v>
      </c>
      <c r="DT44" s="417">
        <f t="shared" si="36"/>
        <v>12</v>
      </c>
      <c r="DU44" s="423">
        <f>VLOOKUP(C44,Theory!B47:CV118,99,FALSE)</f>
        <v>7</v>
      </c>
      <c r="DV44" s="423">
        <f>VLOOKUP(C44,Theory!B47:CW118,100,FALSE)</f>
        <v>10</v>
      </c>
      <c r="DW44" s="424">
        <f t="shared" si="27"/>
        <v>17</v>
      </c>
      <c r="DX44" s="421">
        <f t="shared" si="3"/>
        <v>29</v>
      </c>
      <c r="DY44" s="430">
        <f t="shared" si="4"/>
        <v>17</v>
      </c>
      <c r="DZ44" s="431">
        <f>VLOOKUP(C44,Lab!B39:D108,3,FALSE)</f>
        <v>0</v>
      </c>
      <c r="EA44" s="432">
        <f>VLOOKUP(C44,Lab!B39:E108,4,FALSE)</f>
        <v>0</v>
      </c>
      <c r="EB44" s="432">
        <f>VLOOKUP(C44,Lab!B39:F108,5,FALSE)</f>
        <v>25</v>
      </c>
      <c r="EC44" s="422">
        <f t="shared" si="37"/>
        <v>25</v>
      </c>
      <c r="ED44" s="436">
        <f>VLOOKUP(C44,Lab!B39:G108,6,FALSE)</f>
        <v>0</v>
      </c>
      <c r="EE44" s="436">
        <f>VLOOKUP(C44,Lab!B39:H108,7,FALSE)</f>
        <v>0</v>
      </c>
      <c r="EF44" s="437">
        <v>12</v>
      </c>
      <c r="EG44" s="443">
        <f t="shared" si="38"/>
        <v>12</v>
      </c>
      <c r="EH44" s="444">
        <f t="shared" si="28"/>
        <v>37</v>
      </c>
      <c r="EI44" s="445">
        <f t="shared" si="29"/>
        <v>15</v>
      </c>
      <c r="EJ44" s="446">
        <f t="shared" si="5"/>
        <v>32</v>
      </c>
      <c r="EK44" s="449">
        <v>25.5</v>
      </c>
      <c r="EM44" s="450">
        <f>VLOOKUP(C44,Theory!B47:DK118,114,FALSE)</f>
        <v>0</v>
      </c>
      <c r="EN44" s="450">
        <f>VLOOKUP(C44,Theory!B47:DL118,115,FALSE)</f>
        <v>0</v>
      </c>
      <c r="EO44" s="450">
        <f>VLOOKUP(C44,Theory!B47:DM118,116,FALSE)</f>
        <v>0</v>
      </c>
      <c r="EP44" s="450">
        <f>VLOOKUP(C44,Theory!B47:DN116,117,FALSE)</f>
        <v>0</v>
      </c>
      <c r="EQ44" s="450">
        <f>VLOOKUP(C44,Theory!B47:DO116,118,FALSE)</f>
        <v>0</v>
      </c>
      <c r="ER44" s="451">
        <f>VLOOKUP(C44,Theory!B47:DP116,119,FALSE)</f>
        <v>0</v>
      </c>
      <c r="ES44" s="454">
        <f>VLOOKUP(C44,Theory!B47:DQ116,120,FALSE)</f>
        <v>0</v>
      </c>
      <c r="ET44" s="455">
        <f t="shared" si="39"/>
        <v>0</v>
      </c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</row>
    <row r="45" ht="18.35" spans="1:160">
      <c r="A45" s="164">
        <v>32</v>
      </c>
      <c r="B45" s="289" t="str">
        <f>Theory!C48</f>
        <v>KARTHIKESH HATHWAR B S</v>
      </c>
      <c r="C45" s="360" t="str">
        <f>Theory!B48</f>
        <v>1DS23AI033</v>
      </c>
      <c r="D45" s="361">
        <f>VLOOKUP(C45,Theory!B48:D119,3,FALSE)</f>
        <v>9</v>
      </c>
      <c r="E45" s="361">
        <f>VLOOKUP(C45,Theory!B48:E119,4,FALSE)</f>
        <v>0</v>
      </c>
      <c r="F45" s="361">
        <f>VLOOKUP(C45,Theory!B48:F119,5,FALSE)</f>
        <v>0</v>
      </c>
      <c r="G45" s="361">
        <f>VLOOKUP(C45,Theory!B48:G119,6,FALSE)</f>
        <v>0</v>
      </c>
      <c r="H45" s="369">
        <f t="shared" si="6"/>
        <v>9</v>
      </c>
      <c r="I45" s="370">
        <f>VLOOKUP(C45,Theory!B48:H119,7,FALSE)</f>
        <v>6</v>
      </c>
      <c r="J45" s="371">
        <f>VLOOKUP(C45,Theory!B48:I119,8,FALSE)</f>
        <v>0</v>
      </c>
      <c r="K45" s="371">
        <f>VLOOKUP(C45,Theory!B48:J119,9,FALSE)</f>
        <v>0</v>
      </c>
      <c r="L45" s="371">
        <f>VLOOKUP(C45,Theory!B48:K119,10,FALSE)</f>
        <v>0</v>
      </c>
      <c r="M45" s="369">
        <f t="shared" si="7"/>
        <v>6</v>
      </c>
      <c r="N45" s="373">
        <f>VLOOKUP(C45,Theory!B48:L119,11,FALSE)</f>
        <v>3</v>
      </c>
      <c r="O45" s="373">
        <f>VLOOKUP(C45,Theory!B48:M119,12,FALSE)</f>
        <v>0</v>
      </c>
      <c r="P45" s="373">
        <f>VLOOKUP(C45,Theory!B48:N119,13,FALSE)</f>
        <v>0</v>
      </c>
      <c r="Q45" s="373">
        <f>VLOOKUP(C45,Theory!B48:O119,14,FALSE)</f>
        <v>0</v>
      </c>
      <c r="R45" s="371">
        <f>VLOOKUP(C45,Theory!B48:P119,15,FALSE)</f>
        <v>0</v>
      </c>
      <c r="S45" s="371">
        <f>VLOOKUP(C45,Theory!B48:Q119,16,FALSE)</f>
        <v>0</v>
      </c>
      <c r="T45" s="371">
        <f>VLOOKUP(C45,Theory!B48:R119,17,FALSE)</f>
        <v>0</v>
      </c>
      <c r="U45" s="371">
        <f>VLOOKUP(C45,Theory!B48:S119,18,FALSE)</f>
        <v>0</v>
      </c>
      <c r="V45" s="369">
        <f t="shared" si="8"/>
        <v>3</v>
      </c>
      <c r="W45" s="361">
        <f>VLOOKUP(C45,Theory!B48:T119,19,FALSE)</f>
        <v>7</v>
      </c>
      <c r="X45" s="361">
        <f>VLOOKUP(C45,Theory!B48:U119,20,FALSE)</f>
        <v>0</v>
      </c>
      <c r="Y45" s="361">
        <f>VLOOKUP(C45,Theory!B48:V119,21,FALSE)</f>
        <v>0</v>
      </c>
      <c r="Z45" s="361">
        <f>VLOOKUP(C45,Theory!B48:W119,22,FALSE)</f>
        <v>0</v>
      </c>
      <c r="AA45" s="370">
        <f>VLOOKUP(C45,Theory!B48:X119,23,FALSE)</f>
        <v>0</v>
      </c>
      <c r="AB45" s="370">
        <f>VLOOKUP(C45,Theory!B48:Y119,24,FALSE)</f>
        <v>0</v>
      </c>
      <c r="AC45" s="370">
        <f>VLOOKUP(C45,Theory!B48:Z119,25,FALSE)</f>
        <v>0</v>
      </c>
      <c r="AD45" s="370">
        <f>VLOOKUP(C45,Theory!B48:AA119,26,FALSE)</f>
        <v>0</v>
      </c>
      <c r="AE45" s="369">
        <f t="shared" si="9"/>
        <v>7</v>
      </c>
      <c r="AF45" s="361">
        <f>VLOOKUP(C45,Theory!B48:AB119,27,FALSE)</f>
        <v>0</v>
      </c>
      <c r="AG45" s="361">
        <f>VLOOKUP(C45,Theory!B48:AC119,28,FALSE)</f>
        <v>0</v>
      </c>
      <c r="AH45" s="361">
        <f>VLOOKUP(C45,Theory!B48:AD119,29,FALSE)</f>
        <v>0</v>
      </c>
      <c r="AI45" s="361">
        <f>VLOOKUP(C45,Theory!B48:AE119,30,FALSE)</f>
        <v>0</v>
      </c>
      <c r="AJ45" s="380">
        <f>VLOOKUP(C45,Theory!B48:AF119,31,FALSE)</f>
        <v>8</v>
      </c>
      <c r="AK45" s="380">
        <f>VLOOKUP(C45,Theory!B48:AG119,32,FALSE)</f>
        <v>0</v>
      </c>
      <c r="AL45" s="380">
        <f>VLOOKUP(C45,Theory!B48:AH119,33,FALSE)</f>
        <v>0</v>
      </c>
      <c r="AM45" s="380">
        <f>VLOOKUP(C45,Theory!B48:AI119,34,FALSE)</f>
        <v>0</v>
      </c>
      <c r="AN45" s="369">
        <f t="shared" si="10"/>
        <v>8</v>
      </c>
      <c r="AO45" s="385">
        <f t="shared" si="0"/>
        <v>33</v>
      </c>
      <c r="AP45" s="386">
        <f>VLOOKUP(C45,Theory!B48:AJ119,35,FALSE)</f>
        <v>2</v>
      </c>
      <c r="AQ45" s="386">
        <f>VLOOKUP(C45,Theory!B48:AK119,36,FALSE)</f>
        <v>0</v>
      </c>
      <c r="AR45" s="386">
        <f>VLOOKUP(C45,Theory!B48:AL119,37,FALSE)</f>
        <v>0</v>
      </c>
      <c r="AS45" s="386">
        <f>VLOOKUP(C45,Theory!B48:AM119,38,FALSE)</f>
        <v>0</v>
      </c>
      <c r="AT45" s="369">
        <f t="shared" si="11"/>
        <v>2</v>
      </c>
      <c r="AU45" s="386">
        <f>VLOOKUP(C45,Theory!B48:AN119,39,FALSE)</f>
        <v>10</v>
      </c>
      <c r="AV45" s="386">
        <f>VLOOKUP(C45,Theory!B48:AO119,40,FALSE)</f>
        <v>0</v>
      </c>
      <c r="AW45" s="386">
        <f>VLOOKUP(C45,Theory!B48:AP119,41,FALSE)</f>
        <v>0</v>
      </c>
      <c r="AX45" s="386">
        <f>VLOOKUP(C45,Theory!B48:AQ119,42,FALSE)</f>
        <v>0</v>
      </c>
      <c r="AY45" s="369">
        <f t="shared" si="12"/>
        <v>10</v>
      </c>
      <c r="AZ45" s="386">
        <f>VLOOKUP(C45,Theory!B48:AR119,43,FALSE)</f>
        <v>0</v>
      </c>
      <c r="BA45" s="386">
        <f>VLOOKUP(C45,Theory!B48:AS119,44,FALSE)</f>
        <v>0</v>
      </c>
      <c r="BB45" s="386">
        <f>VLOOKUP(C45,Theory!B48:AT119,45,FALSE)</f>
        <v>0</v>
      </c>
      <c r="BC45" s="386">
        <f>VLOOKUP(C45,Theory!B48:AU119,46,FALSE)</f>
        <v>0</v>
      </c>
      <c r="BD45" s="386">
        <f>VLOOKUP(C45,Theory!B48:AV119,47,FALSE)</f>
        <v>8</v>
      </c>
      <c r="BE45" s="386">
        <f>VLOOKUP(C45,Theory!B48:AW119,48,FALSE)</f>
        <v>0</v>
      </c>
      <c r="BF45" s="386">
        <f>VLOOKUP(C45,Theory!B48:AX119,49,FALSE)</f>
        <v>0</v>
      </c>
      <c r="BG45" s="386">
        <f>VLOOKUP(C45,Theory!B48:AY119,50,FALSE)</f>
        <v>0</v>
      </c>
      <c r="BH45" s="369">
        <f t="shared" si="13"/>
        <v>8</v>
      </c>
      <c r="BI45" s="386">
        <f>VLOOKUP(C45,Theory!B48:AZ119,51,FALSE)</f>
        <v>6</v>
      </c>
      <c r="BJ45" s="386">
        <f>VLOOKUP(C45,Theory!B48:BA119,52,FALSE)</f>
        <v>0</v>
      </c>
      <c r="BK45" s="386">
        <f>VLOOKUP(C45,Theory!B48:BB119,53,FALSE)</f>
        <v>0</v>
      </c>
      <c r="BL45" s="386">
        <f>VLOOKUP(C45,Theory!B48:BC119,54,FALSE)</f>
        <v>0</v>
      </c>
      <c r="BM45" s="386">
        <f>VLOOKUP(C45,Theory!B48:BD119,55,FALSE)</f>
        <v>0</v>
      </c>
      <c r="BN45" s="386">
        <f>VLOOKUP(C45,Theory!B48:BE119,56,FALSE)</f>
        <v>0</v>
      </c>
      <c r="BO45" s="386">
        <f>VLOOKUP(C45,Theory!B48:BF119,57,FALSE)</f>
        <v>0</v>
      </c>
      <c r="BP45" s="386">
        <f>VLOOKUP(C45,Theory!B48:BG119,58,FALSE)</f>
        <v>0</v>
      </c>
      <c r="BQ45" s="369">
        <f t="shared" si="14"/>
        <v>6</v>
      </c>
      <c r="BR45" s="386">
        <f>VLOOKUP(C45,Theory!B48:BH119,59,FALSE)</f>
        <v>9</v>
      </c>
      <c r="BS45" s="386">
        <f>VLOOKUP(C45,Theory!B48:BI119,60,FALSE)</f>
        <v>0</v>
      </c>
      <c r="BT45" s="386">
        <f>VLOOKUP(C45,Theory!B48:BJ119,61,FALSE)</f>
        <v>0</v>
      </c>
      <c r="BU45" s="386">
        <f>VLOOKUP(C45,Theory!B48:BK119,62,FALSE)</f>
        <v>0</v>
      </c>
      <c r="BV45" s="386">
        <f>VLOOKUP(C45,Theory!B48:BL119,63,FALSE)</f>
        <v>0</v>
      </c>
      <c r="BW45" s="386">
        <f>VLOOKUP(C45,Theory!B48:BM119,64,FALSE)</f>
        <v>0</v>
      </c>
      <c r="BX45" s="386">
        <f>VLOOKUP(C45,Theory!B48:BN119,65,FALSE)</f>
        <v>0</v>
      </c>
      <c r="BY45" s="386">
        <f>VLOOKUP(C45,Theory!B48:BO119,66,FALSE)</f>
        <v>0</v>
      </c>
      <c r="BZ45" s="369">
        <f t="shared" si="15"/>
        <v>9</v>
      </c>
      <c r="CA45" s="385">
        <f t="shared" si="1"/>
        <v>35</v>
      </c>
      <c r="CB45" s="386">
        <f>VLOOKUP(C45,Theory!B48:BP119,67,FALSE)</f>
        <v>8</v>
      </c>
      <c r="CC45" s="386">
        <f>VLOOKUP(C45,Theory!B48:BQ119,68,FALSE)</f>
        <v>0</v>
      </c>
      <c r="CD45" s="386">
        <f>VLOOKUP(C45,Theory!B48:BR119,69,FALSE)</f>
        <v>0</v>
      </c>
      <c r="CE45" s="386">
        <f>VLOOKUP(C45,Theory!B48:BS119,70,FALSE)</f>
        <v>0</v>
      </c>
      <c r="CF45" s="369">
        <f t="shared" si="16"/>
        <v>8</v>
      </c>
      <c r="CG45" s="399">
        <f>VLOOKUP(C45,Theory!B48:BT119,71,FALSE)</f>
        <v>8</v>
      </c>
      <c r="CH45" s="399">
        <f>VLOOKUP(C45,Theory!B48:BU119,72,FALSE)</f>
        <v>0</v>
      </c>
      <c r="CI45" s="399">
        <f>VLOOKUP(C45,Theory!B48:BV119,73,FALSE)</f>
        <v>0</v>
      </c>
      <c r="CJ45" s="399">
        <f>VLOOKUP(C45,Theory!B48:BW119,74,FALSE)</f>
        <v>0</v>
      </c>
      <c r="CK45" s="369">
        <f t="shared" si="17"/>
        <v>8</v>
      </c>
      <c r="CL45" s="386">
        <f>VLOOKUP(C45,Theory!B48:BX119,75,FALSE)</f>
        <v>0</v>
      </c>
      <c r="CM45" s="400">
        <f>VLOOKUP(C45,Theory!B48:BY119,76,FALSE)</f>
        <v>0</v>
      </c>
      <c r="CN45" s="400">
        <f>VLOOKUP(C45,Theory!B48:BZ119,77,FALSE)</f>
        <v>0</v>
      </c>
      <c r="CO45" s="400">
        <f>VLOOKUP(C45,Theory!B48:CA119,78,FALSE)</f>
        <v>0</v>
      </c>
      <c r="CP45" s="386">
        <f>VLOOKUP(C45,Theory!B48:CB119,79,FALSE)</f>
        <v>6</v>
      </c>
      <c r="CQ45" s="386">
        <f>VLOOKUP(C45,Theory!B48:CC119,80,FALSE)</f>
        <v>0</v>
      </c>
      <c r="CR45" s="386">
        <f>VLOOKUP(C45,Theory!B48:CD119,81,FALSE)</f>
        <v>0</v>
      </c>
      <c r="CS45" s="386">
        <f>VLOOKUP(C45,Theory!B48:CE119,82,FALSE)</f>
        <v>0</v>
      </c>
      <c r="CT45" s="369">
        <f t="shared" si="18"/>
        <v>6</v>
      </c>
      <c r="CU45" s="399">
        <f>VLOOKUP(C45,Theory!B48:CF119,83,FALSE)</f>
        <v>8</v>
      </c>
      <c r="CV45" s="400">
        <f>VLOOKUP(C45,Theory!B48:CG119,84,FALSE)</f>
        <v>0</v>
      </c>
      <c r="CW45" s="400">
        <f>VLOOKUP(C45,Theory!B48:CH119,85,FALSE)</f>
        <v>0</v>
      </c>
      <c r="CX45" s="400">
        <f>VLOOKUP(C45,Theory!B48:CI119,86,FALSE)</f>
        <v>0</v>
      </c>
      <c r="CY45" s="399">
        <f>VLOOKUP(C45,Theory!B48:CJ119,87,FALSE)</f>
        <v>0</v>
      </c>
      <c r="CZ45" s="399">
        <f>VLOOKUP(C45,Theory!B48:CK119,88,FALSE)</f>
        <v>0</v>
      </c>
      <c r="DA45" s="399">
        <f>VLOOKUP(C45,Theory!B48:CL119,89,FALSE)</f>
        <v>0</v>
      </c>
      <c r="DB45" s="399">
        <f>VLOOKUP(C45,Theory!B48:CM119,90,FALSE)</f>
        <v>0</v>
      </c>
      <c r="DC45" s="369">
        <f t="shared" si="19"/>
        <v>8</v>
      </c>
      <c r="DD45" s="386">
        <f>VLOOKUP(C45,Theory!B48:CN119,91,FALSE)</f>
        <v>6</v>
      </c>
      <c r="DE45" s="400">
        <f>VLOOKUP(C45,Theory!B48:CO119,92,FALSE)</f>
        <v>0</v>
      </c>
      <c r="DF45" s="400">
        <f>VLOOKUP(C45,Theory!B48:CP119,93,FALSE)</f>
        <v>0</v>
      </c>
      <c r="DG45" s="400">
        <f>VLOOKUP(C45,Theory!B48:CQ119,94,FALSE)</f>
        <v>0</v>
      </c>
      <c r="DH45" s="386">
        <f>VLOOKUP(C45,Theory!B48:CR119,95,FALSE)</f>
        <v>0</v>
      </c>
      <c r="DI45" s="386">
        <f>VLOOKUP(C45,Theory!B48:CS119,96,FALSE)</f>
        <v>0</v>
      </c>
      <c r="DJ45" s="386">
        <f>VLOOKUP(C45,Theory!B48:CT119,97,FALSE)</f>
        <v>0</v>
      </c>
      <c r="DK45" s="386">
        <f>VLOOKUP(C45,Theory!B48:CU119,98,FALSE)</f>
        <v>0</v>
      </c>
      <c r="DL45" s="369">
        <f t="shared" si="20"/>
        <v>6</v>
      </c>
      <c r="DM45" s="411">
        <f t="shared" si="2"/>
        <v>36</v>
      </c>
      <c r="DN45" s="413">
        <f t="shared" si="40"/>
        <v>33</v>
      </c>
      <c r="DO45" s="413">
        <f t="shared" si="41"/>
        <v>35</v>
      </c>
      <c r="DP45" s="413">
        <f t="shared" si="42"/>
        <v>36</v>
      </c>
      <c r="DQ45" s="418">
        <f t="shared" si="43"/>
        <v>20</v>
      </c>
      <c r="DR45" s="418">
        <f t="shared" si="44"/>
        <v>21</v>
      </c>
      <c r="DS45" s="418">
        <f t="shared" si="45"/>
        <v>22</v>
      </c>
      <c r="DT45" s="417">
        <f t="shared" si="36"/>
        <v>21</v>
      </c>
      <c r="DU45" s="423">
        <f>VLOOKUP(C45,Theory!B48:CV119,99,FALSE)</f>
        <v>9</v>
      </c>
      <c r="DV45" s="423">
        <f>VLOOKUP(C45,Theory!B48:CW119,100,FALSE)</f>
        <v>10</v>
      </c>
      <c r="DW45" s="424">
        <f t="shared" si="27"/>
        <v>19</v>
      </c>
      <c r="DX45" s="421">
        <f t="shared" si="3"/>
        <v>40</v>
      </c>
      <c r="DY45" s="430">
        <f t="shared" si="4"/>
        <v>24</v>
      </c>
      <c r="DZ45" s="431">
        <f>VLOOKUP(C45,Lab!B40:D109,3,FALSE)</f>
        <v>0</v>
      </c>
      <c r="EA45" s="432">
        <f>VLOOKUP(C45,Lab!B40:E109,4,FALSE)</f>
        <v>0</v>
      </c>
      <c r="EB45" s="432">
        <f>VLOOKUP(C45,Lab!B40:F109,5,FALSE)</f>
        <v>28</v>
      </c>
      <c r="EC45" s="422">
        <f t="shared" si="37"/>
        <v>28</v>
      </c>
      <c r="ED45" s="436">
        <f>VLOOKUP(C45,Lab!B40:G109,6,FALSE)</f>
        <v>0</v>
      </c>
      <c r="EE45" s="436">
        <f>VLOOKUP(C45,Lab!B40:H109,7,FALSE)</f>
        <v>0</v>
      </c>
      <c r="EF45" s="437">
        <f>VLOOKUP(C45,Lab!B40:I109,8,FALSE)</f>
        <v>19</v>
      </c>
      <c r="EG45" s="443">
        <f t="shared" si="38"/>
        <v>19</v>
      </c>
      <c r="EH45" s="444">
        <f t="shared" si="28"/>
        <v>47</v>
      </c>
      <c r="EI45" s="445">
        <f t="shared" si="29"/>
        <v>19</v>
      </c>
      <c r="EJ45" s="446">
        <f t="shared" si="5"/>
        <v>43</v>
      </c>
      <c r="EK45" s="449">
        <v>32</v>
      </c>
      <c r="EM45" s="450">
        <f>VLOOKUP(C45,Theory!B48:DK119,114,FALSE)</f>
        <v>0</v>
      </c>
      <c r="EN45" s="450">
        <f>VLOOKUP(C45,Theory!B48:DL119,115,FALSE)</f>
        <v>0</v>
      </c>
      <c r="EO45" s="450">
        <f>VLOOKUP(C45,Theory!B48:DM119,116,FALSE)</f>
        <v>0</v>
      </c>
      <c r="EP45" s="450">
        <f>VLOOKUP(C45,Theory!B48:DN117,117,FALSE)</f>
        <v>0</v>
      </c>
      <c r="EQ45" s="450">
        <f>VLOOKUP(C45,Theory!B48:DO117,118,FALSE)</f>
        <v>0</v>
      </c>
      <c r="ER45" s="451">
        <f>VLOOKUP(C45,Theory!B48:DP117,119,FALSE)</f>
        <v>0</v>
      </c>
      <c r="ES45" s="454">
        <f>VLOOKUP(C45,Theory!B48:DQ117,120,FALSE)</f>
        <v>0</v>
      </c>
      <c r="ET45" s="455">
        <f t="shared" si="39"/>
        <v>0</v>
      </c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</row>
    <row r="46" ht="18.35" spans="1:160">
      <c r="A46" s="164">
        <v>33</v>
      </c>
      <c r="B46" s="289" t="str">
        <f>Theory!C49</f>
        <v>KHUSHBU R HAJARI</v>
      </c>
      <c r="C46" s="360" t="str">
        <f>Theory!B49</f>
        <v>1DS23AI034</v>
      </c>
      <c r="D46" s="361">
        <f>VLOOKUP(C46,Theory!B49:D120,3,FALSE)</f>
        <v>8</v>
      </c>
      <c r="E46" s="361">
        <f>VLOOKUP(C46,Theory!B49:E120,4,FALSE)</f>
        <v>0</v>
      </c>
      <c r="F46" s="361">
        <f>VLOOKUP(C46,Theory!B49:F120,5,FALSE)</f>
        <v>0</v>
      </c>
      <c r="G46" s="361">
        <f>VLOOKUP(C46,Theory!B49:G120,6,FALSE)</f>
        <v>0</v>
      </c>
      <c r="H46" s="369">
        <f t="shared" si="6"/>
        <v>8</v>
      </c>
      <c r="I46" s="370">
        <f>VLOOKUP(C46,Theory!B49:H120,7,FALSE)</f>
        <v>3</v>
      </c>
      <c r="J46" s="371">
        <f>VLOOKUP(C46,Theory!B49:I120,8,FALSE)</f>
        <v>0</v>
      </c>
      <c r="K46" s="371">
        <f>VLOOKUP(C46,Theory!B49:J120,9,FALSE)</f>
        <v>0</v>
      </c>
      <c r="L46" s="371">
        <f>VLOOKUP(C46,Theory!B49:K120,10,FALSE)</f>
        <v>0</v>
      </c>
      <c r="M46" s="369">
        <f t="shared" si="7"/>
        <v>3</v>
      </c>
      <c r="N46" s="373">
        <f>VLOOKUP(C46,Theory!B49:L120,11,FALSE)</f>
        <v>0</v>
      </c>
      <c r="O46" s="373">
        <f>VLOOKUP(C46,Theory!B49:M120,12,FALSE)</f>
        <v>0</v>
      </c>
      <c r="P46" s="373">
        <f>VLOOKUP(C46,Theory!B49:N120,13,FALSE)</f>
        <v>0</v>
      </c>
      <c r="Q46" s="373">
        <f>VLOOKUP(C46,Theory!B49:O120,14,FALSE)</f>
        <v>0</v>
      </c>
      <c r="R46" s="371">
        <f>VLOOKUP(C46,Theory!B49:P120,15,FALSE)</f>
        <v>7</v>
      </c>
      <c r="S46" s="371">
        <f>VLOOKUP(C46,Theory!B49:Q120,16,FALSE)</f>
        <v>0</v>
      </c>
      <c r="T46" s="371">
        <f>VLOOKUP(C46,Theory!B49:R120,17,FALSE)</f>
        <v>0</v>
      </c>
      <c r="U46" s="371">
        <f>VLOOKUP(C46,Theory!B49:S120,18,FALSE)</f>
        <v>0</v>
      </c>
      <c r="V46" s="369">
        <f t="shared" si="8"/>
        <v>7</v>
      </c>
      <c r="W46" s="361">
        <f>VLOOKUP(C46,Theory!B49:T120,19,FALSE)</f>
        <v>8</v>
      </c>
      <c r="X46" s="361">
        <f>VLOOKUP(C46,Theory!B49:U120,20,FALSE)</f>
        <v>0</v>
      </c>
      <c r="Y46" s="361">
        <f>VLOOKUP(C46,Theory!B49:V120,21,FALSE)</f>
        <v>0</v>
      </c>
      <c r="Z46" s="361">
        <f>VLOOKUP(C46,Theory!B49:W120,22,FALSE)</f>
        <v>0</v>
      </c>
      <c r="AA46" s="370">
        <f>VLOOKUP(C46,Theory!B49:X120,23,FALSE)</f>
        <v>0</v>
      </c>
      <c r="AB46" s="370">
        <f>VLOOKUP(C46,Theory!B49:Y120,24,FALSE)</f>
        <v>0</v>
      </c>
      <c r="AC46" s="370">
        <f>VLOOKUP(C46,Theory!B49:Z120,25,FALSE)</f>
        <v>0</v>
      </c>
      <c r="AD46" s="370">
        <f>VLOOKUP(C46,Theory!B49:AA120,26,FALSE)</f>
        <v>0</v>
      </c>
      <c r="AE46" s="369">
        <f t="shared" si="9"/>
        <v>8</v>
      </c>
      <c r="AF46" s="361">
        <f>VLOOKUP(C46,Theory!B49:AB120,27,FALSE)</f>
        <v>0</v>
      </c>
      <c r="AG46" s="361">
        <f>VLOOKUP(C46,Theory!B49:AC120,28,FALSE)</f>
        <v>0</v>
      </c>
      <c r="AH46" s="361">
        <f>VLOOKUP(C46,Theory!B49:AD120,29,FALSE)</f>
        <v>0</v>
      </c>
      <c r="AI46" s="361">
        <f>VLOOKUP(C46,Theory!B49:AE120,30,FALSE)</f>
        <v>0</v>
      </c>
      <c r="AJ46" s="380">
        <f>VLOOKUP(C46,Theory!B49:AF120,31,FALSE)</f>
        <v>3</v>
      </c>
      <c r="AK46" s="380">
        <f>VLOOKUP(C46,Theory!B49:AG120,32,FALSE)</f>
        <v>0</v>
      </c>
      <c r="AL46" s="380">
        <f>VLOOKUP(C46,Theory!B49:AH120,33,FALSE)</f>
        <v>0</v>
      </c>
      <c r="AM46" s="380">
        <f>VLOOKUP(C46,Theory!B49:AI120,34,FALSE)</f>
        <v>0</v>
      </c>
      <c r="AN46" s="369">
        <f t="shared" si="10"/>
        <v>3</v>
      </c>
      <c r="AO46" s="385">
        <f t="shared" si="0"/>
        <v>29</v>
      </c>
      <c r="AP46" s="386">
        <f>VLOOKUP(C46,Theory!B49:AJ120,35,FALSE)</f>
        <v>3</v>
      </c>
      <c r="AQ46" s="386">
        <f>VLOOKUP(C46,Theory!B49:AK120,36,FALSE)</f>
        <v>0</v>
      </c>
      <c r="AR46" s="386">
        <f>VLOOKUP(C46,Theory!B49:AL120,37,FALSE)</f>
        <v>0</v>
      </c>
      <c r="AS46" s="386">
        <f>VLOOKUP(C46,Theory!B49:AM120,38,FALSE)</f>
        <v>0</v>
      </c>
      <c r="AT46" s="369">
        <f t="shared" si="11"/>
        <v>3</v>
      </c>
      <c r="AU46" s="386">
        <f>VLOOKUP(C46,Theory!B49:AN120,39,FALSE)</f>
        <v>8</v>
      </c>
      <c r="AV46" s="386">
        <f>VLOOKUP(C46,Theory!B49:AO120,40,FALSE)</f>
        <v>0</v>
      </c>
      <c r="AW46" s="386">
        <f>VLOOKUP(C46,Theory!B49:AP120,41,FALSE)</f>
        <v>0</v>
      </c>
      <c r="AX46" s="386">
        <f>VLOOKUP(C46,Theory!B49:AQ120,42,FALSE)</f>
        <v>0</v>
      </c>
      <c r="AY46" s="369">
        <f t="shared" si="12"/>
        <v>8</v>
      </c>
      <c r="AZ46" s="386">
        <f>VLOOKUP(C46,Theory!B49:AR120,43,FALSE)</f>
        <v>0</v>
      </c>
      <c r="BA46" s="386">
        <f>VLOOKUP(C46,Theory!B49:AS120,44,FALSE)</f>
        <v>0</v>
      </c>
      <c r="BB46" s="386">
        <f>VLOOKUP(C46,Theory!B49:AT120,45,FALSE)</f>
        <v>0</v>
      </c>
      <c r="BC46" s="386">
        <f>VLOOKUP(C46,Theory!B49:AU120,46,FALSE)</f>
        <v>0</v>
      </c>
      <c r="BD46" s="386">
        <f>VLOOKUP(C46,Theory!B49:AV120,47,FALSE)</f>
        <v>10</v>
      </c>
      <c r="BE46" s="386">
        <f>VLOOKUP(C46,Theory!B49:AW120,48,FALSE)</f>
        <v>0</v>
      </c>
      <c r="BF46" s="386">
        <f>VLOOKUP(C46,Theory!B49:AX120,49,FALSE)</f>
        <v>0</v>
      </c>
      <c r="BG46" s="386">
        <f>VLOOKUP(C46,Theory!B49:AY120,50,FALSE)</f>
        <v>0</v>
      </c>
      <c r="BH46" s="369">
        <f t="shared" si="13"/>
        <v>10</v>
      </c>
      <c r="BI46" s="386">
        <f>VLOOKUP(C46,Theory!B49:AZ120,51,FALSE)</f>
        <v>6</v>
      </c>
      <c r="BJ46" s="386">
        <f>VLOOKUP(C46,Theory!B49:BA120,52,FALSE)</f>
        <v>0</v>
      </c>
      <c r="BK46" s="386">
        <f>VLOOKUP(C46,Theory!B49:BB120,53,FALSE)</f>
        <v>0</v>
      </c>
      <c r="BL46" s="386">
        <f>VLOOKUP(C46,Theory!B49:BC120,54,FALSE)</f>
        <v>0</v>
      </c>
      <c r="BM46" s="386">
        <f>VLOOKUP(C46,Theory!B49:BD120,55,FALSE)</f>
        <v>0</v>
      </c>
      <c r="BN46" s="386">
        <f>VLOOKUP(C46,Theory!B49:BE120,56,FALSE)</f>
        <v>0</v>
      </c>
      <c r="BO46" s="386">
        <f>VLOOKUP(C46,Theory!B49:BF120,57,FALSE)</f>
        <v>0</v>
      </c>
      <c r="BP46" s="386">
        <f>VLOOKUP(C46,Theory!B49:BG120,58,FALSE)</f>
        <v>0</v>
      </c>
      <c r="BQ46" s="369">
        <f t="shared" si="14"/>
        <v>6</v>
      </c>
      <c r="BR46" s="386">
        <f>VLOOKUP(C46,Theory!B49:BH120,59,FALSE)</f>
        <v>10</v>
      </c>
      <c r="BS46" s="386">
        <f>VLOOKUP(C46,Theory!B49:BI120,60,FALSE)</f>
        <v>0</v>
      </c>
      <c r="BT46" s="386">
        <f>VLOOKUP(C46,Theory!B49:BJ120,61,FALSE)</f>
        <v>0</v>
      </c>
      <c r="BU46" s="386">
        <f>VLOOKUP(C46,Theory!B49:BK120,62,FALSE)</f>
        <v>0</v>
      </c>
      <c r="BV46" s="386">
        <f>VLOOKUP(C46,Theory!B49:BL120,63,FALSE)</f>
        <v>0</v>
      </c>
      <c r="BW46" s="386">
        <f>VLOOKUP(C46,Theory!B49:BM120,64,FALSE)</f>
        <v>0</v>
      </c>
      <c r="BX46" s="386">
        <f>VLOOKUP(C46,Theory!B49:BN120,65,FALSE)</f>
        <v>0</v>
      </c>
      <c r="BY46" s="386">
        <f>VLOOKUP(C46,Theory!B49:BO120,66,FALSE)</f>
        <v>0</v>
      </c>
      <c r="BZ46" s="369">
        <f t="shared" si="15"/>
        <v>10</v>
      </c>
      <c r="CA46" s="385">
        <f t="shared" si="1"/>
        <v>37</v>
      </c>
      <c r="CB46" s="386">
        <f>VLOOKUP(C46,Theory!B49:BP120,67,FALSE)</f>
        <v>8</v>
      </c>
      <c r="CC46" s="386">
        <f>VLOOKUP(C46,Theory!B49:BQ120,68,FALSE)</f>
        <v>0</v>
      </c>
      <c r="CD46" s="386">
        <f>VLOOKUP(C46,Theory!B49:BR120,69,FALSE)</f>
        <v>0</v>
      </c>
      <c r="CE46" s="386">
        <f>VLOOKUP(C46,Theory!B49:BS120,70,FALSE)</f>
        <v>0</v>
      </c>
      <c r="CF46" s="369">
        <f t="shared" si="16"/>
        <v>8</v>
      </c>
      <c r="CG46" s="399">
        <f>VLOOKUP(C46,Theory!B49:BT120,71,FALSE)</f>
        <v>8</v>
      </c>
      <c r="CH46" s="399">
        <f>VLOOKUP(C46,Theory!B49:BU120,72,FALSE)</f>
        <v>0</v>
      </c>
      <c r="CI46" s="399">
        <f>VLOOKUP(C46,Theory!B49:BV120,73,FALSE)</f>
        <v>0</v>
      </c>
      <c r="CJ46" s="399">
        <f>VLOOKUP(C46,Theory!B49:BW120,74,FALSE)</f>
        <v>0</v>
      </c>
      <c r="CK46" s="369">
        <f t="shared" si="17"/>
        <v>8</v>
      </c>
      <c r="CL46" s="386">
        <f>VLOOKUP(C46,Theory!B49:BX120,75,FALSE)</f>
        <v>4</v>
      </c>
      <c r="CM46" s="400">
        <f>VLOOKUP(C46,Theory!B49:BY120,76,FALSE)</f>
        <v>0</v>
      </c>
      <c r="CN46" s="400">
        <f>VLOOKUP(C46,Theory!B49:BZ120,77,FALSE)</f>
        <v>0</v>
      </c>
      <c r="CO46" s="400">
        <f>VLOOKUP(C46,Theory!B49:CA120,78,FALSE)</f>
        <v>0</v>
      </c>
      <c r="CP46" s="386">
        <f>VLOOKUP(C46,Theory!B49:CB120,79,FALSE)</f>
        <v>0</v>
      </c>
      <c r="CQ46" s="386">
        <f>VLOOKUP(C46,Theory!B49:CC120,80,FALSE)</f>
        <v>0</v>
      </c>
      <c r="CR46" s="386">
        <f>VLOOKUP(C46,Theory!B49:CD120,81,FALSE)</f>
        <v>0</v>
      </c>
      <c r="CS46" s="386">
        <f>VLOOKUP(C46,Theory!B49:CE120,82,FALSE)</f>
        <v>0</v>
      </c>
      <c r="CT46" s="369">
        <f t="shared" si="18"/>
        <v>4</v>
      </c>
      <c r="CU46" s="399">
        <f>VLOOKUP(C46,Theory!B49:CF120,83,FALSE)</f>
        <v>6</v>
      </c>
      <c r="CV46" s="400">
        <f>VLOOKUP(C46,Theory!B49:CG120,84,FALSE)</f>
        <v>0</v>
      </c>
      <c r="CW46" s="400">
        <f>VLOOKUP(C46,Theory!B49:CH120,85,FALSE)</f>
        <v>0</v>
      </c>
      <c r="CX46" s="400">
        <f>VLOOKUP(C46,Theory!B49:CI120,86,FALSE)</f>
        <v>0</v>
      </c>
      <c r="CY46" s="399">
        <f>VLOOKUP(C46,Theory!B49:CJ120,87,FALSE)</f>
        <v>0</v>
      </c>
      <c r="CZ46" s="399">
        <f>VLOOKUP(C46,Theory!B49:CK120,88,FALSE)</f>
        <v>0</v>
      </c>
      <c r="DA46" s="399">
        <f>VLOOKUP(C46,Theory!B49:CL120,89,FALSE)</f>
        <v>0</v>
      </c>
      <c r="DB46" s="399">
        <f>VLOOKUP(C46,Theory!B49:CM120,90,FALSE)</f>
        <v>0</v>
      </c>
      <c r="DC46" s="369">
        <f t="shared" si="19"/>
        <v>6</v>
      </c>
      <c r="DD46" s="386">
        <f>VLOOKUP(C46,Theory!B49:CN120,91,FALSE)</f>
        <v>0</v>
      </c>
      <c r="DE46" s="400">
        <f>VLOOKUP(C46,Theory!B49:CO120,92,FALSE)</f>
        <v>0</v>
      </c>
      <c r="DF46" s="400">
        <f>VLOOKUP(C46,Theory!B49:CP120,93,FALSE)</f>
        <v>0</v>
      </c>
      <c r="DG46" s="400">
        <f>VLOOKUP(C46,Theory!B49:CQ120,94,FALSE)</f>
        <v>0</v>
      </c>
      <c r="DH46" s="386">
        <f>VLOOKUP(C46,Theory!B49:CR120,95,FALSE)</f>
        <v>9</v>
      </c>
      <c r="DI46" s="386">
        <f>VLOOKUP(C46,Theory!B49:CS120,96,FALSE)</f>
        <v>0</v>
      </c>
      <c r="DJ46" s="386">
        <f>VLOOKUP(C46,Theory!B49:CT120,97,FALSE)</f>
        <v>0</v>
      </c>
      <c r="DK46" s="386">
        <f>VLOOKUP(C46,Theory!B49:CU120,98,FALSE)</f>
        <v>0</v>
      </c>
      <c r="DL46" s="369">
        <f t="shared" si="20"/>
        <v>9</v>
      </c>
      <c r="DM46" s="411">
        <f t="shared" si="2"/>
        <v>35</v>
      </c>
      <c r="DN46" s="413">
        <f t="shared" si="40"/>
        <v>29</v>
      </c>
      <c r="DO46" s="413">
        <f t="shared" si="41"/>
        <v>37</v>
      </c>
      <c r="DP46" s="413">
        <f t="shared" si="42"/>
        <v>35</v>
      </c>
      <c r="DQ46" s="418">
        <f t="shared" si="43"/>
        <v>17</v>
      </c>
      <c r="DR46" s="418">
        <f t="shared" si="44"/>
        <v>22</v>
      </c>
      <c r="DS46" s="418">
        <f t="shared" si="45"/>
        <v>21</v>
      </c>
      <c r="DT46" s="417">
        <f t="shared" si="36"/>
        <v>20</v>
      </c>
      <c r="DU46" s="423">
        <f>VLOOKUP(C46,Theory!B49:CV120,99,FALSE)</f>
        <v>8</v>
      </c>
      <c r="DV46" s="423">
        <f>VLOOKUP(C46,Theory!B49:CW120,100,FALSE)</f>
        <v>10</v>
      </c>
      <c r="DW46" s="424">
        <f t="shared" si="27"/>
        <v>18</v>
      </c>
      <c r="DX46" s="421">
        <f t="shared" si="3"/>
        <v>38</v>
      </c>
      <c r="DY46" s="430">
        <f t="shared" si="4"/>
        <v>23</v>
      </c>
      <c r="DZ46" s="431">
        <f>VLOOKUP(C46,Lab!B41:D110,3,FALSE)</f>
        <v>0</v>
      </c>
      <c r="EA46" s="432">
        <f>VLOOKUP(C46,Lab!B41:E110,4,FALSE)</f>
        <v>0</v>
      </c>
      <c r="EB46" s="432">
        <f>VLOOKUP(C46,Lab!B41:F110,5,FALSE)</f>
        <v>28</v>
      </c>
      <c r="EC46" s="422">
        <f t="shared" si="37"/>
        <v>28</v>
      </c>
      <c r="ED46" s="436">
        <f>VLOOKUP(C46,Lab!B41:G110,6,FALSE)</f>
        <v>0</v>
      </c>
      <c r="EE46" s="436">
        <f>VLOOKUP(C46,Lab!B41:H110,7,FALSE)</f>
        <v>0</v>
      </c>
      <c r="EF46" s="437">
        <f>VLOOKUP(C46,Lab!B41:I110,8,FALSE)</f>
        <v>19</v>
      </c>
      <c r="EG46" s="443">
        <f t="shared" si="38"/>
        <v>19</v>
      </c>
      <c r="EH46" s="444">
        <f t="shared" si="28"/>
        <v>47</v>
      </c>
      <c r="EI46" s="445">
        <f t="shared" si="29"/>
        <v>19</v>
      </c>
      <c r="EJ46" s="446">
        <f t="shared" si="5"/>
        <v>42</v>
      </c>
      <c r="EK46" s="449">
        <v>33.5</v>
      </c>
      <c r="EM46" s="450">
        <f>VLOOKUP(C46,Theory!B49:DK120,114,FALSE)</f>
        <v>0</v>
      </c>
      <c r="EN46" s="450">
        <f>VLOOKUP(C46,Theory!B49:DL120,115,FALSE)</f>
        <v>0</v>
      </c>
      <c r="EO46" s="450">
        <f>VLOOKUP(C46,Theory!B49:DM120,116,FALSE)</f>
        <v>0</v>
      </c>
      <c r="EP46" s="450">
        <f>VLOOKUP(C46,Theory!B49:DN118,117,FALSE)</f>
        <v>0</v>
      </c>
      <c r="EQ46" s="450">
        <f>VLOOKUP(C46,Theory!B49:DO118,118,FALSE)</f>
        <v>0</v>
      </c>
      <c r="ER46" s="451">
        <f>VLOOKUP(C46,Theory!B49:DP118,119,FALSE)</f>
        <v>0</v>
      </c>
      <c r="ES46" s="454">
        <f>VLOOKUP(C46,Theory!B49:DQ118,120,FALSE)</f>
        <v>0</v>
      </c>
      <c r="ET46" s="455">
        <f t="shared" si="39"/>
        <v>0</v>
      </c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</row>
    <row r="47" ht="18.35" spans="1:160">
      <c r="A47" s="164">
        <v>34</v>
      </c>
      <c r="B47" s="289" t="str">
        <f>Theory!C50</f>
        <v>MADHAN KUMAR R</v>
      </c>
      <c r="C47" s="360" t="str">
        <f>Theory!B50</f>
        <v>1DS23AI035</v>
      </c>
      <c r="D47" s="361">
        <f>VLOOKUP(C47,Theory!B50:D121,3,FALSE)</f>
        <v>10</v>
      </c>
      <c r="E47" s="361">
        <f>VLOOKUP(C47,Theory!B50:E121,4,FALSE)</f>
        <v>0</v>
      </c>
      <c r="F47" s="361">
        <f>VLOOKUP(C47,Theory!B50:F121,5,FALSE)</f>
        <v>0</v>
      </c>
      <c r="G47" s="361">
        <f>VLOOKUP(C47,Theory!B50:G121,6,FALSE)</f>
        <v>0</v>
      </c>
      <c r="H47" s="369">
        <f t="shared" si="6"/>
        <v>10</v>
      </c>
      <c r="I47" s="370">
        <f>VLOOKUP(C47,Theory!B50:H121,7,FALSE)</f>
        <v>10</v>
      </c>
      <c r="J47" s="371">
        <f>VLOOKUP(C47,Theory!B50:I121,8,FALSE)</f>
        <v>0</v>
      </c>
      <c r="K47" s="371">
        <f>VLOOKUP(C47,Theory!B50:J121,9,FALSE)</f>
        <v>0</v>
      </c>
      <c r="L47" s="371">
        <f>VLOOKUP(C47,Theory!B50:K121,10,FALSE)</f>
        <v>0</v>
      </c>
      <c r="M47" s="369">
        <f t="shared" si="7"/>
        <v>10</v>
      </c>
      <c r="N47" s="373">
        <f>VLOOKUP(C47,Theory!B50:L121,11,FALSE)</f>
        <v>0</v>
      </c>
      <c r="O47" s="373">
        <f>VLOOKUP(C47,Theory!B50:M121,12,FALSE)</f>
        <v>0</v>
      </c>
      <c r="P47" s="373">
        <f>VLOOKUP(C47,Theory!B50:N121,13,FALSE)</f>
        <v>0</v>
      </c>
      <c r="Q47" s="373">
        <f>VLOOKUP(C47,Theory!B50:O121,14,FALSE)</f>
        <v>0</v>
      </c>
      <c r="R47" s="371">
        <f>VLOOKUP(C47,Theory!B50:P121,15,FALSE)</f>
        <v>10</v>
      </c>
      <c r="S47" s="371">
        <f>VLOOKUP(C47,Theory!B50:Q121,16,FALSE)</f>
        <v>0</v>
      </c>
      <c r="T47" s="371">
        <f>VLOOKUP(C47,Theory!B50:R121,17,FALSE)</f>
        <v>0</v>
      </c>
      <c r="U47" s="371">
        <f>VLOOKUP(C47,Theory!B50:S121,18,FALSE)</f>
        <v>0</v>
      </c>
      <c r="V47" s="369">
        <f t="shared" si="8"/>
        <v>10</v>
      </c>
      <c r="W47" s="361">
        <f>VLOOKUP(C47,Theory!B50:T121,19,FALSE)</f>
        <v>0</v>
      </c>
      <c r="X47" s="361">
        <f>VLOOKUP(C47,Theory!B50:U121,20,FALSE)</f>
        <v>0</v>
      </c>
      <c r="Y47" s="361">
        <f>VLOOKUP(C47,Theory!B50:V121,21,FALSE)</f>
        <v>0</v>
      </c>
      <c r="Z47" s="361">
        <f>VLOOKUP(C47,Theory!B50:W121,22,FALSE)</f>
        <v>0</v>
      </c>
      <c r="AA47" s="370">
        <f>VLOOKUP(C47,Theory!B50:X121,23,FALSE)</f>
        <v>9</v>
      </c>
      <c r="AB47" s="370">
        <f>VLOOKUP(C47,Theory!B50:Y121,24,FALSE)</f>
        <v>0</v>
      </c>
      <c r="AC47" s="370">
        <f>VLOOKUP(C47,Theory!B50:Z121,25,FALSE)</f>
        <v>0</v>
      </c>
      <c r="AD47" s="370">
        <f>VLOOKUP(C47,Theory!B50:AA121,26,FALSE)</f>
        <v>0</v>
      </c>
      <c r="AE47" s="369">
        <f t="shared" si="9"/>
        <v>9</v>
      </c>
      <c r="AF47" s="361">
        <f>VLOOKUP(C47,Theory!B50:AB121,27,FALSE)</f>
        <v>10</v>
      </c>
      <c r="AG47" s="361">
        <f>VLOOKUP(C47,Theory!B50:AC121,28,FALSE)</f>
        <v>0</v>
      </c>
      <c r="AH47" s="361">
        <f>VLOOKUP(C47,Theory!B50:AD121,29,FALSE)</f>
        <v>0</v>
      </c>
      <c r="AI47" s="361">
        <f>VLOOKUP(C47,Theory!B50:AE121,30,FALSE)</f>
        <v>0</v>
      </c>
      <c r="AJ47" s="380">
        <f>VLOOKUP(C47,Theory!B50:AF121,31,FALSE)</f>
        <v>0</v>
      </c>
      <c r="AK47" s="380">
        <f>VLOOKUP(C47,Theory!B50:AG121,32,FALSE)</f>
        <v>0</v>
      </c>
      <c r="AL47" s="380">
        <f>VLOOKUP(C47,Theory!B50:AH121,33,FALSE)</f>
        <v>0</v>
      </c>
      <c r="AM47" s="380">
        <f>VLOOKUP(C47,Theory!B50:AI121,34,FALSE)</f>
        <v>0</v>
      </c>
      <c r="AN47" s="369">
        <f t="shared" si="10"/>
        <v>10</v>
      </c>
      <c r="AO47" s="385">
        <f t="shared" si="0"/>
        <v>49</v>
      </c>
      <c r="AP47" s="386">
        <f>VLOOKUP(C47,Theory!B50:AJ121,35,FALSE)</f>
        <v>8</v>
      </c>
      <c r="AQ47" s="386">
        <f>VLOOKUP(C47,Theory!B50:AK121,36,FALSE)</f>
        <v>0</v>
      </c>
      <c r="AR47" s="386">
        <f>VLOOKUP(C47,Theory!B50:AL121,37,FALSE)</f>
        <v>0</v>
      </c>
      <c r="AS47" s="386">
        <f>VLOOKUP(C47,Theory!B50:AM121,38,FALSE)</f>
        <v>0</v>
      </c>
      <c r="AT47" s="369">
        <f t="shared" si="11"/>
        <v>8</v>
      </c>
      <c r="AU47" s="386">
        <f>VLOOKUP(C47,Theory!B50:AN121,39,FALSE)</f>
        <v>8</v>
      </c>
      <c r="AV47" s="386">
        <f>VLOOKUP(C47,Theory!B50:AO121,40,FALSE)</f>
        <v>0</v>
      </c>
      <c r="AW47" s="386">
        <f>VLOOKUP(C47,Theory!B50:AP121,41,FALSE)</f>
        <v>0</v>
      </c>
      <c r="AX47" s="386">
        <f>VLOOKUP(C47,Theory!B50:AQ121,42,FALSE)</f>
        <v>0</v>
      </c>
      <c r="AY47" s="369">
        <f t="shared" si="12"/>
        <v>8</v>
      </c>
      <c r="AZ47" s="386">
        <f>VLOOKUP(C47,Theory!B50:AR121,43,FALSE)</f>
        <v>0</v>
      </c>
      <c r="BA47" s="386">
        <f>VLOOKUP(C47,Theory!B50:AS121,44,FALSE)</f>
        <v>0</v>
      </c>
      <c r="BB47" s="386">
        <f>VLOOKUP(C47,Theory!B50:AT121,45,FALSE)</f>
        <v>0</v>
      </c>
      <c r="BC47" s="386">
        <f>VLOOKUP(C47,Theory!B50:AU121,46,FALSE)</f>
        <v>0</v>
      </c>
      <c r="BD47" s="386">
        <f>VLOOKUP(C47,Theory!B50:AV121,47,FALSE)</f>
        <v>10</v>
      </c>
      <c r="BE47" s="386">
        <f>VLOOKUP(C47,Theory!B50:AW121,48,FALSE)</f>
        <v>0</v>
      </c>
      <c r="BF47" s="386">
        <f>VLOOKUP(C47,Theory!B50:AX121,49,FALSE)</f>
        <v>0</v>
      </c>
      <c r="BG47" s="386">
        <f>VLOOKUP(C47,Theory!B50:AY121,50,FALSE)</f>
        <v>0</v>
      </c>
      <c r="BH47" s="369">
        <f t="shared" si="13"/>
        <v>10</v>
      </c>
      <c r="BI47" s="386">
        <f>VLOOKUP(C47,Theory!B50:AZ121,51,FALSE)</f>
        <v>6</v>
      </c>
      <c r="BJ47" s="386">
        <f>VLOOKUP(C47,Theory!B50:BA121,52,FALSE)</f>
        <v>0</v>
      </c>
      <c r="BK47" s="386">
        <f>VLOOKUP(C47,Theory!B50:BB121,53,FALSE)</f>
        <v>0</v>
      </c>
      <c r="BL47" s="386">
        <f>VLOOKUP(C47,Theory!B50:BC121,54,FALSE)</f>
        <v>0</v>
      </c>
      <c r="BM47" s="386">
        <f>VLOOKUP(C47,Theory!B50:BD121,55,FALSE)</f>
        <v>0</v>
      </c>
      <c r="BN47" s="386">
        <f>VLOOKUP(C47,Theory!B50:BE121,56,FALSE)</f>
        <v>0</v>
      </c>
      <c r="BO47" s="386">
        <f>VLOOKUP(C47,Theory!B50:BF121,57,FALSE)</f>
        <v>0</v>
      </c>
      <c r="BP47" s="386">
        <f>VLOOKUP(C47,Theory!B50:BG121,58,FALSE)</f>
        <v>0</v>
      </c>
      <c r="BQ47" s="369">
        <f t="shared" si="14"/>
        <v>6</v>
      </c>
      <c r="BR47" s="386">
        <f>VLOOKUP(C47,Theory!B50:BH121,59,FALSE)</f>
        <v>0</v>
      </c>
      <c r="BS47" s="386">
        <f>VLOOKUP(C47,Theory!B50:BI121,60,FALSE)</f>
        <v>0</v>
      </c>
      <c r="BT47" s="386">
        <f>VLOOKUP(C47,Theory!B50:BJ121,61,FALSE)</f>
        <v>0</v>
      </c>
      <c r="BU47" s="386">
        <f>VLOOKUP(C47,Theory!B50:BK121,62,FALSE)</f>
        <v>0</v>
      </c>
      <c r="BV47" s="386">
        <f>VLOOKUP(C47,Theory!B50:BL121,63,FALSE)</f>
        <v>8</v>
      </c>
      <c r="BW47" s="386">
        <f>VLOOKUP(C47,Theory!B50:BM121,64,FALSE)</f>
        <v>0</v>
      </c>
      <c r="BX47" s="386">
        <f>VLOOKUP(C47,Theory!B50:BN121,65,FALSE)</f>
        <v>0</v>
      </c>
      <c r="BY47" s="386">
        <f>VLOOKUP(C47,Theory!B50:BO121,66,FALSE)</f>
        <v>0</v>
      </c>
      <c r="BZ47" s="369">
        <f t="shared" si="15"/>
        <v>8</v>
      </c>
      <c r="CA47" s="385">
        <f t="shared" si="1"/>
        <v>40</v>
      </c>
      <c r="CB47" s="386">
        <f>VLOOKUP(C47,Theory!B50:BP121,67,FALSE)</f>
        <v>10</v>
      </c>
      <c r="CC47" s="386">
        <f>VLOOKUP(C47,Theory!B50:BQ121,68,FALSE)</f>
        <v>0</v>
      </c>
      <c r="CD47" s="386">
        <f>VLOOKUP(C47,Theory!B50:BR121,69,FALSE)</f>
        <v>0</v>
      </c>
      <c r="CE47" s="386">
        <f>VLOOKUP(C47,Theory!B50:BS121,70,FALSE)</f>
        <v>0</v>
      </c>
      <c r="CF47" s="369">
        <f t="shared" si="16"/>
        <v>10</v>
      </c>
      <c r="CG47" s="399">
        <f>VLOOKUP(C47,Theory!B50:BT121,71,FALSE)</f>
        <v>9</v>
      </c>
      <c r="CH47" s="399">
        <f>VLOOKUP(C47,Theory!B50:BU121,72,FALSE)</f>
        <v>0</v>
      </c>
      <c r="CI47" s="399">
        <f>VLOOKUP(C47,Theory!B50:BV121,73,FALSE)</f>
        <v>0</v>
      </c>
      <c r="CJ47" s="399">
        <f>VLOOKUP(C47,Theory!B50:BW121,74,FALSE)</f>
        <v>0</v>
      </c>
      <c r="CK47" s="369">
        <f t="shared" si="17"/>
        <v>9</v>
      </c>
      <c r="CL47" s="386">
        <f>VLOOKUP(C47,Theory!B50:BX121,75,FALSE)</f>
        <v>0</v>
      </c>
      <c r="CM47" s="400">
        <f>VLOOKUP(C47,Theory!B50:BY121,76,FALSE)</f>
        <v>0</v>
      </c>
      <c r="CN47" s="400">
        <f>VLOOKUP(C47,Theory!B50:BZ121,77,FALSE)</f>
        <v>0</v>
      </c>
      <c r="CO47" s="400">
        <f>VLOOKUP(C47,Theory!B50:CA121,78,FALSE)</f>
        <v>0</v>
      </c>
      <c r="CP47" s="386">
        <f>VLOOKUP(C47,Theory!B50:CB121,79,FALSE)</f>
        <v>8</v>
      </c>
      <c r="CQ47" s="386">
        <f>VLOOKUP(C47,Theory!B50:CC121,80,FALSE)</f>
        <v>0</v>
      </c>
      <c r="CR47" s="386">
        <f>VLOOKUP(C47,Theory!B50:CD121,81,FALSE)</f>
        <v>0</v>
      </c>
      <c r="CS47" s="386">
        <f>VLOOKUP(C47,Theory!B50:CE121,82,FALSE)</f>
        <v>0</v>
      </c>
      <c r="CT47" s="369">
        <f t="shared" si="18"/>
        <v>8</v>
      </c>
      <c r="CU47" s="399">
        <f>VLOOKUP(C47,Theory!B50:CF121,83,FALSE)</f>
        <v>10</v>
      </c>
      <c r="CV47" s="400">
        <f>VLOOKUP(C47,Theory!B50:CG121,84,FALSE)</f>
        <v>0</v>
      </c>
      <c r="CW47" s="400">
        <f>VLOOKUP(C47,Theory!B50:CH121,85,FALSE)</f>
        <v>0</v>
      </c>
      <c r="CX47" s="400">
        <f>VLOOKUP(C47,Theory!B50:CI121,86,FALSE)</f>
        <v>0</v>
      </c>
      <c r="CY47" s="399">
        <f>VLOOKUP(C47,Theory!B50:CJ121,87,FALSE)</f>
        <v>0</v>
      </c>
      <c r="CZ47" s="399">
        <f>VLOOKUP(C47,Theory!B50:CK121,88,FALSE)</f>
        <v>0</v>
      </c>
      <c r="DA47" s="399">
        <f>VLOOKUP(C47,Theory!B50:CL121,89,FALSE)</f>
        <v>0</v>
      </c>
      <c r="DB47" s="399">
        <f>VLOOKUP(C47,Theory!B50:CM121,90,FALSE)</f>
        <v>0</v>
      </c>
      <c r="DC47" s="369">
        <f t="shared" si="19"/>
        <v>10</v>
      </c>
      <c r="DD47" s="386">
        <f>VLOOKUP(C47,Theory!B50:CN121,91,FALSE)</f>
        <v>9</v>
      </c>
      <c r="DE47" s="400">
        <f>VLOOKUP(C47,Theory!B50:CO121,92,FALSE)</f>
        <v>0</v>
      </c>
      <c r="DF47" s="400">
        <f>VLOOKUP(C47,Theory!B50:CP121,93,FALSE)</f>
        <v>0</v>
      </c>
      <c r="DG47" s="400">
        <f>VLOOKUP(C47,Theory!B50:CQ121,94,FALSE)</f>
        <v>0</v>
      </c>
      <c r="DH47" s="386">
        <f>VLOOKUP(C47,Theory!B50:CR121,95,FALSE)</f>
        <v>0</v>
      </c>
      <c r="DI47" s="386">
        <f>VLOOKUP(C47,Theory!B50:CS121,96,FALSE)</f>
        <v>0</v>
      </c>
      <c r="DJ47" s="386">
        <f>VLOOKUP(C47,Theory!B50:CT121,97,FALSE)</f>
        <v>0</v>
      </c>
      <c r="DK47" s="386">
        <f>VLOOKUP(C47,Theory!B50:CU121,98,FALSE)</f>
        <v>0</v>
      </c>
      <c r="DL47" s="369">
        <f t="shared" si="20"/>
        <v>9</v>
      </c>
      <c r="DM47" s="411">
        <f t="shared" si="2"/>
        <v>46</v>
      </c>
      <c r="DN47" s="413">
        <f t="shared" si="40"/>
        <v>49</v>
      </c>
      <c r="DO47" s="413">
        <f t="shared" si="41"/>
        <v>40</v>
      </c>
      <c r="DP47" s="413">
        <f t="shared" si="42"/>
        <v>46</v>
      </c>
      <c r="DQ47" s="418">
        <f t="shared" si="43"/>
        <v>29</v>
      </c>
      <c r="DR47" s="418">
        <f t="shared" si="44"/>
        <v>24</v>
      </c>
      <c r="DS47" s="418">
        <f t="shared" si="45"/>
        <v>28</v>
      </c>
      <c r="DT47" s="417">
        <f t="shared" si="36"/>
        <v>27</v>
      </c>
      <c r="DU47" s="423">
        <f>VLOOKUP(C47,Theory!B50:CV121,99,FALSE)</f>
        <v>10</v>
      </c>
      <c r="DV47" s="423">
        <f>VLOOKUP(C47,Theory!B50:CW121,100,FALSE)</f>
        <v>10</v>
      </c>
      <c r="DW47" s="424">
        <f t="shared" si="27"/>
        <v>20</v>
      </c>
      <c r="DX47" s="421">
        <f t="shared" si="3"/>
        <v>47</v>
      </c>
      <c r="DY47" s="430">
        <f t="shared" si="4"/>
        <v>28</v>
      </c>
      <c r="DZ47" s="431">
        <f>VLOOKUP(C47,Lab!B42:D111,3,FALSE)</f>
        <v>0</v>
      </c>
      <c r="EA47" s="432">
        <f>VLOOKUP(C47,Lab!B42:E111,4,FALSE)</f>
        <v>0</v>
      </c>
      <c r="EB47" s="432">
        <f>VLOOKUP(C47,Lab!B42:F111,5,FALSE)</f>
        <v>30</v>
      </c>
      <c r="EC47" s="422">
        <f t="shared" si="37"/>
        <v>30</v>
      </c>
      <c r="ED47" s="436">
        <f>VLOOKUP(C47,Lab!B42:G111,6,FALSE)</f>
        <v>0</v>
      </c>
      <c r="EE47" s="436">
        <f>VLOOKUP(C47,Lab!B42:H111,7,FALSE)</f>
        <v>0</v>
      </c>
      <c r="EF47" s="437">
        <f>VLOOKUP(C47,Lab!B42:I111,8,FALSE)</f>
        <v>20</v>
      </c>
      <c r="EG47" s="443">
        <f t="shared" si="38"/>
        <v>20</v>
      </c>
      <c r="EH47" s="444">
        <f t="shared" si="28"/>
        <v>50</v>
      </c>
      <c r="EI47" s="445">
        <f t="shared" si="29"/>
        <v>20</v>
      </c>
      <c r="EJ47" s="446">
        <f t="shared" si="5"/>
        <v>48</v>
      </c>
      <c r="EK47" s="449">
        <v>35</v>
      </c>
      <c r="EM47" s="450">
        <f>VLOOKUP(C47,Theory!B50:DK121,114,FALSE)</f>
        <v>0</v>
      </c>
      <c r="EN47" s="450">
        <f>VLOOKUP(C47,Theory!B50:DL121,115,FALSE)</f>
        <v>0</v>
      </c>
      <c r="EO47" s="450">
        <f>VLOOKUP(C47,Theory!B50:DM121,116,FALSE)</f>
        <v>0</v>
      </c>
      <c r="EP47" s="450">
        <f>VLOOKUP(C47,Theory!B50:DN119,117,FALSE)</f>
        <v>0</v>
      </c>
      <c r="EQ47" s="450">
        <f>VLOOKUP(C47,Theory!B50:DO119,118,FALSE)</f>
        <v>0</v>
      </c>
      <c r="ER47" s="451">
        <f>VLOOKUP(C47,Theory!B50:DP119,119,FALSE)</f>
        <v>0</v>
      </c>
      <c r="ES47" s="454">
        <f>VLOOKUP(C47,Theory!B50:DQ119,120,FALSE)</f>
        <v>0</v>
      </c>
      <c r="ET47" s="455">
        <f t="shared" si="39"/>
        <v>0</v>
      </c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</row>
    <row r="48" ht="18.35" spans="1:160">
      <c r="A48" s="164">
        <v>35</v>
      </c>
      <c r="B48" s="289" t="str">
        <f>Theory!C51</f>
        <v>MANASA M</v>
      </c>
      <c r="C48" s="360" t="str">
        <f>Theory!B51</f>
        <v>1DS23AI036</v>
      </c>
      <c r="D48" s="361">
        <f>VLOOKUP(C48,Theory!B51:D122,3,FALSE)</f>
        <v>8</v>
      </c>
      <c r="E48" s="361">
        <f>VLOOKUP(C48,Theory!B51:E122,4,FALSE)</f>
        <v>0</v>
      </c>
      <c r="F48" s="361">
        <f>VLOOKUP(C48,Theory!B51:F122,5,FALSE)</f>
        <v>0</v>
      </c>
      <c r="G48" s="361">
        <f>VLOOKUP(C48,Theory!B51:G122,6,FALSE)</f>
        <v>0</v>
      </c>
      <c r="H48" s="369">
        <f t="shared" si="6"/>
        <v>8</v>
      </c>
      <c r="I48" s="370">
        <f>VLOOKUP(C48,Theory!B51:H122,7,FALSE)</f>
        <v>7</v>
      </c>
      <c r="J48" s="371">
        <f>VLOOKUP(C48,Theory!B51:I122,8,FALSE)</f>
        <v>0</v>
      </c>
      <c r="K48" s="371">
        <f>VLOOKUP(C48,Theory!B51:J122,9,FALSE)</f>
        <v>0</v>
      </c>
      <c r="L48" s="371">
        <f>VLOOKUP(C48,Theory!B51:K122,10,FALSE)</f>
        <v>0</v>
      </c>
      <c r="M48" s="369">
        <f t="shared" si="7"/>
        <v>7</v>
      </c>
      <c r="N48" s="373">
        <f>VLOOKUP(C48,Theory!B51:L122,11,FALSE)</f>
        <v>7</v>
      </c>
      <c r="O48" s="373">
        <f>VLOOKUP(C48,Theory!B51:M122,12,FALSE)</f>
        <v>0</v>
      </c>
      <c r="P48" s="373">
        <f>VLOOKUP(C48,Theory!B51:N122,13,FALSE)</f>
        <v>0</v>
      </c>
      <c r="Q48" s="373">
        <f>VLOOKUP(C48,Theory!B51:O122,14,FALSE)</f>
        <v>0</v>
      </c>
      <c r="R48" s="371">
        <f>VLOOKUP(C48,Theory!B51:P122,15,FALSE)</f>
        <v>0</v>
      </c>
      <c r="S48" s="371">
        <f>VLOOKUP(C48,Theory!B51:Q122,16,FALSE)</f>
        <v>0</v>
      </c>
      <c r="T48" s="371">
        <f>VLOOKUP(C48,Theory!B51:R122,17,FALSE)</f>
        <v>0</v>
      </c>
      <c r="U48" s="371">
        <f>VLOOKUP(C48,Theory!B51:S122,18,FALSE)</f>
        <v>0</v>
      </c>
      <c r="V48" s="369">
        <f t="shared" si="8"/>
        <v>7</v>
      </c>
      <c r="W48" s="361">
        <f>VLOOKUP(C48,Theory!B51:T122,19,FALSE)</f>
        <v>9</v>
      </c>
      <c r="X48" s="361">
        <f>VLOOKUP(C48,Theory!B51:U122,20,FALSE)</f>
        <v>0</v>
      </c>
      <c r="Y48" s="361">
        <f>VLOOKUP(C48,Theory!B51:V122,21,FALSE)</f>
        <v>0</v>
      </c>
      <c r="Z48" s="361">
        <f>VLOOKUP(C48,Theory!B51:W122,22,FALSE)</f>
        <v>0</v>
      </c>
      <c r="AA48" s="370">
        <f>VLOOKUP(C48,Theory!B51:X122,23,FALSE)</f>
        <v>0</v>
      </c>
      <c r="AB48" s="370">
        <f>VLOOKUP(C48,Theory!B51:Y122,24,FALSE)</f>
        <v>0</v>
      </c>
      <c r="AC48" s="370">
        <f>VLOOKUP(C48,Theory!B51:Z122,25,FALSE)</f>
        <v>0</v>
      </c>
      <c r="AD48" s="370">
        <f>VLOOKUP(C48,Theory!B51:AA122,26,FALSE)</f>
        <v>0</v>
      </c>
      <c r="AE48" s="369">
        <f t="shared" si="9"/>
        <v>9</v>
      </c>
      <c r="AF48" s="361">
        <f>VLOOKUP(C48,Theory!B51:AB122,27,FALSE)</f>
        <v>9</v>
      </c>
      <c r="AG48" s="361">
        <f>VLOOKUP(C48,Theory!B51:AC122,28,FALSE)</f>
        <v>0</v>
      </c>
      <c r="AH48" s="361">
        <f>VLOOKUP(C48,Theory!B51:AD122,29,FALSE)</f>
        <v>0</v>
      </c>
      <c r="AI48" s="361">
        <f>VLOOKUP(C48,Theory!B51:AE122,30,FALSE)</f>
        <v>0</v>
      </c>
      <c r="AJ48" s="380">
        <f>VLOOKUP(C48,Theory!B51:AF122,31,FALSE)</f>
        <v>0</v>
      </c>
      <c r="AK48" s="380">
        <f>VLOOKUP(C48,Theory!B51:AG122,32,FALSE)</f>
        <v>0</v>
      </c>
      <c r="AL48" s="380">
        <f>VLOOKUP(C48,Theory!B51:AH122,33,FALSE)</f>
        <v>0</v>
      </c>
      <c r="AM48" s="380">
        <f>VLOOKUP(C48,Theory!B51:AI122,34,FALSE)</f>
        <v>0</v>
      </c>
      <c r="AN48" s="369">
        <f t="shared" si="10"/>
        <v>9</v>
      </c>
      <c r="AO48" s="385">
        <f t="shared" si="0"/>
        <v>40</v>
      </c>
      <c r="AP48" s="386">
        <f>VLOOKUP(C48,Theory!B51:AJ122,35,FALSE)</f>
        <v>2</v>
      </c>
      <c r="AQ48" s="386">
        <f>VLOOKUP(C48,Theory!B51:AK122,36,FALSE)</f>
        <v>0</v>
      </c>
      <c r="AR48" s="386">
        <f>VLOOKUP(C48,Theory!B51:AL122,37,FALSE)</f>
        <v>0</v>
      </c>
      <c r="AS48" s="386">
        <f>VLOOKUP(C48,Theory!B51:AM122,38,FALSE)</f>
        <v>0</v>
      </c>
      <c r="AT48" s="369">
        <f t="shared" si="11"/>
        <v>2</v>
      </c>
      <c r="AU48" s="386">
        <f>VLOOKUP(C48,Theory!B51:AN122,39,FALSE)</f>
        <v>8</v>
      </c>
      <c r="AV48" s="386">
        <f>VLOOKUP(C48,Theory!B51:AO122,40,FALSE)</f>
        <v>0</v>
      </c>
      <c r="AW48" s="386">
        <f>VLOOKUP(C48,Theory!B51:AP122,41,FALSE)</f>
        <v>0</v>
      </c>
      <c r="AX48" s="386">
        <f>VLOOKUP(C48,Theory!B51:AQ122,42,FALSE)</f>
        <v>0</v>
      </c>
      <c r="AY48" s="369">
        <f t="shared" si="12"/>
        <v>8</v>
      </c>
      <c r="AZ48" s="386">
        <f>VLOOKUP(C48,Theory!B51:AR122,43,FALSE)</f>
        <v>0</v>
      </c>
      <c r="BA48" s="386">
        <f>VLOOKUP(C48,Theory!B51:AS122,44,FALSE)</f>
        <v>0</v>
      </c>
      <c r="BB48" s="386">
        <f>VLOOKUP(C48,Theory!B51:AT122,45,FALSE)</f>
        <v>0</v>
      </c>
      <c r="BC48" s="386">
        <f>VLOOKUP(C48,Theory!B51:AU122,46,FALSE)</f>
        <v>0</v>
      </c>
      <c r="BD48" s="386">
        <f>VLOOKUP(C48,Theory!B51:AV122,47,FALSE)</f>
        <v>10</v>
      </c>
      <c r="BE48" s="386">
        <f>VLOOKUP(C48,Theory!B51:AW122,48,FALSE)</f>
        <v>0</v>
      </c>
      <c r="BF48" s="386">
        <f>VLOOKUP(C48,Theory!B51:AX122,49,FALSE)</f>
        <v>0</v>
      </c>
      <c r="BG48" s="386">
        <f>VLOOKUP(C48,Theory!B51:AY122,50,FALSE)</f>
        <v>0</v>
      </c>
      <c r="BH48" s="369">
        <f t="shared" si="13"/>
        <v>10</v>
      </c>
      <c r="BI48" s="386">
        <f>VLOOKUP(C48,Theory!B51:AZ122,51,FALSE)</f>
        <v>6</v>
      </c>
      <c r="BJ48" s="386">
        <f>VLOOKUP(C48,Theory!B51:BA122,52,FALSE)</f>
        <v>0</v>
      </c>
      <c r="BK48" s="386">
        <f>VLOOKUP(C48,Theory!B51:BB122,53,FALSE)</f>
        <v>0</v>
      </c>
      <c r="BL48" s="386">
        <f>VLOOKUP(C48,Theory!B51:BC122,54,FALSE)</f>
        <v>0</v>
      </c>
      <c r="BM48" s="386">
        <f>VLOOKUP(C48,Theory!B51:BD122,55,FALSE)</f>
        <v>0</v>
      </c>
      <c r="BN48" s="386">
        <f>VLOOKUP(C48,Theory!B51:BE122,56,FALSE)</f>
        <v>0</v>
      </c>
      <c r="BO48" s="386">
        <f>VLOOKUP(C48,Theory!B51:BF122,57,FALSE)</f>
        <v>0</v>
      </c>
      <c r="BP48" s="386">
        <f>VLOOKUP(C48,Theory!B51:BG122,58,FALSE)</f>
        <v>0</v>
      </c>
      <c r="BQ48" s="369">
        <f t="shared" si="14"/>
        <v>6</v>
      </c>
      <c r="BR48" s="386">
        <f>VLOOKUP(C48,Theory!B51:BH122,59,FALSE)</f>
        <v>0</v>
      </c>
      <c r="BS48" s="386">
        <f>VLOOKUP(C48,Theory!B51:BI122,60,FALSE)</f>
        <v>0</v>
      </c>
      <c r="BT48" s="386">
        <f>VLOOKUP(C48,Theory!B51:BJ122,61,FALSE)</f>
        <v>0</v>
      </c>
      <c r="BU48" s="386">
        <f>VLOOKUP(C48,Theory!B51:BK122,62,FALSE)</f>
        <v>0</v>
      </c>
      <c r="BV48" s="386">
        <f>VLOOKUP(C48,Theory!B51:BL122,63,FALSE)</f>
        <v>10</v>
      </c>
      <c r="BW48" s="386">
        <f>VLOOKUP(C48,Theory!B51:BM122,64,FALSE)</f>
        <v>0</v>
      </c>
      <c r="BX48" s="386">
        <f>VLOOKUP(C48,Theory!B51:BN122,65,FALSE)</f>
        <v>0</v>
      </c>
      <c r="BY48" s="386">
        <f>VLOOKUP(C48,Theory!B51:BO122,66,FALSE)</f>
        <v>0</v>
      </c>
      <c r="BZ48" s="369">
        <f t="shared" si="15"/>
        <v>10</v>
      </c>
      <c r="CA48" s="385">
        <f t="shared" si="1"/>
        <v>36</v>
      </c>
      <c r="CB48" s="386">
        <f>VLOOKUP(C48,Theory!B51:BP122,67,FALSE)</f>
        <v>8</v>
      </c>
      <c r="CC48" s="386">
        <f>VLOOKUP(C48,Theory!B51:BQ122,68,FALSE)</f>
        <v>0</v>
      </c>
      <c r="CD48" s="386">
        <f>VLOOKUP(C48,Theory!B51:BR122,69,FALSE)</f>
        <v>0</v>
      </c>
      <c r="CE48" s="386">
        <f>VLOOKUP(C48,Theory!B51:BS122,70,FALSE)</f>
        <v>0</v>
      </c>
      <c r="CF48" s="369">
        <f t="shared" si="16"/>
        <v>8</v>
      </c>
      <c r="CG48" s="399">
        <f>VLOOKUP(C48,Theory!B51:BT122,71,FALSE)</f>
        <v>9</v>
      </c>
      <c r="CH48" s="399">
        <f>VLOOKUP(C48,Theory!B51:BU122,72,FALSE)</f>
        <v>0</v>
      </c>
      <c r="CI48" s="399">
        <f>VLOOKUP(C48,Theory!B51:BV122,73,FALSE)</f>
        <v>0</v>
      </c>
      <c r="CJ48" s="399">
        <f>VLOOKUP(C48,Theory!B51:BW122,74,FALSE)</f>
        <v>0</v>
      </c>
      <c r="CK48" s="369">
        <f t="shared" si="17"/>
        <v>9</v>
      </c>
      <c r="CL48" s="386">
        <f>VLOOKUP(C48,Theory!B51:BX122,75,FALSE)</f>
        <v>9</v>
      </c>
      <c r="CM48" s="400">
        <f>VLOOKUP(C48,Theory!B51:BY122,76,FALSE)</f>
        <v>0</v>
      </c>
      <c r="CN48" s="400">
        <f>VLOOKUP(C48,Theory!B51:BZ122,77,FALSE)</f>
        <v>0</v>
      </c>
      <c r="CO48" s="400">
        <f>VLOOKUP(C48,Theory!B51:CA122,78,FALSE)</f>
        <v>0</v>
      </c>
      <c r="CP48" s="386">
        <f>VLOOKUP(C48,Theory!B51:CB122,79,FALSE)</f>
        <v>0</v>
      </c>
      <c r="CQ48" s="386">
        <f>VLOOKUP(C48,Theory!B51:CC122,80,FALSE)</f>
        <v>0</v>
      </c>
      <c r="CR48" s="386">
        <f>VLOOKUP(C48,Theory!B51:CD122,81,FALSE)</f>
        <v>0</v>
      </c>
      <c r="CS48" s="386">
        <f>VLOOKUP(C48,Theory!B51:CE122,82,FALSE)</f>
        <v>0</v>
      </c>
      <c r="CT48" s="369">
        <f t="shared" si="18"/>
        <v>9</v>
      </c>
      <c r="CU48" s="399">
        <f>VLOOKUP(C48,Theory!B51:CF122,83,FALSE)</f>
        <v>10</v>
      </c>
      <c r="CV48" s="400">
        <f>VLOOKUP(C48,Theory!B51:CG122,84,FALSE)</f>
        <v>0</v>
      </c>
      <c r="CW48" s="400">
        <f>VLOOKUP(C48,Theory!B51:CH122,85,FALSE)</f>
        <v>0</v>
      </c>
      <c r="CX48" s="400">
        <f>VLOOKUP(C48,Theory!B51:CI122,86,FALSE)</f>
        <v>0</v>
      </c>
      <c r="CY48" s="399">
        <f>VLOOKUP(C48,Theory!B51:CJ122,87,FALSE)</f>
        <v>0</v>
      </c>
      <c r="CZ48" s="399">
        <f>VLOOKUP(C48,Theory!B51:CK122,88,FALSE)</f>
        <v>0</v>
      </c>
      <c r="DA48" s="399">
        <f>VLOOKUP(C48,Theory!B51:CL122,89,FALSE)</f>
        <v>0</v>
      </c>
      <c r="DB48" s="399">
        <f>VLOOKUP(C48,Theory!B51:CM122,90,FALSE)</f>
        <v>0</v>
      </c>
      <c r="DC48" s="369">
        <f t="shared" si="19"/>
        <v>10</v>
      </c>
      <c r="DD48" s="386">
        <f>VLOOKUP(C48,Theory!B51:CN122,91,FALSE)</f>
        <v>5</v>
      </c>
      <c r="DE48" s="400">
        <f>VLOOKUP(C48,Theory!B51:CO122,92,FALSE)</f>
        <v>0</v>
      </c>
      <c r="DF48" s="400">
        <f>VLOOKUP(C48,Theory!B51:CP122,93,FALSE)</f>
        <v>0</v>
      </c>
      <c r="DG48" s="400">
        <f>VLOOKUP(C48,Theory!B51:CQ122,94,FALSE)</f>
        <v>0</v>
      </c>
      <c r="DH48" s="386">
        <f>VLOOKUP(C48,Theory!B51:CR122,95,FALSE)</f>
        <v>0</v>
      </c>
      <c r="DI48" s="386">
        <f>VLOOKUP(C48,Theory!B51:CS122,96,FALSE)</f>
        <v>0</v>
      </c>
      <c r="DJ48" s="386">
        <f>VLOOKUP(C48,Theory!B51:CT122,97,FALSE)</f>
        <v>0</v>
      </c>
      <c r="DK48" s="386">
        <f>VLOOKUP(C48,Theory!B51:CU122,98,FALSE)</f>
        <v>0</v>
      </c>
      <c r="DL48" s="369">
        <f t="shared" si="20"/>
        <v>5</v>
      </c>
      <c r="DM48" s="411">
        <f t="shared" si="2"/>
        <v>41</v>
      </c>
      <c r="DN48" s="413">
        <f t="shared" si="40"/>
        <v>40</v>
      </c>
      <c r="DO48" s="413">
        <f t="shared" si="41"/>
        <v>36</v>
      </c>
      <c r="DP48" s="413">
        <f t="shared" si="42"/>
        <v>41</v>
      </c>
      <c r="DQ48" s="418">
        <f t="shared" si="43"/>
        <v>24</v>
      </c>
      <c r="DR48" s="418">
        <f t="shared" si="44"/>
        <v>22</v>
      </c>
      <c r="DS48" s="418">
        <f t="shared" si="45"/>
        <v>25</v>
      </c>
      <c r="DT48" s="417">
        <f t="shared" si="36"/>
        <v>24</v>
      </c>
      <c r="DU48" s="423">
        <f>VLOOKUP(C48,Theory!B51:CV122,99,FALSE)</f>
        <v>9</v>
      </c>
      <c r="DV48" s="423">
        <f>VLOOKUP(C48,Theory!B51:CW122,100,FALSE)</f>
        <v>10</v>
      </c>
      <c r="DW48" s="424">
        <f t="shared" si="27"/>
        <v>19</v>
      </c>
      <c r="DX48" s="421">
        <f t="shared" si="3"/>
        <v>43</v>
      </c>
      <c r="DY48" s="430">
        <f t="shared" si="4"/>
        <v>26</v>
      </c>
      <c r="DZ48" s="431">
        <f>VLOOKUP(C48,Lab!B43:D112,3,FALSE)</f>
        <v>0</v>
      </c>
      <c r="EA48" s="432">
        <f>VLOOKUP(C48,Lab!B43:E112,4,FALSE)</f>
        <v>0</v>
      </c>
      <c r="EB48" s="432">
        <f>VLOOKUP(C48,Lab!B43:F112,5,FALSE)</f>
        <v>28</v>
      </c>
      <c r="EC48" s="422">
        <f t="shared" si="37"/>
        <v>28</v>
      </c>
      <c r="ED48" s="436">
        <f>VLOOKUP(C48,Lab!B43:G112,6,FALSE)</f>
        <v>0</v>
      </c>
      <c r="EE48" s="436">
        <f>VLOOKUP(C48,Lab!B43:H112,7,FALSE)</f>
        <v>0</v>
      </c>
      <c r="EF48" s="437">
        <v>20</v>
      </c>
      <c r="EG48" s="443">
        <f t="shared" si="38"/>
        <v>20</v>
      </c>
      <c r="EH48" s="444">
        <f t="shared" si="28"/>
        <v>48</v>
      </c>
      <c r="EI48" s="445">
        <f t="shared" si="29"/>
        <v>19</v>
      </c>
      <c r="EJ48" s="446">
        <f t="shared" si="5"/>
        <v>45</v>
      </c>
      <c r="EK48" s="449">
        <v>34.5</v>
      </c>
      <c r="EM48" s="450">
        <f>VLOOKUP(C48,Theory!B51:DK122,114,FALSE)</f>
        <v>0</v>
      </c>
      <c r="EN48" s="450">
        <f>VLOOKUP(C48,Theory!B51:DL122,115,FALSE)</f>
        <v>0</v>
      </c>
      <c r="EO48" s="450">
        <f>VLOOKUP(C48,Theory!B51:DM122,116,FALSE)</f>
        <v>0</v>
      </c>
      <c r="EP48" s="450">
        <f>VLOOKUP(C48,Theory!B51:DN120,117,FALSE)</f>
        <v>0</v>
      </c>
      <c r="EQ48" s="450">
        <f>VLOOKUP(C48,Theory!B51:DO120,118,FALSE)</f>
        <v>0</v>
      </c>
      <c r="ER48" s="451">
        <f>VLOOKUP(C48,Theory!B51:DP120,119,FALSE)</f>
        <v>0</v>
      </c>
      <c r="ES48" s="454">
        <f>VLOOKUP(C48,Theory!B51:DQ120,120,FALSE)</f>
        <v>0</v>
      </c>
      <c r="ET48" s="455">
        <f t="shared" si="39"/>
        <v>0</v>
      </c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</row>
    <row r="49" ht="18.35" spans="1:160">
      <c r="A49" s="164">
        <v>36</v>
      </c>
      <c r="B49" s="289" t="str">
        <f>Theory!C52</f>
        <v>MUNAGALA CHANDU</v>
      </c>
      <c r="C49" s="360" t="str">
        <f>Theory!B52</f>
        <v>1DS23AI037</v>
      </c>
      <c r="D49" s="361">
        <f>VLOOKUP(C49,Theory!B52:D123,3,FALSE)</f>
        <v>8</v>
      </c>
      <c r="E49" s="361">
        <f>VLOOKUP(C49,Theory!B52:E123,4,FALSE)</f>
        <v>0</v>
      </c>
      <c r="F49" s="361">
        <f>VLOOKUP(C49,Theory!B52:F123,5,FALSE)</f>
        <v>0</v>
      </c>
      <c r="G49" s="361">
        <f>VLOOKUP(C49,Theory!B52:G123,6,FALSE)</f>
        <v>0</v>
      </c>
      <c r="H49" s="369">
        <f t="shared" si="6"/>
        <v>8</v>
      </c>
      <c r="I49" s="370">
        <f>VLOOKUP(C49,Theory!B52:H123,7,FALSE)</f>
        <v>8</v>
      </c>
      <c r="J49" s="371">
        <f>VLOOKUP(C49,Theory!B52:I123,8,FALSE)</f>
        <v>0</v>
      </c>
      <c r="K49" s="371">
        <f>VLOOKUP(C49,Theory!B52:J123,9,FALSE)</f>
        <v>0</v>
      </c>
      <c r="L49" s="371">
        <f>VLOOKUP(C49,Theory!B52:K123,10,FALSE)</f>
        <v>0</v>
      </c>
      <c r="M49" s="369">
        <f t="shared" si="7"/>
        <v>8</v>
      </c>
      <c r="N49" s="373">
        <f>VLOOKUP(C49,Theory!B52:L123,11,FALSE)</f>
        <v>7</v>
      </c>
      <c r="O49" s="373">
        <f>VLOOKUP(C49,Theory!B52:M123,12,FALSE)</f>
        <v>0</v>
      </c>
      <c r="P49" s="373">
        <f>VLOOKUP(C49,Theory!B52:N123,13,FALSE)</f>
        <v>0</v>
      </c>
      <c r="Q49" s="373">
        <f>VLOOKUP(C49,Theory!B52:O123,14,FALSE)</f>
        <v>0</v>
      </c>
      <c r="R49" s="371">
        <f>VLOOKUP(C49,Theory!B52:P123,15,FALSE)</f>
        <v>0</v>
      </c>
      <c r="S49" s="371">
        <f>VLOOKUP(C49,Theory!B52:Q123,16,FALSE)</f>
        <v>0</v>
      </c>
      <c r="T49" s="371">
        <f>VLOOKUP(C49,Theory!B52:R123,17,FALSE)</f>
        <v>0</v>
      </c>
      <c r="U49" s="371">
        <f>VLOOKUP(C49,Theory!B52:S123,18,FALSE)</f>
        <v>0</v>
      </c>
      <c r="V49" s="369">
        <f t="shared" si="8"/>
        <v>7</v>
      </c>
      <c r="W49" s="361">
        <f>VLOOKUP(C49,Theory!B52:T123,19,FALSE)</f>
        <v>9</v>
      </c>
      <c r="X49" s="361">
        <f>VLOOKUP(C49,Theory!B52:U123,20,FALSE)</f>
        <v>0</v>
      </c>
      <c r="Y49" s="361">
        <f>VLOOKUP(C49,Theory!B52:V123,21,FALSE)</f>
        <v>0</v>
      </c>
      <c r="Z49" s="361">
        <f>VLOOKUP(C49,Theory!B52:W123,22,FALSE)</f>
        <v>0</v>
      </c>
      <c r="AA49" s="370">
        <f>VLOOKUP(C49,Theory!B52:X123,23,FALSE)</f>
        <v>0</v>
      </c>
      <c r="AB49" s="370">
        <f>VLOOKUP(C49,Theory!B52:Y123,24,FALSE)</f>
        <v>0</v>
      </c>
      <c r="AC49" s="370">
        <f>VLOOKUP(C49,Theory!B52:Z123,25,FALSE)</f>
        <v>0</v>
      </c>
      <c r="AD49" s="370">
        <f>VLOOKUP(C49,Theory!B52:AA123,26,FALSE)</f>
        <v>0</v>
      </c>
      <c r="AE49" s="369">
        <f t="shared" si="9"/>
        <v>9</v>
      </c>
      <c r="AF49" s="361">
        <f>VLOOKUP(C49,Theory!B52:AB123,27,FALSE)</f>
        <v>0</v>
      </c>
      <c r="AG49" s="361">
        <f>VLOOKUP(C49,Theory!B52:AC123,28,FALSE)</f>
        <v>0</v>
      </c>
      <c r="AH49" s="361">
        <f>VLOOKUP(C49,Theory!B52:AD123,29,FALSE)</f>
        <v>0</v>
      </c>
      <c r="AI49" s="361">
        <f>VLOOKUP(C49,Theory!B52:AE123,30,FALSE)</f>
        <v>0</v>
      </c>
      <c r="AJ49" s="380">
        <f>VLOOKUP(C49,Theory!B52:AF123,31,FALSE)</f>
        <v>8</v>
      </c>
      <c r="AK49" s="380">
        <f>VLOOKUP(C49,Theory!B52:AG123,32,FALSE)</f>
        <v>0</v>
      </c>
      <c r="AL49" s="380">
        <f>VLOOKUP(C49,Theory!B52:AH123,33,FALSE)</f>
        <v>0</v>
      </c>
      <c r="AM49" s="380">
        <f>VLOOKUP(C49,Theory!B52:AI123,34,FALSE)</f>
        <v>0</v>
      </c>
      <c r="AN49" s="369">
        <f t="shared" si="10"/>
        <v>8</v>
      </c>
      <c r="AO49" s="385">
        <f t="shared" si="0"/>
        <v>40</v>
      </c>
      <c r="AP49" s="386">
        <f>VLOOKUP(C49,Theory!B52:AJ123,35,FALSE)</f>
        <v>10</v>
      </c>
      <c r="AQ49" s="386">
        <f>VLOOKUP(C49,Theory!B52:AK123,36,FALSE)</f>
        <v>0</v>
      </c>
      <c r="AR49" s="386">
        <f>VLOOKUP(C49,Theory!B52:AL123,37,FALSE)</f>
        <v>0</v>
      </c>
      <c r="AS49" s="386">
        <f>VLOOKUP(C49,Theory!B52:AM123,38,FALSE)</f>
        <v>0</v>
      </c>
      <c r="AT49" s="369">
        <f t="shared" si="11"/>
        <v>10</v>
      </c>
      <c r="AU49" s="386">
        <f>VLOOKUP(C49,Theory!B52:AN123,39,FALSE)</f>
        <v>10</v>
      </c>
      <c r="AV49" s="386">
        <f>VLOOKUP(C49,Theory!B52:AO123,40,FALSE)</f>
        <v>0</v>
      </c>
      <c r="AW49" s="386">
        <f>VLOOKUP(C49,Theory!B52:AP123,41,FALSE)</f>
        <v>0</v>
      </c>
      <c r="AX49" s="386">
        <f>VLOOKUP(C49,Theory!B52:AQ123,42,FALSE)</f>
        <v>0</v>
      </c>
      <c r="AY49" s="369">
        <f t="shared" si="12"/>
        <v>10</v>
      </c>
      <c r="AZ49" s="386">
        <f>VLOOKUP(C49,Theory!B52:AR123,43,FALSE)</f>
        <v>0</v>
      </c>
      <c r="BA49" s="386">
        <f>VLOOKUP(C49,Theory!B52:AS123,44,FALSE)</f>
        <v>0</v>
      </c>
      <c r="BB49" s="386">
        <f>VLOOKUP(C49,Theory!B52:AT123,45,FALSE)</f>
        <v>0</v>
      </c>
      <c r="BC49" s="386">
        <f>VLOOKUP(C49,Theory!B52:AU123,46,FALSE)</f>
        <v>0</v>
      </c>
      <c r="BD49" s="386">
        <f>VLOOKUP(C49,Theory!B52:AV123,47,FALSE)</f>
        <v>10</v>
      </c>
      <c r="BE49" s="386">
        <f>VLOOKUP(C49,Theory!B52:AW123,48,FALSE)</f>
        <v>0</v>
      </c>
      <c r="BF49" s="386">
        <f>VLOOKUP(C49,Theory!B52:AX123,49,FALSE)</f>
        <v>0</v>
      </c>
      <c r="BG49" s="386">
        <f>VLOOKUP(C49,Theory!B52:AY123,50,FALSE)</f>
        <v>0</v>
      </c>
      <c r="BH49" s="369">
        <f t="shared" si="13"/>
        <v>10</v>
      </c>
      <c r="BI49" s="386">
        <f>VLOOKUP(C49,Theory!B52:AZ123,51,FALSE)</f>
        <v>8</v>
      </c>
      <c r="BJ49" s="386">
        <f>VLOOKUP(C49,Theory!B52:BA123,52,FALSE)</f>
        <v>0</v>
      </c>
      <c r="BK49" s="386">
        <f>VLOOKUP(C49,Theory!B52:BB123,53,FALSE)</f>
        <v>0</v>
      </c>
      <c r="BL49" s="386">
        <f>VLOOKUP(C49,Theory!B52:BC123,54,FALSE)</f>
        <v>0</v>
      </c>
      <c r="BM49" s="386">
        <f>VLOOKUP(C49,Theory!B52:BD123,55,FALSE)</f>
        <v>0</v>
      </c>
      <c r="BN49" s="386">
        <f>VLOOKUP(C49,Theory!B52:BE123,56,FALSE)</f>
        <v>0</v>
      </c>
      <c r="BO49" s="386">
        <f>VLOOKUP(C49,Theory!B52:BF123,57,FALSE)</f>
        <v>0</v>
      </c>
      <c r="BP49" s="386">
        <f>VLOOKUP(C49,Theory!B52:BG123,58,FALSE)</f>
        <v>0</v>
      </c>
      <c r="BQ49" s="369">
        <f t="shared" si="14"/>
        <v>8</v>
      </c>
      <c r="BR49" s="386">
        <f>VLOOKUP(C49,Theory!B52:BH123,59,FALSE)</f>
        <v>5</v>
      </c>
      <c r="BS49" s="386">
        <f>VLOOKUP(C49,Theory!B52:BI123,60,FALSE)</f>
        <v>0</v>
      </c>
      <c r="BT49" s="386">
        <f>VLOOKUP(C49,Theory!B52:BJ123,61,FALSE)</f>
        <v>0</v>
      </c>
      <c r="BU49" s="386">
        <f>VLOOKUP(C49,Theory!B52:BK123,62,FALSE)</f>
        <v>0</v>
      </c>
      <c r="BV49" s="386">
        <f>VLOOKUP(C49,Theory!B52:BL123,63,FALSE)</f>
        <v>0</v>
      </c>
      <c r="BW49" s="386">
        <f>VLOOKUP(C49,Theory!B52:BM123,64,FALSE)</f>
        <v>0</v>
      </c>
      <c r="BX49" s="386">
        <f>VLOOKUP(C49,Theory!B52:BN123,65,FALSE)</f>
        <v>0</v>
      </c>
      <c r="BY49" s="386">
        <f>VLOOKUP(C49,Theory!B52:BO123,66,FALSE)</f>
        <v>0</v>
      </c>
      <c r="BZ49" s="369">
        <f t="shared" si="15"/>
        <v>5</v>
      </c>
      <c r="CA49" s="385">
        <f t="shared" si="1"/>
        <v>43</v>
      </c>
      <c r="CB49" s="386">
        <f>VLOOKUP(C49,Theory!B52:BP123,67,FALSE)</f>
        <v>6</v>
      </c>
      <c r="CC49" s="386">
        <f>VLOOKUP(C49,Theory!B52:BQ123,68,FALSE)</f>
        <v>0</v>
      </c>
      <c r="CD49" s="386">
        <f>VLOOKUP(C49,Theory!B52:BR123,69,FALSE)</f>
        <v>0</v>
      </c>
      <c r="CE49" s="386">
        <f>VLOOKUP(C49,Theory!B52:BS123,70,FALSE)</f>
        <v>0</v>
      </c>
      <c r="CF49" s="369">
        <f t="shared" si="16"/>
        <v>6</v>
      </c>
      <c r="CG49" s="399">
        <f>VLOOKUP(C49,Theory!B52:BT123,71,FALSE)</f>
        <v>7</v>
      </c>
      <c r="CH49" s="399">
        <f>VLOOKUP(C49,Theory!B52:BU123,72,FALSE)</f>
        <v>0</v>
      </c>
      <c r="CI49" s="399">
        <f>VLOOKUP(C49,Theory!B52:BV123,73,FALSE)</f>
        <v>0</v>
      </c>
      <c r="CJ49" s="399">
        <f>VLOOKUP(C49,Theory!B52:BW123,74,FALSE)</f>
        <v>0</v>
      </c>
      <c r="CK49" s="369">
        <f t="shared" si="17"/>
        <v>7</v>
      </c>
      <c r="CL49" s="386">
        <f>VLOOKUP(C49,Theory!B52:BX123,75,FALSE)</f>
        <v>0</v>
      </c>
      <c r="CM49" s="400">
        <f>VLOOKUP(C49,Theory!B52:BY123,76,FALSE)</f>
        <v>0</v>
      </c>
      <c r="CN49" s="400">
        <f>VLOOKUP(C49,Theory!B52:BZ123,77,FALSE)</f>
        <v>0</v>
      </c>
      <c r="CO49" s="400">
        <f>VLOOKUP(C49,Theory!B52:CA123,78,FALSE)</f>
        <v>0</v>
      </c>
      <c r="CP49" s="386">
        <f>VLOOKUP(C49,Theory!B52:CB123,79,FALSE)</f>
        <v>8</v>
      </c>
      <c r="CQ49" s="386">
        <f>VLOOKUP(C49,Theory!B52:CC123,80,FALSE)</f>
        <v>0</v>
      </c>
      <c r="CR49" s="386">
        <f>VLOOKUP(C49,Theory!B52:CD123,81,FALSE)</f>
        <v>0</v>
      </c>
      <c r="CS49" s="386">
        <f>VLOOKUP(C49,Theory!B52:CE123,82,FALSE)</f>
        <v>0</v>
      </c>
      <c r="CT49" s="369">
        <f t="shared" si="18"/>
        <v>8</v>
      </c>
      <c r="CU49" s="399">
        <f>VLOOKUP(C49,Theory!B52:CF123,83,FALSE)</f>
        <v>8</v>
      </c>
      <c r="CV49" s="400">
        <f>VLOOKUP(C49,Theory!B52:CG123,84,FALSE)</f>
        <v>0</v>
      </c>
      <c r="CW49" s="400">
        <f>VLOOKUP(C49,Theory!B52:CH123,85,FALSE)</f>
        <v>0</v>
      </c>
      <c r="CX49" s="400">
        <f>VLOOKUP(C49,Theory!B52:CI123,86,FALSE)</f>
        <v>0</v>
      </c>
      <c r="CY49" s="399">
        <f>VLOOKUP(C49,Theory!B52:CJ123,87,FALSE)</f>
        <v>0</v>
      </c>
      <c r="CZ49" s="399">
        <f>VLOOKUP(C49,Theory!B52:CK123,88,FALSE)</f>
        <v>0</v>
      </c>
      <c r="DA49" s="399">
        <f>VLOOKUP(C49,Theory!B52:CL123,89,FALSE)</f>
        <v>0</v>
      </c>
      <c r="DB49" s="399">
        <f>VLOOKUP(C49,Theory!B52:CM123,90,FALSE)</f>
        <v>0</v>
      </c>
      <c r="DC49" s="369">
        <f t="shared" si="19"/>
        <v>8</v>
      </c>
      <c r="DD49" s="386">
        <f>VLOOKUP(C49,Theory!B52:CN123,91,FALSE)</f>
        <v>8</v>
      </c>
      <c r="DE49" s="400">
        <f>VLOOKUP(C49,Theory!B52:CO123,92,FALSE)</f>
        <v>0</v>
      </c>
      <c r="DF49" s="400">
        <f>VLOOKUP(C49,Theory!B52:CP123,93,FALSE)</f>
        <v>0</v>
      </c>
      <c r="DG49" s="400">
        <f>VLOOKUP(C49,Theory!B52:CQ123,94,FALSE)</f>
        <v>0</v>
      </c>
      <c r="DH49" s="386">
        <f>VLOOKUP(C49,Theory!B52:CR123,95,FALSE)</f>
        <v>0</v>
      </c>
      <c r="DI49" s="386">
        <f>VLOOKUP(C49,Theory!B52:CS123,96,FALSE)</f>
        <v>0</v>
      </c>
      <c r="DJ49" s="386">
        <f>VLOOKUP(C49,Theory!B52:CT123,97,FALSE)</f>
        <v>0</v>
      </c>
      <c r="DK49" s="386">
        <f>VLOOKUP(C49,Theory!B52:CU123,98,FALSE)</f>
        <v>0</v>
      </c>
      <c r="DL49" s="369">
        <f t="shared" si="20"/>
        <v>8</v>
      </c>
      <c r="DM49" s="411">
        <f t="shared" si="2"/>
        <v>37</v>
      </c>
      <c r="DN49" s="413">
        <f t="shared" si="40"/>
        <v>40</v>
      </c>
      <c r="DO49" s="413">
        <f t="shared" si="41"/>
        <v>43</v>
      </c>
      <c r="DP49" s="413">
        <f t="shared" si="42"/>
        <v>37</v>
      </c>
      <c r="DQ49" s="418">
        <f t="shared" si="43"/>
        <v>24</v>
      </c>
      <c r="DR49" s="418">
        <f t="shared" si="44"/>
        <v>26</v>
      </c>
      <c r="DS49" s="418">
        <f t="shared" si="45"/>
        <v>22</v>
      </c>
      <c r="DT49" s="417">
        <f t="shared" si="36"/>
        <v>24</v>
      </c>
      <c r="DU49" s="423">
        <f>VLOOKUP(C49,Theory!B52:CV123,99,FALSE)</f>
        <v>8</v>
      </c>
      <c r="DV49" s="423">
        <f>VLOOKUP(C49,Theory!B52:CW123,100,FALSE)</f>
        <v>10</v>
      </c>
      <c r="DW49" s="424">
        <f t="shared" si="27"/>
        <v>18</v>
      </c>
      <c r="DX49" s="421">
        <f t="shared" si="3"/>
        <v>42</v>
      </c>
      <c r="DY49" s="430">
        <f t="shared" si="4"/>
        <v>25</v>
      </c>
      <c r="DZ49" s="431">
        <f>VLOOKUP(C49,Lab!B44:D113,3,FALSE)</f>
        <v>0</v>
      </c>
      <c r="EA49" s="432">
        <f>VLOOKUP(C49,Lab!B44:E113,4,FALSE)</f>
        <v>0</v>
      </c>
      <c r="EB49" s="432">
        <f>VLOOKUP(C49,Lab!B44:F113,5,FALSE)</f>
        <v>28</v>
      </c>
      <c r="EC49" s="422">
        <f t="shared" si="37"/>
        <v>28</v>
      </c>
      <c r="ED49" s="436">
        <f>VLOOKUP(C49,Lab!B44:G113,6,FALSE)</f>
        <v>0</v>
      </c>
      <c r="EE49" s="436">
        <f>VLOOKUP(C49,Lab!B44:H113,7,FALSE)</f>
        <v>0</v>
      </c>
      <c r="EF49" s="437">
        <f>VLOOKUP(C49,Lab!B44:I113,8,FALSE)</f>
        <v>19</v>
      </c>
      <c r="EG49" s="443">
        <f t="shared" si="38"/>
        <v>19</v>
      </c>
      <c r="EH49" s="444">
        <f t="shared" si="28"/>
        <v>47</v>
      </c>
      <c r="EI49" s="445">
        <f t="shared" si="29"/>
        <v>19</v>
      </c>
      <c r="EJ49" s="446">
        <f t="shared" si="5"/>
        <v>44</v>
      </c>
      <c r="EK49" s="449">
        <v>32.5</v>
      </c>
      <c r="EM49" s="450">
        <f>VLOOKUP(C49,Theory!B52:DK123,114,FALSE)</f>
        <v>0</v>
      </c>
      <c r="EN49" s="450">
        <f>VLOOKUP(C49,Theory!B52:DL123,115,FALSE)</f>
        <v>0</v>
      </c>
      <c r="EO49" s="450">
        <f>VLOOKUP(C49,Theory!B52:DM123,116,FALSE)</f>
        <v>0</v>
      </c>
      <c r="EP49" s="450">
        <f>VLOOKUP(C49,Theory!B52:DN121,117,FALSE)</f>
        <v>0</v>
      </c>
      <c r="EQ49" s="450">
        <f>VLOOKUP(C49,Theory!B52:DO121,118,FALSE)</f>
        <v>0</v>
      </c>
      <c r="ER49" s="451">
        <f>VLOOKUP(C49,Theory!B52:DP121,119,FALSE)</f>
        <v>0</v>
      </c>
      <c r="ES49" s="454">
        <f>VLOOKUP(C49,Theory!B52:DQ121,120,FALSE)</f>
        <v>0</v>
      </c>
      <c r="ET49" s="455">
        <f t="shared" si="39"/>
        <v>0</v>
      </c>
      <c r="EU49" s="456"/>
      <c r="EV49" s="456"/>
      <c r="EW49" s="456"/>
      <c r="EX49" s="456"/>
      <c r="EY49" s="456"/>
      <c r="EZ49" s="456"/>
      <c r="FA49" s="456"/>
      <c r="FB49" s="456"/>
      <c r="FC49" s="456"/>
      <c r="FD49" s="456"/>
    </row>
    <row r="50" ht="18.35" spans="1:160">
      <c r="A50" s="164">
        <v>37</v>
      </c>
      <c r="B50" s="289" t="str">
        <f>Theory!C53</f>
        <v>NEHA P N</v>
      </c>
      <c r="C50" s="360" t="str">
        <f>Theory!B53</f>
        <v>1DS23AI038</v>
      </c>
      <c r="D50" s="361">
        <f>VLOOKUP(C50,Theory!B53:D124,3,FALSE)</f>
        <v>9</v>
      </c>
      <c r="E50" s="361">
        <f>VLOOKUP(C50,Theory!B53:E124,4,FALSE)</f>
        <v>0</v>
      </c>
      <c r="F50" s="361">
        <f>VLOOKUP(C50,Theory!B53:F124,5,FALSE)</f>
        <v>0</v>
      </c>
      <c r="G50" s="361">
        <f>VLOOKUP(C50,Theory!B53:G124,6,FALSE)</f>
        <v>0</v>
      </c>
      <c r="H50" s="369">
        <f t="shared" si="6"/>
        <v>9</v>
      </c>
      <c r="I50" s="370">
        <f>VLOOKUP(C50,Theory!B53:H124,7,FALSE)</f>
        <v>7</v>
      </c>
      <c r="J50" s="371">
        <f>VLOOKUP(C50,Theory!B53:I124,8,FALSE)</f>
        <v>0</v>
      </c>
      <c r="K50" s="371">
        <f>VLOOKUP(C50,Theory!B53:J124,9,FALSE)</f>
        <v>0</v>
      </c>
      <c r="L50" s="371">
        <f>VLOOKUP(C50,Theory!B53:K124,10,FALSE)</f>
        <v>0</v>
      </c>
      <c r="M50" s="369">
        <f t="shared" si="7"/>
        <v>7</v>
      </c>
      <c r="N50" s="373">
        <f>VLOOKUP(C50,Theory!B53:L124,11,FALSE)</f>
        <v>9</v>
      </c>
      <c r="O50" s="373">
        <f>VLOOKUP(C50,Theory!B53:M124,12,FALSE)</f>
        <v>0</v>
      </c>
      <c r="P50" s="373">
        <f>VLOOKUP(C50,Theory!B53:N124,13,FALSE)</f>
        <v>0</v>
      </c>
      <c r="Q50" s="373">
        <f>VLOOKUP(C50,Theory!B53:O124,14,FALSE)</f>
        <v>0</v>
      </c>
      <c r="R50" s="371">
        <f>VLOOKUP(C50,Theory!B53:P124,15,FALSE)</f>
        <v>0</v>
      </c>
      <c r="S50" s="371">
        <f>VLOOKUP(C50,Theory!B53:Q124,16,FALSE)</f>
        <v>0</v>
      </c>
      <c r="T50" s="371">
        <f>VLOOKUP(C50,Theory!B53:R124,17,FALSE)</f>
        <v>0</v>
      </c>
      <c r="U50" s="371">
        <f>VLOOKUP(C50,Theory!B53:S124,18,FALSE)</f>
        <v>0</v>
      </c>
      <c r="V50" s="369">
        <f t="shared" si="8"/>
        <v>9</v>
      </c>
      <c r="W50" s="361">
        <f>VLOOKUP(C50,Theory!B53:T124,19,FALSE)</f>
        <v>0</v>
      </c>
      <c r="X50" s="361">
        <f>VLOOKUP(C50,Theory!B53:U124,20,FALSE)</f>
        <v>0</v>
      </c>
      <c r="Y50" s="361">
        <f>VLOOKUP(C50,Theory!B53:V124,21,FALSE)</f>
        <v>0</v>
      </c>
      <c r="Z50" s="361">
        <f>VLOOKUP(C50,Theory!B53:W124,22,FALSE)</f>
        <v>0</v>
      </c>
      <c r="AA50" s="370">
        <f>VLOOKUP(C50,Theory!B53:X124,23,FALSE)</f>
        <v>9</v>
      </c>
      <c r="AB50" s="370">
        <f>VLOOKUP(C50,Theory!B53:Y124,24,FALSE)</f>
        <v>0</v>
      </c>
      <c r="AC50" s="370">
        <f>VLOOKUP(C50,Theory!B53:Z124,25,FALSE)</f>
        <v>0</v>
      </c>
      <c r="AD50" s="370">
        <f>VLOOKUP(C50,Theory!B53:AA124,26,FALSE)</f>
        <v>0</v>
      </c>
      <c r="AE50" s="369">
        <f t="shared" si="9"/>
        <v>9</v>
      </c>
      <c r="AF50" s="361">
        <f>VLOOKUP(C50,Theory!B53:AB124,27,FALSE)</f>
        <v>0</v>
      </c>
      <c r="AG50" s="361">
        <f>VLOOKUP(C50,Theory!B53:AC124,28,FALSE)</f>
        <v>0</v>
      </c>
      <c r="AH50" s="361">
        <f>VLOOKUP(C50,Theory!B53:AD124,29,FALSE)</f>
        <v>0</v>
      </c>
      <c r="AI50" s="361">
        <f>VLOOKUP(C50,Theory!B53:AE124,30,FALSE)</f>
        <v>0</v>
      </c>
      <c r="AJ50" s="380">
        <f>VLOOKUP(C50,Theory!B53:AF124,31,FALSE)</f>
        <v>8</v>
      </c>
      <c r="AK50" s="380">
        <f>VLOOKUP(C50,Theory!B53:AG124,32,FALSE)</f>
        <v>0</v>
      </c>
      <c r="AL50" s="380">
        <f>VLOOKUP(C50,Theory!B53:AH124,33,FALSE)</f>
        <v>0</v>
      </c>
      <c r="AM50" s="380">
        <f>VLOOKUP(C50,Theory!B53:AI124,34,FALSE)</f>
        <v>0</v>
      </c>
      <c r="AN50" s="369">
        <f t="shared" si="10"/>
        <v>8</v>
      </c>
      <c r="AO50" s="385">
        <f t="shared" si="0"/>
        <v>42</v>
      </c>
      <c r="AP50" s="386">
        <f>VLOOKUP(C50,Theory!B53:AJ124,35,FALSE)</f>
        <v>7</v>
      </c>
      <c r="AQ50" s="386">
        <f>VLOOKUP(C50,Theory!B53:AK124,36,FALSE)</f>
        <v>0</v>
      </c>
      <c r="AR50" s="386">
        <f>VLOOKUP(C50,Theory!B53:AL124,37,FALSE)</f>
        <v>0</v>
      </c>
      <c r="AS50" s="386">
        <f>VLOOKUP(C50,Theory!B53:AM124,38,FALSE)</f>
        <v>0</v>
      </c>
      <c r="AT50" s="369">
        <f t="shared" si="11"/>
        <v>7</v>
      </c>
      <c r="AU50" s="386">
        <f>VLOOKUP(C50,Theory!B53:AN124,39,FALSE)</f>
        <v>6</v>
      </c>
      <c r="AV50" s="386">
        <f>VLOOKUP(C50,Theory!B53:AO124,40,FALSE)</f>
        <v>0</v>
      </c>
      <c r="AW50" s="386">
        <f>VLOOKUP(C50,Theory!B53:AP124,41,FALSE)</f>
        <v>0</v>
      </c>
      <c r="AX50" s="386">
        <f>VLOOKUP(C50,Theory!B53:AQ124,42,FALSE)</f>
        <v>0</v>
      </c>
      <c r="AY50" s="369">
        <f t="shared" si="12"/>
        <v>6</v>
      </c>
      <c r="AZ50" s="386">
        <f>VLOOKUP(C50,Theory!B53:AR124,43,FALSE)</f>
        <v>0</v>
      </c>
      <c r="BA50" s="386">
        <f>VLOOKUP(C50,Theory!B53:AS124,44,FALSE)</f>
        <v>0</v>
      </c>
      <c r="BB50" s="386">
        <f>VLOOKUP(C50,Theory!B53:AT124,45,FALSE)</f>
        <v>0</v>
      </c>
      <c r="BC50" s="386">
        <f>VLOOKUP(C50,Theory!B53:AU124,46,FALSE)</f>
        <v>0</v>
      </c>
      <c r="BD50" s="386">
        <f>VLOOKUP(C50,Theory!B53:AV124,47,FALSE)</f>
        <v>9</v>
      </c>
      <c r="BE50" s="386">
        <f>VLOOKUP(C50,Theory!B53:AW124,48,FALSE)</f>
        <v>0</v>
      </c>
      <c r="BF50" s="386">
        <f>VLOOKUP(C50,Theory!B53:AX124,49,FALSE)</f>
        <v>0</v>
      </c>
      <c r="BG50" s="386">
        <f>VLOOKUP(C50,Theory!B53:AY124,50,FALSE)</f>
        <v>0</v>
      </c>
      <c r="BH50" s="369">
        <f t="shared" si="13"/>
        <v>9</v>
      </c>
      <c r="BI50" s="386">
        <f>VLOOKUP(C50,Theory!B53:AZ124,51,FALSE)</f>
        <v>0</v>
      </c>
      <c r="BJ50" s="386">
        <f>VLOOKUP(C50,Theory!B53:BA124,52,FALSE)</f>
        <v>0</v>
      </c>
      <c r="BK50" s="386">
        <f>VLOOKUP(C50,Theory!B53:BB124,53,FALSE)</f>
        <v>0</v>
      </c>
      <c r="BL50" s="386">
        <f>VLOOKUP(C50,Theory!B53:BC124,54,FALSE)</f>
        <v>0</v>
      </c>
      <c r="BM50" s="386">
        <f>VLOOKUP(C50,Theory!B53:BD124,55,FALSE)</f>
        <v>6</v>
      </c>
      <c r="BN50" s="386">
        <f>VLOOKUP(C50,Theory!B53:BE124,56,FALSE)</f>
        <v>0</v>
      </c>
      <c r="BO50" s="386">
        <f>VLOOKUP(C50,Theory!B53:BF124,57,FALSE)</f>
        <v>0</v>
      </c>
      <c r="BP50" s="386">
        <f>VLOOKUP(C50,Theory!B53:BG124,58,FALSE)</f>
        <v>0</v>
      </c>
      <c r="BQ50" s="369">
        <f t="shared" si="14"/>
        <v>6</v>
      </c>
      <c r="BR50" s="386">
        <f>VLOOKUP(C50,Theory!B53:BH124,59,FALSE)</f>
        <v>6</v>
      </c>
      <c r="BS50" s="386">
        <f>VLOOKUP(C50,Theory!B53:BI124,60,FALSE)</f>
        <v>0</v>
      </c>
      <c r="BT50" s="386">
        <f>VLOOKUP(C50,Theory!B53:BJ124,61,FALSE)</f>
        <v>0</v>
      </c>
      <c r="BU50" s="386">
        <f>VLOOKUP(C50,Theory!B53:BK124,62,FALSE)</f>
        <v>0</v>
      </c>
      <c r="BV50" s="386">
        <f>VLOOKUP(C50,Theory!B53:BL124,63,FALSE)</f>
        <v>0</v>
      </c>
      <c r="BW50" s="386">
        <f>VLOOKUP(C50,Theory!B53:BM124,64,FALSE)</f>
        <v>0</v>
      </c>
      <c r="BX50" s="386">
        <f>VLOOKUP(C50,Theory!B53:BN124,65,FALSE)</f>
        <v>0</v>
      </c>
      <c r="BY50" s="386">
        <f>VLOOKUP(C50,Theory!B53:BO124,66,FALSE)</f>
        <v>0</v>
      </c>
      <c r="BZ50" s="369">
        <f t="shared" si="15"/>
        <v>6</v>
      </c>
      <c r="CA50" s="385">
        <f t="shared" si="1"/>
        <v>34</v>
      </c>
      <c r="CB50" s="386">
        <f>VLOOKUP(C50,Theory!B53:BP124,67,FALSE)</f>
        <v>8</v>
      </c>
      <c r="CC50" s="386">
        <f>VLOOKUP(C50,Theory!B53:BQ124,68,FALSE)</f>
        <v>0</v>
      </c>
      <c r="CD50" s="386">
        <f>VLOOKUP(C50,Theory!B53:BR124,69,FALSE)</f>
        <v>0</v>
      </c>
      <c r="CE50" s="386">
        <f>VLOOKUP(C50,Theory!B53:BS124,70,FALSE)</f>
        <v>0</v>
      </c>
      <c r="CF50" s="369">
        <f t="shared" si="16"/>
        <v>8</v>
      </c>
      <c r="CG50" s="399">
        <f>VLOOKUP(C50,Theory!B53:BT124,71,FALSE)</f>
        <v>9</v>
      </c>
      <c r="CH50" s="399">
        <f>VLOOKUP(C50,Theory!B53:BU124,72,FALSE)</f>
        <v>0</v>
      </c>
      <c r="CI50" s="399">
        <f>VLOOKUP(C50,Theory!B53:BV124,73,FALSE)</f>
        <v>0</v>
      </c>
      <c r="CJ50" s="399">
        <f>VLOOKUP(C50,Theory!B53:BW124,74,FALSE)</f>
        <v>0</v>
      </c>
      <c r="CK50" s="369">
        <f t="shared" si="17"/>
        <v>9</v>
      </c>
      <c r="CL50" s="386">
        <f>VLOOKUP(C50,Theory!B53:BX124,75,FALSE)</f>
        <v>0</v>
      </c>
      <c r="CM50" s="400">
        <f>VLOOKUP(C50,Theory!B53:BY124,76,FALSE)</f>
        <v>0</v>
      </c>
      <c r="CN50" s="400">
        <f>VLOOKUP(C50,Theory!B53:BZ124,77,FALSE)</f>
        <v>0</v>
      </c>
      <c r="CO50" s="400">
        <f>VLOOKUP(C50,Theory!B53:CA124,78,FALSE)</f>
        <v>0</v>
      </c>
      <c r="CP50" s="386">
        <f>VLOOKUP(C50,Theory!B53:CB124,79,FALSE)</f>
        <v>8</v>
      </c>
      <c r="CQ50" s="386">
        <f>VLOOKUP(C50,Theory!B53:CC124,80,FALSE)</f>
        <v>0</v>
      </c>
      <c r="CR50" s="386">
        <f>VLOOKUP(C50,Theory!B53:CD124,81,FALSE)</f>
        <v>0</v>
      </c>
      <c r="CS50" s="386">
        <f>VLOOKUP(C50,Theory!B53:CE124,82,FALSE)</f>
        <v>0</v>
      </c>
      <c r="CT50" s="369">
        <f t="shared" si="18"/>
        <v>8</v>
      </c>
      <c r="CU50" s="399">
        <f>VLOOKUP(C50,Theory!B53:CF124,83,FALSE)</f>
        <v>8</v>
      </c>
      <c r="CV50" s="400">
        <f>VLOOKUP(C50,Theory!B53:CG124,84,FALSE)</f>
        <v>0</v>
      </c>
      <c r="CW50" s="400">
        <f>VLOOKUP(C50,Theory!B53:CH124,85,FALSE)</f>
        <v>0</v>
      </c>
      <c r="CX50" s="400">
        <f>VLOOKUP(C50,Theory!B53:CI124,86,FALSE)</f>
        <v>0</v>
      </c>
      <c r="CY50" s="399">
        <f>VLOOKUP(C50,Theory!B53:CJ124,87,FALSE)</f>
        <v>0</v>
      </c>
      <c r="CZ50" s="399">
        <f>VLOOKUP(C50,Theory!B53:CK124,88,FALSE)</f>
        <v>0</v>
      </c>
      <c r="DA50" s="399">
        <f>VLOOKUP(C50,Theory!B53:CL124,89,FALSE)</f>
        <v>0</v>
      </c>
      <c r="DB50" s="399">
        <f>VLOOKUP(C50,Theory!B53:CM124,90,FALSE)</f>
        <v>0</v>
      </c>
      <c r="DC50" s="369">
        <f t="shared" si="19"/>
        <v>8</v>
      </c>
      <c r="DD50" s="386">
        <f>VLOOKUP(C50,Theory!B53:CN124,91,FALSE)</f>
        <v>0</v>
      </c>
      <c r="DE50" s="400">
        <f>VLOOKUP(C50,Theory!B53:CO124,92,FALSE)</f>
        <v>0</v>
      </c>
      <c r="DF50" s="400">
        <f>VLOOKUP(C50,Theory!B53:CP124,93,FALSE)</f>
        <v>0</v>
      </c>
      <c r="DG50" s="400">
        <f>VLOOKUP(C50,Theory!B53:CQ124,94,FALSE)</f>
        <v>0</v>
      </c>
      <c r="DH50" s="386">
        <f>VLOOKUP(C50,Theory!B53:CR124,95,FALSE)</f>
        <v>10</v>
      </c>
      <c r="DI50" s="386">
        <f>VLOOKUP(C50,Theory!B53:CS124,96,FALSE)</f>
        <v>0</v>
      </c>
      <c r="DJ50" s="386">
        <f>VLOOKUP(C50,Theory!B53:CT124,97,FALSE)</f>
        <v>0</v>
      </c>
      <c r="DK50" s="386">
        <f>VLOOKUP(C50,Theory!B53:CU124,98,FALSE)</f>
        <v>0</v>
      </c>
      <c r="DL50" s="369">
        <f t="shared" si="20"/>
        <v>10</v>
      </c>
      <c r="DM50" s="411">
        <f t="shared" si="2"/>
        <v>43</v>
      </c>
      <c r="DN50" s="413">
        <f t="shared" si="40"/>
        <v>42</v>
      </c>
      <c r="DO50" s="413">
        <f t="shared" si="41"/>
        <v>34</v>
      </c>
      <c r="DP50" s="413">
        <f t="shared" si="42"/>
        <v>43</v>
      </c>
      <c r="DQ50" s="418">
        <f t="shared" si="43"/>
        <v>25</v>
      </c>
      <c r="DR50" s="418">
        <f t="shared" si="44"/>
        <v>20</v>
      </c>
      <c r="DS50" s="418">
        <f t="shared" si="45"/>
        <v>26</v>
      </c>
      <c r="DT50" s="417">
        <f t="shared" si="36"/>
        <v>24</v>
      </c>
      <c r="DU50" s="423">
        <f>VLOOKUP(C50,Theory!B53:CV124,99,FALSE)</f>
        <v>8</v>
      </c>
      <c r="DV50" s="423">
        <f>VLOOKUP(C50,Theory!B53:CW124,100,FALSE)</f>
        <v>10</v>
      </c>
      <c r="DW50" s="424">
        <f t="shared" si="27"/>
        <v>18</v>
      </c>
      <c r="DX50" s="421">
        <f t="shared" si="3"/>
        <v>42</v>
      </c>
      <c r="DY50" s="430">
        <f t="shared" si="4"/>
        <v>25</v>
      </c>
      <c r="DZ50" s="431">
        <f>VLOOKUP(C50,Lab!B45:D114,3,FALSE)</f>
        <v>0</v>
      </c>
      <c r="EA50" s="432">
        <f>VLOOKUP(C50,Lab!B45:E114,4,FALSE)</f>
        <v>0</v>
      </c>
      <c r="EB50" s="432">
        <f>VLOOKUP(C50,Lab!B45:F114,5,FALSE)</f>
        <v>30</v>
      </c>
      <c r="EC50" s="422">
        <f t="shared" si="37"/>
        <v>30</v>
      </c>
      <c r="ED50" s="436">
        <f>VLOOKUP(C50,Lab!B45:G114,6,FALSE)</f>
        <v>0</v>
      </c>
      <c r="EE50" s="436">
        <f>VLOOKUP(C50,Lab!B45:H114,7,FALSE)</f>
        <v>0</v>
      </c>
      <c r="EF50" s="437">
        <f>VLOOKUP(C50,Lab!B45:I114,8,FALSE)</f>
        <v>20</v>
      </c>
      <c r="EG50" s="443">
        <f t="shared" si="38"/>
        <v>20</v>
      </c>
      <c r="EH50" s="444">
        <f t="shared" si="28"/>
        <v>50</v>
      </c>
      <c r="EI50" s="445">
        <f t="shared" si="29"/>
        <v>20</v>
      </c>
      <c r="EJ50" s="446">
        <f t="shared" si="5"/>
        <v>45</v>
      </c>
      <c r="EK50" s="449">
        <v>40</v>
      </c>
      <c r="EM50" s="450">
        <f>VLOOKUP(C50,Theory!B53:DK124,114,FALSE)</f>
        <v>0</v>
      </c>
      <c r="EN50" s="450">
        <f>VLOOKUP(C50,Theory!B53:DL124,115,FALSE)</f>
        <v>0</v>
      </c>
      <c r="EO50" s="450">
        <f>VLOOKUP(C50,Theory!B53:DM124,116,FALSE)</f>
        <v>0</v>
      </c>
      <c r="EP50" s="450">
        <f>VLOOKUP(C50,Theory!B53:DN122,117,FALSE)</f>
        <v>0</v>
      </c>
      <c r="EQ50" s="450">
        <f>VLOOKUP(C50,Theory!B53:DO122,118,FALSE)</f>
        <v>0</v>
      </c>
      <c r="ER50" s="451">
        <f>VLOOKUP(C50,Theory!B53:DP122,119,FALSE)</f>
        <v>0</v>
      </c>
      <c r="ES50" s="454">
        <f>VLOOKUP(C50,Theory!B53:DQ122,120,FALSE)</f>
        <v>0</v>
      </c>
      <c r="ET50" s="455">
        <f t="shared" si="39"/>
        <v>0</v>
      </c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</row>
    <row r="51" ht="18.35" spans="1:160">
      <c r="A51" s="164">
        <v>38</v>
      </c>
      <c r="B51" s="289" t="str">
        <f>Theory!C54</f>
        <v>NENAD MATADA</v>
      </c>
      <c r="C51" s="360" t="str">
        <f>Theory!B54</f>
        <v>1DS23AI039</v>
      </c>
      <c r="D51" s="361">
        <f>VLOOKUP(C51,Theory!B54:D125,3,FALSE)</f>
        <v>4</v>
      </c>
      <c r="E51" s="361">
        <f>VLOOKUP(C51,Theory!B54:E125,4,FALSE)</f>
        <v>0</v>
      </c>
      <c r="F51" s="361">
        <f>VLOOKUP(C51,Theory!B54:F125,5,FALSE)</f>
        <v>0</v>
      </c>
      <c r="G51" s="361">
        <f>VLOOKUP(C51,Theory!B54:G125,6,FALSE)</f>
        <v>0</v>
      </c>
      <c r="H51" s="369">
        <f t="shared" si="6"/>
        <v>4</v>
      </c>
      <c r="I51" s="370">
        <f>VLOOKUP(C51,Theory!B54:H125,7,FALSE)</f>
        <v>7</v>
      </c>
      <c r="J51" s="371">
        <f>VLOOKUP(C51,Theory!B54:I125,8,FALSE)</f>
        <v>0</v>
      </c>
      <c r="K51" s="371">
        <f>VLOOKUP(C51,Theory!B54:J125,9,FALSE)</f>
        <v>0</v>
      </c>
      <c r="L51" s="371">
        <f>VLOOKUP(C51,Theory!B54:K125,10,FALSE)</f>
        <v>0</v>
      </c>
      <c r="M51" s="369">
        <f t="shared" si="7"/>
        <v>7</v>
      </c>
      <c r="N51" s="373">
        <f>VLOOKUP(C51,Theory!B54:L125,11,FALSE)</f>
        <v>4</v>
      </c>
      <c r="O51" s="373">
        <f>VLOOKUP(C51,Theory!B54:M125,12,FALSE)</f>
        <v>0</v>
      </c>
      <c r="P51" s="373">
        <f>VLOOKUP(C51,Theory!B54:N125,13,FALSE)</f>
        <v>0</v>
      </c>
      <c r="Q51" s="373">
        <f>VLOOKUP(C51,Theory!B54:O125,14,FALSE)</f>
        <v>0</v>
      </c>
      <c r="R51" s="371">
        <f>VLOOKUP(C51,Theory!B54:P125,15,FALSE)</f>
        <v>0</v>
      </c>
      <c r="S51" s="371">
        <f>VLOOKUP(C51,Theory!B54:Q125,16,FALSE)</f>
        <v>0</v>
      </c>
      <c r="T51" s="371">
        <f>VLOOKUP(C51,Theory!B54:R125,17,FALSE)</f>
        <v>0</v>
      </c>
      <c r="U51" s="371">
        <f>VLOOKUP(C51,Theory!B54:S125,18,FALSE)</f>
        <v>0</v>
      </c>
      <c r="V51" s="369">
        <f t="shared" si="8"/>
        <v>4</v>
      </c>
      <c r="W51" s="361">
        <f>VLOOKUP(C51,Theory!B54:T125,19,FALSE)</f>
        <v>8</v>
      </c>
      <c r="X51" s="361">
        <f>VLOOKUP(C51,Theory!B54:U125,20,FALSE)</f>
        <v>0</v>
      </c>
      <c r="Y51" s="361">
        <f>VLOOKUP(C51,Theory!B54:V125,21,FALSE)</f>
        <v>0</v>
      </c>
      <c r="Z51" s="361">
        <f>VLOOKUP(C51,Theory!B54:W125,22,FALSE)</f>
        <v>0</v>
      </c>
      <c r="AA51" s="370">
        <f>VLOOKUP(C51,Theory!B54:X125,23,FALSE)</f>
        <v>0</v>
      </c>
      <c r="AB51" s="370">
        <f>VLOOKUP(C51,Theory!B54:Y125,24,FALSE)</f>
        <v>0</v>
      </c>
      <c r="AC51" s="370">
        <f>VLOOKUP(C51,Theory!B54:Z125,25,FALSE)</f>
        <v>0</v>
      </c>
      <c r="AD51" s="370">
        <f>VLOOKUP(C51,Theory!B54:AA125,26,FALSE)</f>
        <v>0</v>
      </c>
      <c r="AE51" s="369">
        <f t="shared" si="9"/>
        <v>8</v>
      </c>
      <c r="AF51" s="361">
        <f>VLOOKUP(C51,Theory!B54:AB125,27,FALSE)</f>
        <v>0</v>
      </c>
      <c r="AG51" s="361">
        <f>VLOOKUP(C51,Theory!B54:AC125,28,FALSE)</f>
        <v>0</v>
      </c>
      <c r="AH51" s="361">
        <f>VLOOKUP(C51,Theory!B54:AD125,29,FALSE)</f>
        <v>0</v>
      </c>
      <c r="AI51" s="361">
        <f>VLOOKUP(C51,Theory!B54:AE125,30,FALSE)</f>
        <v>0</v>
      </c>
      <c r="AJ51" s="380">
        <f>VLOOKUP(C51,Theory!B54:AF125,31,FALSE)</f>
        <v>3</v>
      </c>
      <c r="AK51" s="380">
        <f>VLOOKUP(C51,Theory!B54:AG125,32,FALSE)</f>
        <v>0</v>
      </c>
      <c r="AL51" s="380">
        <f>VLOOKUP(C51,Theory!B54:AH125,33,FALSE)</f>
        <v>0</v>
      </c>
      <c r="AM51" s="380">
        <f>VLOOKUP(C51,Theory!B54:AI125,34,FALSE)</f>
        <v>0</v>
      </c>
      <c r="AN51" s="369">
        <f t="shared" si="10"/>
        <v>3</v>
      </c>
      <c r="AO51" s="385">
        <f t="shared" si="0"/>
        <v>26</v>
      </c>
      <c r="AP51" s="386">
        <f>VLOOKUP(C51,Theory!B54:AJ125,35,FALSE)</f>
        <v>6</v>
      </c>
      <c r="AQ51" s="386">
        <f>VLOOKUP(C51,Theory!B54:AK125,36,FALSE)</f>
        <v>0</v>
      </c>
      <c r="AR51" s="386">
        <f>VLOOKUP(C51,Theory!B54:AL125,37,FALSE)</f>
        <v>0</v>
      </c>
      <c r="AS51" s="386">
        <f>VLOOKUP(C51,Theory!B54:AM125,38,FALSE)</f>
        <v>0</v>
      </c>
      <c r="AT51" s="369">
        <f t="shared" si="11"/>
        <v>6</v>
      </c>
      <c r="AU51" s="386">
        <f>VLOOKUP(C51,Theory!B54:AN125,39,FALSE)</f>
        <v>6</v>
      </c>
      <c r="AV51" s="386">
        <f>VLOOKUP(C51,Theory!B54:AO125,40,FALSE)</f>
        <v>0</v>
      </c>
      <c r="AW51" s="386">
        <f>VLOOKUP(C51,Theory!B54:AP125,41,FALSE)</f>
        <v>0</v>
      </c>
      <c r="AX51" s="386">
        <f>VLOOKUP(C51,Theory!B54:AQ125,42,FALSE)</f>
        <v>0</v>
      </c>
      <c r="AY51" s="369">
        <f t="shared" si="12"/>
        <v>6</v>
      </c>
      <c r="AZ51" s="386">
        <f>VLOOKUP(C51,Theory!B54:AR125,43,FALSE)</f>
        <v>8</v>
      </c>
      <c r="BA51" s="386">
        <f>VLOOKUP(C51,Theory!B54:AS125,44,FALSE)</f>
        <v>0</v>
      </c>
      <c r="BB51" s="386">
        <f>VLOOKUP(C51,Theory!B54:AT125,45,FALSE)</f>
        <v>0</v>
      </c>
      <c r="BC51" s="386">
        <f>VLOOKUP(C51,Theory!B54:AU125,46,FALSE)</f>
        <v>0</v>
      </c>
      <c r="BD51" s="386">
        <f>VLOOKUP(C51,Theory!B54:AV125,47,FALSE)</f>
        <v>0</v>
      </c>
      <c r="BE51" s="386">
        <f>VLOOKUP(C51,Theory!B54:AW125,48,FALSE)</f>
        <v>0</v>
      </c>
      <c r="BF51" s="386">
        <f>VLOOKUP(C51,Theory!B54:AX125,49,FALSE)</f>
        <v>0</v>
      </c>
      <c r="BG51" s="386">
        <f>VLOOKUP(C51,Theory!B54:AY125,50,FALSE)</f>
        <v>0</v>
      </c>
      <c r="BH51" s="369">
        <f t="shared" si="13"/>
        <v>8</v>
      </c>
      <c r="BI51" s="386">
        <f>VLOOKUP(C51,Theory!B54:AZ125,51,FALSE)</f>
        <v>0</v>
      </c>
      <c r="BJ51" s="386">
        <f>VLOOKUP(C51,Theory!B54:BA125,52,FALSE)</f>
        <v>0</v>
      </c>
      <c r="BK51" s="386">
        <f>VLOOKUP(C51,Theory!B54:BB125,53,FALSE)</f>
        <v>0</v>
      </c>
      <c r="BL51" s="386">
        <f>VLOOKUP(C51,Theory!B54:BC125,54,FALSE)</f>
        <v>0</v>
      </c>
      <c r="BM51" s="386">
        <f>VLOOKUP(C51,Theory!B54:BD125,55,FALSE)</f>
        <v>6</v>
      </c>
      <c r="BN51" s="386">
        <f>VLOOKUP(C51,Theory!B54:BE125,56,FALSE)</f>
        <v>0</v>
      </c>
      <c r="BO51" s="386">
        <f>VLOOKUP(C51,Theory!B54:BF125,57,FALSE)</f>
        <v>0</v>
      </c>
      <c r="BP51" s="386">
        <f>VLOOKUP(C51,Theory!B54:BG125,58,FALSE)</f>
        <v>0</v>
      </c>
      <c r="BQ51" s="369">
        <f t="shared" si="14"/>
        <v>6</v>
      </c>
      <c r="BR51" s="386">
        <f>VLOOKUP(C51,Theory!B54:BH125,59,FALSE)</f>
        <v>8</v>
      </c>
      <c r="BS51" s="386">
        <f>VLOOKUP(C51,Theory!B54:BI125,60,FALSE)</f>
        <v>0</v>
      </c>
      <c r="BT51" s="386">
        <f>VLOOKUP(C51,Theory!B54:BJ125,61,FALSE)</f>
        <v>0</v>
      </c>
      <c r="BU51" s="386">
        <f>VLOOKUP(C51,Theory!B54:BK125,62,FALSE)</f>
        <v>0</v>
      </c>
      <c r="BV51" s="386">
        <f>VLOOKUP(C51,Theory!B54:BL125,63,FALSE)</f>
        <v>0</v>
      </c>
      <c r="BW51" s="386">
        <f>VLOOKUP(C51,Theory!B54:BM125,64,FALSE)</f>
        <v>0</v>
      </c>
      <c r="BX51" s="386">
        <f>VLOOKUP(C51,Theory!B54:BN125,65,FALSE)</f>
        <v>0</v>
      </c>
      <c r="BY51" s="386">
        <f>VLOOKUP(C51,Theory!B54:BO125,66,FALSE)</f>
        <v>0</v>
      </c>
      <c r="BZ51" s="369">
        <f t="shared" si="15"/>
        <v>8</v>
      </c>
      <c r="CA51" s="385">
        <f t="shared" si="1"/>
        <v>34</v>
      </c>
      <c r="CB51" s="386">
        <f>VLOOKUP(C51,Theory!B54:BP125,67,FALSE)</f>
        <v>8</v>
      </c>
      <c r="CC51" s="386">
        <f>VLOOKUP(C51,Theory!B54:BQ125,68,FALSE)</f>
        <v>0</v>
      </c>
      <c r="CD51" s="386">
        <f>VLOOKUP(C51,Theory!B54:BR125,69,FALSE)</f>
        <v>0</v>
      </c>
      <c r="CE51" s="386">
        <f>VLOOKUP(C51,Theory!B54:BS125,70,FALSE)</f>
        <v>0</v>
      </c>
      <c r="CF51" s="369">
        <f t="shared" si="16"/>
        <v>8</v>
      </c>
      <c r="CG51" s="399">
        <f>VLOOKUP(C51,Theory!B54:BT125,71,FALSE)</f>
        <v>6</v>
      </c>
      <c r="CH51" s="399">
        <f>VLOOKUP(C51,Theory!B54:BU125,72,FALSE)</f>
        <v>0</v>
      </c>
      <c r="CI51" s="399">
        <f>VLOOKUP(C51,Theory!B54:BV125,73,FALSE)</f>
        <v>0</v>
      </c>
      <c r="CJ51" s="399">
        <f>VLOOKUP(C51,Theory!B54:BW125,74,FALSE)</f>
        <v>0</v>
      </c>
      <c r="CK51" s="369">
        <f t="shared" si="17"/>
        <v>6</v>
      </c>
      <c r="CL51" s="386">
        <f>VLOOKUP(C51,Theory!B54:BX125,75,FALSE)</f>
        <v>0</v>
      </c>
      <c r="CM51" s="400">
        <f>VLOOKUP(C51,Theory!B54:BY125,76,FALSE)</f>
        <v>0</v>
      </c>
      <c r="CN51" s="400">
        <f>VLOOKUP(C51,Theory!B54:BZ125,77,FALSE)</f>
        <v>0</v>
      </c>
      <c r="CO51" s="400">
        <f>VLOOKUP(C51,Theory!B54:CA125,78,FALSE)</f>
        <v>0</v>
      </c>
      <c r="CP51" s="386">
        <f>VLOOKUP(C51,Theory!B54:CB125,79,FALSE)</f>
        <v>7</v>
      </c>
      <c r="CQ51" s="386">
        <f>VLOOKUP(C51,Theory!B54:CC125,80,FALSE)</f>
        <v>0</v>
      </c>
      <c r="CR51" s="386">
        <f>VLOOKUP(C51,Theory!B54:CD125,81,FALSE)</f>
        <v>0</v>
      </c>
      <c r="CS51" s="386">
        <f>VLOOKUP(C51,Theory!B54:CE125,82,FALSE)</f>
        <v>0</v>
      </c>
      <c r="CT51" s="369">
        <f t="shared" si="18"/>
        <v>7</v>
      </c>
      <c r="CU51" s="399">
        <f>VLOOKUP(C51,Theory!B54:CF125,83,FALSE)</f>
        <v>8</v>
      </c>
      <c r="CV51" s="400">
        <f>VLOOKUP(C51,Theory!B54:CG125,84,FALSE)</f>
        <v>0</v>
      </c>
      <c r="CW51" s="400">
        <f>VLOOKUP(C51,Theory!B54:CH125,85,FALSE)</f>
        <v>0</v>
      </c>
      <c r="CX51" s="400">
        <f>VLOOKUP(C51,Theory!B54:CI125,86,FALSE)</f>
        <v>0</v>
      </c>
      <c r="CY51" s="399">
        <f>VLOOKUP(C51,Theory!B54:CJ125,87,FALSE)</f>
        <v>0</v>
      </c>
      <c r="CZ51" s="399">
        <f>VLOOKUP(C51,Theory!B54:CK125,88,FALSE)</f>
        <v>0</v>
      </c>
      <c r="DA51" s="399">
        <f>VLOOKUP(C51,Theory!B54:CL125,89,FALSE)</f>
        <v>0</v>
      </c>
      <c r="DB51" s="399">
        <f>VLOOKUP(C51,Theory!B54:CM125,90,FALSE)</f>
        <v>0</v>
      </c>
      <c r="DC51" s="369">
        <f t="shared" si="19"/>
        <v>8</v>
      </c>
      <c r="DD51" s="386">
        <f>VLOOKUP(C51,Theory!B54:CN125,91,FALSE)</f>
        <v>0</v>
      </c>
      <c r="DE51" s="400">
        <f>VLOOKUP(C51,Theory!B54:CO125,92,FALSE)</f>
        <v>0</v>
      </c>
      <c r="DF51" s="400">
        <f>VLOOKUP(C51,Theory!B54:CP125,93,FALSE)</f>
        <v>0</v>
      </c>
      <c r="DG51" s="400">
        <f>VLOOKUP(C51,Theory!B54:CQ125,94,FALSE)</f>
        <v>0</v>
      </c>
      <c r="DH51" s="386">
        <f>VLOOKUP(C51,Theory!B54:CR125,95,FALSE)</f>
        <v>8</v>
      </c>
      <c r="DI51" s="386">
        <f>VLOOKUP(C51,Theory!B54:CS125,96,FALSE)</f>
        <v>0</v>
      </c>
      <c r="DJ51" s="386">
        <f>VLOOKUP(C51,Theory!B54:CT125,97,FALSE)</f>
        <v>0</v>
      </c>
      <c r="DK51" s="386">
        <f>VLOOKUP(C51,Theory!B54:CU125,98,FALSE)</f>
        <v>0</v>
      </c>
      <c r="DL51" s="369">
        <f t="shared" si="20"/>
        <v>8</v>
      </c>
      <c r="DM51" s="411">
        <f t="shared" si="2"/>
        <v>37</v>
      </c>
      <c r="DN51" s="413">
        <f t="shared" si="40"/>
        <v>26</v>
      </c>
      <c r="DO51" s="413">
        <f t="shared" si="41"/>
        <v>34</v>
      </c>
      <c r="DP51" s="413">
        <f t="shared" si="42"/>
        <v>37</v>
      </c>
      <c r="DQ51" s="418">
        <f t="shared" si="43"/>
        <v>16</v>
      </c>
      <c r="DR51" s="418">
        <f t="shared" si="44"/>
        <v>20</v>
      </c>
      <c r="DS51" s="418">
        <f t="shared" si="45"/>
        <v>22</v>
      </c>
      <c r="DT51" s="417">
        <f t="shared" si="36"/>
        <v>19</v>
      </c>
      <c r="DU51" s="423">
        <f>VLOOKUP(C51,Theory!B54:CV125,99,FALSE)</f>
        <v>8</v>
      </c>
      <c r="DV51" s="423">
        <f>VLOOKUP(C51,Theory!B54:CW125,100,FALSE)</f>
        <v>10</v>
      </c>
      <c r="DW51" s="424">
        <f t="shared" si="27"/>
        <v>18</v>
      </c>
      <c r="DX51" s="421">
        <f t="shared" si="3"/>
        <v>37</v>
      </c>
      <c r="DY51" s="430">
        <f t="shared" si="4"/>
        <v>22</v>
      </c>
      <c r="DZ51" s="431">
        <f>VLOOKUP(C51,Lab!B46:D115,3,FALSE)</f>
        <v>0</v>
      </c>
      <c r="EA51" s="432">
        <f>VLOOKUP(C51,Lab!B46:E115,4,FALSE)</f>
        <v>0</v>
      </c>
      <c r="EB51" s="432">
        <f>VLOOKUP(C51,Lab!B46:F115,5,FALSE)</f>
        <v>27</v>
      </c>
      <c r="EC51" s="422">
        <f t="shared" si="37"/>
        <v>27</v>
      </c>
      <c r="ED51" s="436">
        <f>VLOOKUP(C51,Lab!B46:G115,6,FALSE)</f>
        <v>0</v>
      </c>
      <c r="EE51" s="436">
        <f>VLOOKUP(C51,Lab!B46:H115,7,FALSE)</f>
        <v>0</v>
      </c>
      <c r="EF51" s="437">
        <v>16</v>
      </c>
      <c r="EG51" s="443">
        <f t="shared" si="38"/>
        <v>16</v>
      </c>
      <c r="EH51" s="444">
        <f t="shared" si="28"/>
        <v>43</v>
      </c>
      <c r="EI51" s="445">
        <f t="shared" si="29"/>
        <v>17</v>
      </c>
      <c r="EJ51" s="446">
        <f t="shared" si="5"/>
        <v>39</v>
      </c>
      <c r="EK51" s="449">
        <v>29.5</v>
      </c>
      <c r="EM51" s="450">
        <f>VLOOKUP(C51,Theory!B54:DK125,114,FALSE)</f>
        <v>0</v>
      </c>
      <c r="EN51" s="450">
        <f>VLOOKUP(C51,Theory!B54:DL125,115,FALSE)</f>
        <v>0</v>
      </c>
      <c r="EO51" s="450">
        <f>VLOOKUP(C51,Theory!B54:DM125,116,FALSE)</f>
        <v>0</v>
      </c>
      <c r="EP51" s="450">
        <f>VLOOKUP(C51,Theory!B54:DN123,117,FALSE)</f>
        <v>0</v>
      </c>
      <c r="EQ51" s="450">
        <f>VLOOKUP(C51,Theory!B54:DO123,118,FALSE)</f>
        <v>0</v>
      </c>
      <c r="ER51" s="451">
        <f>VLOOKUP(C51,Theory!B54:DP123,119,FALSE)</f>
        <v>0</v>
      </c>
      <c r="ES51" s="454">
        <f>VLOOKUP(C51,Theory!B54:DQ123,120,FALSE)</f>
        <v>0</v>
      </c>
      <c r="ET51" s="455">
        <f t="shared" si="39"/>
        <v>0</v>
      </c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</row>
    <row r="52" ht="18.35" spans="1:160">
      <c r="A52" s="164">
        <v>39</v>
      </c>
      <c r="B52" s="289" t="str">
        <f>Theory!C55</f>
        <v>NIHARIKA G</v>
      </c>
      <c r="C52" s="360" t="str">
        <f>Theory!B55</f>
        <v>1DS23AI040</v>
      </c>
      <c r="D52" s="361">
        <f>VLOOKUP(C52,Theory!B55:D126,3,FALSE)</f>
        <v>8</v>
      </c>
      <c r="E52" s="361">
        <f>VLOOKUP(C52,Theory!B55:E126,4,FALSE)</f>
        <v>0</v>
      </c>
      <c r="F52" s="361">
        <f>VLOOKUP(C52,Theory!B55:F126,5,FALSE)</f>
        <v>0</v>
      </c>
      <c r="G52" s="361">
        <f>VLOOKUP(C52,Theory!B55:G126,6,FALSE)</f>
        <v>0</v>
      </c>
      <c r="H52" s="369">
        <f t="shared" si="6"/>
        <v>8</v>
      </c>
      <c r="I52" s="370">
        <f>VLOOKUP(C52,Theory!B55:H126,7,FALSE)</f>
        <v>4</v>
      </c>
      <c r="J52" s="371">
        <f>VLOOKUP(C52,Theory!B55:I126,8,FALSE)</f>
        <v>0</v>
      </c>
      <c r="K52" s="371">
        <f>VLOOKUP(C52,Theory!B55:J126,9,FALSE)</f>
        <v>0</v>
      </c>
      <c r="L52" s="371">
        <f>VLOOKUP(C52,Theory!B55:K126,10,FALSE)</f>
        <v>0</v>
      </c>
      <c r="M52" s="369">
        <f t="shared" si="7"/>
        <v>4</v>
      </c>
      <c r="N52" s="373">
        <f>VLOOKUP(C52,Theory!B55:L126,11,FALSE)</f>
        <v>4</v>
      </c>
      <c r="O52" s="373">
        <f>VLOOKUP(C52,Theory!B55:M126,12,FALSE)</f>
        <v>0</v>
      </c>
      <c r="P52" s="373">
        <f>VLOOKUP(C52,Theory!B55:N126,13,FALSE)</f>
        <v>0</v>
      </c>
      <c r="Q52" s="373">
        <f>VLOOKUP(C52,Theory!B55:O126,14,FALSE)</f>
        <v>0</v>
      </c>
      <c r="R52" s="371">
        <f>VLOOKUP(C52,Theory!B55:P126,15,FALSE)</f>
        <v>0</v>
      </c>
      <c r="S52" s="371">
        <f>VLOOKUP(C52,Theory!B55:Q126,16,FALSE)</f>
        <v>0</v>
      </c>
      <c r="T52" s="371">
        <f>VLOOKUP(C52,Theory!B55:R126,17,FALSE)</f>
        <v>0</v>
      </c>
      <c r="U52" s="371">
        <f>VLOOKUP(C52,Theory!B55:S126,18,FALSE)</f>
        <v>0</v>
      </c>
      <c r="V52" s="369">
        <f t="shared" si="8"/>
        <v>4</v>
      </c>
      <c r="W52" s="361">
        <f>VLOOKUP(C52,Theory!B55:T126,19,FALSE)</f>
        <v>0</v>
      </c>
      <c r="X52" s="361">
        <f>VLOOKUP(C52,Theory!B55:U126,20,FALSE)</f>
        <v>0</v>
      </c>
      <c r="Y52" s="361">
        <f>VLOOKUP(C52,Theory!B55:V126,21,FALSE)</f>
        <v>0</v>
      </c>
      <c r="Z52" s="361">
        <f>VLOOKUP(C52,Theory!B55:W126,22,FALSE)</f>
        <v>0</v>
      </c>
      <c r="AA52" s="370">
        <f>VLOOKUP(C52,Theory!B55:X126,23,FALSE)</f>
        <v>0</v>
      </c>
      <c r="AB52" s="370">
        <f>VLOOKUP(C52,Theory!B55:Y126,24,FALSE)</f>
        <v>0</v>
      </c>
      <c r="AC52" s="370">
        <f>VLOOKUP(C52,Theory!B55:Z126,25,FALSE)</f>
        <v>0</v>
      </c>
      <c r="AD52" s="370">
        <f>VLOOKUP(C52,Theory!B55:AA126,26,FALSE)</f>
        <v>0</v>
      </c>
      <c r="AE52" s="369">
        <f t="shared" si="9"/>
        <v>0</v>
      </c>
      <c r="AF52" s="361">
        <f>VLOOKUP(C52,Theory!B55:AB126,27,FALSE)</f>
        <v>0</v>
      </c>
      <c r="AG52" s="361">
        <f>VLOOKUP(C52,Theory!B55:AC126,28,FALSE)</f>
        <v>0</v>
      </c>
      <c r="AH52" s="361">
        <f>VLOOKUP(C52,Theory!B55:AD126,29,FALSE)</f>
        <v>0</v>
      </c>
      <c r="AI52" s="361">
        <f>VLOOKUP(C52,Theory!B55:AE126,30,FALSE)</f>
        <v>0</v>
      </c>
      <c r="AJ52" s="380">
        <f>VLOOKUP(C52,Theory!B55:AF126,31,FALSE)</f>
        <v>3</v>
      </c>
      <c r="AK52" s="380">
        <f>VLOOKUP(C52,Theory!B55:AG126,32,FALSE)</f>
        <v>0</v>
      </c>
      <c r="AL52" s="380">
        <f>VLOOKUP(C52,Theory!B55:AH126,33,FALSE)</f>
        <v>0</v>
      </c>
      <c r="AM52" s="380">
        <f>VLOOKUP(C52,Theory!B55:AI126,34,FALSE)</f>
        <v>0</v>
      </c>
      <c r="AN52" s="369">
        <f t="shared" si="10"/>
        <v>3</v>
      </c>
      <c r="AO52" s="385">
        <f t="shared" si="0"/>
        <v>19</v>
      </c>
      <c r="AP52" s="386">
        <f>VLOOKUP(C52,Theory!B55:AJ126,35,FALSE)</f>
        <v>8</v>
      </c>
      <c r="AQ52" s="386">
        <f>VLOOKUP(C52,Theory!B55:AK126,36,FALSE)</f>
        <v>0</v>
      </c>
      <c r="AR52" s="386">
        <f>VLOOKUP(C52,Theory!B55:AL126,37,FALSE)</f>
        <v>0</v>
      </c>
      <c r="AS52" s="386">
        <f>VLOOKUP(C52,Theory!B55:AM126,38,FALSE)</f>
        <v>0</v>
      </c>
      <c r="AT52" s="369">
        <f t="shared" si="11"/>
        <v>8</v>
      </c>
      <c r="AU52" s="386">
        <f>VLOOKUP(C52,Theory!B55:AN126,39,FALSE)</f>
        <v>5</v>
      </c>
      <c r="AV52" s="386">
        <f>VLOOKUP(C52,Theory!B55:AO126,40,FALSE)</f>
        <v>0</v>
      </c>
      <c r="AW52" s="386">
        <f>VLOOKUP(C52,Theory!B55:AP126,41,FALSE)</f>
        <v>0</v>
      </c>
      <c r="AX52" s="386">
        <f>VLOOKUP(C52,Theory!B55:AQ126,42,FALSE)</f>
        <v>0</v>
      </c>
      <c r="AY52" s="369">
        <f t="shared" si="12"/>
        <v>5</v>
      </c>
      <c r="AZ52" s="386">
        <f>VLOOKUP(C52,Theory!B55:AR126,43,FALSE)</f>
        <v>0</v>
      </c>
      <c r="BA52" s="386">
        <f>VLOOKUP(C52,Theory!B55:AS126,44,FALSE)</f>
        <v>0</v>
      </c>
      <c r="BB52" s="386">
        <f>VLOOKUP(C52,Theory!B55:AT126,45,FALSE)</f>
        <v>0</v>
      </c>
      <c r="BC52" s="386">
        <f>VLOOKUP(C52,Theory!B55:AU126,46,FALSE)</f>
        <v>0</v>
      </c>
      <c r="BD52" s="386">
        <f>VLOOKUP(C52,Theory!B55:AV126,47,FALSE)</f>
        <v>6</v>
      </c>
      <c r="BE52" s="386">
        <f>VLOOKUP(C52,Theory!B55:AW126,48,FALSE)</f>
        <v>0</v>
      </c>
      <c r="BF52" s="386">
        <f>VLOOKUP(C52,Theory!B55:AX126,49,FALSE)</f>
        <v>0</v>
      </c>
      <c r="BG52" s="386">
        <f>VLOOKUP(C52,Theory!B55:AY126,50,FALSE)</f>
        <v>0</v>
      </c>
      <c r="BH52" s="369">
        <f t="shared" si="13"/>
        <v>6</v>
      </c>
      <c r="BI52" s="386">
        <f>VLOOKUP(C52,Theory!B55:AZ126,51,FALSE)</f>
        <v>0</v>
      </c>
      <c r="BJ52" s="386">
        <f>VLOOKUP(C52,Theory!B55:BA126,52,FALSE)</f>
        <v>0</v>
      </c>
      <c r="BK52" s="386">
        <f>VLOOKUP(C52,Theory!B55:BB126,53,FALSE)</f>
        <v>0</v>
      </c>
      <c r="BL52" s="386">
        <f>VLOOKUP(C52,Theory!B55:BC126,54,FALSE)</f>
        <v>0</v>
      </c>
      <c r="BM52" s="386">
        <f>VLOOKUP(C52,Theory!B55:BD126,55,FALSE)</f>
        <v>0</v>
      </c>
      <c r="BN52" s="386">
        <f>VLOOKUP(C52,Theory!B55:BE126,56,FALSE)</f>
        <v>0</v>
      </c>
      <c r="BO52" s="386">
        <f>VLOOKUP(C52,Theory!B55:BF126,57,FALSE)</f>
        <v>0</v>
      </c>
      <c r="BP52" s="386">
        <f>VLOOKUP(C52,Theory!B55:BG126,58,FALSE)</f>
        <v>0</v>
      </c>
      <c r="BQ52" s="369">
        <f t="shared" si="14"/>
        <v>0</v>
      </c>
      <c r="BR52" s="386">
        <f>VLOOKUP(C52,Theory!B55:BH126,59,FALSE)</f>
        <v>0</v>
      </c>
      <c r="BS52" s="386">
        <f>VLOOKUP(C52,Theory!B55:BI126,60,FALSE)</f>
        <v>0</v>
      </c>
      <c r="BT52" s="386">
        <f>VLOOKUP(C52,Theory!B55:BJ126,61,FALSE)</f>
        <v>0</v>
      </c>
      <c r="BU52" s="386">
        <f>VLOOKUP(C52,Theory!B55:BK126,62,FALSE)</f>
        <v>0</v>
      </c>
      <c r="BV52" s="386">
        <f>VLOOKUP(C52,Theory!B55:BL126,63,FALSE)</f>
        <v>0</v>
      </c>
      <c r="BW52" s="386">
        <f>VLOOKUP(C52,Theory!B55:BM126,64,FALSE)</f>
        <v>0</v>
      </c>
      <c r="BX52" s="386">
        <f>VLOOKUP(C52,Theory!B55:BN126,65,FALSE)</f>
        <v>0</v>
      </c>
      <c r="BY52" s="386">
        <f>VLOOKUP(C52,Theory!B55:BO126,66,FALSE)</f>
        <v>0</v>
      </c>
      <c r="BZ52" s="369">
        <f t="shared" si="15"/>
        <v>0</v>
      </c>
      <c r="CA52" s="385">
        <f t="shared" si="1"/>
        <v>19</v>
      </c>
      <c r="CB52" s="386">
        <f>VLOOKUP(C52,Theory!B55:BP126,67,FALSE)</f>
        <v>0</v>
      </c>
      <c r="CC52" s="386">
        <f>VLOOKUP(C52,Theory!B55:BQ126,68,FALSE)</f>
        <v>0</v>
      </c>
      <c r="CD52" s="386">
        <f>VLOOKUP(C52,Theory!B55:BR126,69,FALSE)</f>
        <v>0</v>
      </c>
      <c r="CE52" s="386">
        <f>VLOOKUP(C52,Theory!B55:BS126,70,FALSE)</f>
        <v>0</v>
      </c>
      <c r="CF52" s="369">
        <f t="shared" si="16"/>
        <v>0</v>
      </c>
      <c r="CG52" s="399">
        <f>VLOOKUP(C52,Theory!B55:BT126,71,FALSE)</f>
        <v>10</v>
      </c>
      <c r="CH52" s="399">
        <f>VLOOKUP(C52,Theory!B55:BU126,72,FALSE)</f>
        <v>0</v>
      </c>
      <c r="CI52" s="399">
        <f>VLOOKUP(C52,Theory!B55:BV126,73,FALSE)</f>
        <v>0</v>
      </c>
      <c r="CJ52" s="399">
        <f>VLOOKUP(C52,Theory!B55:BW126,74,FALSE)</f>
        <v>0</v>
      </c>
      <c r="CK52" s="369">
        <f t="shared" si="17"/>
        <v>10</v>
      </c>
      <c r="CL52" s="386">
        <f>VLOOKUP(C52,Theory!B55:BX126,75,FALSE)</f>
        <v>0</v>
      </c>
      <c r="CM52" s="400">
        <f>VLOOKUP(C52,Theory!B55:BY126,76,FALSE)</f>
        <v>0</v>
      </c>
      <c r="CN52" s="400">
        <f>VLOOKUP(C52,Theory!B55:BZ126,77,FALSE)</f>
        <v>0</v>
      </c>
      <c r="CO52" s="400">
        <f>VLOOKUP(C52,Theory!B55:CA126,78,FALSE)</f>
        <v>0</v>
      </c>
      <c r="CP52" s="386">
        <f>VLOOKUP(C52,Theory!B55:CB126,79,FALSE)</f>
        <v>0</v>
      </c>
      <c r="CQ52" s="386">
        <f>VLOOKUP(C52,Theory!B55:CC126,80,FALSE)</f>
        <v>0</v>
      </c>
      <c r="CR52" s="386">
        <f>VLOOKUP(C52,Theory!B55:CD126,81,FALSE)</f>
        <v>0</v>
      </c>
      <c r="CS52" s="386">
        <f>VLOOKUP(C52,Theory!B55:CE126,82,FALSE)</f>
        <v>0</v>
      </c>
      <c r="CT52" s="369">
        <f t="shared" si="18"/>
        <v>0</v>
      </c>
      <c r="CU52" s="399">
        <f>VLOOKUP(C52,Theory!B55:CF126,83,FALSE)</f>
        <v>7</v>
      </c>
      <c r="CV52" s="400">
        <f>VLOOKUP(C52,Theory!B55:CG126,84,FALSE)</f>
        <v>0</v>
      </c>
      <c r="CW52" s="400">
        <f>VLOOKUP(C52,Theory!B55:CH126,85,FALSE)</f>
        <v>0</v>
      </c>
      <c r="CX52" s="400">
        <f>VLOOKUP(C52,Theory!B55:CI126,86,FALSE)</f>
        <v>0</v>
      </c>
      <c r="CY52" s="399">
        <f>VLOOKUP(C52,Theory!B55:CJ126,87,FALSE)</f>
        <v>0</v>
      </c>
      <c r="CZ52" s="399">
        <f>VLOOKUP(C52,Theory!B55:CK126,88,FALSE)</f>
        <v>0</v>
      </c>
      <c r="DA52" s="399">
        <f>VLOOKUP(C52,Theory!B55:CL126,89,FALSE)</f>
        <v>0</v>
      </c>
      <c r="DB52" s="399">
        <f>VLOOKUP(C52,Theory!B55:CM126,90,FALSE)</f>
        <v>0</v>
      </c>
      <c r="DC52" s="369">
        <f t="shared" si="19"/>
        <v>7</v>
      </c>
      <c r="DD52" s="386">
        <f>VLOOKUP(C52,Theory!B55:CN126,91,FALSE)</f>
        <v>3</v>
      </c>
      <c r="DE52" s="400">
        <f>VLOOKUP(C52,Theory!B55:CO126,92,FALSE)</f>
        <v>0</v>
      </c>
      <c r="DF52" s="400">
        <f>VLOOKUP(C52,Theory!B55:CP126,93,FALSE)</f>
        <v>0</v>
      </c>
      <c r="DG52" s="400">
        <f>VLOOKUP(C52,Theory!B55:CQ126,94,FALSE)</f>
        <v>0</v>
      </c>
      <c r="DH52" s="386">
        <f>VLOOKUP(C52,Theory!B55:CR126,95,FALSE)</f>
        <v>0</v>
      </c>
      <c r="DI52" s="386">
        <f>VLOOKUP(C52,Theory!B55:CS126,96,FALSE)</f>
        <v>0</v>
      </c>
      <c r="DJ52" s="386">
        <f>VLOOKUP(C52,Theory!B55:CT126,97,FALSE)</f>
        <v>0</v>
      </c>
      <c r="DK52" s="386">
        <f>VLOOKUP(C52,Theory!B55:CU126,98,FALSE)</f>
        <v>0</v>
      </c>
      <c r="DL52" s="369">
        <f t="shared" si="20"/>
        <v>3</v>
      </c>
      <c r="DM52" s="411">
        <f t="shared" si="2"/>
        <v>20</v>
      </c>
      <c r="DN52" s="413">
        <f t="shared" si="40"/>
        <v>19</v>
      </c>
      <c r="DO52" s="413">
        <f t="shared" si="41"/>
        <v>19</v>
      </c>
      <c r="DP52" s="413">
        <f t="shared" si="42"/>
        <v>20</v>
      </c>
      <c r="DQ52" s="418">
        <f t="shared" si="43"/>
        <v>11</v>
      </c>
      <c r="DR52" s="418">
        <f t="shared" si="44"/>
        <v>11</v>
      </c>
      <c r="DS52" s="418">
        <f t="shared" si="45"/>
        <v>12</v>
      </c>
      <c r="DT52" s="417">
        <f t="shared" si="36"/>
        <v>11</v>
      </c>
      <c r="DU52" s="423">
        <f>VLOOKUP(C52,Theory!B55:CV126,99,FALSE)</f>
        <v>7</v>
      </c>
      <c r="DV52" s="423">
        <f>VLOOKUP(C52,Theory!B55:CW126,100,FALSE)</f>
        <v>10</v>
      </c>
      <c r="DW52" s="424">
        <f t="shared" si="27"/>
        <v>17</v>
      </c>
      <c r="DX52" s="421">
        <f t="shared" si="3"/>
        <v>28</v>
      </c>
      <c r="DY52" s="430">
        <f t="shared" si="4"/>
        <v>17</v>
      </c>
      <c r="DZ52" s="431">
        <f>VLOOKUP(C52,Lab!B47:D116,3,FALSE)</f>
        <v>0</v>
      </c>
      <c r="EA52" s="432">
        <f>VLOOKUP(C52,Lab!B47:E116,4,FALSE)</f>
        <v>0</v>
      </c>
      <c r="EB52" s="432">
        <f>VLOOKUP(C52,Lab!B47:F116,5,FALSE)</f>
        <v>25</v>
      </c>
      <c r="EC52" s="422">
        <f t="shared" si="37"/>
        <v>25</v>
      </c>
      <c r="ED52" s="436">
        <f>VLOOKUP(C52,Lab!B47:G116,6,FALSE)</f>
        <v>0</v>
      </c>
      <c r="EE52" s="436">
        <f>VLOOKUP(C52,Lab!B47:H116,7,FALSE)</f>
        <v>0</v>
      </c>
      <c r="EF52" s="437">
        <v>12</v>
      </c>
      <c r="EG52" s="443">
        <f t="shared" si="38"/>
        <v>12</v>
      </c>
      <c r="EH52" s="444">
        <f t="shared" si="28"/>
        <v>37</v>
      </c>
      <c r="EI52" s="445">
        <f t="shared" si="29"/>
        <v>15</v>
      </c>
      <c r="EJ52" s="446">
        <f t="shared" si="5"/>
        <v>32</v>
      </c>
      <c r="EK52" s="449">
        <v>16.5</v>
      </c>
      <c r="EM52" s="450">
        <f>VLOOKUP(C52,Theory!B55:DK126,114,FALSE)</f>
        <v>0</v>
      </c>
      <c r="EN52" s="450">
        <f>VLOOKUP(C52,Theory!B55:DL126,115,FALSE)</f>
        <v>0</v>
      </c>
      <c r="EO52" s="450">
        <f>VLOOKUP(C52,Theory!B55:DM126,116,FALSE)</f>
        <v>0</v>
      </c>
      <c r="EP52" s="450">
        <f>VLOOKUP(C52,Theory!B55:DN124,117,FALSE)</f>
        <v>0</v>
      </c>
      <c r="EQ52" s="450">
        <f>VLOOKUP(C52,Theory!B55:DO124,118,FALSE)</f>
        <v>0</v>
      </c>
      <c r="ER52" s="451">
        <f>VLOOKUP(C52,Theory!B55:DP124,119,FALSE)</f>
        <v>0</v>
      </c>
      <c r="ES52" s="454">
        <f>VLOOKUP(C52,Theory!B55:DQ124,120,FALSE)</f>
        <v>0</v>
      </c>
      <c r="ET52" s="455">
        <f t="shared" si="39"/>
        <v>0</v>
      </c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</row>
    <row r="53" ht="18.35" spans="1:160">
      <c r="A53" s="164">
        <v>40</v>
      </c>
      <c r="B53" s="289" t="str">
        <f>Theory!C56</f>
        <v>NISHA S</v>
      </c>
      <c r="C53" s="360" t="str">
        <f>Theory!B56</f>
        <v>1DS23AI041</v>
      </c>
      <c r="D53" s="361">
        <f>VLOOKUP(C53,Theory!B56:D127,3,FALSE)</f>
        <v>10</v>
      </c>
      <c r="E53" s="361">
        <f>VLOOKUP(C53,Theory!B56:E127,4,FALSE)</f>
        <v>0</v>
      </c>
      <c r="F53" s="361">
        <f>VLOOKUP(C53,Theory!B56:F127,5,FALSE)</f>
        <v>0</v>
      </c>
      <c r="G53" s="361">
        <f>VLOOKUP(C53,Theory!B56:G127,6,FALSE)</f>
        <v>0</v>
      </c>
      <c r="H53" s="369">
        <f t="shared" si="6"/>
        <v>10</v>
      </c>
      <c r="I53" s="370">
        <f>VLOOKUP(C53,Theory!B56:H127,7,FALSE)</f>
        <v>5</v>
      </c>
      <c r="J53" s="371">
        <f>VLOOKUP(C53,Theory!B56:I127,8,FALSE)</f>
        <v>0</v>
      </c>
      <c r="K53" s="371">
        <f>VLOOKUP(C53,Theory!B56:J127,9,FALSE)</f>
        <v>0</v>
      </c>
      <c r="L53" s="371">
        <f>VLOOKUP(C53,Theory!B56:K127,10,FALSE)</f>
        <v>0</v>
      </c>
      <c r="M53" s="369">
        <f t="shared" si="7"/>
        <v>5</v>
      </c>
      <c r="N53" s="373">
        <f>VLOOKUP(C53,Theory!B56:L127,11,FALSE)</f>
        <v>7</v>
      </c>
      <c r="O53" s="373">
        <f>VLOOKUP(C53,Theory!B56:M127,12,FALSE)</f>
        <v>0</v>
      </c>
      <c r="P53" s="373">
        <f>VLOOKUP(C53,Theory!B56:N127,13,FALSE)</f>
        <v>0</v>
      </c>
      <c r="Q53" s="373">
        <f>VLOOKUP(C53,Theory!B56:O127,14,FALSE)</f>
        <v>0</v>
      </c>
      <c r="R53" s="371">
        <f>VLOOKUP(C53,Theory!B56:P127,15,FALSE)</f>
        <v>0</v>
      </c>
      <c r="S53" s="371">
        <f>VLOOKUP(C53,Theory!B56:Q127,16,FALSE)</f>
        <v>0</v>
      </c>
      <c r="T53" s="371">
        <f>VLOOKUP(C53,Theory!B56:R127,17,FALSE)</f>
        <v>0</v>
      </c>
      <c r="U53" s="371">
        <f>VLOOKUP(C53,Theory!B56:S127,18,FALSE)</f>
        <v>0</v>
      </c>
      <c r="V53" s="369">
        <f t="shared" si="8"/>
        <v>7</v>
      </c>
      <c r="W53" s="361">
        <f>VLOOKUP(C53,Theory!B56:T127,19,FALSE)</f>
        <v>0</v>
      </c>
      <c r="X53" s="361">
        <f>VLOOKUP(C53,Theory!B56:U127,20,FALSE)</f>
        <v>0</v>
      </c>
      <c r="Y53" s="361">
        <f>VLOOKUP(C53,Theory!B56:V127,21,FALSE)</f>
        <v>0</v>
      </c>
      <c r="Z53" s="361">
        <f>VLOOKUP(C53,Theory!B56:W127,22,FALSE)</f>
        <v>0</v>
      </c>
      <c r="AA53" s="370">
        <f>VLOOKUP(C53,Theory!B56:X127,23,FALSE)</f>
        <v>8</v>
      </c>
      <c r="AB53" s="370">
        <f>VLOOKUP(C53,Theory!B56:Y127,24,FALSE)</f>
        <v>0</v>
      </c>
      <c r="AC53" s="370">
        <f>VLOOKUP(C53,Theory!B56:Z127,25,FALSE)</f>
        <v>0</v>
      </c>
      <c r="AD53" s="370">
        <f>VLOOKUP(C53,Theory!B56:AA127,26,FALSE)</f>
        <v>0</v>
      </c>
      <c r="AE53" s="369">
        <f t="shared" si="9"/>
        <v>8</v>
      </c>
      <c r="AF53" s="361">
        <f>VLOOKUP(C53,Theory!B56:AB127,27,FALSE)</f>
        <v>0</v>
      </c>
      <c r="AG53" s="361">
        <f>VLOOKUP(C53,Theory!B56:AC127,28,FALSE)</f>
        <v>0</v>
      </c>
      <c r="AH53" s="361">
        <f>VLOOKUP(C53,Theory!B56:AD127,29,FALSE)</f>
        <v>0</v>
      </c>
      <c r="AI53" s="361">
        <f>VLOOKUP(C53,Theory!B56:AE127,30,FALSE)</f>
        <v>0</v>
      </c>
      <c r="AJ53" s="380">
        <f>VLOOKUP(C53,Theory!B56:AF127,31,FALSE)</f>
        <v>8</v>
      </c>
      <c r="AK53" s="380">
        <f>VLOOKUP(C53,Theory!B56:AG127,32,FALSE)</f>
        <v>0</v>
      </c>
      <c r="AL53" s="380">
        <f>VLOOKUP(C53,Theory!B56:AH127,33,FALSE)</f>
        <v>0</v>
      </c>
      <c r="AM53" s="380">
        <f>VLOOKUP(C53,Theory!B56:AI127,34,FALSE)</f>
        <v>0</v>
      </c>
      <c r="AN53" s="369">
        <f t="shared" si="10"/>
        <v>8</v>
      </c>
      <c r="AO53" s="385">
        <f t="shared" si="0"/>
        <v>38</v>
      </c>
      <c r="AP53" s="386">
        <f>VLOOKUP(C53,Theory!B56:AJ127,35,FALSE)</f>
        <v>6</v>
      </c>
      <c r="AQ53" s="386">
        <f>VLOOKUP(C53,Theory!B56:AK127,36,FALSE)</f>
        <v>0</v>
      </c>
      <c r="AR53" s="386">
        <f>VLOOKUP(C53,Theory!B56:AL127,37,FALSE)</f>
        <v>0</v>
      </c>
      <c r="AS53" s="386">
        <f>VLOOKUP(C53,Theory!B56:AM127,38,FALSE)</f>
        <v>0</v>
      </c>
      <c r="AT53" s="369">
        <f t="shared" si="11"/>
        <v>6</v>
      </c>
      <c r="AU53" s="386">
        <f>VLOOKUP(C53,Theory!B56:AN127,39,FALSE)</f>
        <v>8</v>
      </c>
      <c r="AV53" s="386">
        <f>VLOOKUP(C53,Theory!B56:AO127,40,FALSE)</f>
        <v>0</v>
      </c>
      <c r="AW53" s="386">
        <f>VLOOKUP(C53,Theory!B56:AP127,41,FALSE)</f>
        <v>0</v>
      </c>
      <c r="AX53" s="386">
        <f>VLOOKUP(C53,Theory!B56:AQ127,42,FALSE)</f>
        <v>0</v>
      </c>
      <c r="AY53" s="369">
        <f t="shared" si="12"/>
        <v>8</v>
      </c>
      <c r="AZ53" s="386">
        <f>VLOOKUP(C53,Theory!B56:AR127,43,FALSE)</f>
        <v>0</v>
      </c>
      <c r="BA53" s="386">
        <f>VLOOKUP(C53,Theory!B56:AS127,44,FALSE)</f>
        <v>0</v>
      </c>
      <c r="BB53" s="386">
        <f>VLOOKUP(C53,Theory!B56:AT127,45,FALSE)</f>
        <v>0</v>
      </c>
      <c r="BC53" s="386">
        <f>VLOOKUP(C53,Theory!B56:AU127,46,FALSE)</f>
        <v>0</v>
      </c>
      <c r="BD53" s="386">
        <f>VLOOKUP(C53,Theory!B56:AV127,47,FALSE)</f>
        <v>10</v>
      </c>
      <c r="BE53" s="386">
        <f>VLOOKUP(C53,Theory!B56:AW127,48,FALSE)</f>
        <v>0</v>
      </c>
      <c r="BF53" s="386">
        <f>VLOOKUP(C53,Theory!B56:AX127,49,FALSE)</f>
        <v>0</v>
      </c>
      <c r="BG53" s="386">
        <f>VLOOKUP(C53,Theory!B56:AY127,50,FALSE)</f>
        <v>0</v>
      </c>
      <c r="BH53" s="369">
        <f t="shared" si="13"/>
        <v>10</v>
      </c>
      <c r="BI53" s="386">
        <f>VLOOKUP(C53,Theory!B56:AZ127,51,FALSE)</f>
        <v>5</v>
      </c>
      <c r="BJ53" s="386">
        <f>VLOOKUP(C53,Theory!B56:BA127,52,FALSE)</f>
        <v>0</v>
      </c>
      <c r="BK53" s="386">
        <f>VLOOKUP(C53,Theory!B56:BB127,53,FALSE)</f>
        <v>0</v>
      </c>
      <c r="BL53" s="386">
        <f>VLOOKUP(C53,Theory!B56:BC127,54,FALSE)</f>
        <v>0</v>
      </c>
      <c r="BM53" s="386">
        <f>VLOOKUP(C53,Theory!B56:BD127,55,FALSE)</f>
        <v>0</v>
      </c>
      <c r="BN53" s="386">
        <f>VLOOKUP(C53,Theory!B56:BE127,56,FALSE)</f>
        <v>0</v>
      </c>
      <c r="BO53" s="386">
        <f>VLOOKUP(C53,Theory!B56:BF127,57,FALSE)</f>
        <v>0</v>
      </c>
      <c r="BP53" s="386">
        <f>VLOOKUP(C53,Theory!B56:BG127,58,FALSE)</f>
        <v>0</v>
      </c>
      <c r="BQ53" s="369">
        <f t="shared" si="14"/>
        <v>5</v>
      </c>
      <c r="BR53" s="386">
        <f>VLOOKUP(C53,Theory!B56:BH127,59,FALSE)</f>
        <v>10</v>
      </c>
      <c r="BS53" s="386">
        <f>VLOOKUP(C53,Theory!B56:BI127,60,FALSE)</f>
        <v>0</v>
      </c>
      <c r="BT53" s="386">
        <f>VLOOKUP(C53,Theory!B56:BJ127,61,FALSE)</f>
        <v>0</v>
      </c>
      <c r="BU53" s="386">
        <f>VLOOKUP(C53,Theory!B56:BK127,62,FALSE)</f>
        <v>0</v>
      </c>
      <c r="BV53" s="386">
        <f>VLOOKUP(C53,Theory!B56:BL127,63,FALSE)</f>
        <v>0</v>
      </c>
      <c r="BW53" s="386">
        <f>VLOOKUP(C53,Theory!B56:BM127,64,FALSE)</f>
        <v>0</v>
      </c>
      <c r="BX53" s="386">
        <f>VLOOKUP(C53,Theory!B56:BN127,65,FALSE)</f>
        <v>0</v>
      </c>
      <c r="BY53" s="386">
        <f>VLOOKUP(C53,Theory!B56:BO127,66,FALSE)</f>
        <v>0</v>
      </c>
      <c r="BZ53" s="369">
        <f t="shared" si="15"/>
        <v>10</v>
      </c>
      <c r="CA53" s="385">
        <f t="shared" si="1"/>
        <v>39</v>
      </c>
      <c r="CB53" s="386">
        <f>VLOOKUP(C53,Theory!B56:BP127,67,FALSE)</f>
        <v>9</v>
      </c>
      <c r="CC53" s="386">
        <f>VLOOKUP(C53,Theory!B56:BQ127,68,FALSE)</f>
        <v>0</v>
      </c>
      <c r="CD53" s="386">
        <f>VLOOKUP(C53,Theory!B56:BR127,69,FALSE)</f>
        <v>0</v>
      </c>
      <c r="CE53" s="386">
        <f>VLOOKUP(C53,Theory!B56:BS127,70,FALSE)</f>
        <v>0</v>
      </c>
      <c r="CF53" s="369">
        <f t="shared" si="16"/>
        <v>9</v>
      </c>
      <c r="CG53" s="399">
        <f>VLOOKUP(C53,Theory!B56:BT127,71,FALSE)</f>
        <v>9</v>
      </c>
      <c r="CH53" s="399">
        <f>VLOOKUP(C53,Theory!B56:BU127,72,FALSE)</f>
        <v>0</v>
      </c>
      <c r="CI53" s="399">
        <f>VLOOKUP(C53,Theory!B56:BV127,73,FALSE)</f>
        <v>0</v>
      </c>
      <c r="CJ53" s="399">
        <f>VLOOKUP(C53,Theory!B56:BW127,74,FALSE)</f>
        <v>0</v>
      </c>
      <c r="CK53" s="369">
        <f t="shared" si="17"/>
        <v>9</v>
      </c>
      <c r="CL53" s="386">
        <f>VLOOKUP(C53,Theory!B56:BX127,75,FALSE)</f>
        <v>9</v>
      </c>
      <c r="CM53" s="400">
        <f>VLOOKUP(C53,Theory!B56:BY127,76,FALSE)</f>
        <v>0</v>
      </c>
      <c r="CN53" s="400">
        <f>VLOOKUP(C53,Theory!B56:BZ127,77,FALSE)</f>
        <v>0</v>
      </c>
      <c r="CO53" s="400">
        <f>VLOOKUP(C53,Theory!B56:CA127,78,FALSE)</f>
        <v>0</v>
      </c>
      <c r="CP53" s="386">
        <f>VLOOKUP(C53,Theory!B56:CB127,79,FALSE)</f>
        <v>0</v>
      </c>
      <c r="CQ53" s="386">
        <f>VLOOKUP(C53,Theory!B56:CC127,80,FALSE)</f>
        <v>0</v>
      </c>
      <c r="CR53" s="386">
        <f>VLOOKUP(C53,Theory!B56:CD127,81,FALSE)</f>
        <v>0</v>
      </c>
      <c r="CS53" s="386">
        <f>VLOOKUP(C53,Theory!B56:CE127,82,FALSE)</f>
        <v>0</v>
      </c>
      <c r="CT53" s="369">
        <f t="shared" si="18"/>
        <v>9</v>
      </c>
      <c r="CU53" s="399">
        <f>VLOOKUP(C53,Theory!B56:CF127,83,FALSE)</f>
        <v>8</v>
      </c>
      <c r="CV53" s="400">
        <f>VLOOKUP(C53,Theory!B56:CG127,84,FALSE)</f>
        <v>0</v>
      </c>
      <c r="CW53" s="400">
        <f>VLOOKUP(C53,Theory!B56:CH127,85,FALSE)</f>
        <v>0</v>
      </c>
      <c r="CX53" s="400">
        <f>VLOOKUP(C53,Theory!B56:CI127,86,FALSE)</f>
        <v>0</v>
      </c>
      <c r="CY53" s="399">
        <f>VLOOKUP(C53,Theory!B56:CJ127,87,FALSE)</f>
        <v>0</v>
      </c>
      <c r="CZ53" s="399">
        <f>VLOOKUP(C53,Theory!B56:CK127,88,FALSE)</f>
        <v>0</v>
      </c>
      <c r="DA53" s="399">
        <f>VLOOKUP(C53,Theory!B56:CL127,89,FALSE)</f>
        <v>0</v>
      </c>
      <c r="DB53" s="399">
        <f>VLOOKUP(C53,Theory!B56:CM127,90,FALSE)</f>
        <v>0</v>
      </c>
      <c r="DC53" s="369">
        <f t="shared" si="19"/>
        <v>8</v>
      </c>
      <c r="DD53" s="386">
        <f>VLOOKUP(C53,Theory!B56:CN127,91,FALSE)</f>
        <v>8</v>
      </c>
      <c r="DE53" s="400">
        <f>VLOOKUP(C53,Theory!B56:CO127,92,FALSE)</f>
        <v>0</v>
      </c>
      <c r="DF53" s="400">
        <f>VLOOKUP(C53,Theory!B56:CP127,93,FALSE)</f>
        <v>0</v>
      </c>
      <c r="DG53" s="400">
        <f>VLOOKUP(C53,Theory!B56:CQ127,94,FALSE)</f>
        <v>0</v>
      </c>
      <c r="DH53" s="386">
        <f>VLOOKUP(C53,Theory!B56:CR127,95,FALSE)</f>
        <v>0</v>
      </c>
      <c r="DI53" s="386">
        <f>VLOOKUP(C53,Theory!B56:CS127,96,FALSE)</f>
        <v>0</v>
      </c>
      <c r="DJ53" s="386">
        <f>VLOOKUP(C53,Theory!B56:CT127,97,FALSE)</f>
        <v>0</v>
      </c>
      <c r="DK53" s="386">
        <f>VLOOKUP(C53,Theory!B56:CU127,98,FALSE)</f>
        <v>0</v>
      </c>
      <c r="DL53" s="369">
        <f t="shared" si="20"/>
        <v>8</v>
      </c>
      <c r="DM53" s="411">
        <f t="shared" si="2"/>
        <v>43</v>
      </c>
      <c r="DN53" s="413">
        <f t="shared" si="40"/>
        <v>38</v>
      </c>
      <c r="DO53" s="413">
        <f t="shared" si="41"/>
        <v>39</v>
      </c>
      <c r="DP53" s="413">
        <f t="shared" si="42"/>
        <v>43</v>
      </c>
      <c r="DQ53" s="418">
        <f t="shared" si="43"/>
        <v>23</v>
      </c>
      <c r="DR53" s="418">
        <f t="shared" si="44"/>
        <v>23</v>
      </c>
      <c r="DS53" s="418">
        <f t="shared" si="45"/>
        <v>26</v>
      </c>
      <c r="DT53" s="417">
        <f t="shared" si="36"/>
        <v>24</v>
      </c>
      <c r="DU53" s="423">
        <f>VLOOKUP(C53,Theory!B56:CV127,99,FALSE)</f>
        <v>8</v>
      </c>
      <c r="DV53" s="423">
        <f>VLOOKUP(C53,Theory!B56:CW127,100,FALSE)</f>
        <v>10</v>
      </c>
      <c r="DW53" s="424">
        <f t="shared" si="27"/>
        <v>18</v>
      </c>
      <c r="DX53" s="421">
        <f t="shared" si="3"/>
        <v>42</v>
      </c>
      <c r="DY53" s="430">
        <f t="shared" si="4"/>
        <v>25</v>
      </c>
      <c r="DZ53" s="431">
        <f>VLOOKUP(C53,Lab!B48:D117,3,FALSE)</f>
        <v>0</v>
      </c>
      <c r="EA53" s="432">
        <f>VLOOKUP(C53,Lab!B48:E117,4,FALSE)</f>
        <v>0</v>
      </c>
      <c r="EB53" s="432">
        <f>VLOOKUP(C53,Lab!B48:F117,5,FALSE)</f>
        <v>30</v>
      </c>
      <c r="EC53" s="422">
        <f t="shared" si="37"/>
        <v>30</v>
      </c>
      <c r="ED53" s="436">
        <f>VLOOKUP(C53,Lab!B48:G117,6,FALSE)</f>
        <v>0</v>
      </c>
      <c r="EE53" s="436">
        <f>VLOOKUP(C53,Lab!B48:H117,7,FALSE)</f>
        <v>0</v>
      </c>
      <c r="EF53" s="437">
        <f>VLOOKUP(C53,Lab!B48:I117,8,FALSE)</f>
        <v>20</v>
      </c>
      <c r="EG53" s="443">
        <f t="shared" si="38"/>
        <v>20</v>
      </c>
      <c r="EH53" s="444">
        <f t="shared" si="28"/>
        <v>50</v>
      </c>
      <c r="EI53" s="445">
        <f t="shared" si="29"/>
        <v>20</v>
      </c>
      <c r="EJ53" s="446">
        <f t="shared" si="5"/>
        <v>45</v>
      </c>
      <c r="EK53" s="449">
        <v>34.5</v>
      </c>
      <c r="EM53" s="450">
        <f>VLOOKUP(C53,Theory!B56:DK127,114,FALSE)</f>
        <v>0</v>
      </c>
      <c r="EN53" s="450">
        <f>VLOOKUP(C53,Theory!B56:DL127,115,FALSE)</f>
        <v>0</v>
      </c>
      <c r="EO53" s="450">
        <f>VLOOKUP(C53,Theory!B56:DM127,116,FALSE)</f>
        <v>0</v>
      </c>
      <c r="EP53" s="450">
        <f>VLOOKUP(C53,Theory!B56:DN125,117,FALSE)</f>
        <v>0</v>
      </c>
      <c r="EQ53" s="450">
        <f>VLOOKUP(C53,Theory!B56:DO125,118,FALSE)</f>
        <v>0</v>
      </c>
      <c r="ER53" s="451">
        <f>VLOOKUP(C53,Theory!B56:DP125,119,FALSE)</f>
        <v>0</v>
      </c>
      <c r="ES53" s="454">
        <f>VLOOKUP(C53,Theory!B56:DQ125,120,FALSE)</f>
        <v>0</v>
      </c>
      <c r="ET53" s="455">
        <f t="shared" si="39"/>
        <v>0</v>
      </c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</row>
    <row r="54" ht="18.35" spans="1:160">
      <c r="A54" s="164">
        <v>41</v>
      </c>
      <c r="B54" s="289" t="str">
        <f>Theory!C57</f>
        <v>PONUGOTI SAI GANESH</v>
      </c>
      <c r="C54" s="360" t="str">
        <f>Theory!B57</f>
        <v>1DS23AI042</v>
      </c>
      <c r="D54" s="361">
        <f>VLOOKUP(C54,Theory!B57:D128,3,FALSE)</f>
        <v>7</v>
      </c>
      <c r="E54" s="361">
        <f>VLOOKUP(C54,Theory!B57:E128,4,FALSE)</f>
        <v>0</v>
      </c>
      <c r="F54" s="361">
        <f>VLOOKUP(C54,Theory!B57:F128,5,FALSE)</f>
        <v>0</v>
      </c>
      <c r="G54" s="361">
        <f>VLOOKUP(C54,Theory!B57:G128,6,FALSE)</f>
        <v>0</v>
      </c>
      <c r="H54" s="369">
        <f t="shared" si="6"/>
        <v>7</v>
      </c>
      <c r="I54" s="370">
        <f>VLOOKUP(C54,Theory!B57:H128,7,FALSE)</f>
        <v>5</v>
      </c>
      <c r="J54" s="371">
        <f>VLOOKUP(C54,Theory!B57:I128,8,FALSE)</f>
        <v>0</v>
      </c>
      <c r="K54" s="371">
        <f>VLOOKUP(C54,Theory!B57:J128,9,FALSE)</f>
        <v>0</v>
      </c>
      <c r="L54" s="371">
        <f>VLOOKUP(C54,Theory!B57:K128,10,FALSE)</f>
        <v>0</v>
      </c>
      <c r="M54" s="369">
        <f t="shared" si="7"/>
        <v>5</v>
      </c>
      <c r="N54" s="373">
        <f>VLOOKUP(C54,Theory!B57:L128,11,FALSE)</f>
        <v>6</v>
      </c>
      <c r="O54" s="373">
        <f>VLOOKUP(C54,Theory!B57:M128,12,FALSE)</f>
        <v>0</v>
      </c>
      <c r="P54" s="373">
        <f>VLOOKUP(C54,Theory!B57:N128,13,FALSE)</f>
        <v>0</v>
      </c>
      <c r="Q54" s="373">
        <f>VLOOKUP(C54,Theory!B57:O128,14,FALSE)</f>
        <v>0</v>
      </c>
      <c r="R54" s="371">
        <f>VLOOKUP(C54,Theory!B57:P128,15,FALSE)</f>
        <v>0</v>
      </c>
      <c r="S54" s="371">
        <f>VLOOKUP(C54,Theory!B57:Q128,16,FALSE)</f>
        <v>0</v>
      </c>
      <c r="T54" s="371">
        <f>VLOOKUP(C54,Theory!B57:R128,17,FALSE)</f>
        <v>0</v>
      </c>
      <c r="U54" s="371">
        <f>VLOOKUP(C54,Theory!B57:S128,18,FALSE)</f>
        <v>0</v>
      </c>
      <c r="V54" s="369">
        <f t="shared" si="8"/>
        <v>6</v>
      </c>
      <c r="W54" s="361">
        <f>VLOOKUP(C54,Theory!B57:T128,19,FALSE)</f>
        <v>0</v>
      </c>
      <c r="X54" s="361">
        <f>VLOOKUP(C54,Theory!B57:U128,20,FALSE)</f>
        <v>0</v>
      </c>
      <c r="Y54" s="361">
        <f>VLOOKUP(C54,Theory!B57:V128,21,FALSE)</f>
        <v>0</v>
      </c>
      <c r="Z54" s="361">
        <f>VLOOKUP(C54,Theory!B57:W128,22,FALSE)</f>
        <v>0</v>
      </c>
      <c r="AA54" s="370">
        <f>VLOOKUP(C54,Theory!B57:X128,23,FALSE)</f>
        <v>6</v>
      </c>
      <c r="AB54" s="370">
        <f>VLOOKUP(C54,Theory!B57:Y128,24,FALSE)</f>
        <v>0</v>
      </c>
      <c r="AC54" s="370">
        <f>VLOOKUP(C54,Theory!B57:Z128,25,FALSE)</f>
        <v>0</v>
      </c>
      <c r="AD54" s="370">
        <f>VLOOKUP(C54,Theory!B57:AA128,26,FALSE)</f>
        <v>0</v>
      </c>
      <c r="AE54" s="369">
        <f t="shared" si="9"/>
        <v>6</v>
      </c>
      <c r="AF54" s="361">
        <f>VLOOKUP(C54,Theory!B57:AB128,27,FALSE)</f>
        <v>0</v>
      </c>
      <c r="AG54" s="361">
        <f>VLOOKUP(C54,Theory!B57:AC128,28,FALSE)</f>
        <v>0</v>
      </c>
      <c r="AH54" s="361">
        <f>VLOOKUP(C54,Theory!B57:AD128,29,FALSE)</f>
        <v>0</v>
      </c>
      <c r="AI54" s="361">
        <f>VLOOKUP(C54,Theory!B57:AE128,30,FALSE)</f>
        <v>0</v>
      </c>
      <c r="AJ54" s="380">
        <f>VLOOKUP(C54,Theory!B57:AF128,31,FALSE)</f>
        <v>3</v>
      </c>
      <c r="AK54" s="380">
        <f>VLOOKUP(C54,Theory!B57:AG128,32,FALSE)</f>
        <v>0</v>
      </c>
      <c r="AL54" s="380">
        <f>VLOOKUP(C54,Theory!B57:AH128,33,FALSE)</f>
        <v>0</v>
      </c>
      <c r="AM54" s="380">
        <f>VLOOKUP(C54,Theory!B57:AI128,34,FALSE)</f>
        <v>0</v>
      </c>
      <c r="AN54" s="369">
        <f t="shared" si="10"/>
        <v>3</v>
      </c>
      <c r="AO54" s="385">
        <f t="shared" si="0"/>
        <v>27</v>
      </c>
      <c r="AP54" s="386">
        <f>VLOOKUP(C54,Theory!B57:AJ128,35,FALSE)</f>
        <v>2</v>
      </c>
      <c r="AQ54" s="386">
        <f>VLOOKUP(C54,Theory!B57:AK128,36,FALSE)</f>
        <v>0</v>
      </c>
      <c r="AR54" s="386">
        <f>VLOOKUP(C54,Theory!B57:AL128,37,FALSE)</f>
        <v>0</v>
      </c>
      <c r="AS54" s="386">
        <f>VLOOKUP(C54,Theory!B57:AM128,38,FALSE)</f>
        <v>0</v>
      </c>
      <c r="AT54" s="369">
        <f t="shared" si="11"/>
        <v>2</v>
      </c>
      <c r="AU54" s="386">
        <f>VLOOKUP(C54,Theory!B57:AN128,39,FALSE)</f>
        <v>8</v>
      </c>
      <c r="AV54" s="386">
        <f>VLOOKUP(C54,Theory!B57:AO128,40,FALSE)</f>
        <v>0</v>
      </c>
      <c r="AW54" s="386">
        <f>VLOOKUP(C54,Theory!B57:AP128,41,FALSE)</f>
        <v>0</v>
      </c>
      <c r="AX54" s="386">
        <f>VLOOKUP(C54,Theory!B57:AQ128,42,FALSE)</f>
        <v>0</v>
      </c>
      <c r="AY54" s="369">
        <f t="shared" si="12"/>
        <v>8</v>
      </c>
      <c r="AZ54" s="386">
        <f>VLOOKUP(C54,Theory!B57:AR128,43,FALSE)</f>
        <v>0</v>
      </c>
      <c r="BA54" s="386">
        <f>VLOOKUP(C54,Theory!B57:AS128,44,FALSE)</f>
        <v>0</v>
      </c>
      <c r="BB54" s="386">
        <f>VLOOKUP(C54,Theory!B57:AT128,45,FALSE)</f>
        <v>0</v>
      </c>
      <c r="BC54" s="386">
        <f>VLOOKUP(C54,Theory!B57:AU128,46,FALSE)</f>
        <v>0</v>
      </c>
      <c r="BD54" s="386">
        <f>VLOOKUP(C54,Theory!B57:AV128,47,FALSE)</f>
        <v>10</v>
      </c>
      <c r="BE54" s="386">
        <f>VLOOKUP(C54,Theory!B57:AW128,48,FALSE)</f>
        <v>0</v>
      </c>
      <c r="BF54" s="386">
        <f>VLOOKUP(C54,Theory!B57:AX128,49,FALSE)</f>
        <v>0</v>
      </c>
      <c r="BG54" s="386">
        <f>VLOOKUP(C54,Theory!B57:AY128,50,FALSE)</f>
        <v>0</v>
      </c>
      <c r="BH54" s="369">
        <f t="shared" si="13"/>
        <v>10</v>
      </c>
      <c r="BI54" s="386">
        <f>VLOOKUP(C54,Theory!B57:AZ128,51,FALSE)</f>
        <v>8</v>
      </c>
      <c r="BJ54" s="386">
        <f>VLOOKUP(C54,Theory!B57:BA128,52,FALSE)</f>
        <v>0</v>
      </c>
      <c r="BK54" s="386">
        <f>VLOOKUP(C54,Theory!B57:BB128,53,FALSE)</f>
        <v>0</v>
      </c>
      <c r="BL54" s="386">
        <f>VLOOKUP(C54,Theory!B57:BC128,54,FALSE)</f>
        <v>0</v>
      </c>
      <c r="BM54" s="386">
        <f>VLOOKUP(C54,Theory!B57:BD128,55,FALSE)</f>
        <v>0</v>
      </c>
      <c r="BN54" s="386">
        <f>VLOOKUP(C54,Theory!B57:BE128,56,FALSE)</f>
        <v>0</v>
      </c>
      <c r="BO54" s="386">
        <f>VLOOKUP(C54,Theory!B57:BF128,57,FALSE)</f>
        <v>0</v>
      </c>
      <c r="BP54" s="386">
        <f>VLOOKUP(C54,Theory!B57:BG128,58,FALSE)</f>
        <v>0</v>
      </c>
      <c r="BQ54" s="369">
        <f t="shared" si="14"/>
        <v>8</v>
      </c>
      <c r="BR54" s="386">
        <f>VLOOKUP(C54,Theory!B57:BH128,59,FALSE)</f>
        <v>9</v>
      </c>
      <c r="BS54" s="386">
        <f>VLOOKUP(C54,Theory!B57:BI128,60,FALSE)</f>
        <v>0</v>
      </c>
      <c r="BT54" s="386">
        <f>VLOOKUP(C54,Theory!B57:BJ128,61,FALSE)</f>
        <v>0</v>
      </c>
      <c r="BU54" s="386">
        <f>VLOOKUP(C54,Theory!B57:BK128,62,FALSE)</f>
        <v>0</v>
      </c>
      <c r="BV54" s="386">
        <f>VLOOKUP(C54,Theory!B57:BL128,63,FALSE)</f>
        <v>0</v>
      </c>
      <c r="BW54" s="386">
        <f>VLOOKUP(C54,Theory!B57:BM128,64,FALSE)</f>
        <v>0</v>
      </c>
      <c r="BX54" s="386">
        <f>VLOOKUP(C54,Theory!B57:BN128,65,FALSE)</f>
        <v>0</v>
      </c>
      <c r="BY54" s="386">
        <f>VLOOKUP(C54,Theory!B57:BO128,66,FALSE)</f>
        <v>0</v>
      </c>
      <c r="BZ54" s="369">
        <f t="shared" si="15"/>
        <v>9</v>
      </c>
      <c r="CA54" s="385">
        <f t="shared" si="1"/>
        <v>37</v>
      </c>
      <c r="CB54" s="386">
        <f>VLOOKUP(C54,Theory!B57:BP128,67,FALSE)</f>
        <v>8</v>
      </c>
      <c r="CC54" s="386">
        <f>VLOOKUP(C54,Theory!B57:BQ128,68,FALSE)</f>
        <v>0</v>
      </c>
      <c r="CD54" s="386">
        <f>VLOOKUP(C54,Theory!B57:BR128,69,FALSE)</f>
        <v>0</v>
      </c>
      <c r="CE54" s="386">
        <f>VLOOKUP(C54,Theory!B57:BS128,70,FALSE)</f>
        <v>0</v>
      </c>
      <c r="CF54" s="369">
        <f t="shared" si="16"/>
        <v>8</v>
      </c>
      <c r="CG54" s="399">
        <f>VLOOKUP(C54,Theory!B57:BT128,71,FALSE)</f>
        <v>6</v>
      </c>
      <c r="CH54" s="399">
        <f>VLOOKUP(C54,Theory!B57:BU128,72,FALSE)</f>
        <v>0</v>
      </c>
      <c r="CI54" s="399">
        <f>VLOOKUP(C54,Theory!B57:BV128,73,FALSE)</f>
        <v>0</v>
      </c>
      <c r="CJ54" s="399">
        <f>VLOOKUP(C54,Theory!B57:BW128,74,FALSE)</f>
        <v>0</v>
      </c>
      <c r="CK54" s="369">
        <f t="shared" si="17"/>
        <v>6</v>
      </c>
      <c r="CL54" s="386">
        <f>VLOOKUP(C54,Theory!B57:BX128,75,FALSE)</f>
        <v>6</v>
      </c>
      <c r="CM54" s="400">
        <f>VLOOKUP(C54,Theory!B57:BY128,76,FALSE)</f>
        <v>0</v>
      </c>
      <c r="CN54" s="400">
        <f>VLOOKUP(C54,Theory!B57:BZ128,77,FALSE)</f>
        <v>0</v>
      </c>
      <c r="CO54" s="400">
        <f>VLOOKUP(C54,Theory!B57:CA128,78,FALSE)</f>
        <v>0</v>
      </c>
      <c r="CP54" s="386">
        <f>VLOOKUP(C54,Theory!B57:CB128,79,FALSE)</f>
        <v>0</v>
      </c>
      <c r="CQ54" s="386">
        <f>VLOOKUP(C54,Theory!B57:CC128,80,FALSE)</f>
        <v>0</v>
      </c>
      <c r="CR54" s="386">
        <f>VLOOKUP(C54,Theory!B57:CD128,81,FALSE)</f>
        <v>0</v>
      </c>
      <c r="CS54" s="386">
        <f>VLOOKUP(C54,Theory!B57:CE128,82,FALSE)</f>
        <v>0</v>
      </c>
      <c r="CT54" s="369">
        <f t="shared" si="18"/>
        <v>6</v>
      </c>
      <c r="CU54" s="399">
        <f>VLOOKUP(C54,Theory!B57:CF128,83,FALSE)</f>
        <v>5</v>
      </c>
      <c r="CV54" s="400">
        <f>VLOOKUP(C54,Theory!B57:CG128,84,FALSE)</f>
        <v>0</v>
      </c>
      <c r="CW54" s="400">
        <f>VLOOKUP(C54,Theory!B57:CH128,85,FALSE)</f>
        <v>0</v>
      </c>
      <c r="CX54" s="400">
        <f>VLOOKUP(C54,Theory!B57:CI128,86,FALSE)</f>
        <v>0</v>
      </c>
      <c r="CY54" s="399">
        <f>VLOOKUP(C54,Theory!B57:CJ128,87,FALSE)</f>
        <v>0</v>
      </c>
      <c r="CZ54" s="399">
        <f>VLOOKUP(C54,Theory!B57:CK128,88,FALSE)</f>
        <v>0</v>
      </c>
      <c r="DA54" s="399">
        <f>VLOOKUP(C54,Theory!B57:CL128,89,FALSE)</f>
        <v>0</v>
      </c>
      <c r="DB54" s="399">
        <f>VLOOKUP(C54,Theory!B57:CM128,90,FALSE)</f>
        <v>0</v>
      </c>
      <c r="DC54" s="369">
        <f t="shared" si="19"/>
        <v>5</v>
      </c>
      <c r="DD54" s="386">
        <f>VLOOKUP(C54,Theory!B57:CN128,91,FALSE)</f>
        <v>4</v>
      </c>
      <c r="DE54" s="400">
        <f>VLOOKUP(C54,Theory!B57:CO128,92,FALSE)</f>
        <v>0</v>
      </c>
      <c r="DF54" s="400">
        <f>VLOOKUP(C54,Theory!B57:CP128,93,FALSE)</f>
        <v>0</v>
      </c>
      <c r="DG54" s="400">
        <f>VLOOKUP(C54,Theory!B57:CQ128,94,FALSE)</f>
        <v>0</v>
      </c>
      <c r="DH54" s="386">
        <f>VLOOKUP(C54,Theory!B57:CR128,95,FALSE)</f>
        <v>0</v>
      </c>
      <c r="DI54" s="386">
        <f>VLOOKUP(C54,Theory!B57:CS128,96,FALSE)</f>
        <v>0</v>
      </c>
      <c r="DJ54" s="386">
        <f>VLOOKUP(C54,Theory!B57:CT128,97,FALSE)</f>
        <v>0</v>
      </c>
      <c r="DK54" s="386">
        <f>VLOOKUP(C54,Theory!B57:CU128,98,FALSE)</f>
        <v>0</v>
      </c>
      <c r="DL54" s="369">
        <f t="shared" si="20"/>
        <v>4</v>
      </c>
      <c r="DM54" s="411">
        <f t="shared" si="2"/>
        <v>29</v>
      </c>
      <c r="DN54" s="413">
        <f t="shared" si="40"/>
        <v>27</v>
      </c>
      <c r="DO54" s="413">
        <f t="shared" si="41"/>
        <v>37</v>
      </c>
      <c r="DP54" s="413">
        <f t="shared" si="42"/>
        <v>29</v>
      </c>
      <c r="DQ54" s="418">
        <f t="shared" si="43"/>
        <v>16</v>
      </c>
      <c r="DR54" s="418">
        <f t="shared" si="44"/>
        <v>22</v>
      </c>
      <c r="DS54" s="418">
        <f t="shared" si="45"/>
        <v>17</v>
      </c>
      <c r="DT54" s="417">
        <f t="shared" si="36"/>
        <v>18</v>
      </c>
      <c r="DU54" s="423">
        <f>VLOOKUP(C54,Theory!B57:CV128,99,FALSE)</f>
        <v>7</v>
      </c>
      <c r="DV54" s="423">
        <f>VLOOKUP(C54,Theory!B57:CW128,100,FALSE)</f>
        <v>10</v>
      </c>
      <c r="DW54" s="424">
        <f t="shared" si="27"/>
        <v>17</v>
      </c>
      <c r="DX54" s="421">
        <f t="shared" si="3"/>
        <v>35</v>
      </c>
      <c r="DY54" s="430">
        <f t="shared" si="4"/>
        <v>21</v>
      </c>
      <c r="DZ54" s="431">
        <f>VLOOKUP(C54,Lab!B49:D118,3,FALSE)</f>
        <v>0</v>
      </c>
      <c r="EA54" s="432">
        <f>VLOOKUP(C54,Lab!B49:E118,4,FALSE)</f>
        <v>0</v>
      </c>
      <c r="EB54" s="432">
        <f>VLOOKUP(C54,Lab!B49:F118,5,FALSE)</f>
        <v>28</v>
      </c>
      <c r="EC54" s="422">
        <f t="shared" si="37"/>
        <v>28</v>
      </c>
      <c r="ED54" s="436">
        <f>VLOOKUP(C54,Lab!B49:G118,6,FALSE)</f>
        <v>0</v>
      </c>
      <c r="EE54" s="436">
        <f>VLOOKUP(C54,Lab!B49:H118,7,FALSE)</f>
        <v>0</v>
      </c>
      <c r="EF54" s="437">
        <f>VLOOKUP(C54,Lab!B49:I118,8,FALSE)</f>
        <v>19</v>
      </c>
      <c r="EG54" s="443">
        <f t="shared" si="38"/>
        <v>19</v>
      </c>
      <c r="EH54" s="444">
        <f t="shared" si="28"/>
        <v>47</v>
      </c>
      <c r="EI54" s="445">
        <f t="shared" si="29"/>
        <v>19</v>
      </c>
      <c r="EJ54" s="446">
        <f t="shared" si="5"/>
        <v>40</v>
      </c>
      <c r="EK54" s="449">
        <v>38.5</v>
      </c>
      <c r="EM54" s="450">
        <f>VLOOKUP(C54,Theory!B57:DK128,114,FALSE)</f>
        <v>0</v>
      </c>
      <c r="EN54" s="450">
        <f>VLOOKUP(C54,Theory!B57:DL128,115,FALSE)</f>
        <v>0</v>
      </c>
      <c r="EO54" s="450">
        <f>VLOOKUP(C54,Theory!B57:DM128,116,FALSE)</f>
        <v>0</v>
      </c>
      <c r="EP54" s="450">
        <f>VLOOKUP(C54,Theory!B57:DN126,117,FALSE)</f>
        <v>0</v>
      </c>
      <c r="EQ54" s="450">
        <f>VLOOKUP(C54,Theory!B57:DO126,118,FALSE)</f>
        <v>0</v>
      </c>
      <c r="ER54" s="451">
        <f>VLOOKUP(C54,Theory!B57:DP126,119,FALSE)</f>
        <v>0</v>
      </c>
      <c r="ES54" s="454">
        <f>VLOOKUP(C54,Theory!B57:DQ126,120,FALSE)</f>
        <v>0</v>
      </c>
      <c r="ET54" s="455">
        <f t="shared" si="39"/>
        <v>0</v>
      </c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</row>
    <row r="55" ht="18.35" spans="1:160">
      <c r="A55" s="164">
        <v>42</v>
      </c>
      <c r="B55" s="289" t="str">
        <f>Theory!C58</f>
        <v>PRAJWAL L</v>
      </c>
      <c r="C55" s="360" t="str">
        <f>Theory!B58</f>
        <v>1DS23AI043</v>
      </c>
      <c r="D55" s="361">
        <f>VLOOKUP(C55,Theory!B58:D129,3,FALSE)</f>
        <v>8</v>
      </c>
      <c r="E55" s="361">
        <f>VLOOKUP(C55,Theory!B58:E129,4,FALSE)</f>
        <v>0</v>
      </c>
      <c r="F55" s="361">
        <f>VLOOKUP(C55,Theory!B58:F129,5,FALSE)</f>
        <v>0</v>
      </c>
      <c r="G55" s="361">
        <f>VLOOKUP(C55,Theory!B58:G129,6,FALSE)</f>
        <v>0</v>
      </c>
      <c r="H55" s="369">
        <f t="shared" si="6"/>
        <v>8</v>
      </c>
      <c r="I55" s="370">
        <f>VLOOKUP(C55,Theory!B58:H129,7,FALSE)</f>
        <v>4</v>
      </c>
      <c r="J55" s="371">
        <f>VLOOKUP(C55,Theory!B58:I129,8,FALSE)</f>
        <v>0</v>
      </c>
      <c r="K55" s="371">
        <f>VLOOKUP(C55,Theory!B58:J129,9,FALSE)</f>
        <v>0</v>
      </c>
      <c r="L55" s="371">
        <f>VLOOKUP(C55,Theory!B58:K129,10,FALSE)</f>
        <v>0</v>
      </c>
      <c r="M55" s="369">
        <f t="shared" si="7"/>
        <v>4</v>
      </c>
      <c r="N55" s="373">
        <f>VLOOKUP(C55,Theory!B58:L129,11,FALSE)</f>
        <v>3</v>
      </c>
      <c r="O55" s="373">
        <f>VLOOKUP(C55,Theory!B58:M129,12,FALSE)</f>
        <v>0</v>
      </c>
      <c r="P55" s="373">
        <f>VLOOKUP(C55,Theory!B58:N129,13,FALSE)</f>
        <v>0</v>
      </c>
      <c r="Q55" s="373">
        <f>VLOOKUP(C55,Theory!B58:O129,14,FALSE)</f>
        <v>0</v>
      </c>
      <c r="R55" s="371">
        <f>VLOOKUP(C55,Theory!B58:P129,15,FALSE)</f>
        <v>0</v>
      </c>
      <c r="S55" s="371">
        <f>VLOOKUP(C55,Theory!B58:Q129,16,FALSE)</f>
        <v>0</v>
      </c>
      <c r="T55" s="371">
        <f>VLOOKUP(C55,Theory!B58:R129,17,FALSE)</f>
        <v>0</v>
      </c>
      <c r="U55" s="371">
        <f>VLOOKUP(C55,Theory!B58:S129,18,FALSE)</f>
        <v>0</v>
      </c>
      <c r="V55" s="369">
        <f t="shared" si="8"/>
        <v>3</v>
      </c>
      <c r="W55" s="361">
        <f>VLOOKUP(C55,Theory!B58:T129,19,FALSE)</f>
        <v>0</v>
      </c>
      <c r="X55" s="361">
        <f>VLOOKUP(C55,Theory!B58:U129,20,FALSE)</f>
        <v>0</v>
      </c>
      <c r="Y55" s="361">
        <f>VLOOKUP(C55,Theory!B58:V129,21,FALSE)</f>
        <v>0</v>
      </c>
      <c r="Z55" s="361">
        <f>VLOOKUP(C55,Theory!B58:W129,22,FALSE)</f>
        <v>0</v>
      </c>
      <c r="AA55" s="370">
        <f>VLOOKUP(C55,Theory!B58:X129,23,FALSE)</f>
        <v>8</v>
      </c>
      <c r="AB55" s="370">
        <f>VLOOKUP(C55,Theory!B58:Y129,24,FALSE)</f>
        <v>0</v>
      </c>
      <c r="AC55" s="370">
        <f>VLOOKUP(C55,Theory!B58:Z129,25,FALSE)</f>
        <v>0</v>
      </c>
      <c r="AD55" s="370">
        <f>VLOOKUP(C55,Theory!B58:AA129,26,FALSE)</f>
        <v>0</v>
      </c>
      <c r="AE55" s="369">
        <f t="shared" si="9"/>
        <v>8</v>
      </c>
      <c r="AF55" s="361">
        <f>VLOOKUP(C55,Theory!B58:AB129,27,FALSE)</f>
        <v>0</v>
      </c>
      <c r="AG55" s="361">
        <f>VLOOKUP(C55,Theory!B58:AC129,28,FALSE)</f>
        <v>0</v>
      </c>
      <c r="AH55" s="361">
        <f>VLOOKUP(C55,Theory!B58:AD129,29,FALSE)</f>
        <v>0</v>
      </c>
      <c r="AI55" s="361">
        <f>VLOOKUP(C55,Theory!B58:AE129,30,FALSE)</f>
        <v>0</v>
      </c>
      <c r="AJ55" s="380">
        <f>VLOOKUP(C55,Theory!B58:AF129,31,FALSE)</f>
        <v>0</v>
      </c>
      <c r="AK55" s="380">
        <f>VLOOKUP(C55,Theory!B58:AG129,32,FALSE)</f>
        <v>0</v>
      </c>
      <c r="AL55" s="380">
        <f>VLOOKUP(C55,Theory!B58:AH129,33,FALSE)</f>
        <v>0</v>
      </c>
      <c r="AM55" s="380">
        <f>VLOOKUP(C55,Theory!B58:AI129,34,FALSE)</f>
        <v>0</v>
      </c>
      <c r="AN55" s="369">
        <f t="shared" si="10"/>
        <v>0</v>
      </c>
      <c r="AO55" s="385">
        <f t="shared" si="0"/>
        <v>23</v>
      </c>
      <c r="AP55" s="386">
        <f>VLOOKUP(C55,Theory!B58:AJ129,35,FALSE)</f>
        <v>2</v>
      </c>
      <c r="AQ55" s="386">
        <f>VLOOKUP(C55,Theory!B58:AK129,36,FALSE)</f>
        <v>0</v>
      </c>
      <c r="AR55" s="386">
        <f>VLOOKUP(C55,Theory!B58:AL129,37,FALSE)</f>
        <v>0</v>
      </c>
      <c r="AS55" s="386">
        <f>VLOOKUP(C55,Theory!B58:AM129,38,FALSE)</f>
        <v>0</v>
      </c>
      <c r="AT55" s="369">
        <f t="shared" si="11"/>
        <v>2</v>
      </c>
      <c r="AU55" s="386">
        <f>VLOOKUP(C55,Theory!B58:AN129,39,FALSE)</f>
        <v>4</v>
      </c>
      <c r="AV55" s="386">
        <f>VLOOKUP(C55,Theory!B58:AO129,40,FALSE)</f>
        <v>0</v>
      </c>
      <c r="AW55" s="386">
        <f>VLOOKUP(C55,Theory!B58:AP129,41,FALSE)</f>
        <v>0</v>
      </c>
      <c r="AX55" s="386">
        <f>VLOOKUP(C55,Theory!B58:AQ129,42,FALSE)</f>
        <v>0</v>
      </c>
      <c r="AY55" s="369">
        <f t="shared" si="12"/>
        <v>4</v>
      </c>
      <c r="AZ55" s="386">
        <f>VLOOKUP(C55,Theory!B58:AR129,43,FALSE)</f>
        <v>0</v>
      </c>
      <c r="BA55" s="386">
        <f>VLOOKUP(C55,Theory!B58:AS129,44,FALSE)</f>
        <v>0</v>
      </c>
      <c r="BB55" s="386">
        <f>VLOOKUP(C55,Theory!B58:AT129,45,FALSE)</f>
        <v>0</v>
      </c>
      <c r="BC55" s="386">
        <f>VLOOKUP(C55,Theory!B58:AU129,46,FALSE)</f>
        <v>0</v>
      </c>
      <c r="BD55" s="386">
        <f>VLOOKUP(C55,Theory!B58:AV129,47,FALSE)</f>
        <v>8</v>
      </c>
      <c r="BE55" s="386">
        <f>VLOOKUP(C55,Theory!B58:AW129,48,FALSE)</f>
        <v>0</v>
      </c>
      <c r="BF55" s="386">
        <f>VLOOKUP(C55,Theory!B58:AX129,49,FALSE)</f>
        <v>0</v>
      </c>
      <c r="BG55" s="386">
        <f>VLOOKUP(C55,Theory!B58:AY129,50,FALSE)</f>
        <v>0</v>
      </c>
      <c r="BH55" s="369">
        <f t="shared" si="13"/>
        <v>8</v>
      </c>
      <c r="BI55" s="386">
        <f>VLOOKUP(C55,Theory!B58:AZ129,51,FALSE)</f>
        <v>0</v>
      </c>
      <c r="BJ55" s="386">
        <f>VLOOKUP(C55,Theory!B58:BA129,52,FALSE)</f>
        <v>0</v>
      </c>
      <c r="BK55" s="386">
        <f>VLOOKUP(C55,Theory!B58:BB129,53,FALSE)</f>
        <v>0</v>
      </c>
      <c r="BL55" s="386">
        <f>VLOOKUP(C55,Theory!B58:BC129,54,FALSE)</f>
        <v>0</v>
      </c>
      <c r="BM55" s="386">
        <f>VLOOKUP(C55,Theory!B58:BD129,55,FALSE)</f>
        <v>4</v>
      </c>
      <c r="BN55" s="386">
        <f>VLOOKUP(C55,Theory!B58:BE129,56,FALSE)</f>
        <v>0</v>
      </c>
      <c r="BO55" s="386">
        <f>VLOOKUP(C55,Theory!B58:BF129,57,FALSE)</f>
        <v>0</v>
      </c>
      <c r="BP55" s="386">
        <f>VLOOKUP(C55,Theory!B58:BG129,58,FALSE)</f>
        <v>0</v>
      </c>
      <c r="BQ55" s="369">
        <f t="shared" si="14"/>
        <v>4</v>
      </c>
      <c r="BR55" s="386">
        <f>VLOOKUP(C55,Theory!B58:BH129,59,FALSE)</f>
        <v>6</v>
      </c>
      <c r="BS55" s="386">
        <f>VLOOKUP(C55,Theory!B58:BI129,60,FALSE)</f>
        <v>0</v>
      </c>
      <c r="BT55" s="386">
        <f>VLOOKUP(C55,Theory!B58:BJ129,61,FALSE)</f>
        <v>0</v>
      </c>
      <c r="BU55" s="386">
        <f>VLOOKUP(C55,Theory!B58:BK129,62,FALSE)</f>
        <v>0</v>
      </c>
      <c r="BV55" s="386">
        <f>VLOOKUP(C55,Theory!B58:BL129,63,FALSE)</f>
        <v>0</v>
      </c>
      <c r="BW55" s="386">
        <f>VLOOKUP(C55,Theory!B58:BM129,64,FALSE)</f>
        <v>0</v>
      </c>
      <c r="BX55" s="386">
        <f>VLOOKUP(C55,Theory!B58:BN129,65,FALSE)</f>
        <v>0</v>
      </c>
      <c r="BY55" s="386">
        <f>VLOOKUP(C55,Theory!B58:BO129,66,FALSE)</f>
        <v>0</v>
      </c>
      <c r="BZ55" s="369">
        <f t="shared" si="15"/>
        <v>6</v>
      </c>
      <c r="CA55" s="385">
        <f t="shared" si="1"/>
        <v>24</v>
      </c>
      <c r="CB55" s="386">
        <f>VLOOKUP(C55,Theory!B58:BP129,67,FALSE)</f>
        <v>6</v>
      </c>
      <c r="CC55" s="386">
        <f>VLOOKUP(C55,Theory!B58:BQ129,68,FALSE)</f>
        <v>0</v>
      </c>
      <c r="CD55" s="386">
        <f>VLOOKUP(C55,Theory!B58:BR129,69,FALSE)</f>
        <v>0</v>
      </c>
      <c r="CE55" s="386">
        <f>VLOOKUP(C55,Theory!B58:BS129,70,FALSE)</f>
        <v>0</v>
      </c>
      <c r="CF55" s="369">
        <f t="shared" si="16"/>
        <v>6</v>
      </c>
      <c r="CG55" s="399">
        <f>VLOOKUP(C55,Theory!B58:BT129,71,FALSE)</f>
        <v>5</v>
      </c>
      <c r="CH55" s="399">
        <f>VLOOKUP(C55,Theory!B58:BU129,72,FALSE)</f>
        <v>0</v>
      </c>
      <c r="CI55" s="399">
        <f>VLOOKUP(C55,Theory!B58:BV129,73,FALSE)</f>
        <v>0</v>
      </c>
      <c r="CJ55" s="399">
        <f>VLOOKUP(C55,Theory!B58:BW129,74,FALSE)</f>
        <v>0</v>
      </c>
      <c r="CK55" s="369">
        <f t="shared" si="17"/>
        <v>5</v>
      </c>
      <c r="CL55" s="386">
        <f>VLOOKUP(C55,Theory!B58:BX129,75,FALSE)</f>
        <v>5</v>
      </c>
      <c r="CM55" s="400">
        <f>VLOOKUP(C55,Theory!B58:BY129,76,FALSE)</f>
        <v>0</v>
      </c>
      <c r="CN55" s="400">
        <f>VLOOKUP(C55,Theory!B58:BZ129,77,FALSE)</f>
        <v>0</v>
      </c>
      <c r="CO55" s="400">
        <f>VLOOKUP(C55,Theory!B58:CA129,78,FALSE)</f>
        <v>0</v>
      </c>
      <c r="CP55" s="386">
        <f>VLOOKUP(C55,Theory!B58:CB129,79,FALSE)</f>
        <v>0</v>
      </c>
      <c r="CQ55" s="386">
        <f>VLOOKUP(C55,Theory!B58:CC129,80,FALSE)</f>
        <v>0</v>
      </c>
      <c r="CR55" s="386">
        <f>VLOOKUP(C55,Theory!B58:CD129,81,FALSE)</f>
        <v>0</v>
      </c>
      <c r="CS55" s="386">
        <f>VLOOKUP(C55,Theory!B58:CE129,82,FALSE)</f>
        <v>0</v>
      </c>
      <c r="CT55" s="369">
        <f t="shared" si="18"/>
        <v>5</v>
      </c>
      <c r="CU55" s="399">
        <f>VLOOKUP(C55,Theory!B58:CF129,83,FALSE)</f>
        <v>0</v>
      </c>
      <c r="CV55" s="400">
        <f>VLOOKUP(C55,Theory!B58:CG129,84,FALSE)</f>
        <v>0</v>
      </c>
      <c r="CW55" s="400">
        <f>VLOOKUP(C55,Theory!B58:CH129,85,FALSE)</f>
        <v>0</v>
      </c>
      <c r="CX55" s="400">
        <f>VLOOKUP(C55,Theory!B58:CI129,86,FALSE)</f>
        <v>0</v>
      </c>
      <c r="CY55" s="399">
        <f>VLOOKUP(C55,Theory!B58:CJ129,87,FALSE)</f>
        <v>7</v>
      </c>
      <c r="CZ55" s="399">
        <f>VLOOKUP(C55,Theory!B58:CK129,88,FALSE)</f>
        <v>0</v>
      </c>
      <c r="DA55" s="399">
        <f>VLOOKUP(C55,Theory!B58:CL129,89,FALSE)</f>
        <v>0</v>
      </c>
      <c r="DB55" s="399">
        <f>VLOOKUP(C55,Theory!B58:CM129,90,FALSE)</f>
        <v>0</v>
      </c>
      <c r="DC55" s="369">
        <f t="shared" si="19"/>
        <v>7</v>
      </c>
      <c r="DD55" s="386">
        <f>VLOOKUP(C55,Theory!B58:CN129,91,FALSE)</f>
        <v>0</v>
      </c>
      <c r="DE55" s="400">
        <f>VLOOKUP(C55,Theory!B58:CO129,92,FALSE)</f>
        <v>0</v>
      </c>
      <c r="DF55" s="400">
        <f>VLOOKUP(C55,Theory!B58:CP129,93,FALSE)</f>
        <v>0</v>
      </c>
      <c r="DG55" s="400">
        <f>VLOOKUP(C55,Theory!B58:CQ129,94,FALSE)</f>
        <v>0</v>
      </c>
      <c r="DH55" s="386">
        <f>VLOOKUP(C55,Theory!B58:CR129,95,FALSE)</f>
        <v>7</v>
      </c>
      <c r="DI55" s="386">
        <f>VLOOKUP(C55,Theory!B58:CS129,96,FALSE)</f>
        <v>0</v>
      </c>
      <c r="DJ55" s="386">
        <f>VLOOKUP(C55,Theory!B58:CT129,97,FALSE)</f>
        <v>0</v>
      </c>
      <c r="DK55" s="386">
        <f>VLOOKUP(C55,Theory!B58:CU129,98,FALSE)</f>
        <v>0</v>
      </c>
      <c r="DL55" s="369">
        <f t="shared" si="20"/>
        <v>7</v>
      </c>
      <c r="DM55" s="411">
        <f t="shared" si="2"/>
        <v>30</v>
      </c>
      <c r="DN55" s="413">
        <f t="shared" si="40"/>
        <v>23</v>
      </c>
      <c r="DO55" s="413">
        <f t="shared" si="41"/>
        <v>24</v>
      </c>
      <c r="DP55" s="413">
        <f t="shared" si="42"/>
        <v>30</v>
      </c>
      <c r="DQ55" s="418">
        <f t="shared" si="43"/>
        <v>14</v>
      </c>
      <c r="DR55" s="418">
        <f t="shared" si="44"/>
        <v>14</v>
      </c>
      <c r="DS55" s="418">
        <f t="shared" si="45"/>
        <v>18</v>
      </c>
      <c r="DT55" s="417">
        <f t="shared" si="36"/>
        <v>15</v>
      </c>
      <c r="DU55" s="423">
        <f>VLOOKUP(C55,Theory!B58:CV129,99,FALSE)</f>
        <v>7</v>
      </c>
      <c r="DV55" s="423">
        <f>VLOOKUP(C55,Theory!B58:CW129,100,FALSE)</f>
        <v>10</v>
      </c>
      <c r="DW55" s="424">
        <f t="shared" si="27"/>
        <v>17</v>
      </c>
      <c r="DX55" s="421">
        <f t="shared" si="3"/>
        <v>32</v>
      </c>
      <c r="DY55" s="430">
        <f t="shared" si="4"/>
        <v>19</v>
      </c>
      <c r="DZ55" s="431">
        <f>VLOOKUP(C55,Lab!B50:D119,3,FALSE)</f>
        <v>0</v>
      </c>
      <c r="EA55" s="432">
        <f>VLOOKUP(C55,Lab!B50:E119,4,FALSE)</f>
        <v>0</v>
      </c>
      <c r="EB55" s="432">
        <f>VLOOKUP(C55,Lab!B50:F119,5,FALSE)</f>
        <v>28</v>
      </c>
      <c r="EC55" s="422">
        <f t="shared" si="37"/>
        <v>28</v>
      </c>
      <c r="ED55" s="436">
        <f>VLOOKUP(C55,Lab!B50:G119,6,FALSE)</f>
        <v>0</v>
      </c>
      <c r="EE55" s="436">
        <f>VLOOKUP(C55,Lab!B50:H119,7,FALSE)</f>
        <v>0</v>
      </c>
      <c r="EF55" s="437">
        <v>12</v>
      </c>
      <c r="EG55" s="443">
        <f t="shared" si="38"/>
        <v>12</v>
      </c>
      <c r="EH55" s="444">
        <f t="shared" si="28"/>
        <v>40</v>
      </c>
      <c r="EI55" s="445">
        <f t="shared" si="29"/>
        <v>16</v>
      </c>
      <c r="EJ55" s="446">
        <f t="shared" si="5"/>
        <v>35</v>
      </c>
      <c r="EK55" s="449">
        <v>38.5</v>
      </c>
      <c r="EM55" s="450">
        <f>VLOOKUP(C55,Theory!B58:DK129,114,FALSE)</f>
        <v>0</v>
      </c>
      <c r="EN55" s="450">
        <f>VLOOKUP(C55,Theory!B58:DL129,115,FALSE)</f>
        <v>0</v>
      </c>
      <c r="EO55" s="450">
        <f>VLOOKUP(C55,Theory!B58:DM129,116,FALSE)</f>
        <v>0</v>
      </c>
      <c r="EP55" s="450">
        <f>VLOOKUP(C55,Theory!B58:DN127,117,FALSE)</f>
        <v>0</v>
      </c>
      <c r="EQ55" s="450">
        <f>VLOOKUP(C55,Theory!B58:DO127,118,FALSE)</f>
        <v>0</v>
      </c>
      <c r="ER55" s="451">
        <f>VLOOKUP(C55,Theory!B58:DP127,119,FALSE)</f>
        <v>0</v>
      </c>
      <c r="ES55" s="454">
        <f>VLOOKUP(C55,Theory!B58:DQ127,120,FALSE)</f>
        <v>0</v>
      </c>
      <c r="ET55" s="455">
        <f t="shared" si="39"/>
        <v>0</v>
      </c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</row>
    <row r="56" ht="18.35" spans="1:160">
      <c r="A56" s="164">
        <v>43</v>
      </c>
      <c r="B56" s="289" t="str">
        <f>Theory!C59</f>
        <v>PRATHIK B</v>
      </c>
      <c r="C56" s="360" t="str">
        <f>Theory!B59</f>
        <v>1DS23AI044</v>
      </c>
      <c r="D56" s="361">
        <f>VLOOKUP(C56,Theory!B59:D130,3,FALSE)</f>
        <v>7</v>
      </c>
      <c r="E56" s="361">
        <f>VLOOKUP(C56,Theory!B59:E130,4,FALSE)</f>
        <v>0</v>
      </c>
      <c r="F56" s="361">
        <f>VLOOKUP(C56,Theory!B59:F130,5,FALSE)</f>
        <v>0</v>
      </c>
      <c r="G56" s="361">
        <f>VLOOKUP(C56,Theory!B59:G130,6,FALSE)</f>
        <v>0</v>
      </c>
      <c r="H56" s="369">
        <f t="shared" si="6"/>
        <v>7</v>
      </c>
      <c r="I56" s="370">
        <f>VLOOKUP(C56,Theory!B59:H130,7,FALSE)</f>
        <v>0</v>
      </c>
      <c r="J56" s="371">
        <f>VLOOKUP(C56,Theory!B59:I130,8,FALSE)</f>
        <v>0</v>
      </c>
      <c r="K56" s="371">
        <f>VLOOKUP(C56,Theory!B59:J130,9,FALSE)</f>
        <v>0</v>
      </c>
      <c r="L56" s="371">
        <f>VLOOKUP(C56,Theory!B59:K130,10,FALSE)</f>
        <v>0</v>
      </c>
      <c r="M56" s="369">
        <f t="shared" si="7"/>
        <v>0</v>
      </c>
      <c r="N56" s="373">
        <f>VLOOKUP(C56,Theory!B59:L130,11,FALSE)</f>
        <v>0</v>
      </c>
      <c r="O56" s="373">
        <f>VLOOKUP(C56,Theory!B59:M130,12,FALSE)</f>
        <v>0</v>
      </c>
      <c r="P56" s="373">
        <f>VLOOKUP(C56,Theory!B59:N130,13,FALSE)</f>
        <v>0</v>
      </c>
      <c r="Q56" s="373">
        <f>VLOOKUP(C56,Theory!B59:O130,14,FALSE)</f>
        <v>0</v>
      </c>
      <c r="R56" s="371">
        <f>VLOOKUP(C56,Theory!B59:P130,15,FALSE)</f>
        <v>0</v>
      </c>
      <c r="S56" s="371">
        <f>VLOOKUP(C56,Theory!B59:Q130,16,FALSE)</f>
        <v>0</v>
      </c>
      <c r="T56" s="371">
        <f>VLOOKUP(C56,Theory!B59:R130,17,FALSE)</f>
        <v>0</v>
      </c>
      <c r="U56" s="371">
        <f>VLOOKUP(C56,Theory!B59:S130,18,FALSE)</f>
        <v>0</v>
      </c>
      <c r="V56" s="369">
        <f t="shared" si="8"/>
        <v>0</v>
      </c>
      <c r="W56" s="361">
        <f>VLOOKUP(C56,Theory!B59:T130,19,FALSE)</f>
        <v>0</v>
      </c>
      <c r="X56" s="361">
        <f>VLOOKUP(C56,Theory!B59:U130,20,FALSE)</f>
        <v>0</v>
      </c>
      <c r="Y56" s="361">
        <f>VLOOKUP(C56,Theory!B59:V130,21,FALSE)</f>
        <v>0</v>
      </c>
      <c r="Z56" s="361">
        <f>VLOOKUP(C56,Theory!B59:W130,22,FALSE)</f>
        <v>0</v>
      </c>
      <c r="AA56" s="370">
        <f>VLOOKUP(C56,Theory!B59:X130,23,FALSE)</f>
        <v>4</v>
      </c>
      <c r="AB56" s="370">
        <f>VLOOKUP(C56,Theory!B59:Y130,24,FALSE)</f>
        <v>0</v>
      </c>
      <c r="AC56" s="370">
        <f>VLOOKUP(C56,Theory!B59:Z130,25,FALSE)</f>
        <v>0</v>
      </c>
      <c r="AD56" s="370">
        <f>VLOOKUP(C56,Theory!B59:AA130,26,FALSE)</f>
        <v>0</v>
      </c>
      <c r="AE56" s="369">
        <f t="shared" si="9"/>
        <v>4</v>
      </c>
      <c r="AF56" s="361">
        <f>VLOOKUP(C56,Theory!B59:AB130,27,FALSE)</f>
        <v>0</v>
      </c>
      <c r="AG56" s="361">
        <f>VLOOKUP(C56,Theory!B59:AC130,28,FALSE)</f>
        <v>0</v>
      </c>
      <c r="AH56" s="361">
        <f>VLOOKUP(C56,Theory!B59:AD130,29,FALSE)</f>
        <v>0</v>
      </c>
      <c r="AI56" s="361">
        <f>VLOOKUP(C56,Theory!B59:AE130,30,FALSE)</f>
        <v>0</v>
      </c>
      <c r="AJ56" s="380">
        <f>VLOOKUP(C56,Theory!B59:AF130,31,FALSE)</f>
        <v>0</v>
      </c>
      <c r="AK56" s="380">
        <f>VLOOKUP(C56,Theory!B59:AG130,32,FALSE)</f>
        <v>0</v>
      </c>
      <c r="AL56" s="380">
        <f>VLOOKUP(C56,Theory!B59:AH130,33,FALSE)</f>
        <v>0</v>
      </c>
      <c r="AM56" s="380">
        <f>VLOOKUP(C56,Theory!B59:AI130,34,FALSE)</f>
        <v>0</v>
      </c>
      <c r="AN56" s="369">
        <f t="shared" si="10"/>
        <v>0</v>
      </c>
      <c r="AO56" s="385">
        <f t="shared" si="0"/>
        <v>11</v>
      </c>
      <c r="AP56" s="386">
        <f>VLOOKUP(C56,Theory!B59:AJ130,35,FALSE)</f>
        <v>0</v>
      </c>
      <c r="AQ56" s="386">
        <f>VLOOKUP(C56,Theory!B59:AK130,36,FALSE)</f>
        <v>0</v>
      </c>
      <c r="AR56" s="386">
        <f>VLOOKUP(C56,Theory!B59:AL130,37,FALSE)</f>
        <v>0</v>
      </c>
      <c r="AS56" s="386">
        <f>VLOOKUP(C56,Theory!B59:AM130,38,FALSE)</f>
        <v>0</v>
      </c>
      <c r="AT56" s="369">
        <f t="shared" si="11"/>
        <v>0</v>
      </c>
      <c r="AU56" s="386">
        <f>VLOOKUP(C56,Theory!B59:AN130,39,FALSE)</f>
        <v>6</v>
      </c>
      <c r="AV56" s="386">
        <f>VLOOKUP(C56,Theory!B59:AO130,40,FALSE)</f>
        <v>0</v>
      </c>
      <c r="AW56" s="386">
        <f>VLOOKUP(C56,Theory!B59:AP130,41,FALSE)</f>
        <v>0</v>
      </c>
      <c r="AX56" s="386">
        <f>VLOOKUP(C56,Theory!B59:AQ130,42,FALSE)</f>
        <v>0</v>
      </c>
      <c r="AY56" s="369">
        <f t="shared" si="12"/>
        <v>6</v>
      </c>
      <c r="AZ56" s="386">
        <f>VLOOKUP(C56,Theory!B59:AR130,43,FALSE)</f>
        <v>0</v>
      </c>
      <c r="BA56" s="386">
        <f>VLOOKUP(C56,Theory!B59:AS130,44,FALSE)</f>
        <v>0</v>
      </c>
      <c r="BB56" s="386">
        <f>VLOOKUP(C56,Theory!B59:AT130,45,FALSE)</f>
        <v>0</v>
      </c>
      <c r="BC56" s="386">
        <f>VLOOKUP(C56,Theory!B59:AU130,46,FALSE)</f>
        <v>0</v>
      </c>
      <c r="BD56" s="386">
        <f>VLOOKUP(C56,Theory!B59:AV130,47,FALSE)</f>
        <v>4</v>
      </c>
      <c r="BE56" s="386">
        <f>VLOOKUP(C56,Theory!B59:AW130,48,FALSE)</f>
        <v>0</v>
      </c>
      <c r="BF56" s="386">
        <f>VLOOKUP(C56,Theory!B59:AX130,49,FALSE)</f>
        <v>0</v>
      </c>
      <c r="BG56" s="386">
        <f>VLOOKUP(C56,Theory!B59:AY130,50,FALSE)</f>
        <v>0</v>
      </c>
      <c r="BH56" s="369">
        <f t="shared" si="13"/>
        <v>4</v>
      </c>
      <c r="BI56" s="386">
        <f>VLOOKUP(C56,Theory!B59:AZ130,51,FALSE)</f>
        <v>0</v>
      </c>
      <c r="BJ56" s="386">
        <f>VLOOKUP(C56,Theory!B59:BA130,52,FALSE)</f>
        <v>0</v>
      </c>
      <c r="BK56" s="386">
        <f>VLOOKUP(C56,Theory!B59:BB130,53,FALSE)</f>
        <v>0</v>
      </c>
      <c r="BL56" s="386">
        <f>VLOOKUP(C56,Theory!B59:BC130,54,FALSE)</f>
        <v>0</v>
      </c>
      <c r="BM56" s="386">
        <f>VLOOKUP(C56,Theory!B59:BD130,55,FALSE)</f>
        <v>0</v>
      </c>
      <c r="BN56" s="386">
        <f>VLOOKUP(C56,Theory!B59:BE130,56,FALSE)</f>
        <v>0</v>
      </c>
      <c r="BO56" s="386">
        <f>VLOOKUP(C56,Theory!B59:BF130,57,FALSE)</f>
        <v>0</v>
      </c>
      <c r="BP56" s="386">
        <f>VLOOKUP(C56,Theory!B59:BG130,58,FALSE)</f>
        <v>0</v>
      </c>
      <c r="BQ56" s="369">
        <f t="shared" si="14"/>
        <v>0</v>
      </c>
      <c r="BR56" s="386">
        <f>VLOOKUP(C56,Theory!B59:BH130,59,FALSE)</f>
        <v>5</v>
      </c>
      <c r="BS56" s="386">
        <f>VLOOKUP(C56,Theory!B59:BI130,60,FALSE)</f>
        <v>0</v>
      </c>
      <c r="BT56" s="386">
        <f>VLOOKUP(C56,Theory!B59:BJ130,61,FALSE)</f>
        <v>0</v>
      </c>
      <c r="BU56" s="386">
        <f>VLOOKUP(C56,Theory!B59:BK130,62,FALSE)</f>
        <v>0</v>
      </c>
      <c r="BV56" s="386">
        <f>VLOOKUP(C56,Theory!B59:BL130,63,FALSE)</f>
        <v>0</v>
      </c>
      <c r="BW56" s="386">
        <f>VLOOKUP(C56,Theory!B59:BM130,64,FALSE)</f>
        <v>0</v>
      </c>
      <c r="BX56" s="386">
        <f>VLOOKUP(C56,Theory!B59:BN130,65,FALSE)</f>
        <v>0</v>
      </c>
      <c r="BY56" s="386">
        <f>VLOOKUP(C56,Theory!B59:BO130,66,FALSE)</f>
        <v>0</v>
      </c>
      <c r="BZ56" s="369">
        <f t="shared" si="15"/>
        <v>5</v>
      </c>
      <c r="CA56" s="385">
        <f t="shared" si="1"/>
        <v>15</v>
      </c>
      <c r="CB56" s="386">
        <f>VLOOKUP(C56,Theory!B59:BP130,67,FALSE)</f>
        <v>10</v>
      </c>
      <c r="CC56" s="386">
        <f>VLOOKUP(C56,Theory!B59:BQ130,68,FALSE)</f>
        <v>0</v>
      </c>
      <c r="CD56" s="386">
        <f>VLOOKUP(C56,Theory!B59:BR130,69,FALSE)</f>
        <v>0</v>
      </c>
      <c r="CE56" s="386">
        <f>VLOOKUP(C56,Theory!B59:BS130,70,FALSE)</f>
        <v>0</v>
      </c>
      <c r="CF56" s="369">
        <f t="shared" si="16"/>
        <v>10</v>
      </c>
      <c r="CG56" s="399">
        <f>VLOOKUP(C56,Theory!B59:BT130,71,FALSE)</f>
        <v>10</v>
      </c>
      <c r="CH56" s="399">
        <f>VLOOKUP(C56,Theory!B59:BU130,72,FALSE)</f>
        <v>0</v>
      </c>
      <c r="CI56" s="399">
        <f>VLOOKUP(C56,Theory!B59:BV130,73,FALSE)</f>
        <v>0</v>
      </c>
      <c r="CJ56" s="399">
        <f>VLOOKUP(C56,Theory!B59:BW130,74,FALSE)</f>
        <v>0</v>
      </c>
      <c r="CK56" s="369">
        <f t="shared" si="17"/>
        <v>10</v>
      </c>
      <c r="CL56" s="386">
        <f>VLOOKUP(C56,Theory!B59:BX130,75,FALSE)</f>
        <v>9</v>
      </c>
      <c r="CM56" s="400">
        <f>VLOOKUP(C56,Theory!B59:BY130,76,FALSE)</f>
        <v>0</v>
      </c>
      <c r="CN56" s="400">
        <f>VLOOKUP(C56,Theory!B59:BZ130,77,FALSE)</f>
        <v>0</v>
      </c>
      <c r="CO56" s="400">
        <f>VLOOKUP(C56,Theory!B59:CA130,78,FALSE)</f>
        <v>0</v>
      </c>
      <c r="CP56" s="386">
        <f>VLOOKUP(C56,Theory!B59:CB130,79,FALSE)</f>
        <v>0</v>
      </c>
      <c r="CQ56" s="386">
        <f>VLOOKUP(C56,Theory!B59:CC130,80,FALSE)</f>
        <v>0</v>
      </c>
      <c r="CR56" s="386">
        <f>VLOOKUP(C56,Theory!B59:CD130,81,FALSE)</f>
        <v>0</v>
      </c>
      <c r="CS56" s="386">
        <f>VLOOKUP(C56,Theory!B59:CE130,82,FALSE)</f>
        <v>0</v>
      </c>
      <c r="CT56" s="369">
        <f t="shared" si="18"/>
        <v>9</v>
      </c>
      <c r="CU56" s="399">
        <f>VLOOKUP(C56,Theory!B59:CF130,83,FALSE)</f>
        <v>10</v>
      </c>
      <c r="CV56" s="400">
        <f>VLOOKUP(C56,Theory!B59:CG130,84,FALSE)</f>
        <v>0</v>
      </c>
      <c r="CW56" s="400">
        <f>VLOOKUP(C56,Theory!B59:CH130,85,FALSE)</f>
        <v>0</v>
      </c>
      <c r="CX56" s="400">
        <f>VLOOKUP(C56,Theory!B59:CI130,86,FALSE)</f>
        <v>0</v>
      </c>
      <c r="CY56" s="399">
        <f>VLOOKUP(C56,Theory!B59:CJ130,87,FALSE)</f>
        <v>0</v>
      </c>
      <c r="CZ56" s="399">
        <f>VLOOKUP(C56,Theory!B59:CK130,88,FALSE)</f>
        <v>0</v>
      </c>
      <c r="DA56" s="399">
        <f>VLOOKUP(C56,Theory!B59:CL130,89,FALSE)</f>
        <v>0</v>
      </c>
      <c r="DB56" s="399">
        <f>VLOOKUP(C56,Theory!B59:CM130,90,FALSE)</f>
        <v>0</v>
      </c>
      <c r="DC56" s="369">
        <f t="shared" si="19"/>
        <v>10</v>
      </c>
      <c r="DD56" s="386">
        <f>VLOOKUP(C56,Theory!B59:CN130,91,FALSE)</f>
        <v>0</v>
      </c>
      <c r="DE56" s="400">
        <f>VLOOKUP(C56,Theory!B59:CO130,92,FALSE)</f>
        <v>0</v>
      </c>
      <c r="DF56" s="400">
        <f>VLOOKUP(C56,Theory!B59:CP130,93,FALSE)</f>
        <v>0</v>
      </c>
      <c r="DG56" s="400">
        <f>VLOOKUP(C56,Theory!B59:CQ130,94,FALSE)</f>
        <v>0</v>
      </c>
      <c r="DH56" s="386">
        <f>VLOOKUP(C56,Theory!B59:CR130,95,FALSE)</f>
        <v>0</v>
      </c>
      <c r="DI56" s="386">
        <f>VLOOKUP(C56,Theory!B59:CS130,96,FALSE)</f>
        <v>0</v>
      </c>
      <c r="DJ56" s="386">
        <f>VLOOKUP(C56,Theory!B59:CT130,97,FALSE)</f>
        <v>0</v>
      </c>
      <c r="DK56" s="386">
        <f>VLOOKUP(C56,Theory!B59:CU130,98,FALSE)</f>
        <v>0</v>
      </c>
      <c r="DL56" s="369">
        <f t="shared" si="20"/>
        <v>0</v>
      </c>
      <c r="DM56" s="411">
        <f t="shared" si="2"/>
        <v>39</v>
      </c>
      <c r="DN56" s="413">
        <f t="shared" si="40"/>
        <v>11</v>
      </c>
      <c r="DO56" s="413">
        <f t="shared" si="41"/>
        <v>15</v>
      </c>
      <c r="DP56" s="413">
        <f t="shared" si="42"/>
        <v>39</v>
      </c>
      <c r="DQ56" s="418">
        <f t="shared" si="43"/>
        <v>7</v>
      </c>
      <c r="DR56" s="418">
        <f t="shared" si="44"/>
        <v>9</v>
      </c>
      <c r="DS56" s="418">
        <f t="shared" si="45"/>
        <v>23</v>
      </c>
      <c r="DT56" s="417">
        <f t="shared" si="36"/>
        <v>13</v>
      </c>
      <c r="DU56" s="423">
        <f>VLOOKUP(C56,Theory!B59:CV130,99,FALSE)</f>
        <v>7</v>
      </c>
      <c r="DV56" s="423">
        <f>VLOOKUP(C56,Theory!B59:CW130,100,FALSE)</f>
        <v>10</v>
      </c>
      <c r="DW56" s="424">
        <f t="shared" si="27"/>
        <v>17</v>
      </c>
      <c r="DX56" s="421">
        <f t="shared" si="3"/>
        <v>30</v>
      </c>
      <c r="DY56" s="430">
        <f t="shared" si="4"/>
        <v>18</v>
      </c>
      <c r="DZ56" s="431">
        <f>VLOOKUP(C56,Lab!B51:D120,3,FALSE)</f>
        <v>0</v>
      </c>
      <c r="EA56" s="432">
        <f>VLOOKUP(C56,Lab!B51:E120,4,FALSE)</f>
        <v>0</v>
      </c>
      <c r="EB56" s="432">
        <f>VLOOKUP(C56,Lab!B51:F120,5,FALSE)</f>
        <v>25</v>
      </c>
      <c r="EC56" s="422">
        <f t="shared" si="37"/>
        <v>25</v>
      </c>
      <c r="ED56" s="436">
        <f>VLOOKUP(C56,Lab!B51:G120,6,FALSE)</f>
        <v>0</v>
      </c>
      <c r="EE56" s="436">
        <f>VLOOKUP(C56,Lab!B51:H120,7,FALSE)</f>
        <v>0</v>
      </c>
      <c r="EF56" s="437">
        <v>14</v>
      </c>
      <c r="EG56" s="443">
        <f t="shared" si="38"/>
        <v>14</v>
      </c>
      <c r="EH56" s="444">
        <f t="shared" si="28"/>
        <v>39</v>
      </c>
      <c r="EI56" s="445">
        <f t="shared" si="29"/>
        <v>16</v>
      </c>
      <c r="EJ56" s="446">
        <f t="shared" si="5"/>
        <v>34</v>
      </c>
      <c r="EK56" s="449">
        <v>33.5</v>
      </c>
      <c r="EM56" s="450">
        <f>VLOOKUP(C56,Theory!B59:DK130,114,FALSE)</f>
        <v>0</v>
      </c>
      <c r="EN56" s="450">
        <f>VLOOKUP(C56,Theory!B59:DL130,115,FALSE)</f>
        <v>0</v>
      </c>
      <c r="EO56" s="450">
        <f>VLOOKUP(C56,Theory!B59:DM130,116,FALSE)</f>
        <v>0</v>
      </c>
      <c r="EP56" s="450">
        <f>VLOOKUP(C56,Theory!B59:DN128,117,FALSE)</f>
        <v>0</v>
      </c>
      <c r="EQ56" s="450">
        <f>VLOOKUP(C56,Theory!B59:DO128,118,FALSE)</f>
        <v>0</v>
      </c>
      <c r="ER56" s="451">
        <f>VLOOKUP(C56,Theory!B59:DP128,119,FALSE)</f>
        <v>0</v>
      </c>
      <c r="ES56" s="454">
        <f>VLOOKUP(C56,Theory!B59:DQ128,120,FALSE)</f>
        <v>0</v>
      </c>
      <c r="ET56" s="455">
        <f t="shared" si="39"/>
        <v>0</v>
      </c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</row>
    <row r="57" ht="18.35" spans="1:160">
      <c r="A57" s="164">
        <v>44</v>
      </c>
      <c r="B57" s="289" t="str">
        <f>Theory!C60</f>
        <v>RITVIK K</v>
      </c>
      <c r="C57" s="360" t="str">
        <f>Theory!B60</f>
        <v>1DS23AI045</v>
      </c>
      <c r="D57" s="361">
        <f>VLOOKUP(C57,Theory!B60:D131,3,FALSE)</f>
        <v>9</v>
      </c>
      <c r="E57" s="361">
        <f>VLOOKUP(C57,Theory!B60:E131,4,FALSE)</f>
        <v>0</v>
      </c>
      <c r="F57" s="361">
        <f>VLOOKUP(C57,Theory!B60:F131,5,FALSE)</f>
        <v>0</v>
      </c>
      <c r="G57" s="361">
        <f>VLOOKUP(C57,Theory!B60:G131,6,FALSE)</f>
        <v>0</v>
      </c>
      <c r="H57" s="369">
        <f t="shared" si="6"/>
        <v>9</v>
      </c>
      <c r="I57" s="370">
        <f>VLOOKUP(C57,Theory!B60:H131,7,FALSE)</f>
        <v>9</v>
      </c>
      <c r="J57" s="371">
        <f>VLOOKUP(C57,Theory!B60:I131,8,FALSE)</f>
        <v>0</v>
      </c>
      <c r="K57" s="371">
        <f>VLOOKUP(C57,Theory!B60:J131,9,FALSE)</f>
        <v>0</v>
      </c>
      <c r="L57" s="371">
        <f>VLOOKUP(C57,Theory!B60:K131,10,FALSE)</f>
        <v>0</v>
      </c>
      <c r="M57" s="369">
        <f t="shared" si="7"/>
        <v>9</v>
      </c>
      <c r="N57" s="373">
        <f>VLOOKUP(C57,Theory!B60:L131,11,FALSE)</f>
        <v>0</v>
      </c>
      <c r="O57" s="373">
        <f>VLOOKUP(C57,Theory!B60:M131,12,FALSE)</f>
        <v>0</v>
      </c>
      <c r="P57" s="373">
        <f>VLOOKUP(C57,Theory!B60:N131,13,FALSE)</f>
        <v>0</v>
      </c>
      <c r="Q57" s="373">
        <f>VLOOKUP(C57,Theory!B60:O131,14,FALSE)</f>
        <v>0</v>
      </c>
      <c r="R57" s="371">
        <f>VLOOKUP(C57,Theory!B60:P131,15,FALSE)</f>
        <v>10</v>
      </c>
      <c r="S57" s="371">
        <f>VLOOKUP(C57,Theory!B60:Q131,16,FALSE)</f>
        <v>0</v>
      </c>
      <c r="T57" s="371">
        <f>VLOOKUP(C57,Theory!B60:R131,17,FALSE)</f>
        <v>0</v>
      </c>
      <c r="U57" s="371">
        <f>VLOOKUP(C57,Theory!B60:S131,18,FALSE)</f>
        <v>0</v>
      </c>
      <c r="V57" s="369">
        <f t="shared" si="8"/>
        <v>10</v>
      </c>
      <c r="W57" s="361">
        <f>VLOOKUP(C57,Theory!B60:T131,19,FALSE)</f>
        <v>0</v>
      </c>
      <c r="X57" s="361">
        <f>VLOOKUP(C57,Theory!B60:U131,20,FALSE)</f>
        <v>0</v>
      </c>
      <c r="Y57" s="361">
        <f>VLOOKUP(C57,Theory!B60:V131,21,FALSE)</f>
        <v>0</v>
      </c>
      <c r="Z57" s="361">
        <f>VLOOKUP(C57,Theory!B60:W131,22,FALSE)</f>
        <v>0</v>
      </c>
      <c r="AA57" s="370">
        <f>VLOOKUP(C57,Theory!B60:X131,23,FALSE)</f>
        <v>9</v>
      </c>
      <c r="AB57" s="370">
        <f>VLOOKUP(C57,Theory!B60:Y131,24,FALSE)</f>
        <v>0</v>
      </c>
      <c r="AC57" s="370">
        <f>VLOOKUP(C57,Theory!B60:Z131,25,FALSE)</f>
        <v>0</v>
      </c>
      <c r="AD57" s="370">
        <f>VLOOKUP(C57,Theory!B60:AA131,26,FALSE)</f>
        <v>0</v>
      </c>
      <c r="AE57" s="369">
        <f t="shared" si="9"/>
        <v>9</v>
      </c>
      <c r="AF57" s="361">
        <f>VLOOKUP(C57,Theory!B60:AB131,27,FALSE)</f>
        <v>10</v>
      </c>
      <c r="AG57" s="361">
        <f>VLOOKUP(C57,Theory!B60:AC131,28,FALSE)</f>
        <v>0</v>
      </c>
      <c r="AH57" s="361">
        <f>VLOOKUP(C57,Theory!B60:AD131,29,FALSE)</f>
        <v>0</v>
      </c>
      <c r="AI57" s="361">
        <f>VLOOKUP(C57,Theory!B60:AE131,30,FALSE)</f>
        <v>0</v>
      </c>
      <c r="AJ57" s="380">
        <f>VLOOKUP(C57,Theory!B60:AF131,31,FALSE)</f>
        <v>0</v>
      </c>
      <c r="AK57" s="380">
        <f>VLOOKUP(C57,Theory!B60:AG131,32,FALSE)</f>
        <v>0</v>
      </c>
      <c r="AL57" s="380">
        <f>VLOOKUP(C57,Theory!B60:AH131,33,FALSE)</f>
        <v>0</v>
      </c>
      <c r="AM57" s="380">
        <f>VLOOKUP(C57,Theory!B60:AI131,34,FALSE)</f>
        <v>0</v>
      </c>
      <c r="AN57" s="369">
        <f t="shared" si="10"/>
        <v>10</v>
      </c>
      <c r="AO57" s="385">
        <f t="shared" si="0"/>
        <v>47</v>
      </c>
      <c r="AP57" s="386">
        <f>VLOOKUP(C57,Theory!B60:AJ131,35,FALSE)</f>
        <v>4</v>
      </c>
      <c r="AQ57" s="386">
        <f>VLOOKUP(C57,Theory!B60:AK131,36,FALSE)</f>
        <v>0</v>
      </c>
      <c r="AR57" s="386">
        <f>VLOOKUP(C57,Theory!B60:AL131,37,FALSE)</f>
        <v>0</v>
      </c>
      <c r="AS57" s="386">
        <f>VLOOKUP(C57,Theory!B60:AM131,38,FALSE)</f>
        <v>0</v>
      </c>
      <c r="AT57" s="369">
        <f t="shared" si="11"/>
        <v>4</v>
      </c>
      <c r="AU57" s="386">
        <f>VLOOKUP(C57,Theory!B60:AN131,39,FALSE)</f>
        <v>2</v>
      </c>
      <c r="AV57" s="386">
        <f>VLOOKUP(C57,Theory!B60:AO131,40,FALSE)</f>
        <v>0</v>
      </c>
      <c r="AW57" s="386">
        <f>VLOOKUP(C57,Theory!B60:AP131,41,FALSE)</f>
        <v>0</v>
      </c>
      <c r="AX57" s="386">
        <f>VLOOKUP(C57,Theory!B60:AQ131,42,FALSE)</f>
        <v>0</v>
      </c>
      <c r="AY57" s="369">
        <f t="shared" si="12"/>
        <v>2</v>
      </c>
      <c r="AZ57" s="386">
        <f>VLOOKUP(C57,Theory!B60:AR131,43,FALSE)</f>
        <v>0</v>
      </c>
      <c r="BA57" s="386">
        <f>VLOOKUP(C57,Theory!B60:AS131,44,FALSE)</f>
        <v>0</v>
      </c>
      <c r="BB57" s="386">
        <f>VLOOKUP(C57,Theory!B60:AT131,45,FALSE)</f>
        <v>0</v>
      </c>
      <c r="BC57" s="386">
        <f>VLOOKUP(C57,Theory!B60:AU131,46,FALSE)</f>
        <v>0</v>
      </c>
      <c r="BD57" s="386">
        <f>VLOOKUP(C57,Theory!B60:AV131,47,FALSE)</f>
        <v>10</v>
      </c>
      <c r="BE57" s="386">
        <f>VLOOKUP(C57,Theory!B60:AW131,48,FALSE)</f>
        <v>0</v>
      </c>
      <c r="BF57" s="386">
        <f>VLOOKUP(C57,Theory!B60:AX131,49,FALSE)</f>
        <v>0</v>
      </c>
      <c r="BG57" s="386">
        <f>VLOOKUP(C57,Theory!B60:AY131,50,FALSE)</f>
        <v>0</v>
      </c>
      <c r="BH57" s="369">
        <f t="shared" si="13"/>
        <v>10</v>
      </c>
      <c r="BI57" s="386">
        <f>VLOOKUP(C57,Theory!B60:AZ131,51,FALSE)</f>
        <v>6</v>
      </c>
      <c r="BJ57" s="386">
        <f>VLOOKUP(C57,Theory!B60:BA131,52,FALSE)</f>
        <v>0</v>
      </c>
      <c r="BK57" s="386">
        <f>VLOOKUP(C57,Theory!B60:BB131,53,FALSE)</f>
        <v>0</v>
      </c>
      <c r="BL57" s="386">
        <f>VLOOKUP(C57,Theory!B60:BC131,54,FALSE)</f>
        <v>0</v>
      </c>
      <c r="BM57" s="386">
        <f>VLOOKUP(C57,Theory!B60:BD131,55,FALSE)</f>
        <v>0</v>
      </c>
      <c r="BN57" s="386">
        <f>VLOOKUP(C57,Theory!B60:BE131,56,FALSE)</f>
        <v>0</v>
      </c>
      <c r="BO57" s="386">
        <f>VLOOKUP(C57,Theory!B60:BF131,57,FALSE)</f>
        <v>0</v>
      </c>
      <c r="BP57" s="386">
        <f>VLOOKUP(C57,Theory!B60:BG131,58,FALSE)</f>
        <v>0</v>
      </c>
      <c r="BQ57" s="369">
        <f t="shared" si="14"/>
        <v>6</v>
      </c>
      <c r="BR57" s="386">
        <f>VLOOKUP(C57,Theory!B60:BH131,59,FALSE)</f>
        <v>10</v>
      </c>
      <c r="BS57" s="386">
        <f>VLOOKUP(C57,Theory!B60:BI131,60,FALSE)</f>
        <v>0</v>
      </c>
      <c r="BT57" s="386">
        <f>VLOOKUP(C57,Theory!B60:BJ131,61,FALSE)</f>
        <v>0</v>
      </c>
      <c r="BU57" s="386">
        <f>VLOOKUP(C57,Theory!B60:BK131,62,FALSE)</f>
        <v>0</v>
      </c>
      <c r="BV57" s="386">
        <f>VLOOKUP(C57,Theory!B60:BL131,63,FALSE)</f>
        <v>0</v>
      </c>
      <c r="BW57" s="386">
        <f>VLOOKUP(C57,Theory!B60:BM131,64,FALSE)</f>
        <v>0</v>
      </c>
      <c r="BX57" s="386">
        <f>VLOOKUP(C57,Theory!B60:BN131,65,FALSE)</f>
        <v>0</v>
      </c>
      <c r="BY57" s="386">
        <f>VLOOKUP(C57,Theory!B60:BO131,66,FALSE)</f>
        <v>0</v>
      </c>
      <c r="BZ57" s="369">
        <f t="shared" si="15"/>
        <v>10</v>
      </c>
      <c r="CA57" s="385">
        <f t="shared" si="1"/>
        <v>32</v>
      </c>
      <c r="CB57" s="386">
        <f>VLOOKUP(C57,Theory!B60:BP131,67,FALSE)</f>
        <v>9</v>
      </c>
      <c r="CC57" s="386">
        <f>VLOOKUP(C57,Theory!B60:BQ131,68,FALSE)</f>
        <v>0</v>
      </c>
      <c r="CD57" s="386">
        <f>VLOOKUP(C57,Theory!B60:BR131,69,FALSE)</f>
        <v>0</v>
      </c>
      <c r="CE57" s="386">
        <f>VLOOKUP(C57,Theory!B60:BS131,70,FALSE)</f>
        <v>0</v>
      </c>
      <c r="CF57" s="369">
        <f t="shared" si="16"/>
        <v>9</v>
      </c>
      <c r="CG57" s="399">
        <f>VLOOKUP(C57,Theory!B60:BT131,71,FALSE)</f>
        <v>10</v>
      </c>
      <c r="CH57" s="399">
        <f>VLOOKUP(C57,Theory!B60:BU131,72,FALSE)</f>
        <v>0</v>
      </c>
      <c r="CI57" s="399">
        <f>VLOOKUP(C57,Theory!B60:BV131,73,FALSE)</f>
        <v>0</v>
      </c>
      <c r="CJ57" s="399">
        <f>VLOOKUP(C57,Theory!B60:BW131,74,FALSE)</f>
        <v>0</v>
      </c>
      <c r="CK57" s="369">
        <f t="shared" si="17"/>
        <v>10</v>
      </c>
      <c r="CL57" s="386">
        <f>VLOOKUP(C57,Theory!B60:BX131,75,FALSE)</f>
        <v>10</v>
      </c>
      <c r="CM57" s="400">
        <f>VLOOKUP(C57,Theory!B60:BY131,76,FALSE)</f>
        <v>0</v>
      </c>
      <c r="CN57" s="400">
        <f>VLOOKUP(C57,Theory!B60:BZ131,77,FALSE)</f>
        <v>0</v>
      </c>
      <c r="CO57" s="400">
        <f>VLOOKUP(C57,Theory!B60:CA131,78,FALSE)</f>
        <v>0</v>
      </c>
      <c r="CP57" s="386">
        <f>VLOOKUP(C57,Theory!B60:CB131,79,FALSE)</f>
        <v>0</v>
      </c>
      <c r="CQ57" s="386">
        <f>VLOOKUP(C57,Theory!B60:CC131,80,FALSE)</f>
        <v>0</v>
      </c>
      <c r="CR57" s="386">
        <f>VLOOKUP(C57,Theory!B60:CD131,81,FALSE)</f>
        <v>0</v>
      </c>
      <c r="CS57" s="386">
        <f>VLOOKUP(C57,Theory!B60:CE131,82,FALSE)</f>
        <v>0</v>
      </c>
      <c r="CT57" s="369">
        <f t="shared" si="18"/>
        <v>10</v>
      </c>
      <c r="CU57" s="399">
        <f>VLOOKUP(C57,Theory!B60:CF131,83,FALSE)</f>
        <v>10</v>
      </c>
      <c r="CV57" s="400">
        <f>VLOOKUP(C57,Theory!B60:CG131,84,FALSE)</f>
        <v>0</v>
      </c>
      <c r="CW57" s="400">
        <f>VLOOKUP(C57,Theory!B60:CH131,85,FALSE)</f>
        <v>0</v>
      </c>
      <c r="CX57" s="400">
        <f>VLOOKUP(C57,Theory!B60:CI131,86,FALSE)</f>
        <v>0</v>
      </c>
      <c r="CY57" s="399">
        <f>VLOOKUP(C57,Theory!B60:CJ131,87,FALSE)</f>
        <v>0</v>
      </c>
      <c r="CZ57" s="399">
        <f>VLOOKUP(C57,Theory!B60:CK131,88,FALSE)</f>
        <v>0</v>
      </c>
      <c r="DA57" s="399">
        <f>VLOOKUP(C57,Theory!B60:CL131,89,FALSE)</f>
        <v>0</v>
      </c>
      <c r="DB57" s="399">
        <f>VLOOKUP(C57,Theory!B60:CM131,90,FALSE)</f>
        <v>0</v>
      </c>
      <c r="DC57" s="369">
        <f t="shared" si="19"/>
        <v>10</v>
      </c>
      <c r="DD57" s="386">
        <f>VLOOKUP(C57,Theory!B60:CN131,91,FALSE)</f>
        <v>10</v>
      </c>
      <c r="DE57" s="400">
        <f>VLOOKUP(C57,Theory!B60:CO131,92,FALSE)</f>
        <v>0</v>
      </c>
      <c r="DF57" s="400">
        <f>VLOOKUP(C57,Theory!B60:CP131,93,FALSE)</f>
        <v>0</v>
      </c>
      <c r="DG57" s="400">
        <f>VLOOKUP(C57,Theory!B60:CQ131,94,FALSE)</f>
        <v>0</v>
      </c>
      <c r="DH57" s="386">
        <f>VLOOKUP(C57,Theory!B60:CR131,95,FALSE)</f>
        <v>0</v>
      </c>
      <c r="DI57" s="386">
        <f>VLOOKUP(C57,Theory!B60:CS131,96,FALSE)</f>
        <v>0</v>
      </c>
      <c r="DJ57" s="386">
        <f>VLOOKUP(C57,Theory!B60:CT131,97,FALSE)</f>
        <v>0</v>
      </c>
      <c r="DK57" s="386">
        <f>VLOOKUP(C57,Theory!B60:CU131,98,FALSE)</f>
        <v>0</v>
      </c>
      <c r="DL57" s="369">
        <f t="shared" si="20"/>
        <v>10</v>
      </c>
      <c r="DM57" s="411">
        <f t="shared" si="2"/>
        <v>49</v>
      </c>
      <c r="DN57" s="413">
        <f t="shared" si="40"/>
        <v>47</v>
      </c>
      <c r="DO57" s="413">
        <f t="shared" si="41"/>
        <v>32</v>
      </c>
      <c r="DP57" s="413">
        <f t="shared" si="42"/>
        <v>49</v>
      </c>
      <c r="DQ57" s="418">
        <f t="shared" si="43"/>
        <v>28</v>
      </c>
      <c r="DR57" s="418">
        <f t="shared" si="44"/>
        <v>19</v>
      </c>
      <c r="DS57" s="418">
        <f t="shared" si="45"/>
        <v>29</v>
      </c>
      <c r="DT57" s="417">
        <f t="shared" si="36"/>
        <v>25</v>
      </c>
      <c r="DU57" s="423">
        <f>VLOOKUP(C57,Theory!B60:CV131,99,FALSE)</f>
        <v>10</v>
      </c>
      <c r="DV57" s="423">
        <f>VLOOKUP(C57,Theory!B60:CW131,100,FALSE)</f>
        <v>10</v>
      </c>
      <c r="DW57" s="424">
        <f t="shared" si="27"/>
        <v>20</v>
      </c>
      <c r="DX57" s="421">
        <f t="shared" si="3"/>
        <v>45</v>
      </c>
      <c r="DY57" s="430">
        <f t="shared" si="4"/>
        <v>27</v>
      </c>
      <c r="DZ57" s="431">
        <f>VLOOKUP(C57,Lab!B52:D121,3,FALSE)</f>
        <v>0</v>
      </c>
      <c r="EA57" s="432">
        <f>VLOOKUP(C57,Lab!B52:E121,4,FALSE)</f>
        <v>0</v>
      </c>
      <c r="EB57" s="432">
        <f>VLOOKUP(C57,Lab!B52:F121,5,FALSE)</f>
        <v>30</v>
      </c>
      <c r="EC57" s="422">
        <f t="shared" si="37"/>
        <v>30</v>
      </c>
      <c r="ED57" s="436">
        <f>VLOOKUP(C57,Lab!B52:G121,6,FALSE)</f>
        <v>0</v>
      </c>
      <c r="EE57" s="436">
        <f>VLOOKUP(C57,Lab!B52:H121,7,FALSE)</f>
        <v>0</v>
      </c>
      <c r="EF57" s="437">
        <f>VLOOKUP(C57,Lab!B52:I121,8,FALSE)</f>
        <v>20</v>
      </c>
      <c r="EG57" s="443">
        <f t="shared" si="38"/>
        <v>20</v>
      </c>
      <c r="EH57" s="444">
        <f t="shared" si="28"/>
        <v>50</v>
      </c>
      <c r="EI57" s="445">
        <f t="shared" si="29"/>
        <v>20</v>
      </c>
      <c r="EJ57" s="446">
        <f t="shared" si="5"/>
        <v>47</v>
      </c>
      <c r="EK57" s="449">
        <v>41</v>
      </c>
      <c r="EM57" s="450">
        <f>VLOOKUP(C57,Theory!B60:DK131,114,FALSE)</f>
        <v>0</v>
      </c>
      <c r="EN57" s="450">
        <f>VLOOKUP(C57,Theory!B60:DL131,115,FALSE)</f>
        <v>0</v>
      </c>
      <c r="EO57" s="450">
        <f>VLOOKUP(C57,Theory!B60:DM131,116,FALSE)</f>
        <v>0</v>
      </c>
      <c r="EP57" s="450">
        <f>VLOOKUP(C57,Theory!B60:DN129,117,FALSE)</f>
        <v>0</v>
      </c>
      <c r="EQ57" s="450">
        <f>VLOOKUP(C57,Theory!B60:DO129,118,FALSE)</f>
        <v>0</v>
      </c>
      <c r="ER57" s="451">
        <f>VLOOKUP(C57,Theory!B60:DP129,119,FALSE)</f>
        <v>0</v>
      </c>
      <c r="ES57" s="454">
        <f>VLOOKUP(C57,Theory!B60:DQ129,120,FALSE)</f>
        <v>0</v>
      </c>
      <c r="ET57" s="455">
        <f t="shared" si="39"/>
        <v>0</v>
      </c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</row>
    <row r="58" ht="18.35" spans="1:160">
      <c r="A58" s="164">
        <v>45</v>
      </c>
      <c r="B58" s="289" t="str">
        <f>Theory!C61</f>
        <v>SAI KRISHNA</v>
      </c>
      <c r="C58" s="360" t="str">
        <f>Theory!B61</f>
        <v>1DS23AI046</v>
      </c>
      <c r="D58" s="361">
        <f>VLOOKUP(C58,Theory!B61:D132,3,FALSE)</f>
        <v>7</v>
      </c>
      <c r="E58" s="361">
        <f>VLOOKUP(C58,Theory!B61:E132,4,FALSE)</f>
        <v>0</v>
      </c>
      <c r="F58" s="361">
        <f>VLOOKUP(C58,Theory!B61:F132,5,FALSE)</f>
        <v>0</v>
      </c>
      <c r="G58" s="361">
        <f>VLOOKUP(C58,Theory!B61:G132,6,FALSE)</f>
        <v>0</v>
      </c>
      <c r="H58" s="369">
        <f t="shared" si="6"/>
        <v>7</v>
      </c>
      <c r="I58" s="370">
        <f>VLOOKUP(C58,Theory!B61:H132,7,FALSE)</f>
        <v>2</v>
      </c>
      <c r="J58" s="371">
        <f>VLOOKUP(C58,Theory!B61:I132,8,FALSE)</f>
        <v>0</v>
      </c>
      <c r="K58" s="371">
        <f>VLOOKUP(C58,Theory!B61:J132,9,FALSE)</f>
        <v>0</v>
      </c>
      <c r="L58" s="371">
        <f>VLOOKUP(C58,Theory!B61:K132,10,FALSE)</f>
        <v>0</v>
      </c>
      <c r="M58" s="369">
        <f t="shared" si="7"/>
        <v>2</v>
      </c>
      <c r="N58" s="373">
        <f>VLOOKUP(C58,Theory!B61:L132,11,FALSE)</f>
        <v>1</v>
      </c>
      <c r="O58" s="373">
        <f>VLOOKUP(C58,Theory!B61:M132,12,FALSE)</f>
        <v>0</v>
      </c>
      <c r="P58" s="373">
        <f>VLOOKUP(C58,Theory!B61:N132,13,FALSE)</f>
        <v>0</v>
      </c>
      <c r="Q58" s="373">
        <f>VLOOKUP(C58,Theory!B61:O132,14,FALSE)</f>
        <v>0</v>
      </c>
      <c r="R58" s="371">
        <f>VLOOKUP(C58,Theory!B61:P132,15,FALSE)</f>
        <v>0</v>
      </c>
      <c r="S58" s="371">
        <f>VLOOKUP(C58,Theory!B61:Q132,16,FALSE)</f>
        <v>0</v>
      </c>
      <c r="T58" s="371">
        <f>VLOOKUP(C58,Theory!B61:R132,17,FALSE)</f>
        <v>0</v>
      </c>
      <c r="U58" s="371">
        <f>VLOOKUP(C58,Theory!B61:S132,18,FALSE)</f>
        <v>0</v>
      </c>
      <c r="V58" s="369">
        <f t="shared" si="8"/>
        <v>1</v>
      </c>
      <c r="W58" s="361">
        <f>VLOOKUP(C58,Theory!B61:T132,19,FALSE)</f>
        <v>0</v>
      </c>
      <c r="X58" s="361">
        <f>VLOOKUP(C58,Theory!B61:U132,20,FALSE)</f>
        <v>0</v>
      </c>
      <c r="Y58" s="361">
        <f>VLOOKUP(C58,Theory!B61:V132,21,FALSE)</f>
        <v>0</v>
      </c>
      <c r="Z58" s="361">
        <f>VLOOKUP(C58,Theory!B61:W132,22,FALSE)</f>
        <v>0</v>
      </c>
      <c r="AA58" s="370">
        <f>VLOOKUP(C58,Theory!B61:X132,23,FALSE)</f>
        <v>9</v>
      </c>
      <c r="AB58" s="370">
        <f>VLOOKUP(C58,Theory!B61:Y132,24,FALSE)</f>
        <v>0</v>
      </c>
      <c r="AC58" s="370">
        <f>VLOOKUP(C58,Theory!B61:Z132,25,FALSE)</f>
        <v>0</v>
      </c>
      <c r="AD58" s="370">
        <f>VLOOKUP(C58,Theory!B61:AA132,26,FALSE)</f>
        <v>0</v>
      </c>
      <c r="AE58" s="369">
        <f t="shared" si="9"/>
        <v>9</v>
      </c>
      <c r="AF58" s="361">
        <f>VLOOKUP(C58,Theory!B61:AB132,27,FALSE)</f>
        <v>0</v>
      </c>
      <c r="AG58" s="361">
        <f>VLOOKUP(C58,Theory!B61:AC132,28,FALSE)</f>
        <v>0</v>
      </c>
      <c r="AH58" s="361">
        <f>VLOOKUP(C58,Theory!B61:AD132,29,FALSE)</f>
        <v>0</v>
      </c>
      <c r="AI58" s="361">
        <f>VLOOKUP(C58,Theory!B61:AE132,30,FALSE)</f>
        <v>0</v>
      </c>
      <c r="AJ58" s="380">
        <f>VLOOKUP(C58,Theory!B61:AF132,31,FALSE)</f>
        <v>2</v>
      </c>
      <c r="AK58" s="380">
        <f>VLOOKUP(C58,Theory!B61:AG132,32,FALSE)</f>
        <v>0</v>
      </c>
      <c r="AL58" s="380">
        <f>VLOOKUP(C58,Theory!B61:AH132,33,FALSE)</f>
        <v>0</v>
      </c>
      <c r="AM58" s="380">
        <f>VLOOKUP(C58,Theory!B61:AI132,34,FALSE)</f>
        <v>0</v>
      </c>
      <c r="AN58" s="369">
        <f t="shared" si="10"/>
        <v>2</v>
      </c>
      <c r="AO58" s="385">
        <f t="shared" si="0"/>
        <v>21</v>
      </c>
      <c r="AP58" s="386">
        <f>VLOOKUP(C58,Theory!B61:AJ132,35,FALSE)</f>
        <v>4</v>
      </c>
      <c r="AQ58" s="386">
        <f>VLOOKUP(C58,Theory!B61:AK132,36,FALSE)</f>
        <v>0</v>
      </c>
      <c r="AR58" s="386">
        <f>VLOOKUP(C58,Theory!B61:AL132,37,FALSE)</f>
        <v>0</v>
      </c>
      <c r="AS58" s="386">
        <f>VLOOKUP(C58,Theory!B61:AM132,38,FALSE)</f>
        <v>0</v>
      </c>
      <c r="AT58" s="369">
        <f t="shared" si="11"/>
        <v>4</v>
      </c>
      <c r="AU58" s="386">
        <f>VLOOKUP(C58,Theory!B61:AN132,39,FALSE)</f>
        <v>0</v>
      </c>
      <c r="AV58" s="386">
        <f>VLOOKUP(C58,Theory!B61:AO132,40,FALSE)</f>
        <v>0</v>
      </c>
      <c r="AW58" s="386">
        <f>VLOOKUP(C58,Theory!B61:AP132,41,FALSE)</f>
        <v>0</v>
      </c>
      <c r="AX58" s="386">
        <f>VLOOKUP(C58,Theory!B61:AQ132,42,FALSE)</f>
        <v>0</v>
      </c>
      <c r="AY58" s="369">
        <f t="shared" si="12"/>
        <v>0</v>
      </c>
      <c r="AZ58" s="386">
        <f>VLOOKUP(C58,Theory!B61:AR132,43,FALSE)</f>
        <v>4</v>
      </c>
      <c r="BA58" s="386">
        <f>VLOOKUP(C58,Theory!B61:AS132,44,FALSE)</f>
        <v>0</v>
      </c>
      <c r="BB58" s="386">
        <f>VLOOKUP(C58,Theory!B61:AT132,45,FALSE)</f>
        <v>0</v>
      </c>
      <c r="BC58" s="386">
        <f>VLOOKUP(C58,Theory!B61:AU132,46,FALSE)</f>
        <v>0</v>
      </c>
      <c r="BD58" s="386">
        <f>VLOOKUP(C58,Theory!B61:AV132,47,FALSE)</f>
        <v>8</v>
      </c>
      <c r="BE58" s="386">
        <f>VLOOKUP(C58,Theory!B61:AW132,48,FALSE)</f>
        <v>0</v>
      </c>
      <c r="BF58" s="386">
        <f>VLOOKUP(C58,Theory!B61:AX132,49,FALSE)</f>
        <v>0</v>
      </c>
      <c r="BG58" s="386">
        <f>VLOOKUP(C58,Theory!B61:AY132,50,FALSE)</f>
        <v>0</v>
      </c>
      <c r="BH58" s="369">
        <f t="shared" si="13"/>
        <v>8</v>
      </c>
      <c r="BI58" s="386">
        <f>VLOOKUP(C58,Theory!B61:AZ132,51,FALSE)</f>
        <v>4</v>
      </c>
      <c r="BJ58" s="386">
        <f>VLOOKUP(C58,Theory!B61:BA132,52,FALSE)</f>
        <v>0</v>
      </c>
      <c r="BK58" s="386">
        <f>VLOOKUP(C58,Theory!B61:BB132,53,FALSE)</f>
        <v>0</v>
      </c>
      <c r="BL58" s="386">
        <f>VLOOKUP(C58,Theory!B61:BC132,54,FALSE)</f>
        <v>0</v>
      </c>
      <c r="BM58" s="386">
        <f>VLOOKUP(C58,Theory!B61:BD132,55,FALSE)</f>
        <v>0</v>
      </c>
      <c r="BN58" s="386">
        <f>VLOOKUP(C58,Theory!B61:BE132,56,FALSE)</f>
        <v>0</v>
      </c>
      <c r="BO58" s="386">
        <f>VLOOKUP(C58,Theory!B61:BF132,57,FALSE)</f>
        <v>0</v>
      </c>
      <c r="BP58" s="386">
        <f>VLOOKUP(C58,Theory!B61:BG132,58,FALSE)</f>
        <v>0</v>
      </c>
      <c r="BQ58" s="369">
        <f t="shared" si="14"/>
        <v>4</v>
      </c>
      <c r="BR58" s="386">
        <f>VLOOKUP(C58,Theory!B61:BH132,59,FALSE)</f>
        <v>8</v>
      </c>
      <c r="BS58" s="386">
        <f>VLOOKUP(C58,Theory!B61:BI132,60,FALSE)</f>
        <v>0</v>
      </c>
      <c r="BT58" s="386">
        <f>VLOOKUP(C58,Theory!B61:BJ132,61,FALSE)</f>
        <v>0</v>
      </c>
      <c r="BU58" s="386">
        <f>VLOOKUP(C58,Theory!B61:BK132,62,FALSE)</f>
        <v>0</v>
      </c>
      <c r="BV58" s="386">
        <f>VLOOKUP(C58,Theory!B61:BL132,63,FALSE)</f>
        <v>0</v>
      </c>
      <c r="BW58" s="386">
        <f>VLOOKUP(C58,Theory!B61:BM132,64,FALSE)</f>
        <v>0</v>
      </c>
      <c r="BX58" s="386">
        <f>VLOOKUP(C58,Theory!B61:BN132,65,FALSE)</f>
        <v>0</v>
      </c>
      <c r="BY58" s="386">
        <f>VLOOKUP(C58,Theory!B61:BO132,66,FALSE)</f>
        <v>0</v>
      </c>
      <c r="BZ58" s="369">
        <f t="shared" si="15"/>
        <v>8</v>
      </c>
      <c r="CA58" s="385">
        <f t="shared" si="1"/>
        <v>24</v>
      </c>
      <c r="CB58" s="386">
        <f>VLOOKUP(C58,Theory!B61:BP132,67,FALSE)</f>
        <v>8</v>
      </c>
      <c r="CC58" s="386">
        <f>VLOOKUP(C58,Theory!B61:BQ132,68,FALSE)</f>
        <v>0</v>
      </c>
      <c r="CD58" s="386">
        <f>VLOOKUP(C58,Theory!B61:BR132,69,FALSE)</f>
        <v>0</v>
      </c>
      <c r="CE58" s="386">
        <f>VLOOKUP(C58,Theory!B61:BS132,70,FALSE)</f>
        <v>0</v>
      </c>
      <c r="CF58" s="369">
        <f t="shared" si="16"/>
        <v>8</v>
      </c>
      <c r="CG58" s="399">
        <f>VLOOKUP(C58,Theory!B61:BT132,71,FALSE)</f>
        <v>8</v>
      </c>
      <c r="CH58" s="399">
        <f>VLOOKUP(C58,Theory!B61:BU132,72,FALSE)</f>
        <v>0</v>
      </c>
      <c r="CI58" s="399">
        <f>VLOOKUP(C58,Theory!B61:BV132,73,FALSE)</f>
        <v>0</v>
      </c>
      <c r="CJ58" s="399">
        <f>VLOOKUP(C58,Theory!B61:BW132,74,FALSE)</f>
        <v>0</v>
      </c>
      <c r="CK58" s="369">
        <f t="shared" si="17"/>
        <v>8</v>
      </c>
      <c r="CL58" s="386">
        <f>VLOOKUP(C58,Theory!B61:BX132,75,FALSE)</f>
        <v>8</v>
      </c>
      <c r="CM58" s="400">
        <f>VLOOKUP(C58,Theory!B61:BY132,76,FALSE)</f>
        <v>0</v>
      </c>
      <c r="CN58" s="400">
        <f>VLOOKUP(C58,Theory!B61:BZ132,77,FALSE)</f>
        <v>0</v>
      </c>
      <c r="CO58" s="400">
        <f>VLOOKUP(C58,Theory!B61:CA132,78,FALSE)</f>
        <v>0</v>
      </c>
      <c r="CP58" s="386">
        <f>VLOOKUP(C58,Theory!B61:CB132,79,FALSE)</f>
        <v>0</v>
      </c>
      <c r="CQ58" s="386">
        <f>VLOOKUP(C58,Theory!B61:CC132,80,FALSE)</f>
        <v>0</v>
      </c>
      <c r="CR58" s="386">
        <f>VLOOKUP(C58,Theory!B61:CD132,81,FALSE)</f>
        <v>0</v>
      </c>
      <c r="CS58" s="386">
        <f>VLOOKUP(C58,Theory!B61:CE132,82,FALSE)</f>
        <v>0</v>
      </c>
      <c r="CT58" s="369">
        <f t="shared" si="18"/>
        <v>8</v>
      </c>
      <c r="CU58" s="399">
        <f>VLOOKUP(C58,Theory!B61:CF132,83,FALSE)</f>
        <v>8</v>
      </c>
      <c r="CV58" s="400">
        <f>VLOOKUP(C58,Theory!B61:CG132,84,FALSE)</f>
        <v>0</v>
      </c>
      <c r="CW58" s="400">
        <f>VLOOKUP(C58,Theory!B61:CH132,85,FALSE)</f>
        <v>0</v>
      </c>
      <c r="CX58" s="400">
        <f>VLOOKUP(C58,Theory!B61:CI132,86,FALSE)</f>
        <v>0</v>
      </c>
      <c r="CY58" s="399">
        <f>VLOOKUP(C58,Theory!B61:CJ132,87,FALSE)</f>
        <v>0</v>
      </c>
      <c r="CZ58" s="399">
        <f>VLOOKUP(C58,Theory!B61:CK132,88,FALSE)</f>
        <v>0</v>
      </c>
      <c r="DA58" s="399">
        <f>VLOOKUP(C58,Theory!B61:CL132,89,FALSE)</f>
        <v>0</v>
      </c>
      <c r="DB58" s="399">
        <f>VLOOKUP(C58,Theory!B61:CM132,90,FALSE)</f>
        <v>0</v>
      </c>
      <c r="DC58" s="369">
        <f t="shared" si="19"/>
        <v>8</v>
      </c>
      <c r="DD58" s="386">
        <f>VLOOKUP(C58,Theory!B61:CN132,91,FALSE)</f>
        <v>8</v>
      </c>
      <c r="DE58" s="400">
        <f>VLOOKUP(C58,Theory!B61:CO132,92,FALSE)</f>
        <v>0</v>
      </c>
      <c r="DF58" s="400">
        <f>VLOOKUP(C58,Theory!B61:CP132,93,FALSE)</f>
        <v>0</v>
      </c>
      <c r="DG58" s="400">
        <f>VLOOKUP(C58,Theory!B61:CQ132,94,FALSE)</f>
        <v>0</v>
      </c>
      <c r="DH58" s="386">
        <f>VLOOKUP(C58,Theory!B61:CR132,95,FALSE)</f>
        <v>0</v>
      </c>
      <c r="DI58" s="386">
        <f>VLOOKUP(C58,Theory!B61:CS132,96,FALSE)</f>
        <v>0</v>
      </c>
      <c r="DJ58" s="386">
        <f>VLOOKUP(C58,Theory!B61:CT132,97,FALSE)</f>
        <v>0</v>
      </c>
      <c r="DK58" s="386">
        <f>VLOOKUP(C58,Theory!B61:CU132,98,FALSE)</f>
        <v>0</v>
      </c>
      <c r="DL58" s="369">
        <f t="shared" si="20"/>
        <v>8</v>
      </c>
      <c r="DM58" s="411">
        <f t="shared" si="2"/>
        <v>40</v>
      </c>
      <c r="DN58" s="413">
        <f t="shared" si="40"/>
        <v>21</v>
      </c>
      <c r="DO58" s="413">
        <f t="shared" si="41"/>
        <v>24</v>
      </c>
      <c r="DP58" s="413">
        <f t="shared" si="42"/>
        <v>40</v>
      </c>
      <c r="DQ58" s="418">
        <f t="shared" si="43"/>
        <v>13</v>
      </c>
      <c r="DR58" s="418">
        <f t="shared" si="44"/>
        <v>14</v>
      </c>
      <c r="DS58" s="418">
        <f t="shared" si="45"/>
        <v>24</v>
      </c>
      <c r="DT58" s="417">
        <f t="shared" si="36"/>
        <v>17</v>
      </c>
      <c r="DU58" s="423">
        <f>VLOOKUP(C58,Theory!B61:CV132,99,FALSE)</f>
        <v>7</v>
      </c>
      <c r="DV58" s="423">
        <f>VLOOKUP(C58,Theory!B61:CW132,100,FALSE)</f>
        <v>10</v>
      </c>
      <c r="DW58" s="424">
        <f t="shared" si="27"/>
        <v>17</v>
      </c>
      <c r="DX58" s="421">
        <f t="shared" si="3"/>
        <v>34</v>
      </c>
      <c r="DY58" s="430">
        <f t="shared" si="4"/>
        <v>20</v>
      </c>
      <c r="DZ58" s="431">
        <f>VLOOKUP(C58,Lab!B53:D122,3,FALSE)</f>
        <v>0</v>
      </c>
      <c r="EA58" s="432">
        <f>VLOOKUP(C58,Lab!B53:E122,4,FALSE)</f>
        <v>0</v>
      </c>
      <c r="EB58" s="432">
        <f>VLOOKUP(C58,Lab!B53:F122,5,FALSE)</f>
        <v>28</v>
      </c>
      <c r="EC58" s="422">
        <f t="shared" si="37"/>
        <v>28</v>
      </c>
      <c r="ED58" s="436">
        <f>VLOOKUP(C58,Lab!B53:G122,6,FALSE)</f>
        <v>0</v>
      </c>
      <c r="EE58" s="436">
        <f>VLOOKUP(C58,Lab!B53:H122,7,FALSE)</f>
        <v>0</v>
      </c>
      <c r="EF58" s="437">
        <v>16</v>
      </c>
      <c r="EG58" s="443">
        <f t="shared" si="38"/>
        <v>16</v>
      </c>
      <c r="EH58" s="444">
        <f t="shared" si="28"/>
        <v>44</v>
      </c>
      <c r="EI58" s="445">
        <f t="shared" si="29"/>
        <v>18</v>
      </c>
      <c r="EJ58" s="446">
        <f t="shared" si="5"/>
        <v>38</v>
      </c>
      <c r="EK58" s="449">
        <v>31</v>
      </c>
      <c r="EM58" s="450">
        <f>VLOOKUP(C58,Theory!B61:DK132,114,FALSE)</f>
        <v>0</v>
      </c>
      <c r="EN58" s="450">
        <f>VLOOKUP(C58,Theory!B61:DL132,115,FALSE)</f>
        <v>0</v>
      </c>
      <c r="EO58" s="450">
        <f>VLOOKUP(C58,Theory!B61:DM132,116,FALSE)</f>
        <v>0</v>
      </c>
      <c r="EP58" s="450">
        <f>VLOOKUP(C58,Theory!B61:DN130,117,FALSE)</f>
        <v>0</v>
      </c>
      <c r="EQ58" s="450">
        <f>VLOOKUP(C58,Theory!B61:DO130,118,FALSE)</f>
        <v>0</v>
      </c>
      <c r="ER58" s="451">
        <f>VLOOKUP(C58,Theory!B61:DP130,119,FALSE)</f>
        <v>0</v>
      </c>
      <c r="ES58" s="454">
        <f>VLOOKUP(C58,Theory!B61:DQ130,120,FALSE)</f>
        <v>0</v>
      </c>
      <c r="ET58" s="455">
        <f t="shared" si="39"/>
        <v>0</v>
      </c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</row>
    <row r="59" ht="18.35" spans="1:160">
      <c r="A59" s="164">
        <v>46</v>
      </c>
      <c r="B59" s="289" t="str">
        <f>Theory!C62</f>
        <v>SAINANDAN G A</v>
      </c>
      <c r="C59" s="360" t="str">
        <f>Theory!B62</f>
        <v>1DS23AI047</v>
      </c>
      <c r="D59" s="361">
        <f>VLOOKUP(C59,Theory!B62:D133,3,FALSE)</f>
        <v>10</v>
      </c>
      <c r="E59" s="361">
        <f>VLOOKUP(C59,Theory!B62:E133,4,FALSE)</f>
        <v>0</v>
      </c>
      <c r="F59" s="361">
        <f>VLOOKUP(C59,Theory!B62:F133,5,FALSE)</f>
        <v>0</v>
      </c>
      <c r="G59" s="361">
        <f>VLOOKUP(C59,Theory!B62:G133,6,FALSE)</f>
        <v>0</v>
      </c>
      <c r="H59" s="369">
        <f t="shared" si="6"/>
        <v>10</v>
      </c>
      <c r="I59" s="370">
        <f>VLOOKUP(C59,Theory!B62:H133,7,FALSE)</f>
        <v>6</v>
      </c>
      <c r="J59" s="371">
        <f>VLOOKUP(C59,Theory!B62:I133,8,FALSE)</f>
        <v>0</v>
      </c>
      <c r="K59" s="371">
        <f>VLOOKUP(C59,Theory!B62:J133,9,FALSE)</f>
        <v>0</v>
      </c>
      <c r="L59" s="371">
        <f>VLOOKUP(C59,Theory!B62:K133,10,FALSE)</f>
        <v>0</v>
      </c>
      <c r="M59" s="369">
        <f t="shared" si="7"/>
        <v>6</v>
      </c>
      <c r="N59" s="373">
        <f>VLOOKUP(C59,Theory!B62:L133,11,FALSE)</f>
        <v>0</v>
      </c>
      <c r="O59" s="373">
        <f>VLOOKUP(C59,Theory!B62:M133,12,FALSE)</f>
        <v>0</v>
      </c>
      <c r="P59" s="373">
        <f>VLOOKUP(C59,Theory!B62:N133,13,FALSE)</f>
        <v>0</v>
      </c>
      <c r="Q59" s="373">
        <f>VLOOKUP(C59,Theory!B62:O133,14,FALSE)</f>
        <v>0</v>
      </c>
      <c r="R59" s="371">
        <f>VLOOKUP(C59,Theory!B62:P133,15,FALSE)</f>
        <v>9</v>
      </c>
      <c r="S59" s="371">
        <f>VLOOKUP(C59,Theory!B62:Q133,16,FALSE)</f>
        <v>0</v>
      </c>
      <c r="T59" s="371">
        <f>VLOOKUP(C59,Theory!B62:R133,17,FALSE)</f>
        <v>0</v>
      </c>
      <c r="U59" s="371">
        <f>VLOOKUP(C59,Theory!B62:S133,18,FALSE)</f>
        <v>0</v>
      </c>
      <c r="V59" s="369">
        <f t="shared" si="8"/>
        <v>9</v>
      </c>
      <c r="W59" s="361">
        <f>VLOOKUP(C59,Theory!B62:T133,19,FALSE)</f>
        <v>0</v>
      </c>
      <c r="X59" s="361">
        <f>VLOOKUP(C59,Theory!B62:U133,20,FALSE)</f>
        <v>0</v>
      </c>
      <c r="Y59" s="361">
        <f>VLOOKUP(C59,Theory!B62:V133,21,FALSE)</f>
        <v>0</v>
      </c>
      <c r="Z59" s="361">
        <f>VLOOKUP(C59,Theory!B62:W133,22,FALSE)</f>
        <v>0</v>
      </c>
      <c r="AA59" s="370">
        <f>VLOOKUP(C59,Theory!B62:X133,23,FALSE)</f>
        <v>9</v>
      </c>
      <c r="AB59" s="370">
        <f>VLOOKUP(C59,Theory!B62:Y133,24,FALSE)</f>
        <v>0</v>
      </c>
      <c r="AC59" s="370">
        <f>VLOOKUP(C59,Theory!B62:Z133,25,FALSE)</f>
        <v>0</v>
      </c>
      <c r="AD59" s="370">
        <f>VLOOKUP(C59,Theory!B62:AA133,26,FALSE)</f>
        <v>0</v>
      </c>
      <c r="AE59" s="369">
        <f t="shared" si="9"/>
        <v>9</v>
      </c>
      <c r="AF59" s="361">
        <f>VLOOKUP(C59,Theory!B62:AB133,27,FALSE)</f>
        <v>0</v>
      </c>
      <c r="AG59" s="361">
        <f>VLOOKUP(C59,Theory!B62:AC133,28,FALSE)</f>
        <v>0</v>
      </c>
      <c r="AH59" s="361">
        <f>VLOOKUP(C59,Theory!B62:AD133,29,FALSE)</f>
        <v>0</v>
      </c>
      <c r="AI59" s="361">
        <f>VLOOKUP(C59,Theory!B62:AE133,30,FALSE)</f>
        <v>0</v>
      </c>
      <c r="AJ59" s="380">
        <f>VLOOKUP(C59,Theory!B62:AF133,31,FALSE)</f>
        <v>10</v>
      </c>
      <c r="AK59" s="380">
        <f>VLOOKUP(C59,Theory!B62:AG133,32,FALSE)</f>
        <v>0</v>
      </c>
      <c r="AL59" s="380">
        <f>VLOOKUP(C59,Theory!B62:AH133,33,FALSE)</f>
        <v>0</v>
      </c>
      <c r="AM59" s="380">
        <f>VLOOKUP(C59,Theory!B62:AI133,34,FALSE)</f>
        <v>0</v>
      </c>
      <c r="AN59" s="369">
        <f t="shared" si="10"/>
        <v>10</v>
      </c>
      <c r="AO59" s="385">
        <f t="shared" si="0"/>
        <v>44</v>
      </c>
      <c r="AP59" s="386">
        <f>VLOOKUP(C59,Theory!B62:AJ133,35,FALSE)</f>
        <v>9</v>
      </c>
      <c r="AQ59" s="386">
        <f>VLOOKUP(C59,Theory!B62:AK133,36,FALSE)</f>
        <v>0</v>
      </c>
      <c r="AR59" s="386">
        <f>VLOOKUP(C59,Theory!B62:AL133,37,FALSE)</f>
        <v>0</v>
      </c>
      <c r="AS59" s="386">
        <f>VLOOKUP(C59,Theory!B62:AM133,38,FALSE)</f>
        <v>0</v>
      </c>
      <c r="AT59" s="369">
        <f t="shared" si="11"/>
        <v>9</v>
      </c>
      <c r="AU59" s="386">
        <f>VLOOKUP(C59,Theory!B62:AN133,39,FALSE)</f>
        <v>8</v>
      </c>
      <c r="AV59" s="386">
        <f>VLOOKUP(C59,Theory!B62:AO133,40,FALSE)</f>
        <v>0</v>
      </c>
      <c r="AW59" s="386">
        <f>VLOOKUP(C59,Theory!B62:AP133,41,FALSE)</f>
        <v>0</v>
      </c>
      <c r="AX59" s="386">
        <f>VLOOKUP(C59,Theory!B62:AQ133,42,FALSE)</f>
        <v>0</v>
      </c>
      <c r="AY59" s="369">
        <f t="shared" si="12"/>
        <v>8</v>
      </c>
      <c r="AZ59" s="386">
        <f>VLOOKUP(C59,Theory!B62:AR133,43,FALSE)</f>
        <v>0</v>
      </c>
      <c r="BA59" s="386">
        <f>VLOOKUP(C59,Theory!B62:AS133,44,FALSE)</f>
        <v>0</v>
      </c>
      <c r="BB59" s="386">
        <f>VLOOKUP(C59,Theory!B62:AT133,45,FALSE)</f>
        <v>0</v>
      </c>
      <c r="BC59" s="386">
        <f>VLOOKUP(C59,Theory!B62:AU133,46,FALSE)</f>
        <v>0</v>
      </c>
      <c r="BD59" s="386">
        <f>VLOOKUP(C59,Theory!B62:AV133,47,FALSE)</f>
        <v>10</v>
      </c>
      <c r="BE59" s="386">
        <f>VLOOKUP(C59,Theory!B62:AW133,48,FALSE)</f>
        <v>0</v>
      </c>
      <c r="BF59" s="386">
        <f>VLOOKUP(C59,Theory!B62:AX133,49,FALSE)</f>
        <v>0</v>
      </c>
      <c r="BG59" s="386">
        <f>VLOOKUP(C59,Theory!B62:AY133,50,FALSE)</f>
        <v>0</v>
      </c>
      <c r="BH59" s="369">
        <f t="shared" si="13"/>
        <v>10</v>
      </c>
      <c r="BI59" s="386">
        <f>VLOOKUP(C59,Theory!B62:AZ133,51,FALSE)</f>
        <v>0</v>
      </c>
      <c r="BJ59" s="386">
        <f>VLOOKUP(C59,Theory!B62:BA133,52,FALSE)</f>
        <v>0</v>
      </c>
      <c r="BK59" s="386">
        <f>VLOOKUP(C59,Theory!B62:BB133,53,FALSE)</f>
        <v>0</v>
      </c>
      <c r="BL59" s="386">
        <f>VLOOKUP(C59,Theory!B62:BC133,54,FALSE)</f>
        <v>0</v>
      </c>
      <c r="BM59" s="386">
        <f>VLOOKUP(C59,Theory!B62:BD133,55,FALSE)</f>
        <v>0</v>
      </c>
      <c r="BN59" s="386">
        <f>VLOOKUP(C59,Theory!B62:BE133,56,FALSE)</f>
        <v>0</v>
      </c>
      <c r="BO59" s="386">
        <f>VLOOKUP(C59,Theory!B62:BF133,57,FALSE)</f>
        <v>0</v>
      </c>
      <c r="BP59" s="386">
        <f>VLOOKUP(C59,Theory!B62:BG133,58,FALSE)</f>
        <v>0</v>
      </c>
      <c r="BQ59" s="369">
        <f t="shared" si="14"/>
        <v>0</v>
      </c>
      <c r="BR59" s="386">
        <f>VLOOKUP(C59,Theory!B62:BH133,59,FALSE)</f>
        <v>10</v>
      </c>
      <c r="BS59" s="386">
        <f>VLOOKUP(C59,Theory!B62:BI133,60,FALSE)</f>
        <v>0</v>
      </c>
      <c r="BT59" s="386">
        <f>VLOOKUP(C59,Theory!B62:BJ133,61,FALSE)</f>
        <v>0</v>
      </c>
      <c r="BU59" s="386">
        <f>VLOOKUP(C59,Theory!B62:BK133,62,FALSE)</f>
        <v>0</v>
      </c>
      <c r="BV59" s="386">
        <f>VLOOKUP(C59,Theory!B62:BL133,63,FALSE)</f>
        <v>0</v>
      </c>
      <c r="BW59" s="386">
        <f>VLOOKUP(C59,Theory!B62:BM133,64,FALSE)</f>
        <v>0</v>
      </c>
      <c r="BX59" s="386">
        <f>VLOOKUP(C59,Theory!B62:BN133,65,FALSE)</f>
        <v>0</v>
      </c>
      <c r="BY59" s="386">
        <f>VLOOKUP(C59,Theory!B62:BO133,66,FALSE)</f>
        <v>0</v>
      </c>
      <c r="BZ59" s="369">
        <f t="shared" si="15"/>
        <v>10</v>
      </c>
      <c r="CA59" s="385">
        <f t="shared" si="1"/>
        <v>37</v>
      </c>
      <c r="CB59" s="386">
        <f>VLOOKUP(C59,Theory!B62:BP133,67,FALSE)</f>
        <v>9</v>
      </c>
      <c r="CC59" s="386">
        <f>VLOOKUP(C59,Theory!B62:BQ133,68,FALSE)</f>
        <v>0</v>
      </c>
      <c r="CD59" s="386">
        <f>VLOOKUP(C59,Theory!B62:BR133,69,FALSE)</f>
        <v>0</v>
      </c>
      <c r="CE59" s="386">
        <f>VLOOKUP(C59,Theory!B62:BS133,70,FALSE)</f>
        <v>0</v>
      </c>
      <c r="CF59" s="369">
        <f t="shared" si="16"/>
        <v>9</v>
      </c>
      <c r="CG59" s="399">
        <f>VLOOKUP(C59,Theory!B62:BT133,71,FALSE)</f>
        <v>9</v>
      </c>
      <c r="CH59" s="399">
        <f>VLOOKUP(C59,Theory!B62:BU133,72,FALSE)</f>
        <v>0</v>
      </c>
      <c r="CI59" s="399">
        <f>VLOOKUP(C59,Theory!B62:BV133,73,FALSE)</f>
        <v>0</v>
      </c>
      <c r="CJ59" s="399">
        <f>VLOOKUP(C59,Theory!B62:BW133,74,FALSE)</f>
        <v>0</v>
      </c>
      <c r="CK59" s="369">
        <f t="shared" si="17"/>
        <v>9</v>
      </c>
      <c r="CL59" s="386">
        <f>VLOOKUP(C59,Theory!B62:BX133,75,FALSE)</f>
        <v>9</v>
      </c>
      <c r="CM59" s="400">
        <f>VLOOKUP(C59,Theory!B62:BY133,76,FALSE)</f>
        <v>0</v>
      </c>
      <c r="CN59" s="400">
        <f>VLOOKUP(C59,Theory!B62:BZ133,77,FALSE)</f>
        <v>0</v>
      </c>
      <c r="CO59" s="400">
        <f>VLOOKUP(C59,Theory!B62:CA133,78,FALSE)</f>
        <v>0</v>
      </c>
      <c r="CP59" s="386">
        <f>VLOOKUP(C59,Theory!B62:CB133,79,FALSE)</f>
        <v>0</v>
      </c>
      <c r="CQ59" s="386">
        <f>VLOOKUP(C59,Theory!B62:CC133,80,FALSE)</f>
        <v>0</v>
      </c>
      <c r="CR59" s="386">
        <f>VLOOKUP(C59,Theory!B62:CD133,81,FALSE)</f>
        <v>0</v>
      </c>
      <c r="CS59" s="386">
        <f>VLOOKUP(C59,Theory!B62:CE133,82,FALSE)</f>
        <v>0</v>
      </c>
      <c r="CT59" s="369">
        <f t="shared" si="18"/>
        <v>9</v>
      </c>
      <c r="CU59" s="399">
        <f>VLOOKUP(C59,Theory!B62:CF133,83,FALSE)</f>
        <v>9</v>
      </c>
      <c r="CV59" s="400">
        <f>VLOOKUP(C59,Theory!B62:CG133,84,FALSE)</f>
        <v>0</v>
      </c>
      <c r="CW59" s="400">
        <f>VLOOKUP(C59,Theory!B62:CH133,85,FALSE)</f>
        <v>0</v>
      </c>
      <c r="CX59" s="400">
        <f>VLOOKUP(C59,Theory!B62:CI133,86,FALSE)</f>
        <v>0</v>
      </c>
      <c r="CY59" s="399">
        <f>VLOOKUP(C59,Theory!B62:CJ133,87,FALSE)</f>
        <v>0</v>
      </c>
      <c r="CZ59" s="399">
        <f>VLOOKUP(C59,Theory!B62:CK133,88,FALSE)</f>
        <v>0</v>
      </c>
      <c r="DA59" s="399">
        <f>VLOOKUP(C59,Theory!B62:CL133,89,FALSE)</f>
        <v>0</v>
      </c>
      <c r="DB59" s="399">
        <f>VLOOKUP(C59,Theory!B62:CM133,90,FALSE)</f>
        <v>0</v>
      </c>
      <c r="DC59" s="369">
        <f t="shared" si="19"/>
        <v>9</v>
      </c>
      <c r="DD59" s="386">
        <f>VLOOKUP(C59,Theory!B62:CN133,91,FALSE)</f>
        <v>8</v>
      </c>
      <c r="DE59" s="400">
        <f>VLOOKUP(C59,Theory!B62:CO133,92,FALSE)</f>
        <v>0</v>
      </c>
      <c r="DF59" s="400">
        <f>VLOOKUP(C59,Theory!B62:CP133,93,FALSE)</f>
        <v>0</v>
      </c>
      <c r="DG59" s="400">
        <f>VLOOKUP(C59,Theory!B62:CQ133,94,FALSE)</f>
        <v>0</v>
      </c>
      <c r="DH59" s="386">
        <f>VLOOKUP(C59,Theory!B62:CR133,95,FALSE)</f>
        <v>0</v>
      </c>
      <c r="DI59" s="386">
        <f>VLOOKUP(C59,Theory!B62:CS133,96,FALSE)</f>
        <v>0</v>
      </c>
      <c r="DJ59" s="386">
        <f>VLOOKUP(C59,Theory!B62:CT133,97,FALSE)</f>
        <v>0</v>
      </c>
      <c r="DK59" s="386">
        <f>VLOOKUP(C59,Theory!B62:CU133,98,FALSE)</f>
        <v>0</v>
      </c>
      <c r="DL59" s="369">
        <f t="shared" si="20"/>
        <v>8</v>
      </c>
      <c r="DM59" s="411">
        <f t="shared" si="2"/>
        <v>44</v>
      </c>
      <c r="DN59" s="413">
        <f t="shared" si="40"/>
        <v>44</v>
      </c>
      <c r="DO59" s="413">
        <f t="shared" si="41"/>
        <v>37</v>
      </c>
      <c r="DP59" s="413">
        <f t="shared" si="42"/>
        <v>44</v>
      </c>
      <c r="DQ59" s="418">
        <f t="shared" si="43"/>
        <v>26</v>
      </c>
      <c r="DR59" s="418">
        <f t="shared" si="44"/>
        <v>22</v>
      </c>
      <c r="DS59" s="418">
        <f t="shared" si="45"/>
        <v>26</v>
      </c>
      <c r="DT59" s="417">
        <f t="shared" si="36"/>
        <v>25</v>
      </c>
      <c r="DU59" s="423">
        <f>VLOOKUP(C59,Theory!B62:CV133,99,FALSE)</f>
        <v>6</v>
      </c>
      <c r="DV59" s="423">
        <f>VLOOKUP(C59,Theory!B62:CW133,100,FALSE)</f>
        <v>10</v>
      </c>
      <c r="DW59" s="424">
        <f t="shared" si="27"/>
        <v>16</v>
      </c>
      <c r="DX59" s="421">
        <f t="shared" si="3"/>
        <v>41</v>
      </c>
      <c r="DY59" s="430">
        <f t="shared" si="4"/>
        <v>25</v>
      </c>
      <c r="DZ59" s="431">
        <f>VLOOKUP(C59,Lab!B54:D123,3,FALSE)</f>
        <v>0</v>
      </c>
      <c r="EA59" s="432">
        <f>VLOOKUP(C59,Lab!B54:E123,4,FALSE)</f>
        <v>0</v>
      </c>
      <c r="EB59" s="432">
        <f>VLOOKUP(C59,Lab!B54:F123,5,FALSE)</f>
        <v>27</v>
      </c>
      <c r="EC59" s="422">
        <f t="shared" si="37"/>
        <v>27</v>
      </c>
      <c r="ED59" s="436">
        <f>VLOOKUP(C59,Lab!B54:G123,6,FALSE)</f>
        <v>0</v>
      </c>
      <c r="EE59" s="436">
        <f>VLOOKUP(C59,Lab!B54:H123,7,FALSE)</f>
        <v>0</v>
      </c>
      <c r="EF59" s="437">
        <v>20</v>
      </c>
      <c r="EG59" s="443">
        <f t="shared" si="38"/>
        <v>20</v>
      </c>
      <c r="EH59" s="444">
        <f t="shared" si="28"/>
        <v>47</v>
      </c>
      <c r="EI59" s="445">
        <f t="shared" si="29"/>
        <v>19</v>
      </c>
      <c r="EJ59" s="446">
        <f t="shared" si="5"/>
        <v>44</v>
      </c>
      <c r="EK59" s="449">
        <v>39</v>
      </c>
      <c r="EM59" s="450">
        <f>VLOOKUP(C59,Theory!B62:DK133,114,FALSE)</f>
        <v>0</v>
      </c>
      <c r="EN59" s="450">
        <f>VLOOKUP(C59,Theory!B62:DL133,115,FALSE)</f>
        <v>0</v>
      </c>
      <c r="EO59" s="450">
        <f>VLOOKUP(C59,Theory!B62:DM133,116,FALSE)</f>
        <v>0</v>
      </c>
      <c r="EP59" s="450">
        <f>VLOOKUP(C59,Theory!B62:DN131,117,FALSE)</f>
        <v>0</v>
      </c>
      <c r="EQ59" s="450">
        <f>VLOOKUP(C59,Theory!B62:DO131,118,FALSE)</f>
        <v>0</v>
      </c>
      <c r="ER59" s="451">
        <f>VLOOKUP(C59,Theory!B62:DP131,119,FALSE)</f>
        <v>0</v>
      </c>
      <c r="ES59" s="454">
        <f>VLOOKUP(C59,Theory!B62:DQ131,120,FALSE)</f>
        <v>0</v>
      </c>
      <c r="ET59" s="455">
        <f t="shared" si="39"/>
        <v>0</v>
      </c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</row>
    <row r="60" ht="18.35" spans="1:160">
      <c r="A60" s="164">
        <v>47</v>
      </c>
      <c r="B60" s="289" t="str">
        <f>Theory!C63</f>
        <v>SARANSH NEEMA</v>
      </c>
      <c r="C60" s="360" t="str">
        <f>Theory!B63</f>
        <v>1DS23AI048</v>
      </c>
      <c r="D60" s="361">
        <f>VLOOKUP(C60,Theory!B63:D134,3,FALSE)</f>
        <v>8</v>
      </c>
      <c r="E60" s="361">
        <f>VLOOKUP(C60,Theory!B63:E134,4,FALSE)</f>
        <v>0</v>
      </c>
      <c r="F60" s="361">
        <f>VLOOKUP(C60,Theory!B63:F134,5,FALSE)</f>
        <v>0</v>
      </c>
      <c r="G60" s="361">
        <f>VLOOKUP(C60,Theory!B63:G134,6,FALSE)</f>
        <v>0</v>
      </c>
      <c r="H60" s="369">
        <f t="shared" si="6"/>
        <v>8</v>
      </c>
      <c r="I60" s="370">
        <f>VLOOKUP(C60,Theory!B63:H134,7,FALSE)</f>
        <v>8</v>
      </c>
      <c r="J60" s="371">
        <f>VLOOKUP(C60,Theory!B63:I134,8,FALSE)</f>
        <v>0</v>
      </c>
      <c r="K60" s="371">
        <f>VLOOKUP(C60,Theory!B63:J134,9,FALSE)</f>
        <v>0</v>
      </c>
      <c r="L60" s="371">
        <f>VLOOKUP(C60,Theory!B63:K134,10,FALSE)</f>
        <v>0</v>
      </c>
      <c r="M60" s="369">
        <f t="shared" si="7"/>
        <v>8</v>
      </c>
      <c r="N60" s="373">
        <f>VLOOKUP(C60,Theory!B63:L134,11,FALSE)</f>
        <v>7</v>
      </c>
      <c r="O60" s="373">
        <f>VLOOKUP(C60,Theory!B63:M134,12,FALSE)</f>
        <v>0</v>
      </c>
      <c r="P60" s="373">
        <f>VLOOKUP(C60,Theory!B63:N134,13,FALSE)</f>
        <v>0</v>
      </c>
      <c r="Q60" s="373">
        <f>VLOOKUP(C60,Theory!B63:O134,14,FALSE)</f>
        <v>0</v>
      </c>
      <c r="R60" s="371">
        <f>VLOOKUP(C60,Theory!B63:P134,15,FALSE)</f>
        <v>0</v>
      </c>
      <c r="S60" s="371">
        <f>VLOOKUP(C60,Theory!B63:Q134,16,FALSE)</f>
        <v>0</v>
      </c>
      <c r="T60" s="371">
        <f>VLOOKUP(C60,Theory!B63:R134,17,FALSE)</f>
        <v>0</v>
      </c>
      <c r="U60" s="371">
        <f>VLOOKUP(C60,Theory!B63:S134,18,FALSE)</f>
        <v>0</v>
      </c>
      <c r="V60" s="369">
        <f t="shared" si="8"/>
        <v>7</v>
      </c>
      <c r="W60" s="361">
        <f>VLOOKUP(C60,Theory!B63:T134,19,FALSE)</f>
        <v>0</v>
      </c>
      <c r="X60" s="361">
        <f>VLOOKUP(C60,Theory!B63:U134,20,FALSE)</f>
        <v>0</v>
      </c>
      <c r="Y60" s="361">
        <f>VLOOKUP(C60,Theory!B63:V134,21,FALSE)</f>
        <v>0</v>
      </c>
      <c r="Z60" s="361">
        <f>VLOOKUP(C60,Theory!B63:W134,22,FALSE)</f>
        <v>0</v>
      </c>
      <c r="AA60" s="370">
        <f>VLOOKUP(C60,Theory!B63:X134,23,FALSE)</f>
        <v>8</v>
      </c>
      <c r="AB60" s="370">
        <f>VLOOKUP(C60,Theory!B63:Y134,24,FALSE)</f>
        <v>0</v>
      </c>
      <c r="AC60" s="370">
        <f>VLOOKUP(C60,Theory!B63:Z134,25,FALSE)</f>
        <v>0</v>
      </c>
      <c r="AD60" s="370">
        <f>VLOOKUP(C60,Theory!B63:AA134,26,FALSE)</f>
        <v>0</v>
      </c>
      <c r="AE60" s="369">
        <f t="shared" si="9"/>
        <v>8</v>
      </c>
      <c r="AF60" s="361">
        <f>VLOOKUP(C60,Theory!B63:AB134,27,FALSE)</f>
        <v>0</v>
      </c>
      <c r="AG60" s="361">
        <f>VLOOKUP(C60,Theory!B63:AC134,28,FALSE)</f>
        <v>0</v>
      </c>
      <c r="AH60" s="361">
        <f>VLOOKUP(C60,Theory!B63:AD134,29,FALSE)</f>
        <v>0</v>
      </c>
      <c r="AI60" s="361">
        <f>VLOOKUP(C60,Theory!B63:AE134,30,FALSE)</f>
        <v>0</v>
      </c>
      <c r="AJ60" s="380">
        <f>VLOOKUP(C60,Theory!B63:AF134,31,FALSE)</f>
        <v>8</v>
      </c>
      <c r="AK60" s="380">
        <f>VLOOKUP(C60,Theory!B63:AG134,32,FALSE)</f>
        <v>0</v>
      </c>
      <c r="AL60" s="380">
        <f>VLOOKUP(C60,Theory!B63:AH134,33,FALSE)</f>
        <v>0</v>
      </c>
      <c r="AM60" s="380">
        <f>VLOOKUP(C60,Theory!B63:AI134,34,FALSE)</f>
        <v>0</v>
      </c>
      <c r="AN60" s="369">
        <f t="shared" si="10"/>
        <v>8</v>
      </c>
      <c r="AO60" s="385">
        <f t="shared" si="0"/>
        <v>39</v>
      </c>
      <c r="AP60" s="386">
        <f>VLOOKUP(C60,Theory!B63:AJ134,35,FALSE)</f>
        <v>9</v>
      </c>
      <c r="AQ60" s="386">
        <f>VLOOKUP(C60,Theory!B63:AK134,36,FALSE)</f>
        <v>0</v>
      </c>
      <c r="AR60" s="386">
        <f>VLOOKUP(C60,Theory!B63:AL134,37,FALSE)</f>
        <v>0</v>
      </c>
      <c r="AS60" s="386">
        <f>VLOOKUP(C60,Theory!B63:AM134,38,FALSE)</f>
        <v>0</v>
      </c>
      <c r="AT60" s="369">
        <f t="shared" si="11"/>
        <v>9</v>
      </c>
      <c r="AU60" s="386">
        <f>VLOOKUP(C60,Theory!B63:AN134,39,FALSE)</f>
        <v>8</v>
      </c>
      <c r="AV60" s="386">
        <f>VLOOKUP(C60,Theory!B63:AO134,40,FALSE)</f>
        <v>0</v>
      </c>
      <c r="AW60" s="386">
        <f>VLOOKUP(C60,Theory!B63:AP134,41,FALSE)</f>
        <v>0</v>
      </c>
      <c r="AX60" s="386">
        <f>VLOOKUP(C60,Theory!B63:AQ134,42,FALSE)</f>
        <v>0</v>
      </c>
      <c r="AY60" s="369">
        <f t="shared" si="12"/>
        <v>8</v>
      </c>
      <c r="AZ60" s="386">
        <f>VLOOKUP(C60,Theory!B63:AR134,43,FALSE)</f>
        <v>0</v>
      </c>
      <c r="BA60" s="386">
        <f>VLOOKUP(C60,Theory!B63:AS134,44,FALSE)</f>
        <v>0</v>
      </c>
      <c r="BB60" s="386">
        <f>VLOOKUP(C60,Theory!B63:AT134,45,FALSE)</f>
        <v>0</v>
      </c>
      <c r="BC60" s="386">
        <f>VLOOKUP(C60,Theory!B63:AU134,46,FALSE)</f>
        <v>0</v>
      </c>
      <c r="BD60" s="386">
        <f>VLOOKUP(C60,Theory!B63:AV134,47,FALSE)</f>
        <v>9</v>
      </c>
      <c r="BE60" s="386">
        <f>VLOOKUP(C60,Theory!B63:AW134,48,FALSE)</f>
        <v>0</v>
      </c>
      <c r="BF60" s="386">
        <f>VLOOKUP(C60,Theory!B63:AX134,49,FALSE)</f>
        <v>0</v>
      </c>
      <c r="BG60" s="386">
        <f>VLOOKUP(C60,Theory!B63:AY134,50,FALSE)</f>
        <v>0</v>
      </c>
      <c r="BH60" s="369">
        <f t="shared" si="13"/>
        <v>9</v>
      </c>
      <c r="BI60" s="386">
        <f>VLOOKUP(C60,Theory!B63:AZ134,51,FALSE)</f>
        <v>0</v>
      </c>
      <c r="BJ60" s="386">
        <f>VLOOKUP(C60,Theory!B63:BA134,52,FALSE)</f>
        <v>0</v>
      </c>
      <c r="BK60" s="386">
        <f>VLOOKUP(C60,Theory!B63:BB134,53,FALSE)</f>
        <v>0</v>
      </c>
      <c r="BL60" s="386">
        <f>VLOOKUP(C60,Theory!B63:BC134,54,FALSE)</f>
        <v>0</v>
      </c>
      <c r="BM60" s="386">
        <f>VLOOKUP(C60,Theory!B63:BD134,55,FALSE)</f>
        <v>4</v>
      </c>
      <c r="BN60" s="386">
        <f>VLOOKUP(C60,Theory!B63:BE134,56,FALSE)</f>
        <v>0</v>
      </c>
      <c r="BO60" s="386">
        <f>VLOOKUP(C60,Theory!B63:BF134,57,FALSE)</f>
        <v>0</v>
      </c>
      <c r="BP60" s="386">
        <f>VLOOKUP(C60,Theory!B63:BG134,58,FALSE)</f>
        <v>0</v>
      </c>
      <c r="BQ60" s="369">
        <f t="shared" si="14"/>
        <v>4</v>
      </c>
      <c r="BR60" s="386">
        <f>VLOOKUP(C60,Theory!B63:BH134,59,FALSE)</f>
        <v>0</v>
      </c>
      <c r="BS60" s="386">
        <f>VLOOKUP(C60,Theory!B63:BI134,60,FALSE)</f>
        <v>0</v>
      </c>
      <c r="BT60" s="386">
        <f>VLOOKUP(C60,Theory!B63:BJ134,61,FALSE)</f>
        <v>0</v>
      </c>
      <c r="BU60" s="386">
        <f>VLOOKUP(C60,Theory!B63:BK134,62,FALSE)</f>
        <v>0</v>
      </c>
      <c r="BV60" s="386">
        <f>VLOOKUP(C60,Theory!B63:BL134,63,FALSE)</f>
        <v>9</v>
      </c>
      <c r="BW60" s="386">
        <f>VLOOKUP(C60,Theory!B63:BM134,64,FALSE)</f>
        <v>0</v>
      </c>
      <c r="BX60" s="386">
        <f>VLOOKUP(C60,Theory!B63:BN134,65,FALSE)</f>
        <v>0</v>
      </c>
      <c r="BY60" s="386">
        <f>VLOOKUP(C60,Theory!B63:BO134,66,FALSE)</f>
        <v>0</v>
      </c>
      <c r="BZ60" s="369">
        <f t="shared" si="15"/>
        <v>9</v>
      </c>
      <c r="CA60" s="385">
        <f t="shared" si="1"/>
        <v>39</v>
      </c>
      <c r="CB60" s="386">
        <f>VLOOKUP(C60,Theory!B63:BP134,67,FALSE)</f>
        <v>8</v>
      </c>
      <c r="CC60" s="386">
        <f>VLOOKUP(C60,Theory!B63:BQ134,68,FALSE)</f>
        <v>0</v>
      </c>
      <c r="CD60" s="386">
        <f>VLOOKUP(C60,Theory!B63:BR134,69,FALSE)</f>
        <v>0</v>
      </c>
      <c r="CE60" s="386">
        <f>VLOOKUP(C60,Theory!B63:BS134,70,FALSE)</f>
        <v>0</v>
      </c>
      <c r="CF60" s="369">
        <f t="shared" si="16"/>
        <v>8</v>
      </c>
      <c r="CG60" s="399">
        <f>VLOOKUP(C60,Theory!B63:BT134,71,FALSE)</f>
        <v>8</v>
      </c>
      <c r="CH60" s="399">
        <f>VLOOKUP(C60,Theory!B63:BU134,72,FALSE)</f>
        <v>0</v>
      </c>
      <c r="CI60" s="399">
        <f>VLOOKUP(C60,Theory!B63:BV134,73,FALSE)</f>
        <v>0</v>
      </c>
      <c r="CJ60" s="399">
        <f>VLOOKUP(C60,Theory!B63:BW134,74,FALSE)</f>
        <v>0</v>
      </c>
      <c r="CK60" s="369">
        <f t="shared" si="17"/>
        <v>8</v>
      </c>
      <c r="CL60" s="386">
        <f>VLOOKUP(C60,Theory!B63:BX134,75,FALSE)</f>
        <v>8</v>
      </c>
      <c r="CM60" s="400">
        <f>VLOOKUP(C60,Theory!B63:BY134,76,FALSE)</f>
        <v>0</v>
      </c>
      <c r="CN60" s="400">
        <f>VLOOKUP(C60,Theory!B63:BZ134,77,FALSE)</f>
        <v>0</v>
      </c>
      <c r="CO60" s="400">
        <f>VLOOKUP(C60,Theory!B63:CA134,78,FALSE)</f>
        <v>0</v>
      </c>
      <c r="CP60" s="386">
        <f>VLOOKUP(C60,Theory!B63:CB134,79,FALSE)</f>
        <v>0</v>
      </c>
      <c r="CQ60" s="386">
        <f>VLOOKUP(C60,Theory!B63:CC134,80,FALSE)</f>
        <v>0</v>
      </c>
      <c r="CR60" s="386">
        <f>VLOOKUP(C60,Theory!B63:CD134,81,FALSE)</f>
        <v>0</v>
      </c>
      <c r="CS60" s="386">
        <f>VLOOKUP(C60,Theory!B63:CE134,82,FALSE)</f>
        <v>0</v>
      </c>
      <c r="CT60" s="369">
        <f t="shared" si="18"/>
        <v>8</v>
      </c>
      <c r="CU60" s="399">
        <f>VLOOKUP(C60,Theory!B63:CF134,83,FALSE)</f>
        <v>8</v>
      </c>
      <c r="CV60" s="400">
        <f>VLOOKUP(C60,Theory!B63:CG134,84,FALSE)</f>
        <v>0</v>
      </c>
      <c r="CW60" s="400">
        <f>VLOOKUP(C60,Theory!B63:CH134,85,FALSE)</f>
        <v>0</v>
      </c>
      <c r="CX60" s="400">
        <f>VLOOKUP(C60,Theory!B63:CI134,86,FALSE)</f>
        <v>0</v>
      </c>
      <c r="CY60" s="399">
        <f>VLOOKUP(C60,Theory!B63:CJ134,87,FALSE)</f>
        <v>0</v>
      </c>
      <c r="CZ60" s="399">
        <f>VLOOKUP(C60,Theory!B63:CK134,88,FALSE)</f>
        <v>0</v>
      </c>
      <c r="DA60" s="399">
        <f>VLOOKUP(C60,Theory!B63:CL134,89,FALSE)</f>
        <v>0</v>
      </c>
      <c r="DB60" s="399">
        <f>VLOOKUP(C60,Theory!B63:CM134,90,FALSE)</f>
        <v>0</v>
      </c>
      <c r="DC60" s="369">
        <f t="shared" si="19"/>
        <v>8</v>
      </c>
      <c r="DD60" s="386">
        <f>VLOOKUP(C60,Theory!B63:CN134,91,FALSE)</f>
        <v>0</v>
      </c>
      <c r="DE60" s="400">
        <f>VLOOKUP(C60,Theory!B63:CO134,92,FALSE)</f>
        <v>0</v>
      </c>
      <c r="DF60" s="400">
        <f>VLOOKUP(C60,Theory!B63:CP134,93,FALSE)</f>
        <v>0</v>
      </c>
      <c r="DG60" s="400">
        <f>VLOOKUP(C60,Theory!B63:CQ134,94,FALSE)</f>
        <v>0</v>
      </c>
      <c r="DH60" s="386">
        <f>VLOOKUP(C60,Theory!B63:CR134,95,FALSE)</f>
        <v>3</v>
      </c>
      <c r="DI60" s="386">
        <f>VLOOKUP(C60,Theory!B63:CS134,96,FALSE)</f>
        <v>0</v>
      </c>
      <c r="DJ60" s="386">
        <f>VLOOKUP(C60,Theory!B63:CT134,97,FALSE)</f>
        <v>0</v>
      </c>
      <c r="DK60" s="386">
        <f>VLOOKUP(C60,Theory!B63:CU134,98,FALSE)</f>
        <v>0</v>
      </c>
      <c r="DL60" s="369">
        <f t="shared" si="20"/>
        <v>3</v>
      </c>
      <c r="DM60" s="411">
        <f t="shared" si="2"/>
        <v>35</v>
      </c>
      <c r="DN60" s="413">
        <f t="shared" si="40"/>
        <v>39</v>
      </c>
      <c r="DO60" s="413">
        <f t="shared" si="41"/>
        <v>39</v>
      </c>
      <c r="DP60" s="413">
        <f t="shared" si="42"/>
        <v>35</v>
      </c>
      <c r="DQ60" s="418">
        <f t="shared" si="43"/>
        <v>23</v>
      </c>
      <c r="DR60" s="418">
        <f t="shared" si="44"/>
        <v>23</v>
      </c>
      <c r="DS60" s="418">
        <f t="shared" si="45"/>
        <v>21</v>
      </c>
      <c r="DT60" s="417">
        <f t="shared" si="36"/>
        <v>22</v>
      </c>
      <c r="DU60" s="423">
        <f>VLOOKUP(C60,Theory!B63:CV134,99,FALSE)</f>
        <v>6</v>
      </c>
      <c r="DV60" s="423">
        <f>VLOOKUP(C60,Theory!B63:CW134,100,FALSE)</f>
        <v>10</v>
      </c>
      <c r="DW60" s="424">
        <f t="shared" si="27"/>
        <v>16</v>
      </c>
      <c r="DX60" s="421">
        <f t="shared" si="3"/>
        <v>38</v>
      </c>
      <c r="DY60" s="430">
        <f t="shared" si="4"/>
        <v>23</v>
      </c>
      <c r="DZ60" s="431">
        <f>VLOOKUP(C60,Lab!B55:D124,3,FALSE)</f>
        <v>0</v>
      </c>
      <c r="EA60" s="432">
        <f>VLOOKUP(C60,Lab!B55:E124,4,FALSE)</f>
        <v>0</v>
      </c>
      <c r="EB60" s="432">
        <f>VLOOKUP(C60,Lab!B55:F124,5,FALSE)</f>
        <v>30</v>
      </c>
      <c r="EC60" s="422">
        <f t="shared" si="37"/>
        <v>30</v>
      </c>
      <c r="ED60" s="436">
        <f>VLOOKUP(C60,Lab!B55:G124,6,FALSE)</f>
        <v>0</v>
      </c>
      <c r="EE60" s="436">
        <f>VLOOKUP(C60,Lab!B55:H124,7,FALSE)</f>
        <v>0</v>
      </c>
      <c r="EF60" s="437">
        <v>19</v>
      </c>
      <c r="EG60" s="443">
        <f t="shared" si="38"/>
        <v>19</v>
      </c>
      <c r="EH60" s="444">
        <f t="shared" si="28"/>
        <v>49</v>
      </c>
      <c r="EI60" s="445">
        <f t="shared" si="29"/>
        <v>20</v>
      </c>
      <c r="EJ60" s="446">
        <f t="shared" si="5"/>
        <v>43</v>
      </c>
      <c r="EK60" s="449">
        <v>37</v>
      </c>
      <c r="EM60" s="450">
        <f>VLOOKUP(C60,Theory!B63:DK134,114,FALSE)</f>
        <v>0</v>
      </c>
      <c r="EN60" s="450">
        <f>VLOOKUP(C60,Theory!B63:DL134,115,FALSE)</f>
        <v>0</v>
      </c>
      <c r="EO60" s="450">
        <f>VLOOKUP(C60,Theory!B63:DM134,116,FALSE)</f>
        <v>0</v>
      </c>
      <c r="EP60" s="450">
        <f>VLOOKUP(C60,Theory!B63:DN132,117,FALSE)</f>
        <v>0</v>
      </c>
      <c r="EQ60" s="450">
        <f>VLOOKUP(C60,Theory!B63:DO132,118,FALSE)</f>
        <v>0</v>
      </c>
      <c r="ER60" s="451">
        <f>VLOOKUP(C60,Theory!B63:DP132,119,FALSE)</f>
        <v>0</v>
      </c>
      <c r="ES60" s="454">
        <f>VLOOKUP(C60,Theory!B63:DQ132,120,FALSE)</f>
        <v>0</v>
      </c>
      <c r="ET60" s="455">
        <f t="shared" si="39"/>
        <v>0</v>
      </c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</row>
    <row r="61" ht="18.35" spans="1:160">
      <c r="A61" s="164">
        <v>48</v>
      </c>
      <c r="B61" s="289" t="str">
        <f>Theory!C64</f>
        <v>SATHVIK R SAMANTH</v>
      </c>
      <c r="C61" s="360" t="str">
        <f>Theory!B64</f>
        <v>1DS23AI049</v>
      </c>
      <c r="D61" s="361">
        <f>VLOOKUP(C61,Theory!B64:D135,3,FALSE)</f>
        <v>5</v>
      </c>
      <c r="E61" s="361">
        <f>VLOOKUP(C61,Theory!B64:E135,4,FALSE)</f>
        <v>0</v>
      </c>
      <c r="F61" s="361">
        <f>VLOOKUP(C61,Theory!B64:F135,5,FALSE)</f>
        <v>0</v>
      </c>
      <c r="G61" s="361">
        <f>VLOOKUP(C61,Theory!B64:G135,6,FALSE)</f>
        <v>0</v>
      </c>
      <c r="H61" s="369">
        <f t="shared" si="6"/>
        <v>5</v>
      </c>
      <c r="I61" s="370">
        <f>VLOOKUP(C61,Theory!B64:H135,7,FALSE)</f>
        <v>0</v>
      </c>
      <c r="J61" s="371">
        <f>VLOOKUP(C61,Theory!B64:I135,8,FALSE)</f>
        <v>0</v>
      </c>
      <c r="K61" s="371">
        <f>VLOOKUP(C61,Theory!B64:J135,9,FALSE)</f>
        <v>0</v>
      </c>
      <c r="L61" s="371">
        <f>VLOOKUP(C61,Theory!B64:K135,10,FALSE)</f>
        <v>0</v>
      </c>
      <c r="M61" s="369">
        <f t="shared" si="7"/>
        <v>0</v>
      </c>
      <c r="N61" s="373">
        <f>VLOOKUP(C61,Theory!B64:L135,11,FALSE)</f>
        <v>0</v>
      </c>
      <c r="O61" s="373">
        <f>VLOOKUP(C61,Theory!B64:M135,12,FALSE)</f>
        <v>0</v>
      </c>
      <c r="P61" s="373">
        <f>VLOOKUP(C61,Theory!B64:N135,13,FALSE)</f>
        <v>0</v>
      </c>
      <c r="Q61" s="373">
        <f>VLOOKUP(C61,Theory!B64:O135,14,FALSE)</f>
        <v>0</v>
      </c>
      <c r="R61" s="371">
        <f>VLOOKUP(C61,Theory!B64:P135,15,FALSE)</f>
        <v>6</v>
      </c>
      <c r="S61" s="371">
        <f>VLOOKUP(C61,Theory!B64:Q135,16,FALSE)</f>
        <v>0</v>
      </c>
      <c r="T61" s="371">
        <f>VLOOKUP(C61,Theory!B64:R135,17,FALSE)</f>
        <v>0</v>
      </c>
      <c r="U61" s="371">
        <f>VLOOKUP(C61,Theory!B64:S135,18,FALSE)</f>
        <v>0</v>
      </c>
      <c r="V61" s="369">
        <f t="shared" si="8"/>
        <v>6</v>
      </c>
      <c r="W61" s="361">
        <f>VLOOKUP(C61,Theory!B64:T135,19,FALSE)</f>
        <v>5</v>
      </c>
      <c r="X61" s="361">
        <f>VLOOKUP(C61,Theory!B64:U135,20,FALSE)</f>
        <v>0</v>
      </c>
      <c r="Y61" s="361">
        <f>VLOOKUP(C61,Theory!B64:V135,21,FALSE)</f>
        <v>0</v>
      </c>
      <c r="Z61" s="361">
        <f>VLOOKUP(C61,Theory!B64:W135,22,FALSE)</f>
        <v>0</v>
      </c>
      <c r="AA61" s="370">
        <f>VLOOKUP(C61,Theory!B64:X135,23,FALSE)</f>
        <v>0</v>
      </c>
      <c r="AB61" s="370">
        <f>VLOOKUP(C61,Theory!B64:Y135,24,FALSE)</f>
        <v>0</v>
      </c>
      <c r="AC61" s="370">
        <f>VLOOKUP(C61,Theory!B64:Z135,25,FALSE)</f>
        <v>0</v>
      </c>
      <c r="AD61" s="370">
        <f>VLOOKUP(C61,Theory!B64:AA135,26,FALSE)</f>
        <v>0</v>
      </c>
      <c r="AE61" s="369">
        <f t="shared" si="9"/>
        <v>5</v>
      </c>
      <c r="AF61" s="361">
        <f>VLOOKUP(C61,Theory!B64:AB135,27,FALSE)</f>
        <v>0</v>
      </c>
      <c r="AG61" s="361">
        <f>VLOOKUP(C61,Theory!B64:AC135,28,FALSE)</f>
        <v>0</v>
      </c>
      <c r="AH61" s="361">
        <f>VLOOKUP(C61,Theory!B64:AD135,29,FALSE)</f>
        <v>0</v>
      </c>
      <c r="AI61" s="361">
        <f>VLOOKUP(C61,Theory!B64:AE135,30,FALSE)</f>
        <v>0</v>
      </c>
      <c r="AJ61" s="380">
        <f>VLOOKUP(C61,Theory!B64:AF135,31,FALSE)</f>
        <v>0</v>
      </c>
      <c r="AK61" s="380">
        <f>VLOOKUP(C61,Theory!B64:AG135,32,FALSE)</f>
        <v>0</v>
      </c>
      <c r="AL61" s="380">
        <f>VLOOKUP(C61,Theory!B64:AH135,33,FALSE)</f>
        <v>0</v>
      </c>
      <c r="AM61" s="380">
        <f>VLOOKUP(C61,Theory!B64:AI135,34,FALSE)</f>
        <v>0</v>
      </c>
      <c r="AN61" s="369">
        <f t="shared" si="10"/>
        <v>0</v>
      </c>
      <c r="AO61" s="385">
        <f t="shared" si="0"/>
        <v>16</v>
      </c>
      <c r="AP61" s="386">
        <f>VLOOKUP(C61,Theory!B64:AJ135,35,FALSE)</f>
        <v>0</v>
      </c>
      <c r="AQ61" s="386">
        <f>VLOOKUP(C61,Theory!B64:AK135,36,FALSE)</f>
        <v>0</v>
      </c>
      <c r="AR61" s="386">
        <f>VLOOKUP(C61,Theory!B64:AL135,37,FALSE)</f>
        <v>0</v>
      </c>
      <c r="AS61" s="386">
        <f>VLOOKUP(C61,Theory!B64:AM135,38,FALSE)</f>
        <v>0</v>
      </c>
      <c r="AT61" s="369">
        <f t="shared" si="11"/>
        <v>0</v>
      </c>
      <c r="AU61" s="386">
        <f>VLOOKUP(C61,Theory!B64:AN135,39,FALSE)</f>
        <v>6</v>
      </c>
      <c r="AV61" s="386">
        <f>VLOOKUP(C61,Theory!B64:AO135,40,FALSE)</f>
        <v>0</v>
      </c>
      <c r="AW61" s="386">
        <f>VLOOKUP(C61,Theory!B64:AP135,41,FALSE)</f>
        <v>0</v>
      </c>
      <c r="AX61" s="386">
        <f>VLOOKUP(C61,Theory!B64:AQ135,42,FALSE)</f>
        <v>0</v>
      </c>
      <c r="AY61" s="369">
        <f t="shared" si="12"/>
        <v>6</v>
      </c>
      <c r="AZ61" s="386">
        <f>VLOOKUP(C61,Theory!B64:AR135,43,FALSE)</f>
        <v>0</v>
      </c>
      <c r="BA61" s="386">
        <f>VLOOKUP(C61,Theory!B64:AS135,44,FALSE)</f>
        <v>0</v>
      </c>
      <c r="BB61" s="386">
        <f>VLOOKUP(C61,Theory!B64:AT135,45,FALSE)</f>
        <v>0</v>
      </c>
      <c r="BC61" s="386">
        <f>VLOOKUP(C61,Theory!B64:AU135,46,FALSE)</f>
        <v>0</v>
      </c>
      <c r="BD61" s="386">
        <f>VLOOKUP(C61,Theory!B64:AV135,47,FALSE)</f>
        <v>5</v>
      </c>
      <c r="BE61" s="386">
        <f>VLOOKUP(C61,Theory!B64:AW135,48,FALSE)</f>
        <v>0</v>
      </c>
      <c r="BF61" s="386">
        <f>VLOOKUP(C61,Theory!B64:AX135,49,FALSE)</f>
        <v>0</v>
      </c>
      <c r="BG61" s="386">
        <f>VLOOKUP(C61,Theory!B64:AY135,50,FALSE)</f>
        <v>0</v>
      </c>
      <c r="BH61" s="369">
        <f t="shared" si="13"/>
        <v>5</v>
      </c>
      <c r="BI61" s="386">
        <f>VLOOKUP(C61,Theory!B64:AZ135,51,FALSE)</f>
        <v>0</v>
      </c>
      <c r="BJ61" s="386">
        <f>VLOOKUP(C61,Theory!B64:BA135,52,FALSE)</f>
        <v>0</v>
      </c>
      <c r="BK61" s="386">
        <f>VLOOKUP(C61,Theory!B64:BB135,53,FALSE)</f>
        <v>0</v>
      </c>
      <c r="BL61" s="386">
        <f>VLOOKUP(C61,Theory!B64:BC135,54,FALSE)</f>
        <v>0</v>
      </c>
      <c r="BM61" s="386">
        <f>VLOOKUP(C61,Theory!B64:BD135,55,FALSE)</f>
        <v>0</v>
      </c>
      <c r="BN61" s="386">
        <f>VLOOKUP(C61,Theory!B64:BE135,56,FALSE)</f>
        <v>0</v>
      </c>
      <c r="BO61" s="386">
        <f>VLOOKUP(C61,Theory!B64:BF135,57,FALSE)</f>
        <v>0</v>
      </c>
      <c r="BP61" s="386">
        <f>VLOOKUP(C61,Theory!B64:BG135,58,FALSE)</f>
        <v>0</v>
      </c>
      <c r="BQ61" s="369">
        <f t="shared" si="14"/>
        <v>0</v>
      </c>
      <c r="BR61" s="386">
        <f>VLOOKUP(C61,Theory!B64:BH135,59,FALSE)</f>
        <v>0</v>
      </c>
      <c r="BS61" s="386">
        <f>VLOOKUP(C61,Theory!B64:BI135,60,FALSE)</f>
        <v>0</v>
      </c>
      <c r="BT61" s="386">
        <f>VLOOKUP(C61,Theory!B64:BJ135,61,FALSE)</f>
        <v>0</v>
      </c>
      <c r="BU61" s="386">
        <f>VLOOKUP(C61,Theory!B64:BK135,62,FALSE)</f>
        <v>0</v>
      </c>
      <c r="BV61" s="386">
        <f>VLOOKUP(C61,Theory!B64:BL135,63,FALSE)</f>
        <v>0</v>
      </c>
      <c r="BW61" s="386">
        <f>VLOOKUP(C61,Theory!B64:BM135,64,FALSE)</f>
        <v>0</v>
      </c>
      <c r="BX61" s="386">
        <f>VLOOKUP(C61,Theory!B64:BN135,65,FALSE)</f>
        <v>0</v>
      </c>
      <c r="BY61" s="386">
        <f>VLOOKUP(C61,Theory!B64:BO135,66,FALSE)</f>
        <v>0</v>
      </c>
      <c r="BZ61" s="369">
        <f t="shared" si="15"/>
        <v>0</v>
      </c>
      <c r="CA61" s="385">
        <f t="shared" si="1"/>
        <v>11</v>
      </c>
      <c r="CB61" s="386">
        <f>VLOOKUP(C61,Theory!B64:BP135,67,FALSE)</f>
        <v>6</v>
      </c>
      <c r="CC61" s="386">
        <f>VLOOKUP(C61,Theory!B64:BQ135,68,FALSE)</f>
        <v>0</v>
      </c>
      <c r="CD61" s="386">
        <f>VLOOKUP(C61,Theory!B64:BR135,69,FALSE)</f>
        <v>0</v>
      </c>
      <c r="CE61" s="386">
        <f>VLOOKUP(C61,Theory!B64:BS135,70,FALSE)</f>
        <v>0</v>
      </c>
      <c r="CF61" s="369">
        <f t="shared" si="16"/>
        <v>6</v>
      </c>
      <c r="CG61" s="399">
        <f>VLOOKUP(C61,Theory!B64:BT135,71,FALSE)</f>
        <v>8</v>
      </c>
      <c r="CH61" s="399">
        <f>VLOOKUP(C61,Theory!B64:BU135,72,FALSE)</f>
        <v>0</v>
      </c>
      <c r="CI61" s="399">
        <f>VLOOKUP(C61,Theory!B64:BV135,73,FALSE)</f>
        <v>0</v>
      </c>
      <c r="CJ61" s="399">
        <f>VLOOKUP(C61,Theory!B64:BW135,74,FALSE)</f>
        <v>0</v>
      </c>
      <c r="CK61" s="369">
        <f t="shared" si="17"/>
        <v>8</v>
      </c>
      <c r="CL61" s="386">
        <f>VLOOKUP(C61,Theory!B64:BX135,75,FALSE)</f>
        <v>4</v>
      </c>
      <c r="CM61" s="400">
        <f>VLOOKUP(C61,Theory!B64:BY135,76,FALSE)</f>
        <v>0</v>
      </c>
      <c r="CN61" s="400">
        <f>VLOOKUP(C61,Theory!B64:BZ135,77,FALSE)</f>
        <v>0</v>
      </c>
      <c r="CO61" s="400">
        <f>VLOOKUP(C61,Theory!B64:CA135,78,FALSE)</f>
        <v>0</v>
      </c>
      <c r="CP61" s="386">
        <f>VLOOKUP(C61,Theory!B64:CB135,79,FALSE)</f>
        <v>0</v>
      </c>
      <c r="CQ61" s="386">
        <f>VLOOKUP(C61,Theory!B64:CC135,80,FALSE)</f>
        <v>0</v>
      </c>
      <c r="CR61" s="386">
        <f>VLOOKUP(C61,Theory!B64:CD135,81,FALSE)</f>
        <v>0</v>
      </c>
      <c r="CS61" s="386">
        <f>VLOOKUP(C61,Theory!B64:CE135,82,FALSE)</f>
        <v>0</v>
      </c>
      <c r="CT61" s="369">
        <f t="shared" si="18"/>
        <v>4</v>
      </c>
      <c r="CU61" s="399">
        <f>VLOOKUP(C61,Theory!B64:CF135,83,FALSE)</f>
        <v>6</v>
      </c>
      <c r="CV61" s="400">
        <f>VLOOKUP(C61,Theory!B64:CG135,84,FALSE)</f>
        <v>0</v>
      </c>
      <c r="CW61" s="400">
        <f>VLOOKUP(C61,Theory!B64:CH135,85,FALSE)</f>
        <v>0</v>
      </c>
      <c r="CX61" s="400">
        <f>VLOOKUP(C61,Theory!B64:CI135,86,FALSE)</f>
        <v>0</v>
      </c>
      <c r="CY61" s="399">
        <f>VLOOKUP(C61,Theory!B64:CJ135,87,FALSE)</f>
        <v>0</v>
      </c>
      <c r="CZ61" s="399">
        <f>VLOOKUP(C61,Theory!B64:CK135,88,FALSE)</f>
        <v>0</v>
      </c>
      <c r="DA61" s="399">
        <f>VLOOKUP(C61,Theory!B64:CL135,89,FALSE)</f>
        <v>0</v>
      </c>
      <c r="DB61" s="399">
        <f>VLOOKUP(C61,Theory!B64:CM135,90,FALSE)</f>
        <v>0</v>
      </c>
      <c r="DC61" s="369">
        <f t="shared" si="19"/>
        <v>6</v>
      </c>
      <c r="DD61" s="386">
        <f>VLOOKUP(C61,Theory!B64:CN135,91,FALSE)</f>
        <v>0</v>
      </c>
      <c r="DE61" s="400">
        <f>VLOOKUP(C61,Theory!B64:CO135,92,FALSE)</f>
        <v>0</v>
      </c>
      <c r="DF61" s="400">
        <f>VLOOKUP(C61,Theory!B64:CP135,93,FALSE)</f>
        <v>0</v>
      </c>
      <c r="DG61" s="400">
        <f>VLOOKUP(C61,Theory!B64:CQ135,94,FALSE)</f>
        <v>0</v>
      </c>
      <c r="DH61" s="386">
        <f>VLOOKUP(C61,Theory!B64:CR135,95,FALSE)</f>
        <v>5</v>
      </c>
      <c r="DI61" s="386">
        <f>VLOOKUP(C61,Theory!B64:CS135,96,FALSE)</f>
        <v>0</v>
      </c>
      <c r="DJ61" s="386">
        <f>VLOOKUP(C61,Theory!B64:CT135,97,FALSE)</f>
        <v>0</v>
      </c>
      <c r="DK61" s="386">
        <f>VLOOKUP(C61,Theory!B64:CU135,98,FALSE)</f>
        <v>0</v>
      </c>
      <c r="DL61" s="369">
        <f t="shared" si="20"/>
        <v>5</v>
      </c>
      <c r="DM61" s="411">
        <f t="shared" si="2"/>
        <v>29</v>
      </c>
      <c r="DN61" s="413">
        <f t="shared" si="40"/>
        <v>16</v>
      </c>
      <c r="DO61" s="413">
        <f t="shared" si="41"/>
        <v>11</v>
      </c>
      <c r="DP61" s="413">
        <f t="shared" si="42"/>
        <v>29</v>
      </c>
      <c r="DQ61" s="418">
        <f t="shared" si="43"/>
        <v>10</v>
      </c>
      <c r="DR61" s="418">
        <f t="shared" si="44"/>
        <v>7</v>
      </c>
      <c r="DS61" s="418">
        <f t="shared" si="45"/>
        <v>17</v>
      </c>
      <c r="DT61" s="417">
        <f t="shared" si="36"/>
        <v>11</v>
      </c>
      <c r="DU61" s="423">
        <f>VLOOKUP(C61,Theory!B64:CV135,99,FALSE)</f>
        <v>8</v>
      </c>
      <c r="DV61" s="423">
        <f>VLOOKUP(C61,Theory!B64:CW135,100,FALSE)</f>
        <v>10</v>
      </c>
      <c r="DW61" s="424">
        <f t="shared" si="27"/>
        <v>18</v>
      </c>
      <c r="DX61" s="421">
        <f t="shared" si="3"/>
        <v>29</v>
      </c>
      <c r="DY61" s="430">
        <f t="shared" si="4"/>
        <v>17</v>
      </c>
      <c r="DZ61" s="431">
        <f>VLOOKUP(C61,Lab!B56:D125,3,FALSE)</f>
        <v>0</v>
      </c>
      <c r="EA61" s="432">
        <f>VLOOKUP(C61,Lab!B56:E125,4,FALSE)</f>
        <v>0</v>
      </c>
      <c r="EB61" s="432">
        <f>VLOOKUP(C61,Lab!B56:F125,5,FALSE)</f>
        <v>27</v>
      </c>
      <c r="EC61" s="422">
        <f t="shared" si="37"/>
        <v>27</v>
      </c>
      <c r="ED61" s="436">
        <f>VLOOKUP(C61,Lab!B56:G125,6,FALSE)</f>
        <v>0</v>
      </c>
      <c r="EE61" s="436">
        <f>VLOOKUP(C61,Lab!B56:H125,7,FALSE)</f>
        <v>0</v>
      </c>
      <c r="EF61" s="437">
        <v>12</v>
      </c>
      <c r="EG61" s="443">
        <f t="shared" si="38"/>
        <v>12</v>
      </c>
      <c r="EH61" s="444">
        <f t="shared" si="28"/>
        <v>39</v>
      </c>
      <c r="EI61" s="445">
        <f t="shared" si="29"/>
        <v>16</v>
      </c>
      <c r="EJ61" s="446">
        <f t="shared" si="5"/>
        <v>33</v>
      </c>
      <c r="EK61" s="449">
        <v>32.5</v>
      </c>
      <c r="EM61" s="450">
        <f>VLOOKUP(C61,Theory!B64:DK135,114,FALSE)</f>
        <v>0</v>
      </c>
      <c r="EN61" s="450">
        <f>VLOOKUP(C61,Theory!B64:DL135,115,FALSE)</f>
        <v>0</v>
      </c>
      <c r="EO61" s="450">
        <f>VLOOKUP(C61,Theory!B64:DM135,116,FALSE)</f>
        <v>0</v>
      </c>
      <c r="EP61" s="450">
        <f>VLOOKUP(C61,Theory!B64:DN133,117,FALSE)</f>
        <v>0</v>
      </c>
      <c r="EQ61" s="450">
        <f>VLOOKUP(C61,Theory!B64:DO133,118,FALSE)</f>
        <v>0</v>
      </c>
      <c r="ER61" s="451">
        <f>VLOOKUP(C61,Theory!B64:DP133,119,FALSE)</f>
        <v>0</v>
      </c>
      <c r="ES61" s="454">
        <f>VLOOKUP(C61,Theory!B64:DQ133,120,FALSE)</f>
        <v>0</v>
      </c>
      <c r="ET61" s="455">
        <f t="shared" si="39"/>
        <v>0</v>
      </c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</row>
    <row r="62" ht="18.35" spans="1:160">
      <c r="A62" s="164">
        <v>49</v>
      </c>
      <c r="B62" s="289" t="str">
        <f>Theory!C65</f>
        <v>SATHWIK KUMAR SHETTY</v>
      </c>
      <c r="C62" s="360" t="str">
        <f>Theory!B65</f>
        <v>1DS23AI050</v>
      </c>
      <c r="D62" s="361">
        <f>VLOOKUP(C62,Theory!B65:D136,3,FALSE)</f>
        <v>9</v>
      </c>
      <c r="E62" s="361">
        <f>VLOOKUP(C62,Theory!B65:E136,4,FALSE)</f>
        <v>0</v>
      </c>
      <c r="F62" s="361">
        <f>VLOOKUP(C62,Theory!B65:F136,5,FALSE)</f>
        <v>0</v>
      </c>
      <c r="G62" s="361">
        <f>VLOOKUP(C62,Theory!B65:G136,6,FALSE)</f>
        <v>0</v>
      </c>
      <c r="H62" s="369">
        <f t="shared" si="6"/>
        <v>9</v>
      </c>
      <c r="I62" s="370">
        <f>VLOOKUP(C62,Theory!B65:H136,7,FALSE)</f>
        <v>10</v>
      </c>
      <c r="J62" s="371">
        <f>VLOOKUP(C62,Theory!B65:I136,8,FALSE)</f>
        <v>0</v>
      </c>
      <c r="K62" s="371">
        <f>VLOOKUP(C62,Theory!B65:J136,9,FALSE)</f>
        <v>0</v>
      </c>
      <c r="L62" s="371">
        <f>VLOOKUP(C62,Theory!B65:K136,10,FALSE)</f>
        <v>0</v>
      </c>
      <c r="M62" s="369">
        <f t="shared" si="7"/>
        <v>10</v>
      </c>
      <c r="N62" s="373">
        <f>VLOOKUP(C62,Theory!B65:L136,11,FALSE)</f>
        <v>0</v>
      </c>
      <c r="O62" s="373">
        <f>VLOOKUP(C62,Theory!B65:M136,12,FALSE)</f>
        <v>0</v>
      </c>
      <c r="P62" s="373">
        <f>VLOOKUP(C62,Theory!B65:N136,13,FALSE)</f>
        <v>0</v>
      </c>
      <c r="Q62" s="373">
        <f>VLOOKUP(C62,Theory!B65:O136,14,FALSE)</f>
        <v>0</v>
      </c>
      <c r="R62" s="371">
        <f>VLOOKUP(C62,Theory!B65:P136,15,FALSE)</f>
        <v>9</v>
      </c>
      <c r="S62" s="371">
        <f>VLOOKUP(C62,Theory!B65:Q136,16,FALSE)</f>
        <v>0</v>
      </c>
      <c r="T62" s="371">
        <f>VLOOKUP(C62,Theory!B65:R136,17,FALSE)</f>
        <v>0</v>
      </c>
      <c r="U62" s="371">
        <f>VLOOKUP(C62,Theory!B65:S136,18,FALSE)</f>
        <v>0</v>
      </c>
      <c r="V62" s="369">
        <f t="shared" si="8"/>
        <v>9</v>
      </c>
      <c r="W62" s="361">
        <f>VLOOKUP(C62,Theory!B65:T136,19,FALSE)</f>
        <v>10</v>
      </c>
      <c r="X62" s="361">
        <f>VLOOKUP(C62,Theory!B65:U136,20,FALSE)</f>
        <v>0</v>
      </c>
      <c r="Y62" s="361">
        <f>VLOOKUP(C62,Theory!B65:V136,21,FALSE)</f>
        <v>0</v>
      </c>
      <c r="Z62" s="361">
        <f>VLOOKUP(C62,Theory!B65:W136,22,FALSE)</f>
        <v>0</v>
      </c>
      <c r="AA62" s="370">
        <f>VLOOKUP(C62,Theory!B65:X136,23,FALSE)</f>
        <v>0</v>
      </c>
      <c r="AB62" s="370">
        <f>VLOOKUP(C62,Theory!B65:Y136,24,FALSE)</f>
        <v>0</v>
      </c>
      <c r="AC62" s="370">
        <f>VLOOKUP(C62,Theory!B65:Z136,25,FALSE)</f>
        <v>0</v>
      </c>
      <c r="AD62" s="370">
        <f>VLOOKUP(C62,Theory!B65:AA136,26,FALSE)</f>
        <v>0</v>
      </c>
      <c r="AE62" s="369">
        <f t="shared" si="9"/>
        <v>10</v>
      </c>
      <c r="AF62" s="361">
        <f>VLOOKUP(C62,Theory!B65:AB136,27,FALSE)</f>
        <v>8</v>
      </c>
      <c r="AG62" s="361">
        <f>VLOOKUP(C62,Theory!B65:AC136,28,FALSE)</f>
        <v>0</v>
      </c>
      <c r="AH62" s="361">
        <f>VLOOKUP(C62,Theory!B65:AD136,29,FALSE)</f>
        <v>0</v>
      </c>
      <c r="AI62" s="361">
        <f>VLOOKUP(C62,Theory!B65:AE136,30,FALSE)</f>
        <v>0</v>
      </c>
      <c r="AJ62" s="380">
        <f>VLOOKUP(C62,Theory!B65:AF136,31,FALSE)</f>
        <v>0</v>
      </c>
      <c r="AK62" s="380">
        <f>VLOOKUP(C62,Theory!B65:AG136,32,FALSE)</f>
        <v>0</v>
      </c>
      <c r="AL62" s="380">
        <f>VLOOKUP(C62,Theory!B65:AH136,33,FALSE)</f>
        <v>0</v>
      </c>
      <c r="AM62" s="380">
        <f>VLOOKUP(C62,Theory!B65:AI136,34,FALSE)</f>
        <v>0</v>
      </c>
      <c r="AN62" s="369">
        <f t="shared" si="10"/>
        <v>8</v>
      </c>
      <c r="AO62" s="385">
        <f t="shared" si="0"/>
        <v>46</v>
      </c>
      <c r="AP62" s="386">
        <f>VLOOKUP(C62,Theory!B65:AJ136,35,FALSE)</f>
        <v>10</v>
      </c>
      <c r="AQ62" s="386">
        <f>VLOOKUP(C62,Theory!B65:AK136,36,FALSE)</f>
        <v>0</v>
      </c>
      <c r="AR62" s="386">
        <f>VLOOKUP(C62,Theory!B65:AL136,37,FALSE)</f>
        <v>0</v>
      </c>
      <c r="AS62" s="386">
        <f>VLOOKUP(C62,Theory!B65:AM136,38,FALSE)</f>
        <v>0</v>
      </c>
      <c r="AT62" s="369">
        <f t="shared" si="11"/>
        <v>10</v>
      </c>
      <c r="AU62" s="386">
        <f>VLOOKUP(C62,Theory!B65:AN136,39,FALSE)</f>
        <v>10</v>
      </c>
      <c r="AV62" s="386">
        <f>VLOOKUP(C62,Theory!B65:AO136,40,FALSE)</f>
        <v>0</v>
      </c>
      <c r="AW62" s="386">
        <f>VLOOKUP(C62,Theory!B65:AP136,41,FALSE)</f>
        <v>0</v>
      </c>
      <c r="AX62" s="386">
        <f>VLOOKUP(C62,Theory!B65:AQ136,42,FALSE)</f>
        <v>0</v>
      </c>
      <c r="AY62" s="369">
        <f t="shared" si="12"/>
        <v>10</v>
      </c>
      <c r="AZ62" s="386">
        <f>VLOOKUP(C62,Theory!B65:AR136,43,FALSE)</f>
        <v>0</v>
      </c>
      <c r="BA62" s="386">
        <f>VLOOKUP(C62,Theory!B65:AS136,44,FALSE)</f>
        <v>0</v>
      </c>
      <c r="BB62" s="386">
        <f>VLOOKUP(C62,Theory!B65:AT136,45,FALSE)</f>
        <v>0</v>
      </c>
      <c r="BC62" s="386">
        <f>VLOOKUP(C62,Theory!B65:AU136,46,FALSE)</f>
        <v>0</v>
      </c>
      <c r="BD62" s="386">
        <f>VLOOKUP(C62,Theory!B65:AV136,47,FALSE)</f>
        <v>10</v>
      </c>
      <c r="BE62" s="386">
        <f>VLOOKUP(C62,Theory!B65:AW136,48,FALSE)</f>
        <v>0</v>
      </c>
      <c r="BF62" s="386">
        <f>VLOOKUP(C62,Theory!B65:AX136,49,FALSE)</f>
        <v>0</v>
      </c>
      <c r="BG62" s="386">
        <f>VLOOKUP(C62,Theory!B65:AY136,50,FALSE)</f>
        <v>0</v>
      </c>
      <c r="BH62" s="369">
        <f t="shared" si="13"/>
        <v>10</v>
      </c>
      <c r="BI62" s="386">
        <f>VLOOKUP(C62,Theory!B65:AZ136,51,FALSE)</f>
        <v>8</v>
      </c>
      <c r="BJ62" s="386">
        <f>VLOOKUP(C62,Theory!B65:BA136,52,FALSE)</f>
        <v>0</v>
      </c>
      <c r="BK62" s="386">
        <f>VLOOKUP(C62,Theory!B65:BB136,53,FALSE)</f>
        <v>0</v>
      </c>
      <c r="BL62" s="386">
        <f>VLOOKUP(C62,Theory!B65:BC136,54,FALSE)</f>
        <v>0</v>
      </c>
      <c r="BM62" s="386">
        <f>VLOOKUP(C62,Theory!B65:BD136,55,FALSE)</f>
        <v>0</v>
      </c>
      <c r="BN62" s="386">
        <f>VLOOKUP(C62,Theory!B65:BE136,56,FALSE)</f>
        <v>0</v>
      </c>
      <c r="BO62" s="386">
        <f>VLOOKUP(C62,Theory!B65:BF136,57,FALSE)</f>
        <v>0</v>
      </c>
      <c r="BP62" s="386">
        <f>VLOOKUP(C62,Theory!B65:BG136,58,FALSE)</f>
        <v>0</v>
      </c>
      <c r="BQ62" s="369">
        <f t="shared" si="14"/>
        <v>8</v>
      </c>
      <c r="BR62" s="386">
        <f>VLOOKUP(C62,Theory!B65:BH136,59,FALSE)</f>
        <v>0</v>
      </c>
      <c r="BS62" s="386">
        <f>VLOOKUP(C62,Theory!B65:BI136,60,FALSE)</f>
        <v>0</v>
      </c>
      <c r="BT62" s="386">
        <f>VLOOKUP(C62,Theory!B65:BJ136,61,FALSE)</f>
        <v>0</v>
      </c>
      <c r="BU62" s="386">
        <f>VLOOKUP(C62,Theory!B65:BK136,62,FALSE)</f>
        <v>0</v>
      </c>
      <c r="BV62" s="386">
        <f>VLOOKUP(C62,Theory!B65:BL136,63,FALSE)</f>
        <v>10</v>
      </c>
      <c r="BW62" s="386">
        <f>VLOOKUP(C62,Theory!B65:BM136,64,FALSE)</f>
        <v>0</v>
      </c>
      <c r="BX62" s="386">
        <f>VLOOKUP(C62,Theory!B65:BN136,65,FALSE)</f>
        <v>0</v>
      </c>
      <c r="BY62" s="386">
        <f>VLOOKUP(C62,Theory!B65:BO136,66,FALSE)</f>
        <v>0</v>
      </c>
      <c r="BZ62" s="369">
        <f t="shared" si="15"/>
        <v>10</v>
      </c>
      <c r="CA62" s="385">
        <f t="shared" si="1"/>
        <v>48</v>
      </c>
      <c r="CB62" s="386">
        <f>VLOOKUP(C62,Theory!B65:BP136,67,FALSE)</f>
        <v>10</v>
      </c>
      <c r="CC62" s="386">
        <f>VLOOKUP(C62,Theory!B65:BQ136,68,FALSE)</f>
        <v>0</v>
      </c>
      <c r="CD62" s="386">
        <f>VLOOKUP(C62,Theory!B65:BR136,69,FALSE)</f>
        <v>0</v>
      </c>
      <c r="CE62" s="386">
        <f>VLOOKUP(C62,Theory!B65:BS136,70,FALSE)</f>
        <v>0</v>
      </c>
      <c r="CF62" s="369">
        <f t="shared" si="16"/>
        <v>10</v>
      </c>
      <c r="CG62" s="399">
        <f>VLOOKUP(C62,Theory!B65:BT136,71,FALSE)</f>
        <v>10</v>
      </c>
      <c r="CH62" s="399">
        <f>VLOOKUP(C62,Theory!B65:BU136,72,FALSE)</f>
        <v>0</v>
      </c>
      <c r="CI62" s="399">
        <f>VLOOKUP(C62,Theory!B65:BV136,73,FALSE)</f>
        <v>0</v>
      </c>
      <c r="CJ62" s="399">
        <f>VLOOKUP(C62,Theory!B65:BW136,74,FALSE)</f>
        <v>0</v>
      </c>
      <c r="CK62" s="369">
        <f t="shared" si="17"/>
        <v>10</v>
      </c>
      <c r="CL62" s="386">
        <f>VLOOKUP(C62,Theory!B65:BX136,75,FALSE)</f>
        <v>9</v>
      </c>
      <c r="CM62" s="400">
        <f>VLOOKUP(C62,Theory!B65:BY136,76,FALSE)</f>
        <v>0</v>
      </c>
      <c r="CN62" s="400">
        <f>VLOOKUP(C62,Theory!B65:BZ136,77,FALSE)</f>
        <v>0</v>
      </c>
      <c r="CO62" s="400">
        <f>VLOOKUP(C62,Theory!B65:CA136,78,FALSE)</f>
        <v>0</v>
      </c>
      <c r="CP62" s="386">
        <f>VLOOKUP(C62,Theory!B65:CB136,79,FALSE)</f>
        <v>0</v>
      </c>
      <c r="CQ62" s="386">
        <f>VLOOKUP(C62,Theory!B65:CC136,80,FALSE)</f>
        <v>0</v>
      </c>
      <c r="CR62" s="386">
        <f>VLOOKUP(C62,Theory!B65:CD136,81,FALSE)</f>
        <v>0</v>
      </c>
      <c r="CS62" s="386">
        <f>VLOOKUP(C62,Theory!B65:CE136,82,FALSE)</f>
        <v>0</v>
      </c>
      <c r="CT62" s="369">
        <f t="shared" si="18"/>
        <v>9</v>
      </c>
      <c r="CU62" s="399">
        <f>VLOOKUP(C62,Theory!B65:CF136,83,FALSE)</f>
        <v>10</v>
      </c>
      <c r="CV62" s="400">
        <f>VLOOKUP(C62,Theory!B65:CG136,84,FALSE)</f>
        <v>0</v>
      </c>
      <c r="CW62" s="400">
        <f>VLOOKUP(C62,Theory!B65:CH136,85,FALSE)</f>
        <v>0</v>
      </c>
      <c r="CX62" s="400">
        <f>VLOOKUP(C62,Theory!B65:CI136,86,FALSE)</f>
        <v>0</v>
      </c>
      <c r="CY62" s="399">
        <f>VLOOKUP(C62,Theory!B65:CJ136,87,FALSE)</f>
        <v>0</v>
      </c>
      <c r="CZ62" s="399">
        <f>VLOOKUP(C62,Theory!B65:CK136,88,FALSE)</f>
        <v>0</v>
      </c>
      <c r="DA62" s="399">
        <f>VLOOKUP(C62,Theory!B65:CL136,89,FALSE)</f>
        <v>0</v>
      </c>
      <c r="DB62" s="399">
        <f>VLOOKUP(C62,Theory!B65:CM136,90,FALSE)</f>
        <v>0</v>
      </c>
      <c r="DC62" s="369">
        <f t="shared" si="19"/>
        <v>10</v>
      </c>
      <c r="DD62" s="386">
        <f>VLOOKUP(C62,Theory!B65:CN136,91,FALSE)</f>
        <v>10</v>
      </c>
      <c r="DE62" s="400">
        <f>VLOOKUP(C62,Theory!B65:CO136,92,FALSE)</f>
        <v>0</v>
      </c>
      <c r="DF62" s="400">
        <f>VLOOKUP(C62,Theory!B65:CP136,93,FALSE)</f>
        <v>0</v>
      </c>
      <c r="DG62" s="400">
        <f>VLOOKUP(C62,Theory!B65:CQ136,94,FALSE)</f>
        <v>0</v>
      </c>
      <c r="DH62" s="386">
        <f>VLOOKUP(C62,Theory!B65:CR136,95,FALSE)</f>
        <v>0</v>
      </c>
      <c r="DI62" s="386">
        <f>VLOOKUP(C62,Theory!B65:CS136,96,FALSE)</f>
        <v>0</v>
      </c>
      <c r="DJ62" s="386">
        <f>VLOOKUP(C62,Theory!B65:CT136,97,FALSE)</f>
        <v>0</v>
      </c>
      <c r="DK62" s="386">
        <f>VLOOKUP(C62,Theory!B65:CU136,98,FALSE)</f>
        <v>0</v>
      </c>
      <c r="DL62" s="369">
        <f t="shared" si="20"/>
        <v>10</v>
      </c>
      <c r="DM62" s="411">
        <f t="shared" si="2"/>
        <v>49</v>
      </c>
      <c r="DN62" s="413">
        <f t="shared" si="40"/>
        <v>46</v>
      </c>
      <c r="DO62" s="413">
        <f t="shared" si="41"/>
        <v>48</v>
      </c>
      <c r="DP62" s="413">
        <f t="shared" si="42"/>
        <v>49</v>
      </c>
      <c r="DQ62" s="418">
        <f t="shared" si="43"/>
        <v>28</v>
      </c>
      <c r="DR62" s="418">
        <f t="shared" si="44"/>
        <v>29</v>
      </c>
      <c r="DS62" s="418">
        <f t="shared" si="45"/>
        <v>29</v>
      </c>
      <c r="DT62" s="417">
        <f t="shared" si="36"/>
        <v>29</v>
      </c>
      <c r="DU62" s="423">
        <f>VLOOKUP(C62,Theory!B65:CV136,99,FALSE)</f>
        <v>9</v>
      </c>
      <c r="DV62" s="423">
        <f>VLOOKUP(C62,Theory!B65:CW136,100,FALSE)</f>
        <v>10</v>
      </c>
      <c r="DW62" s="424">
        <f t="shared" si="27"/>
        <v>19</v>
      </c>
      <c r="DX62" s="421">
        <f t="shared" si="3"/>
        <v>48</v>
      </c>
      <c r="DY62" s="430">
        <f t="shared" si="4"/>
        <v>29</v>
      </c>
      <c r="DZ62" s="431">
        <f>VLOOKUP(C62,Lab!B57:D126,3,FALSE)</f>
        <v>0</v>
      </c>
      <c r="EA62" s="432">
        <f>VLOOKUP(C62,Lab!B57:E126,4,FALSE)</f>
        <v>0</v>
      </c>
      <c r="EB62" s="432">
        <f>VLOOKUP(C62,Lab!B57:F126,5,FALSE)</f>
        <v>30</v>
      </c>
      <c r="EC62" s="422">
        <f t="shared" si="37"/>
        <v>30</v>
      </c>
      <c r="ED62" s="436">
        <f>VLOOKUP(C62,Lab!B57:G126,6,FALSE)</f>
        <v>0</v>
      </c>
      <c r="EE62" s="436">
        <f>VLOOKUP(C62,Lab!B57:H126,7,FALSE)</f>
        <v>0</v>
      </c>
      <c r="EF62" s="437">
        <f>VLOOKUP(C62,Lab!B57:I126,8,FALSE)</f>
        <v>20</v>
      </c>
      <c r="EG62" s="443">
        <f t="shared" si="38"/>
        <v>20</v>
      </c>
      <c r="EH62" s="444">
        <f t="shared" si="28"/>
        <v>50</v>
      </c>
      <c r="EI62" s="445">
        <f t="shared" si="29"/>
        <v>20</v>
      </c>
      <c r="EJ62" s="446">
        <f t="shared" si="5"/>
        <v>49</v>
      </c>
      <c r="EK62" s="449">
        <v>37.5</v>
      </c>
      <c r="EM62" s="450">
        <f>VLOOKUP(C62,Theory!B65:DK136,114,FALSE)</f>
        <v>0</v>
      </c>
      <c r="EN62" s="450">
        <f>VLOOKUP(C62,Theory!B65:DL136,115,FALSE)</f>
        <v>0</v>
      </c>
      <c r="EO62" s="450">
        <f>VLOOKUP(C62,Theory!B65:DM136,116,FALSE)</f>
        <v>0</v>
      </c>
      <c r="EP62" s="450">
        <f>VLOOKUP(C62,Theory!B65:DN134,117,FALSE)</f>
        <v>0</v>
      </c>
      <c r="EQ62" s="450">
        <f>VLOOKUP(C62,Theory!B65:DO134,118,FALSE)</f>
        <v>0</v>
      </c>
      <c r="ER62" s="451">
        <f>VLOOKUP(C62,Theory!B65:DP134,119,FALSE)</f>
        <v>0</v>
      </c>
      <c r="ES62" s="454">
        <f>VLOOKUP(C62,Theory!B65:DQ134,120,FALSE)</f>
        <v>0</v>
      </c>
      <c r="ET62" s="455">
        <f t="shared" si="39"/>
        <v>0</v>
      </c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</row>
    <row r="63" ht="18.35" spans="1:160">
      <c r="A63" s="164">
        <v>50</v>
      </c>
      <c r="B63" s="289" t="str">
        <f>Theory!C66</f>
        <v>SHAIK ABDULLAH</v>
      </c>
      <c r="C63" s="360" t="str">
        <f>Theory!B66</f>
        <v>1DS23AI051</v>
      </c>
      <c r="D63" s="361">
        <f>VLOOKUP(C63,Theory!B66:D137,3,FALSE)</f>
        <v>8</v>
      </c>
      <c r="E63" s="361">
        <f>VLOOKUP(C63,Theory!B66:E137,4,FALSE)</f>
        <v>0</v>
      </c>
      <c r="F63" s="361">
        <f>VLOOKUP(C63,Theory!B66:F137,5,FALSE)</f>
        <v>0</v>
      </c>
      <c r="G63" s="361">
        <f>VLOOKUP(C63,Theory!B66:G137,6,FALSE)</f>
        <v>0</v>
      </c>
      <c r="H63" s="369">
        <f t="shared" si="6"/>
        <v>8</v>
      </c>
      <c r="I63" s="370">
        <f>VLOOKUP(C63,Theory!B66:H137,7,FALSE)</f>
        <v>5</v>
      </c>
      <c r="J63" s="371">
        <f>VLOOKUP(C63,Theory!B66:I137,8,FALSE)</f>
        <v>0</v>
      </c>
      <c r="K63" s="371">
        <f>VLOOKUP(C63,Theory!B66:J137,9,FALSE)</f>
        <v>0</v>
      </c>
      <c r="L63" s="371">
        <f>VLOOKUP(C63,Theory!B66:K137,10,FALSE)</f>
        <v>0</v>
      </c>
      <c r="M63" s="369">
        <f t="shared" si="7"/>
        <v>5</v>
      </c>
      <c r="N63" s="373">
        <f>VLOOKUP(C63,Theory!B66:L137,11,FALSE)</f>
        <v>2</v>
      </c>
      <c r="O63" s="373">
        <f>VLOOKUP(C63,Theory!B66:M137,12,FALSE)</f>
        <v>0</v>
      </c>
      <c r="P63" s="373">
        <f>VLOOKUP(C63,Theory!B66:N137,13,FALSE)</f>
        <v>0</v>
      </c>
      <c r="Q63" s="373">
        <f>VLOOKUP(C63,Theory!B66:O137,14,FALSE)</f>
        <v>0</v>
      </c>
      <c r="R63" s="371">
        <f>VLOOKUP(C63,Theory!B66:P137,15,FALSE)</f>
        <v>0</v>
      </c>
      <c r="S63" s="371">
        <f>VLOOKUP(C63,Theory!B66:Q137,16,FALSE)</f>
        <v>0</v>
      </c>
      <c r="T63" s="371">
        <f>VLOOKUP(C63,Theory!B66:R137,17,FALSE)</f>
        <v>0</v>
      </c>
      <c r="U63" s="371">
        <f>VLOOKUP(C63,Theory!B66:S137,18,FALSE)</f>
        <v>0</v>
      </c>
      <c r="V63" s="369">
        <f t="shared" si="8"/>
        <v>2</v>
      </c>
      <c r="W63" s="361">
        <f>VLOOKUP(C63,Theory!B66:T137,19,FALSE)</f>
        <v>0</v>
      </c>
      <c r="X63" s="361">
        <f>VLOOKUP(C63,Theory!B66:U137,20,FALSE)</f>
        <v>0</v>
      </c>
      <c r="Y63" s="361">
        <f>VLOOKUP(C63,Theory!B66:V137,21,FALSE)</f>
        <v>0</v>
      </c>
      <c r="Z63" s="361">
        <f>VLOOKUP(C63,Theory!B66:W137,22,FALSE)</f>
        <v>0</v>
      </c>
      <c r="AA63" s="370">
        <f>VLOOKUP(C63,Theory!B66:X137,23,FALSE)</f>
        <v>9</v>
      </c>
      <c r="AB63" s="370">
        <f>VLOOKUP(C63,Theory!B66:Y137,24,FALSE)</f>
        <v>0</v>
      </c>
      <c r="AC63" s="370">
        <f>VLOOKUP(C63,Theory!B66:Z137,25,FALSE)</f>
        <v>0</v>
      </c>
      <c r="AD63" s="370">
        <f>VLOOKUP(C63,Theory!B66:AA137,26,FALSE)</f>
        <v>0</v>
      </c>
      <c r="AE63" s="369">
        <f t="shared" si="9"/>
        <v>9</v>
      </c>
      <c r="AF63" s="361">
        <f>VLOOKUP(C63,Theory!B66:AB137,27,FALSE)</f>
        <v>0</v>
      </c>
      <c r="AG63" s="361">
        <f>VLOOKUP(C63,Theory!B66:AC137,28,FALSE)</f>
        <v>0</v>
      </c>
      <c r="AH63" s="361">
        <f>VLOOKUP(C63,Theory!B66:AD137,29,FALSE)</f>
        <v>0</v>
      </c>
      <c r="AI63" s="361">
        <f>VLOOKUP(C63,Theory!B66:AE137,30,FALSE)</f>
        <v>0</v>
      </c>
      <c r="AJ63" s="380">
        <f>VLOOKUP(C63,Theory!B66:AF137,31,FALSE)</f>
        <v>3</v>
      </c>
      <c r="AK63" s="380">
        <f>VLOOKUP(C63,Theory!B66:AG137,32,FALSE)</f>
        <v>0</v>
      </c>
      <c r="AL63" s="380">
        <f>VLOOKUP(C63,Theory!B66:AH137,33,FALSE)</f>
        <v>0</v>
      </c>
      <c r="AM63" s="380">
        <f>VLOOKUP(C63,Theory!B66:AI137,34,FALSE)</f>
        <v>0</v>
      </c>
      <c r="AN63" s="369">
        <f t="shared" si="10"/>
        <v>3</v>
      </c>
      <c r="AO63" s="385">
        <f t="shared" si="0"/>
        <v>27</v>
      </c>
      <c r="AP63" s="386">
        <f>VLOOKUP(C63,Theory!B66:AJ137,35,FALSE)</f>
        <v>0</v>
      </c>
      <c r="AQ63" s="386">
        <f>VLOOKUP(C63,Theory!B66:AK137,36,FALSE)</f>
        <v>0</v>
      </c>
      <c r="AR63" s="386">
        <f>VLOOKUP(C63,Theory!B66:AL137,37,FALSE)</f>
        <v>0</v>
      </c>
      <c r="AS63" s="386">
        <f>VLOOKUP(C63,Theory!B66:AM137,38,FALSE)</f>
        <v>0</v>
      </c>
      <c r="AT63" s="369">
        <f t="shared" si="11"/>
        <v>0</v>
      </c>
      <c r="AU63" s="386">
        <f>VLOOKUP(C63,Theory!B66:AN137,39,FALSE)</f>
        <v>8</v>
      </c>
      <c r="AV63" s="386">
        <f>VLOOKUP(C63,Theory!B66:AO137,40,FALSE)</f>
        <v>0</v>
      </c>
      <c r="AW63" s="386">
        <f>VLOOKUP(C63,Theory!B66:AP137,41,FALSE)</f>
        <v>0</v>
      </c>
      <c r="AX63" s="386">
        <f>VLOOKUP(C63,Theory!B66:AQ137,42,FALSE)</f>
        <v>0</v>
      </c>
      <c r="AY63" s="369">
        <f t="shared" si="12"/>
        <v>8</v>
      </c>
      <c r="AZ63" s="386">
        <f>VLOOKUP(C63,Theory!B66:AR137,43,FALSE)</f>
        <v>0</v>
      </c>
      <c r="BA63" s="386">
        <f>VLOOKUP(C63,Theory!B66:AS137,44,FALSE)</f>
        <v>0</v>
      </c>
      <c r="BB63" s="386">
        <f>VLOOKUP(C63,Theory!B66:AT137,45,FALSE)</f>
        <v>0</v>
      </c>
      <c r="BC63" s="386">
        <f>VLOOKUP(C63,Theory!B66:AU137,46,FALSE)</f>
        <v>0</v>
      </c>
      <c r="BD63" s="386">
        <f>VLOOKUP(C63,Theory!B66:AV137,47,FALSE)</f>
        <v>8</v>
      </c>
      <c r="BE63" s="386">
        <f>VLOOKUP(C63,Theory!B66:AW137,48,FALSE)</f>
        <v>0</v>
      </c>
      <c r="BF63" s="386">
        <f>VLOOKUP(C63,Theory!B66:AX137,49,FALSE)</f>
        <v>0</v>
      </c>
      <c r="BG63" s="386">
        <f>VLOOKUP(C63,Theory!B66:AY137,50,FALSE)</f>
        <v>0</v>
      </c>
      <c r="BH63" s="369">
        <f t="shared" si="13"/>
        <v>8</v>
      </c>
      <c r="BI63" s="386">
        <f>VLOOKUP(C63,Theory!B66:AZ137,51,FALSE)</f>
        <v>6</v>
      </c>
      <c r="BJ63" s="386">
        <f>VLOOKUP(C63,Theory!B66:BA137,52,FALSE)</f>
        <v>0</v>
      </c>
      <c r="BK63" s="386">
        <f>VLOOKUP(C63,Theory!B66:BB137,53,FALSE)</f>
        <v>0</v>
      </c>
      <c r="BL63" s="386">
        <f>VLOOKUP(C63,Theory!B66:BC137,54,FALSE)</f>
        <v>0</v>
      </c>
      <c r="BM63" s="386">
        <f>VLOOKUP(C63,Theory!B66:BD137,55,FALSE)</f>
        <v>0</v>
      </c>
      <c r="BN63" s="386">
        <f>VLOOKUP(C63,Theory!B66:BE137,56,FALSE)</f>
        <v>0</v>
      </c>
      <c r="BO63" s="386">
        <f>VLOOKUP(C63,Theory!B66:BF137,57,FALSE)</f>
        <v>0</v>
      </c>
      <c r="BP63" s="386">
        <f>VLOOKUP(C63,Theory!B66:BG137,58,FALSE)</f>
        <v>0</v>
      </c>
      <c r="BQ63" s="369">
        <f t="shared" si="14"/>
        <v>6</v>
      </c>
      <c r="BR63" s="386">
        <f>VLOOKUP(C63,Theory!B66:BH137,59,FALSE)</f>
        <v>10</v>
      </c>
      <c r="BS63" s="386">
        <f>VLOOKUP(C63,Theory!B66:BI137,60,FALSE)</f>
        <v>0</v>
      </c>
      <c r="BT63" s="386">
        <f>VLOOKUP(C63,Theory!B66:BJ137,61,FALSE)</f>
        <v>0</v>
      </c>
      <c r="BU63" s="386">
        <f>VLOOKUP(C63,Theory!B66:BK137,62,FALSE)</f>
        <v>0</v>
      </c>
      <c r="BV63" s="386">
        <f>VLOOKUP(C63,Theory!B66:BL137,63,FALSE)</f>
        <v>0</v>
      </c>
      <c r="BW63" s="386">
        <f>VLOOKUP(C63,Theory!B66:BM137,64,FALSE)</f>
        <v>0</v>
      </c>
      <c r="BX63" s="386">
        <f>VLOOKUP(C63,Theory!B66:BN137,65,FALSE)</f>
        <v>0</v>
      </c>
      <c r="BY63" s="386">
        <f>VLOOKUP(C63,Theory!B66:BO137,66,FALSE)</f>
        <v>0</v>
      </c>
      <c r="BZ63" s="369">
        <f t="shared" si="15"/>
        <v>10</v>
      </c>
      <c r="CA63" s="385">
        <f t="shared" si="1"/>
        <v>32</v>
      </c>
      <c r="CB63" s="386">
        <f>VLOOKUP(C63,Theory!B66:BP137,67,FALSE)</f>
        <v>10</v>
      </c>
      <c r="CC63" s="386">
        <f>VLOOKUP(C63,Theory!B66:BQ137,68,FALSE)</f>
        <v>0</v>
      </c>
      <c r="CD63" s="386">
        <f>VLOOKUP(C63,Theory!B66:BR137,69,FALSE)</f>
        <v>0</v>
      </c>
      <c r="CE63" s="386">
        <f>VLOOKUP(C63,Theory!B66:BS137,70,FALSE)</f>
        <v>0</v>
      </c>
      <c r="CF63" s="369">
        <f t="shared" si="16"/>
        <v>10</v>
      </c>
      <c r="CG63" s="399">
        <f>VLOOKUP(C63,Theory!B66:BT137,71,FALSE)</f>
        <v>7</v>
      </c>
      <c r="CH63" s="399">
        <f>VLOOKUP(C63,Theory!B66:BU137,72,FALSE)</f>
        <v>0</v>
      </c>
      <c r="CI63" s="399">
        <f>VLOOKUP(C63,Theory!B66:BV137,73,FALSE)</f>
        <v>0</v>
      </c>
      <c r="CJ63" s="399">
        <f>VLOOKUP(C63,Theory!B66:BW137,74,FALSE)</f>
        <v>0</v>
      </c>
      <c r="CK63" s="369">
        <f t="shared" si="17"/>
        <v>7</v>
      </c>
      <c r="CL63" s="386">
        <f>VLOOKUP(C63,Theory!B66:BX137,75,FALSE)</f>
        <v>9</v>
      </c>
      <c r="CM63" s="400">
        <f>VLOOKUP(C63,Theory!B66:BY137,76,FALSE)</f>
        <v>0</v>
      </c>
      <c r="CN63" s="400">
        <f>VLOOKUP(C63,Theory!B66:BZ137,77,FALSE)</f>
        <v>0</v>
      </c>
      <c r="CO63" s="400">
        <f>VLOOKUP(C63,Theory!B66:CA137,78,FALSE)</f>
        <v>0</v>
      </c>
      <c r="CP63" s="386">
        <f>VLOOKUP(C63,Theory!B66:CB137,79,FALSE)</f>
        <v>0</v>
      </c>
      <c r="CQ63" s="386">
        <f>VLOOKUP(C63,Theory!B66:CC137,80,FALSE)</f>
        <v>0</v>
      </c>
      <c r="CR63" s="386">
        <f>VLOOKUP(C63,Theory!B66:CD137,81,FALSE)</f>
        <v>0</v>
      </c>
      <c r="CS63" s="386">
        <f>VLOOKUP(C63,Theory!B66:CE137,82,FALSE)</f>
        <v>0</v>
      </c>
      <c r="CT63" s="369">
        <f t="shared" si="18"/>
        <v>9</v>
      </c>
      <c r="CU63" s="399">
        <f>VLOOKUP(C63,Theory!B66:CF137,83,FALSE)</f>
        <v>0</v>
      </c>
      <c r="CV63" s="400">
        <f>VLOOKUP(C63,Theory!B66:CG137,84,FALSE)</f>
        <v>0</v>
      </c>
      <c r="CW63" s="400">
        <f>VLOOKUP(C63,Theory!B66:CH137,85,FALSE)</f>
        <v>0</v>
      </c>
      <c r="CX63" s="400">
        <f>VLOOKUP(C63,Theory!B66:CI137,86,FALSE)</f>
        <v>0</v>
      </c>
      <c r="CY63" s="399">
        <f>VLOOKUP(C63,Theory!B66:CJ137,87,FALSE)</f>
        <v>9</v>
      </c>
      <c r="CZ63" s="399">
        <f>VLOOKUP(C63,Theory!B66:CK137,88,FALSE)</f>
        <v>0</v>
      </c>
      <c r="DA63" s="399">
        <f>VLOOKUP(C63,Theory!B66:CL137,89,FALSE)</f>
        <v>0</v>
      </c>
      <c r="DB63" s="399">
        <f>VLOOKUP(C63,Theory!B66:CM137,90,FALSE)</f>
        <v>0</v>
      </c>
      <c r="DC63" s="369">
        <f t="shared" si="19"/>
        <v>9</v>
      </c>
      <c r="DD63" s="386">
        <f>VLOOKUP(C63,Theory!B66:CN137,91,FALSE)</f>
        <v>8</v>
      </c>
      <c r="DE63" s="400">
        <f>VLOOKUP(C63,Theory!B66:CO137,92,FALSE)</f>
        <v>0</v>
      </c>
      <c r="DF63" s="400">
        <f>VLOOKUP(C63,Theory!B66:CP137,93,FALSE)</f>
        <v>0</v>
      </c>
      <c r="DG63" s="400">
        <f>VLOOKUP(C63,Theory!B66:CQ137,94,FALSE)</f>
        <v>0</v>
      </c>
      <c r="DH63" s="386">
        <f>VLOOKUP(C63,Theory!B66:CR137,95,FALSE)</f>
        <v>0</v>
      </c>
      <c r="DI63" s="386">
        <f>VLOOKUP(C63,Theory!B66:CS137,96,FALSE)</f>
        <v>0</v>
      </c>
      <c r="DJ63" s="386">
        <f>VLOOKUP(C63,Theory!B66:CT137,97,FALSE)</f>
        <v>0</v>
      </c>
      <c r="DK63" s="386">
        <f>VLOOKUP(C63,Theory!B66:CU137,98,FALSE)</f>
        <v>0</v>
      </c>
      <c r="DL63" s="369">
        <f t="shared" si="20"/>
        <v>8</v>
      </c>
      <c r="DM63" s="411">
        <f t="shared" si="2"/>
        <v>43</v>
      </c>
      <c r="DN63" s="413">
        <f t="shared" si="40"/>
        <v>27</v>
      </c>
      <c r="DO63" s="413">
        <f t="shared" si="41"/>
        <v>32</v>
      </c>
      <c r="DP63" s="413">
        <f t="shared" si="42"/>
        <v>43</v>
      </c>
      <c r="DQ63" s="418">
        <f t="shared" si="43"/>
        <v>16</v>
      </c>
      <c r="DR63" s="418">
        <f t="shared" si="44"/>
        <v>19</v>
      </c>
      <c r="DS63" s="418">
        <f t="shared" si="45"/>
        <v>26</v>
      </c>
      <c r="DT63" s="417">
        <f t="shared" si="36"/>
        <v>20</v>
      </c>
      <c r="DU63" s="423">
        <f>VLOOKUP(C63,Theory!B66:CV137,99,FALSE)</f>
        <v>6</v>
      </c>
      <c r="DV63" s="423">
        <f>VLOOKUP(C63,Theory!B66:CW137,100,FALSE)</f>
        <v>10</v>
      </c>
      <c r="DW63" s="424">
        <f t="shared" si="27"/>
        <v>16</v>
      </c>
      <c r="DX63" s="421">
        <f t="shared" si="3"/>
        <v>36</v>
      </c>
      <c r="DY63" s="430">
        <f t="shared" si="4"/>
        <v>22</v>
      </c>
      <c r="DZ63" s="431">
        <f>VLOOKUP(C63,Lab!B58:D127,3,FALSE)</f>
        <v>0</v>
      </c>
      <c r="EA63" s="432">
        <f>VLOOKUP(C63,Lab!B58:E127,4,FALSE)</f>
        <v>0</v>
      </c>
      <c r="EB63" s="432">
        <f>VLOOKUP(C63,Lab!B58:F127,5,FALSE)</f>
        <v>27</v>
      </c>
      <c r="EC63" s="422">
        <f t="shared" si="37"/>
        <v>27</v>
      </c>
      <c r="ED63" s="436">
        <f>VLOOKUP(C63,Lab!B58:G127,6,FALSE)</f>
        <v>0</v>
      </c>
      <c r="EE63" s="436">
        <f>VLOOKUP(C63,Lab!B58:H127,7,FALSE)</f>
        <v>0</v>
      </c>
      <c r="EF63" s="437">
        <v>15</v>
      </c>
      <c r="EG63" s="443">
        <f t="shared" si="38"/>
        <v>15</v>
      </c>
      <c r="EH63" s="444">
        <f t="shared" si="28"/>
        <v>42</v>
      </c>
      <c r="EI63" s="445">
        <f t="shared" si="29"/>
        <v>17</v>
      </c>
      <c r="EJ63" s="446">
        <f t="shared" si="5"/>
        <v>39</v>
      </c>
      <c r="EK63" s="449">
        <v>34.5</v>
      </c>
      <c r="EM63" s="450">
        <f>VLOOKUP(C63,Theory!B66:DK137,114,FALSE)</f>
        <v>0</v>
      </c>
      <c r="EN63" s="450">
        <f>VLOOKUP(C63,Theory!B66:DL137,115,FALSE)</f>
        <v>0</v>
      </c>
      <c r="EO63" s="450">
        <f>VLOOKUP(C63,Theory!B66:DM137,116,FALSE)</f>
        <v>0</v>
      </c>
      <c r="EP63" s="450">
        <f>VLOOKUP(C63,Theory!B66:DN135,117,FALSE)</f>
        <v>0</v>
      </c>
      <c r="EQ63" s="450">
        <f>VLOOKUP(C63,Theory!B66:DO135,118,FALSE)</f>
        <v>0</v>
      </c>
      <c r="ER63" s="451">
        <f>VLOOKUP(C63,Theory!B66:DP135,119,FALSE)</f>
        <v>0</v>
      </c>
      <c r="ES63" s="454">
        <f>VLOOKUP(C63,Theory!B66:DQ135,120,FALSE)</f>
        <v>0</v>
      </c>
      <c r="ET63" s="455">
        <f t="shared" si="39"/>
        <v>0</v>
      </c>
      <c r="EU63" s="456"/>
      <c r="EV63" s="456"/>
      <c r="EW63" s="456"/>
      <c r="EX63" s="456"/>
      <c r="EY63" s="456"/>
      <c r="EZ63" s="456"/>
      <c r="FA63" s="456"/>
      <c r="FB63" s="456"/>
      <c r="FC63" s="456"/>
      <c r="FD63" s="456"/>
    </row>
    <row r="64" ht="18.35" spans="1:160">
      <c r="A64" s="164">
        <v>51</v>
      </c>
      <c r="B64" s="289" t="str">
        <f>Theory!C67</f>
        <v>SHETTY SAURABH SHRIKANT</v>
      </c>
      <c r="C64" s="360" t="str">
        <f>Theory!B67</f>
        <v>1DS23AI052</v>
      </c>
      <c r="D64" s="361">
        <f>VLOOKUP(C64,Theory!B67:D138,3,FALSE)</f>
        <v>9</v>
      </c>
      <c r="E64" s="361">
        <f>VLOOKUP(C64,Theory!B67:E138,4,FALSE)</f>
        <v>0</v>
      </c>
      <c r="F64" s="361">
        <f>VLOOKUP(C64,Theory!B67:F138,5,FALSE)</f>
        <v>0</v>
      </c>
      <c r="G64" s="361">
        <f>VLOOKUP(C64,Theory!B67:G138,6,FALSE)</f>
        <v>0</v>
      </c>
      <c r="H64" s="369">
        <f t="shared" si="6"/>
        <v>9</v>
      </c>
      <c r="I64" s="370">
        <f>VLOOKUP(C64,Theory!B67:H138,7,FALSE)</f>
        <v>8</v>
      </c>
      <c r="J64" s="371">
        <f>VLOOKUP(C64,Theory!B67:I138,8,FALSE)</f>
        <v>0</v>
      </c>
      <c r="K64" s="371">
        <f>VLOOKUP(C64,Theory!B67:J138,9,FALSE)</f>
        <v>0</v>
      </c>
      <c r="L64" s="371">
        <f>VLOOKUP(C64,Theory!B67:K138,10,FALSE)</f>
        <v>0</v>
      </c>
      <c r="M64" s="369">
        <f t="shared" si="7"/>
        <v>8</v>
      </c>
      <c r="N64" s="373">
        <f>VLOOKUP(C64,Theory!B67:L138,11,FALSE)</f>
        <v>0</v>
      </c>
      <c r="O64" s="373">
        <f>VLOOKUP(C64,Theory!B67:M138,12,FALSE)</f>
        <v>0</v>
      </c>
      <c r="P64" s="373">
        <f>VLOOKUP(C64,Theory!B67:N138,13,FALSE)</f>
        <v>0</v>
      </c>
      <c r="Q64" s="373">
        <f>VLOOKUP(C64,Theory!B67:O138,14,FALSE)</f>
        <v>0</v>
      </c>
      <c r="R64" s="371">
        <f>VLOOKUP(C64,Theory!B67:P138,15,FALSE)</f>
        <v>2</v>
      </c>
      <c r="S64" s="371">
        <f>VLOOKUP(C64,Theory!B67:Q138,16,FALSE)</f>
        <v>0</v>
      </c>
      <c r="T64" s="371">
        <f>VLOOKUP(C64,Theory!B67:R138,17,FALSE)</f>
        <v>0</v>
      </c>
      <c r="U64" s="371">
        <f>VLOOKUP(C64,Theory!B67:S138,18,FALSE)</f>
        <v>0</v>
      </c>
      <c r="V64" s="369">
        <f t="shared" si="8"/>
        <v>2</v>
      </c>
      <c r="W64" s="361">
        <f>VLOOKUP(C64,Theory!B67:T138,19,FALSE)</f>
        <v>8</v>
      </c>
      <c r="X64" s="361">
        <f>VLOOKUP(C64,Theory!B67:U138,20,FALSE)</f>
        <v>0</v>
      </c>
      <c r="Y64" s="361">
        <f>VLOOKUP(C64,Theory!B67:V138,21,FALSE)</f>
        <v>0</v>
      </c>
      <c r="Z64" s="361">
        <f>VLOOKUP(C64,Theory!B67:W138,22,FALSE)</f>
        <v>0</v>
      </c>
      <c r="AA64" s="370">
        <f>VLOOKUP(C64,Theory!B67:X138,23,FALSE)</f>
        <v>0</v>
      </c>
      <c r="AB64" s="370">
        <f>VLOOKUP(C64,Theory!B67:Y138,24,FALSE)</f>
        <v>0</v>
      </c>
      <c r="AC64" s="370">
        <f>VLOOKUP(C64,Theory!B67:Z138,25,FALSE)</f>
        <v>0</v>
      </c>
      <c r="AD64" s="370">
        <f>VLOOKUP(C64,Theory!B67:AA138,26,FALSE)</f>
        <v>0</v>
      </c>
      <c r="AE64" s="369">
        <f t="shared" si="9"/>
        <v>8</v>
      </c>
      <c r="AF64" s="361">
        <f>VLOOKUP(C64,Theory!B67:AB138,27,FALSE)</f>
        <v>0</v>
      </c>
      <c r="AG64" s="361">
        <f>VLOOKUP(C64,Theory!B67:AC138,28,FALSE)</f>
        <v>0</v>
      </c>
      <c r="AH64" s="361">
        <f>VLOOKUP(C64,Theory!B67:AD138,29,FALSE)</f>
        <v>0</v>
      </c>
      <c r="AI64" s="361">
        <f>VLOOKUP(C64,Theory!B67:AE138,30,FALSE)</f>
        <v>0</v>
      </c>
      <c r="AJ64" s="380">
        <f>VLOOKUP(C64,Theory!B67:AF138,31,FALSE)</f>
        <v>0</v>
      </c>
      <c r="AK64" s="380">
        <f>VLOOKUP(C64,Theory!B67:AG138,32,FALSE)</f>
        <v>0</v>
      </c>
      <c r="AL64" s="380">
        <f>VLOOKUP(C64,Theory!B67:AH138,33,FALSE)</f>
        <v>0</v>
      </c>
      <c r="AM64" s="380">
        <f>VLOOKUP(C64,Theory!B67:AI138,34,FALSE)</f>
        <v>0</v>
      </c>
      <c r="AN64" s="369">
        <f t="shared" si="10"/>
        <v>0</v>
      </c>
      <c r="AO64" s="385">
        <f t="shared" si="0"/>
        <v>27</v>
      </c>
      <c r="AP64" s="386">
        <f>VLOOKUP(C64,Theory!B67:AJ138,35,FALSE)</f>
        <v>0</v>
      </c>
      <c r="AQ64" s="386">
        <f>VLOOKUP(C64,Theory!B67:AK138,36,FALSE)</f>
        <v>0</v>
      </c>
      <c r="AR64" s="386">
        <f>VLOOKUP(C64,Theory!B67:AL138,37,FALSE)</f>
        <v>0</v>
      </c>
      <c r="AS64" s="386">
        <f>VLOOKUP(C64,Theory!B67:AM138,38,FALSE)</f>
        <v>0</v>
      </c>
      <c r="AT64" s="369">
        <f t="shared" si="11"/>
        <v>0</v>
      </c>
      <c r="AU64" s="386">
        <f>VLOOKUP(C64,Theory!B67:AN138,39,FALSE)</f>
        <v>4</v>
      </c>
      <c r="AV64" s="386">
        <f>VLOOKUP(C64,Theory!B67:AO138,40,FALSE)</f>
        <v>0</v>
      </c>
      <c r="AW64" s="386">
        <f>VLOOKUP(C64,Theory!B67:AP138,41,FALSE)</f>
        <v>0</v>
      </c>
      <c r="AX64" s="386">
        <f>VLOOKUP(C64,Theory!B67:AQ138,42,FALSE)</f>
        <v>0</v>
      </c>
      <c r="AY64" s="369">
        <f t="shared" si="12"/>
        <v>4</v>
      </c>
      <c r="AZ64" s="386">
        <f>VLOOKUP(C64,Theory!B67:AR138,43,FALSE)</f>
        <v>0</v>
      </c>
      <c r="BA64" s="386">
        <f>VLOOKUP(C64,Theory!B67:AS138,44,FALSE)</f>
        <v>0</v>
      </c>
      <c r="BB64" s="386">
        <f>VLOOKUP(C64,Theory!B67:AT138,45,FALSE)</f>
        <v>0</v>
      </c>
      <c r="BC64" s="386">
        <f>VLOOKUP(C64,Theory!B67:AU138,46,FALSE)</f>
        <v>0</v>
      </c>
      <c r="BD64" s="386">
        <f>VLOOKUP(C64,Theory!B67:AV138,47,FALSE)</f>
        <v>0</v>
      </c>
      <c r="BE64" s="386">
        <f>VLOOKUP(C64,Theory!B67:AW138,48,FALSE)</f>
        <v>0</v>
      </c>
      <c r="BF64" s="386">
        <f>VLOOKUP(C64,Theory!B67:AX138,49,FALSE)</f>
        <v>0</v>
      </c>
      <c r="BG64" s="386">
        <f>VLOOKUP(C64,Theory!B67:AY138,50,FALSE)</f>
        <v>0</v>
      </c>
      <c r="BH64" s="369">
        <f t="shared" si="13"/>
        <v>0</v>
      </c>
      <c r="BI64" s="386">
        <f>VLOOKUP(C64,Theory!B67:AZ138,51,FALSE)</f>
        <v>0</v>
      </c>
      <c r="BJ64" s="386">
        <f>VLOOKUP(C64,Theory!B67:BA138,52,FALSE)</f>
        <v>0</v>
      </c>
      <c r="BK64" s="386">
        <f>VLOOKUP(C64,Theory!B67:BB138,53,FALSE)</f>
        <v>0</v>
      </c>
      <c r="BL64" s="386">
        <f>VLOOKUP(C64,Theory!B67:BC138,54,FALSE)</f>
        <v>0</v>
      </c>
      <c r="BM64" s="386">
        <f>VLOOKUP(C64,Theory!B67:BD138,55,FALSE)</f>
        <v>0</v>
      </c>
      <c r="BN64" s="386">
        <f>VLOOKUP(C64,Theory!B67:BE138,56,FALSE)</f>
        <v>0</v>
      </c>
      <c r="BO64" s="386">
        <f>VLOOKUP(C64,Theory!B67:BF138,57,FALSE)</f>
        <v>0</v>
      </c>
      <c r="BP64" s="386">
        <f>VLOOKUP(C64,Theory!B67:BG138,58,FALSE)</f>
        <v>0</v>
      </c>
      <c r="BQ64" s="369">
        <f t="shared" si="14"/>
        <v>0</v>
      </c>
      <c r="BR64" s="386">
        <f>VLOOKUP(C64,Theory!B67:BH138,59,FALSE)</f>
        <v>2</v>
      </c>
      <c r="BS64" s="386">
        <f>VLOOKUP(C64,Theory!B67:BI138,60,FALSE)</f>
        <v>0</v>
      </c>
      <c r="BT64" s="386">
        <f>VLOOKUP(C64,Theory!B67:BJ138,61,FALSE)</f>
        <v>0</v>
      </c>
      <c r="BU64" s="386">
        <f>VLOOKUP(C64,Theory!B67:BK138,62,FALSE)</f>
        <v>0</v>
      </c>
      <c r="BV64" s="386">
        <f>VLOOKUP(C64,Theory!B67:BL138,63,FALSE)</f>
        <v>0</v>
      </c>
      <c r="BW64" s="386">
        <f>VLOOKUP(C64,Theory!B67:BM138,64,FALSE)</f>
        <v>0</v>
      </c>
      <c r="BX64" s="386">
        <f>VLOOKUP(C64,Theory!B67:BN138,65,FALSE)</f>
        <v>0</v>
      </c>
      <c r="BY64" s="386">
        <f>VLOOKUP(C64,Theory!B67:BO138,66,FALSE)</f>
        <v>0</v>
      </c>
      <c r="BZ64" s="369">
        <f t="shared" si="15"/>
        <v>2</v>
      </c>
      <c r="CA64" s="385">
        <f t="shared" si="1"/>
        <v>6</v>
      </c>
      <c r="CB64" s="386">
        <f>VLOOKUP(C64,Theory!B67:BP138,67,FALSE)</f>
        <v>8</v>
      </c>
      <c r="CC64" s="386">
        <f>VLOOKUP(C64,Theory!B67:BQ138,68,FALSE)</f>
        <v>0</v>
      </c>
      <c r="CD64" s="386">
        <f>VLOOKUP(C64,Theory!B67:BR138,69,FALSE)</f>
        <v>0</v>
      </c>
      <c r="CE64" s="386">
        <f>VLOOKUP(C64,Theory!B67:BS138,70,FALSE)</f>
        <v>0</v>
      </c>
      <c r="CF64" s="369">
        <f t="shared" si="16"/>
        <v>8</v>
      </c>
      <c r="CG64" s="399">
        <f>VLOOKUP(C64,Theory!B67:BT138,71,FALSE)</f>
        <v>10</v>
      </c>
      <c r="CH64" s="399">
        <f>VLOOKUP(C64,Theory!B67:BU138,72,FALSE)</f>
        <v>0</v>
      </c>
      <c r="CI64" s="399">
        <f>VLOOKUP(C64,Theory!B67:BV138,73,FALSE)</f>
        <v>0</v>
      </c>
      <c r="CJ64" s="399">
        <f>VLOOKUP(C64,Theory!B67:BW138,74,FALSE)</f>
        <v>0</v>
      </c>
      <c r="CK64" s="369">
        <f t="shared" si="17"/>
        <v>10</v>
      </c>
      <c r="CL64" s="386">
        <f>VLOOKUP(C64,Theory!B67:BX138,75,FALSE)</f>
        <v>8</v>
      </c>
      <c r="CM64" s="400">
        <f>VLOOKUP(C64,Theory!B67:BY138,76,FALSE)</f>
        <v>0</v>
      </c>
      <c r="CN64" s="400">
        <f>VLOOKUP(C64,Theory!B67:BZ138,77,FALSE)</f>
        <v>0</v>
      </c>
      <c r="CO64" s="400">
        <f>VLOOKUP(C64,Theory!B67:CA138,78,FALSE)</f>
        <v>0</v>
      </c>
      <c r="CP64" s="386">
        <f>VLOOKUP(C64,Theory!B67:CB138,79,FALSE)</f>
        <v>0</v>
      </c>
      <c r="CQ64" s="386">
        <f>VLOOKUP(C64,Theory!B67:CC138,80,FALSE)</f>
        <v>0</v>
      </c>
      <c r="CR64" s="386">
        <f>VLOOKUP(C64,Theory!B67:CD138,81,FALSE)</f>
        <v>0</v>
      </c>
      <c r="CS64" s="386">
        <f>VLOOKUP(C64,Theory!B67:CE138,82,FALSE)</f>
        <v>0</v>
      </c>
      <c r="CT64" s="369">
        <f t="shared" si="18"/>
        <v>8</v>
      </c>
      <c r="CU64" s="399">
        <f>VLOOKUP(C64,Theory!B67:CF138,83,FALSE)</f>
        <v>8</v>
      </c>
      <c r="CV64" s="400">
        <f>VLOOKUP(C64,Theory!B67:CG138,84,FALSE)</f>
        <v>0</v>
      </c>
      <c r="CW64" s="400">
        <f>VLOOKUP(C64,Theory!B67:CH138,85,FALSE)</f>
        <v>0</v>
      </c>
      <c r="CX64" s="400">
        <f>VLOOKUP(C64,Theory!B67:CI138,86,FALSE)</f>
        <v>0</v>
      </c>
      <c r="CY64" s="399">
        <f>VLOOKUP(C64,Theory!B67:CJ138,87,FALSE)</f>
        <v>0</v>
      </c>
      <c r="CZ64" s="399">
        <f>VLOOKUP(C64,Theory!B67:CK138,88,FALSE)</f>
        <v>0</v>
      </c>
      <c r="DA64" s="399">
        <f>VLOOKUP(C64,Theory!B67:CL138,89,FALSE)</f>
        <v>0</v>
      </c>
      <c r="DB64" s="399">
        <f>VLOOKUP(C64,Theory!B67:CM138,90,FALSE)</f>
        <v>0</v>
      </c>
      <c r="DC64" s="369">
        <f t="shared" si="19"/>
        <v>8</v>
      </c>
      <c r="DD64" s="386">
        <f>VLOOKUP(C64,Theory!B67:CN138,91,FALSE)</f>
        <v>8</v>
      </c>
      <c r="DE64" s="400">
        <f>VLOOKUP(C64,Theory!B67:CO138,92,FALSE)</f>
        <v>0</v>
      </c>
      <c r="DF64" s="400">
        <f>VLOOKUP(C64,Theory!B67:CP138,93,FALSE)</f>
        <v>0</v>
      </c>
      <c r="DG64" s="400">
        <f>VLOOKUP(C64,Theory!B67:CQ138,94,FALSE)</f>
        <v>0</v>
      </c>
      <c r="DH64" s="386">
        <f>VLOOKUP(C64,Theory!B67:CR138,95,FALSE)</f>
        <v>0</v>
      </c>
      <c r="DI64" s="386">
        <f>VLOOKUP(C64,Theory!B67:CS138,96,FALSE)</f>
        <v>0</v>
      </c>
      <c r="DJ64" s="386">
        <f>VLOOKUP(C64,Theory!B67:CT138,97,FALSE)</f>
        <v>0</v>
      </c>
      <c r="DK64" s="386">
        <f>VLOOKUP(C64,Theory!B67:CU138,98,FALSE)</f>
        <v>0</v>
      </c>
      <c r="DL64" s="369">
        <f t="shared" si="20"/>
        <v>8</v>
      </c>
      <c r="DM64" s="411">
        <f t="shared" si="2"/>
        <v>42</v>
      </c>
      <c r="DN64" s="413">
        <f t="shared" si="40"/>
        <v>27</v>
      </c>
      <c r="DO64" s="413">
        <f t="shared" si="41"/>
        <v>6</v>
      </c>
      <c r="DP64" s="413">
        <f t="shared" si="42"/>
        <v>42</v>
      </c>
      <c r="DQ64" s="418">
        <f t="shared" si="43"/>
        <v>16</v>
      </c>
      <c r="DR64" s="418">
        <f t="shared" si="44"/>
        <v>4</v>
      </c>
      <c r="DS64" s="418">
        <f t="shared" si="45"/>
        <v>25</v>
      </c>
      <c r="DT64" s="417">
        <f t="shared" si="36"/>
        <v>15</v>
      </c>
      <c r="DU64" s="423">
        <f>VLOOKUP(C64,Theory!B67:CV138,99,FALSE)</f>
        <v>9</v>
      </c>
      <c r="DV64" s="423">
        <f>VLOOKUP(C64,Theory!B67:CW138,100,FALSE)</f>
        <v>10</v>
      </c>
      <c r="DW64" s="424">
        <f t="shared" si="27"/>
        <v>19</v>
      </c>
      <c r="DX64" s="421">
        <f t="shared" si="3"/>
        <v>34</v>
      </c>
      <c r="DY64" s="430">
        <f t="shared" si="4"/>
        <v>20</v>
      </c>
      <c r="DZ64" s="431">
        <f>VLOOKUP(C64,Lab!B59:D128,3,FALSE)</f>
        <v>0</v>
      </c>
      <c r="EA64" s="432">
        <f>VLOOKUP(C64,Lab!B59:E128,4,FALSE)</f>
        <v>0</v>
      </c>
      <c r="EB64" s="432">
        <f>VLOOKUP(C64,Lab!B59:F128,5,FALSE)</f>
        <v>25</v>
      </c>
      <c r="EC64" s="422">
        <f t="shared" si="37"/>
        <v>25</v>
      </c>
      <c r="ED64" s="436">
        <f>VLOOKUP(C64,Lab!B59:G128,6,FALSE)</f>
        <v>0</v>
      </c>
      <c r="EE64" s="436">
        <f>VLOOKUP(C64,Lab!B59:H128,7,FALSE)</f>
        <v>0</v>
      </c>
      <c r="EF64" s="437">
        <v>10</v>
      </c>
      <c r="EG64" s="443">
        <f t="shared" si="38"/>
        <v>10</v>
      </c>
      <c r="EH64" s="444">
        <f t="shared" si="28"/>
        <v>35</v>
      </c>
      <c r="EI64" s="445">
        <f t="shared" si="29"/>
        <v>14</v>
      </c>
      <c r="EJ64" s="446">
        <f t="shared" si="5"/>
        <v>34</v>
      </c>
      <c r="EK64" s="449">
        <v>35.5</v>
      </c>
      <c r="EM64" s="450">
        <f>VLOOKUP(C64,Theory!B67:DK138,114,FALSE)</f>
        <v>0</v>
      </c>
      <c r="EN64" s="450">
        <f>VLOOKUP(C64,Theory!B67:DL138,115,FALSE)</f>
        <v>0</v>
      </c>
      <c r="EO64" s="450">
        <f>VLOOKUP(C64,Theory!B67:DM138,116,FALSE)</f>
        <v>0</v>
      </c>
      <c r="EP64" s="450">
        <f>VLOOKUP(C64,Theory!B67:DN136,117,FALSE)</f>
        <v>0</v>
      </c>
      <c r="EQ64" s="450">
        <f>VLOOKUP(C64,Theory!B67:DO136,118,FALSE)</f>
        <v>0</v>
      </c>
      <c r="ER64" s="451">
        <f>VLOOKUP(C64,Theory!B67:DP136,119,FALSE)</f>
        <v>0</v>
      </c>
      <c r="ES64" s="454">
        <f>VLOOKUP(C64,Theory!B67:DQ136,120,FALSE)</f>
        <v>0</v>
      </c>
      <c r="ET64" s="455">
        <f t="shared" si="39"/>
        <v>0</v>
      </c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</row>
    <row r="65" ht="18.35" spans="1:160">
      <c r="A65" s="164">
        <v>52</v>
      </c>
      <c r="B65" s="289" t="str">
        <f>Theory!C68</f>
        <v>SHIV NARAYAN S P</v>
      </c>
      <c r="C65" s="360" t="str">
        <f>Theory!B68</f>
        <v>1DS23AI053</v>
      </c>
      <c r="D65" s="361">
        <f>VLOOKUP(C65,Theory!B68:D139,3,FALSE)</f>
        <v>6</v>
      </c>
      <c r="E65" s="361">
        <f>VLOOKUP(C65,Theory!B68:E139,4,FALSE)</f>
        <v>0</v>
      </c>
      <c r="F65" s="361">
        <f>VLOOKUP(C65,Theory!B68:F139,5,FALSE)</f>
        <v>0</v>
      </c>
      <c r="G65" s="361">
        <f>VLOOKUP(C65,Theory!B68:G139,6,FALSE)</f>
        <v>0</v>
      </c>
      <c r="H65" s="369">
        <f t="shared" si="6"/>
        <v>6</v>
      </c>
      <c r="I65" s="370">
        <f>VLOOKUP(C65,Theory!B68:H139,7,FALSE)</f>
        <v>0</v>
      </c>
      <c r="J65" s="371">
        <f>VLOOKUP(C65,Theory!B68:I139,8,FALSE)</f>
        <v>0</v>
      </c>
      <c r="K65" s="371">
        <f>VLOOKUP(C65,Theory!B68:J139,9,FALSE)</f>
        <v>0</v>
      </c>
      <c r="L65" s="371">
        <f>VLOOKUP(C65,Theory!B68:K139,10,FALSE)</f>
        <v>0</v>
      </c>
      <c r="M65" s="369">
        <f t="shared" si="7"/>
        <v>0</v>
      </c>
      <c r="N65" s="373">
        <f>VLOOKUP(C65,Theory!B68:L139,11,FALSE)</f>
        <v>3</v>
      </c>
      <c r="O65" s="373">
        <f>VLOOKUP(C65,Theory!B68:M139,12,FALSE)</f>
        <v>0</v>
      </c>
      <c r="P65" s="373">
        <f>VLOOKUP(C65,Theory!B68:N139,13,FALSE)</f>
        <v>0</v>
      </c>
      <c r="Q65" s="373">
        <f>VLOOKUP(C65,Theory!B68:O139,14,FALSE)</f>
        <v>0</v>
      </c>
      <c r="R65" s="371">
        <f>VLOOKUP(C65,Theory!B68:P139,15,FALSE)</f>
        <v>0</v>
      </c>
      <c r="S65" s="371">
        <f>VLOOKUP(C65,Theory!B68:Q139,16,FALSE)</f>
        <v>0</v>
      </c>
      <c r="T65" s="371">
        <f>VLOOKUP(C65,Theory!B68:R139,17,FALSE)</f>
        <v>0</v>
      </c>
      <c r="U65" s="371">
        <f>VLOOKUP(C65,Theory!B68:S139,18,FALSE)</f>
        <v>0</v>
      </c>
      <c r="V65" s="369">
        <f t="shared" si="8"/>
        <v>3</v>
      </c>
      <c r="W65" s="361">
        <f>VLOOKUP(C65,Theory!B68:T139,19,FALSE)</f>
        <v>0</v>
      </c>
      <c r="X65" s="361">
        <f>VLOOKUP(C65,Theory!B68:U139,20,FALSE)</f>
        <v>0</v>
      </c>
      <c r="Y65" s="361">
        <f>VLOOKUP(C65,Theory!B68:V139,21,FALSE)</f>
        <v>0</v>
      </c>
      <c r="Z65" s="361">
        <f>VLOOKUP(C65,Theory!B68:W139,22,FALSE)</f>
        <v>0</v>
      </c>
      <c r="AA65" s="370">
        <f>VLOOKUP(C65,Theory!B68:X139,23,FALSE)</f>
        <v>9</v>
      </c>
      <c r="AB65" s="370">
        <f>VLOOKUP(C65,Theory!B68:Y139,24,FALSE)</f>
        <v>0</v>
      </c>
      <c r="AC65" s="370">
        <f>VLOOKUP(C65,Theory!B68:Z139,25,FALSE)</f>
        <v>0</v>
      </c>
      <c r="AD65" s="370">
        <f>VLOOKUP(C65,Theory!B68:AA139,26,FALSE)</f>
        <v>0</v>
      </c>
      <c r="AE65" s="369">
        <f t="shared" si="9"/>
        <v>9</v>
      </c>
      <c r="AF65" s="361">
        <f>VLOOKUP(C65,Theory!B68:AB139,27,FALSE)</f>
        <v>0</v>
      </c>
      <c r="AG65" s="361">
        <f>VLOOKUP(C65,Theory!B68:AC139,28,FALSE)</f>
        <v>0</v>
      </c>
      <c r="AH65" s="361">
        <f>VLOOKUP(C65,Theory!B68:AD139,29,FALSE)</f>
        <v>0</v>
      </c>
      <c r="AI65" s="361">
        <f>VLOOKUP(C65,Theory!B68:AE139,30,FALSE)</f>
        <v>0</v>
      </c>
      <c r="AJ65" s="380">
        <f>VLOOKUP(C65,Theory!B68:AF139,31,FALSE)</f>
        <v>3</v>
      </c>
      <c r="AK65" s="380">
        <f>VLOOKUP(C65,Theory!B68:AG139,32,FALSE)</f>
        <v>0</v>
      </c>
      <c r="AL65" s="380">
        <f>VLOOKUP(C65,Theory!B68:AH139,33,FALSE)</f>
        <v>0</v>
      </c>
      <c r="AM65" s="380">
        <f>VLOOKUP(C65,Theory!B68:AI139,34,FALSE)</f>
        <v>0</v>
      </c>
      <c r="AN65" s="369">
        <f t="shared" si="10"/>
        <v>3</v>
      </c>
      <c r="AO65" s="385">
        <f t="shared" si="0"/>
        <v>21</v>
      </c>
      <c r="AP65" s="386">
        <f>VLOOKUP(C65,Theory!B68:AJ139,35,FALSE)</f>
        <v>6</v>
      </c>
      <c r="AQ65" s="386">
        <f>VLOOKUP(C65,Theory!B68:AK139,36,FALSE)</f>
        <v>0</v>
      </c>
      <c r="AR65" s="386">
        <f>VLOOKUP(C65,Theory!B68:AL139,37,FALSE)</f>
        <v>0</v>
      </c>
      <c r="AS65" s="386">
        <f>VLOOKUP(C65,Theory!B68:AM139,38,FALSE)</f>
        <v>0</v>
      </c>
      <c r="AT65" s="369">
        <f t="shared" si="11"/>
        <v>6</v>
      </c>
      <c r="AU65" s="386">
        <f>VLOOKUP(C65,Theory!B68:AN139,39,FALSE)</f>
        <v>5</v>
      </c>
      <c r="AV65" s="386">
        <f>VLOOKUP(C65,Theory!B68:AO139,40,FALSE)</f>
        <v>0</v>
      </c>
      <c r="AW65" s="386">
        <f>VLOOKUP(C65,Theory!B68:AP139,41,FALSE)</f>
        <v>0</v>
      </c>
      <c r="AX65" s="386">
        <f>VLOOKUP(C65,Theory!B68:AQ139,42,FALSE)</f>
        <v>0</v>
      </c>
      <c r="AY65" s="369">
        <f t="shared" si="12"/>
        <v>5</v>
      </c>
      <c r="AZ65" s="386">
        <f>VLOOKUP(C65,Theory!B68:AR139,43,FALSE)</f>
        <v>8</v>
      </c>
      <c r="BA65" s="386">
        <f>VLOOKUP(C65,Theory!B68:AS139,44,FALSE)</f>
        <v>0</v>
      </c>
      <c r="BB65" s="386">
        <f>VLOOKUP(C65,Theory!B68:AT139,45,FALSE)</f>
        <v>0</v>
      </c>
      <c r="BC65" s="386">
        <f>VLOOKUP(C65,Theory!B68:AU139,46,FALSE)</f>
        <v>0</v>
      </c>
      <c r="BD65" s="386">
        <f>VLOOKUP(C65,Theory!B68:AV139,47,FALSE)</f>
        <v>0</v>
      </c>
      <c r="BE65" s="386">
        <f>VLOOKUP(C65,Theory!B68:AW139,48,FALSE)</f>
        <v>0</v>
      </c>
      <c r="BF65" s="386">
        <f>VLOOKUP(C65,Theory!B68:AX139,49,FALSE)</f>
        <v>0</v>
      </c>
      <c r="BG65" s="386">
        <f>VLOOKUP(C65,Theory!B68:AY139,50,FALSE)</f>
        <v>0</v>
      </c>
      <c r="BH65" s="369">
        <f t="shared" si="13"/>
        <v>8</v>
      </c>
      <c r="BI65" s="386">
        <f>VLOOKUP(C65,Theory!B68:AZ139,51,FALSE)</f>
        <v>2</v>
      </c>
      <c r="BJ65" s="386">
        <f>VLOOKUP(C65,Theory!B68:BA139,52,FALSE)</f>
        <v>0</v>
      </c>
      <c r="BK65" s="386">
        <f>VLOOKUP(C65,Theory!B68:BB139,53,FALSE)</f>
        <v>0</v>
      </c>
      <c r="BL65" s="386">
        <f>VLOOKUP(C65,Theory!B68:BC139,54,FALSE)</f>
        <v>0</v>
      </c>
      <c r="BM65" s="386">
        <f>VLOOKUP(C65,Theory!B68:BD139,55,FALSE)</f>
        <v>0</v>
      </c>
      <c r="BN65" s="386">
        <f>VLOOKUP(C65,Theory!B68:BE139,56,FALSE)</f>
        <v>0</v>
      </c>
      <c r="BO65" s="386">
        <f>VLOOKUP(C65,Theory!B68:BF139,57,FALSE)</f>
        <v>0</v>
      </c>
      <c r="BP65" s="386">
        <f>VLOOKUP(C65,Theory!B68:BG139,58,FALSE)</f>
        <v>0</v>
      </c>
      <c r="BQ65" s="369">
        <f t="shared" si="14"/>
        <v>2</v>
      </c>
      <c r="BR65" s="386">
        <f>VLOOKUP(C65,Theory!B68:BH139,59,FALSE)</f>
        <v>6</v>
      </c>
      <c r="BS65" s="386">
        <f>VLOOKUP(C65,Theory!B68:BI139,60,FALSE)</f>
        <v>0</v>
      </c>
      <c r="BT65" s="386">
        <f>VLOOKUP(C65,Theory!B68:BJ139,61,FALSE)</f>
        <v>0</v>
      </c>
      <c r="BU65" s="386">
        <f>VLOOKUP(C65,Theory!B68:BK139,62,FALSE)</f>
        <v>0</v>
      </c>
      <c r="BV65" s="386">
        <f>VLOOKUP(C65,Theory!B68:BL139,63,FALSE)</f>
        <v>0</v>
      </c>
      <c r="BW65" s="386">
        <f>VLOOKUP(C65,Theory!B68:BM139,64,FALSE)</f>
        <v>0</v>
      </c>
      <c r="BX65" s="386">
        <f>VLOOKUP(C65,Theory!B68:BN139,65,FALSE)</f>
        <v>0</v>
      </c>
      <c r="BY65" s="386">
        <f>VLOOKUP(C65,Theory!B68:BO139,66,FALSE)</f>
        <v>0</v>
      </c>
      <c r="BZ65" s="369">
        <f t="shared" si="15"/>
        <v>6</v>
      </c>
      <c r="CA65" s="385">
        <f t="shared" si="1"/>
        <v>27</v>
      </c>
      <c r="CB65" s="386">
        <f>VLOOKUP(C65,Theory!B68:BP139,67,FALSE)</f>
        <v>8</v>
      </c>
      <c r="CC65" s="386">
        <f>VLOOKUP(C65,Theory!B68:BQ139,68,FALSE)</f>
        <v>0</v>
      </c>
      <c r="CD65" s="386">
        <f>VLOOKUP(C65,Theory!B68:BR139,69,FALSE)</f>
        <v>0</v>
      </c>
      <c r="CE65" s="386">
        <f>VLOOKUP(C65,Theory!B68:BS139,70,FALSE)</f>
        <v>0</v>
      </c>
      <c r="CF65" s="369">
        <f t="shared" si="16"/>
        <v>8</v>
      </c>
      <c r="CG65" s="399">
        <f>VLOOKUP(C65,Theory!B68:BT139,71,FALSE)</f>
        <v>6</v>
      </c>
      <c r="CH65" s="399">
        <f>VLOOKUP(C65,Theory!B68:BU139,72,FALSE)</f>
        <v>0</v>
      </c>
      <c r="CI65" s="399">
        <f>VLOOKUP(C65,Theory!B68:BV139,73,FALSE)</f>
        <v>0</v>
      </c>
      <c r="CJ65" s="399">
        <f>VLOOKUP(C65,Theory!B68:BW139,74,FALSE)</f>
        <v>0</v>
      </c>
      <c r="CK65" s="369">
        <f t="shared" si="17"/>
        <v>6</v>
      </c>
      <c r="CL65" s="386">
        <f>VLOOKUP(C65,Theory!B68:BX139,75,FALSE)</f>
        <v>8</v>
      </c>
      <c r="CM65" s="400">
        <f>VLOOKUP(C65,Theory!B68:BY139,76,FALSE)</f>
        <v>0</v>
      </c>
      <c r="CN65" s="400">
        <f>VLOOKUP(C65,Theory!B68:BZ139,77,FALSE)</f>
        <v>0</v>
      </c>
      <c r="CO65" s="400">
        <f>VLOOKUP(C65,Theory!B68:CA139,78,FALSE)</f>
        <v>0</v>
      </c>
      <c r="CP65" s="386">
        <f>VLOOKUP(C65,Theory!B68:CB139,79,FALSE)</f>
        <v>0</v>
      </c>
      <c r="CQ65" s="386">
        <f>VLOOKUP(C65,Theory!B68:CC139,80,FALSE)</f>
        <v>0</v>
      </c>
      <c r="CR65" s="386">
        <f>VLOOKUP(C65,Theory!B68:CD139,81,FALSE)</f>
        <v>0</v>
      </c>
      <c r="CS65" s="386">
        <f>VLOOKUP(C65,Theory!B68:CE139,82,FALSE)</f>
        <v>0</v>
      </c>
      <c r="CT65" s="369">
        <f t="shared" si="18"/>
        <v>8</v>
      </c>
      <c r="CU65" s="399">
        <f>VLOOKUP(C65,Theory!B68:CF139,83,FALSE)</f>
        <v>9</v>
      </c>
      <c r="CV65" s="400">
        <f>VLOOKUP(C65,Theory!B68:CG139,84,FALSE)</f>
        <v>0</v>
      </c>
      <c r="CW65" s="400">
        <f>VLOOKUP(C65,Theory!B68:CH139,85,FALSE)</f>
        <v>0</v>
      </c>
      <c r="CX65" s="400">
        <f>VLOOKUP(C65,Theory!B68:CI139,86,FALSE)</f>
        <v>0</v>
      </c>
      <c r="CY65" s="399">
        <f>VLOOKUP(C65,Theory!B68:CJ139,87,FALSE)</f>
        <v>0</v>
      </c>
      <c r="CZ65" s="399">
        <f>VLOOKUP(C65,Theory!B68:CK139,88,FALSE)</f>
        <v>0</v>
      </c>
      <c r="DA65" s="399">
        <f>VLOOKUP(C65,Theory!B68:CL139,89,FALSE)</f>
        <v>0</v>
      </c>
      <c r="DB65" s="399">
        <f>VLOOKUP(C65,Theory!B68:CM139,90,FALSE)</f>
        <v>0</v>
      </c>
      <c r="DC65" s="369">
        <f t="shared" si="19"/>
        <v>9</v>
      </c>
      <c r="DD65" s="386">
        <f>VLOOKUP(C65,Theory!B68:CN139,91,FALSE)</f>
        <v>0</v>
      </c>
      <c r="DE65" s="400">
        <f>VLOOKUP(C65,Theory!B68:CO139,92,FALSE)</f>
        <v>0</v>
      </c>
      <c r="DF65" s="400">
        <f>VLOOKUP(C65,Theory!B68:CP139,93,FALSE)</f>
        <v>0</v>
      </c>
      <c r="DG65" s="400">
        <f>VLOOKUP(C65,Theory!B68:CQ139,94,FALSE)</f>
        <v>0</v>
      </c>
      <c r="DH65" s="386">
        <f>VLOOKUP(C65,Theory!B68:CR139,95,FALSE)</f>
        <v>5</v>
      </c>
      <c r="DI65" s="386">
        <f>VLOOKUP(C65,Theory!B68:CS139,96,FALSE)</f>
        <v>0</v>
      </c>
      <c r="DJ65" s="386">
        <f>VLOOKUP(C65,Theory!B68:CT139,97,FALSE)</f>
        <v>0</v>
      </c>
      <c r="DK65" s="386">
        <f>VLOOKUP(C65,Theory!B68:CU139,98,FALSE)</f>
        <v>0</v>
      </c>
      <c r="DL65" s="369">
        <f t="shared" si="20"/>
        <v>5</v>
      </c>
      <c r="DM65" s="411">
        <f t="shared" si="2"/>
        <v>36</v>
      </c>
      <c r="DN65" s="413">
        <f t="shared" si="40"/>
        <v>21</v>
      </c>
      <c r="DO65" s="413">
        <f t="shared" si="41"/>
        <v>27</v>
      </c>
      <c r="DP65" s="413">
        <f t="shared" si="42"/>
        <v>36</v>
      </c>
      <c r="DQ65" s="418">
        <f t="shared" si="43"/>
        <v>13</v>
      </c>
      <c r="DR65" s="418">
        <f t="shared" si="44"/>
        <v>16</v>
      </c>
      <c r="DS65" s="418">
        <f t="shared" si="45"/>
        <v>22</v>
      </c>
      <c r="DT65" s="417">
        <f t="shared" si="36"/>
        <v>17</v>
      </c>
      <c r="DU65" s="423">
        <f>VLOOKUP(C65,Theory!B68:CV139,99,FALSE)</f>
        <v>8</v>
      </c>
      <c r="DV65" s="423">
        <f>VLOOKUP(C65,Theory!B68:CW139,100,FALSE)</f>
        <v>10</v>
      </c>
      <c r="DW65" s="424">
        <f t="shared" si="27"/>
        <v>18</v>
      </c>
      <c r="DX65" s="421">
        <f t="shared" si="3"/>
        <v>35</v>
      </c>
      <c r="DY65" s="430">
        <f t="shared" si="4"/>
        <v>21</v>
      </c>
      <c r="DZ65" s="431">
        <f>VLOOKUP(C65,Lab!B60:D129,3,FALSE)</f>
        <v>0</v>
      </c>
      <c r="EA65" s="432">
        <f>VLOOKUP(C65,Lab!B60:E129,4,FALSE)</f>
        <v>0</v>
      </c>
      <c r="EB65" s="432">
        <f>VLOOKUP(C65,Lab!B60:F129,5,FALSE)</f>
        <v>28</v>
      </c>
      <c r="EC65" s="422">
        <f t="shared" si="37"/>
        <v>28</v>
      </c>
      <c r="ED65" s="436">
        <f>VLOOKUP(C65,Lab!B60:G129,6,FALSE)</f>
        <v>0</v>
      </c>
      <c r="EE65" s="436">
        <f>VLOOKUP(C65,Lab!B60:H129,7,FALSE)</f>
        <v>0</v>
      </c>
      <c r="EF65" s="437">
        <v>10</v>
      </c>
      <c r="EG65" s="443">
        <f t="shared" si="38"/>
        <v>10</v>
      </c>
      <c r="EH65" s="444">
        <f t="shared" si="28"/>
        <v>38</v>
      </c>
      <c r="EI65" s="445">
        <f t="shared" si="29"/>
        <v>15</v>
      </c>
      <c r="EJ65" s="446">
        <f t="shared" si="5"/>
        <v>36</v>
      </c>
      <c r="EK65" s="449">
        <v>40.5</v>
      </c>
      <c r="EM65" s="450">
        <f>VLOOKUP(C65,Theory!B68:DK139,114,FALSE)</f>
        <v>0</v>
      </c>
      <c r="EN65" s="450">
        <f>VLOOKUP(C65,Theory!B68:DL139,115,FALSE)</f>
        <v>0</v>
      </c>
      <c r="EO65" s="450">
        <f>VLOOKUP(C65,Theory!B68:DM139,116,FALSE)</f>
        <v>0</v>
      </c>
      <c r="EP65" s="450">
        <f>VLOOKUP(C65,Theory!B68:DN137,117,FALSE)</f>
        <v>0</v>
      </c>
      <c r="EQ65" s="450">
        <f>VLOOKUP(C65,Theory!B68:DO137,118,FALSE)</f>
        <v>0</v>
      </c>
      <c r="ER65" s="451">
        <f>VLOOKUP(C65,Theory!B68:DP137,119,FALSE)</f>
        <v>0</v>
      </c>
      <c r="ES65" s="454">
        <f>VLOOKUP(C65,Theory!B68:DQ137,120,FALSE)</f>
        <v>0</v>
      </c>
      <c r="ET65" s="455">
        <f t="shared" si="39"/>
        <v>0</v>
      </c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</row>
    <row r="66" ht="18.35" spans="1:160">
      <c r="A66" s="164">
        <v>53</v>
      </c>
      <c r="B66" s="289" t="str">
        <f>Theory!C69</f>
        <v>SHRADDHA J A</v>
      </c>
      <c r="C66" s="360" t="str">
        <f>Theory!B69</f>
        <v>1DS23AI054</v>
      </c>
      <c r="D66" s="361">
        <f>VLOOKUP(C66,Theory!B69:D140,3,FALSE)</f>
        <v>8</v>
      </c>
      <c r="E66" s="361">
        <f>VLOOKUP(C66,Theory!B69:E140,4,FALSE)</f>
        <v>0</v>
      </c>
      <c r="F66" s="361">
        <f>VLOOKUP(C66,Theory!B69:F140,5,FALSE)</f>
        <v>0</v>
      </c>
      <c r="G66" s="361">
        <f>VLOOKUP(C66,Theory!B69:G140,6,FALSE)</f>
        <v>0</v>
      </c>
      <c r="H66" s="369">
        <f t="shared" si="6"/>
        <v>8</v>
      </c>
      <c r="I66" s="370">
        <f>VLOOKUP(C66,Theory!B69:H140,7,FALSE)</f>
        <v>0</v>
      </c>
      <c r="J66" s="371">
        <f>VLOOKUP(C66,Theory!B69:I140,8,FALSE)</f>
        <v>0</v>
      </c>
      <c r="K66" s="371">
        <f>VLOOKUP(C66,Theory!B69:J140,9,FALSE)</f>
        <v>0</v>
      </c>
      <c r="L66" s="371">
        <f>VLOOKUP(C66,Theory!B69:K140,10,FALSE)</f>
        <v>0</v>
      </c>
      <c r="M66" s="369">
        <f t="shared" si="7"/>
        <v>0</v>
      </c>
      <c r="N66" s="373">
        <f>VLOOKUP(C66,Theory!B69:L140,11,FALSE)</f>
        <v>5</v>
      </c>
      <c r="O66" s="373">
        <f>VLOOKUP(C66,Theory!B69:M140,12,FALSE)</f>
        <v>0</v>
      </c>
      <c r="P66" s="373">
        <f>VLOOKUP(C66,Theory!B69:N140,13,FALSE)</f>
        <v>0</v>
      </c>
      <c r="Q66" s="373">
        <f>VLOOKUP(C66,Theory!B69:O140,14,FALSE)</f>
        <v>0</v>
      </c>
      <c r="R66" s="371">
        <f>VLOOKUP(C66,Theory!B69:P140,15,FALSE)</f>
        <v>0</v>
      </c>
      <c r="S66" s="371">
        <f>VLOOKUP(C66,Theory!B69:Q140,16,FALSE)</f>
        <v>0</v>
      </c>
      <c r="T66" s="371">
        <f>VLOOKUP(C66,Theory!B69:R140,17,FALSE)</f>
        <v>0</v>
      </c>
      <c r="U66" s="371">
        <f>VLOOKUP(C66,Theory!B69:S140,18,FALSE)</f>
        <v>0</v>
      </c>
      <c r="V66" s="369">
        <f t="shared" si="8"/>
        <v>5</v>
      </c>
      <c r="W66" s="361">
        <f>VLOOKUP(C66,Theory!B69:T140,19,FALSE)</f>
        <v>0</v>
      </c>
      <c r="X66" s="361">
        <f>VLOOKUP(C66,Theory!B69:U140,20,FALSE)</f>
        <v>0</v>
      </c>
      <c r="Y66" s="361">
        <f>VLOOKUP(C66,Theory!B69:V140,21,FALSE)</f>
        <v>0</v>
      </c>
      <c r="Z66" s="361">
        <f>VLOOKUP(C66,Theory!B69:W140,22,FALSE)</f>
        <v>0</v>
      </c>
      <c r="AA66" s="370">
        <f>VLOOKUP(C66,Theory!B69:X140,23,FALSE)</f>
        <v>9</v>
      </c>
      <c r="AB66" s="370">
        <f>VLOOKUP(C66,Theory!B69:Y140,24,FALSE)</f>
        <v>0</v>
      </c>
      <c r="AC66" s="370">
        <f>VLOOKUP(C66,Theory!B69:Z140,25,FALSE)</f>
        <v>0</v>
      </c>
      <c r="AD66" s="370">
        <f>VLOOKUP(C66,Theory!B69:AA140,26,FALSE)</f>
        <v>0</v>
      </c>
      <c r="AE66" s="369">
        <f t="shared" si="9"/>
        <v>9</v>
      </c>
      <c r="AF66" s="361">
        <f>VLOOKUP(C66,Theory!B69:AB140,27,FALSE)</f>
        <v>0</v>
      </c>
      <c r="AG66" s="361">
        <f>VLOOKUP(C66,Theory!B69:AC140,28,FALSE)</f>
        <v>0</v>
      </c>
      <c r="AH66" s="361">
        <f>VLOOKUP(C66,Theory!B69:AD140,29,FALSE)</f>
        <v>0</v>
      </c>
      <c r="AI66" s="361">
        <f>VLOOKUP(C66,Theory!B69:AE140,30,FALSE)</f>
        <v>0</v>
      </c>
      <c r="AJ66" s="380">
        <f>VLOOKUP(C66,Theory!B69:AF140,31,FALSE)</f>
        <v>0</v>
      </c>
      <c r="AK66" s="380">
        <f>VLOOKUP(C66,Theory!B69:AG140,32,FALSE)</f>
        <v>0</v>
      </c>
      <c r="AL66" s="380">
        <f>VLOOKUP(C66,Theory!B69:AH140,33,FALSE)</f>
        <v>0</v>
      </c>
      <c r="AM66" s="380">
        <f>VLOOKUP(C66,Theory!B69:AI140,34,FALSE)</f>
        <v>0</v>
      </c>
      <c r="AN66" s="369">
        <f t="shared" si="10"/>
        <v>0</v>
      </c>
      <c r="AO66" s="385">
        <f t="shared" si="0"/>
        <v>22</v>
      </c>
      <c r="AP66" s="386">
        <f>VLOOKUP(C66,Theory!B69:AJ140,35,FALSE)</f>
        <v>2</v>
      </c>
      <c r="AQ66" s="386">
        <f>VLOOKUP(C66,Theory!B69:AK140,36,FALSE)</f>
        <v>0</v>
      </c>
      <c r="AR66" s="386">
        <f>VLOOKUP(C66,Theory!B69:AL140,37,FALSE)</f>
        <v>0</v>
      </c>
      <c r="AS66" s="386">
        <f>VLOOKUP(C66,Theory!B69:AM140,38,FALSE)</f>
        <v>0</v>
      </c>
      <c r="AT66" s="369">
        <f t="shared" si="11"/>
        <v>2</v>
      </c>
      <c r="AU66" s="386">
        <f>VLOOKUP(C66,Theory!B69:AN140,39,FALSE)</f>
        <v>3</v>
      </c>
      <c r="AV66" s="386">
        <f>VLOOKUP(C66,Theory!B69:AO140,40,FALSE)</f>
        <v>0</v>
      </c>
      <c r="AW66" s="386">
        <f>VLOOKUP(C66,Theory!B69:AP140,41,FALSE)</f>
        <v>0</v>
      </c>
      <c r="AX66" s="386">
        <f>VLOOKUP(C66,Theory!B69:AQ140,42,FALSE)</f>
        <v>0</v>
      </c>
      <c r="AY66" s="369">
        <f t="shared" si="12"/>
        <v>3</v>
      </c>
      <c r="AZ66" s="386">
        <f>VLOOKUP(C66,Theory!B69:AR140,43,FALSE)</f>
        <v>2</v>
      </c>
      <c r="BA66" s="386">
        <f>VLOOKUP(C66,Theory!B69:AS140,44,FALSE)</f>
        <v>0</v>
      </c>
      <c r="BB66" s="386">
        <f>VLOOKUP(C66,Theory!B69:AT140,45,FALSE)</f>
        <v>0</v>
      </c>
      <c r="BC66" s="386">
        <f>VLOOKUP(C66,Theory!B69:AU140,46,FALSE)</f>
        <v>0</v>
      </c>
      <c r="BD66" s="386">
        <f>VLOOKUP(C66,Theory!B69:AV140,47,FALSE)</f>
        <v>0</v>
      </c>
      <c r="BE66" s="386">
        <f>VLOOKUP(C66,Theory!B69:AW140,48,FALSE)</f>
        <v>0</v>
      </c>
      <c r="BF66" s="386">
        <f>VLOOKUP(C66,Theory!B69:AX140,49,FALSE)</f>
        <v>0</v>
      </c>
      <c r="BG66" s="386">
        <f>VLOOKUP(C66,Theory!B69:AY140,50,FALSE)</f>
        <v>0</v>
      </c>
      <c r="BH66" s="369">
        <f t="shared" si="13"/>
        <v>2</v>
      </c>
      <c r="BI66" s="386">
        <f>VLOOKUP(C66,Theory!B69:AZ140,51,FALSE)</f>
        <v>0</v>
      </c>
      <c r="BJ66" s="386">
        <f>VLOOKUP(C66,Theory!B69:BA140,52,FALSE)</f>
        <v>0</v>
      </c>
      <c r="BK66" s="386">
        <f>VLOOKUP(C66,Theory!B69:BB140,53,FALSE)</f>
        <v>0</v>
      </c>
      <c r="BL66" s="386">
        <f>VLOOKUP(C66,Theory!B69:BC140,54,FALSE)</f>
        <v>0</v>
      </c>
      <c r="BM66" s="386">
        <f>VLOOKUP(C66,Theory!B69:BD140,55,FALSE)</f>
        <v>0</v>
      </c>
      <c r="BN66" s="386">
        <f>VLOOKUP(C66,Theory!B69:BE140,56,FALSE)</f>
        <v>0</v>
      </c>
      <c r="BO66" s="386">
        <f>VLOOKUP(C66,Theory!B69:BF140,57,FALSE)</f>
        <v>0</v>
      </c>
      <c r="BP66" s="386">
        <f>VLOOKUP(C66,Theory!B69:BG140,58,FALSE)</f>
        <v>0</v>
      </c>
      <c r="BQ66" s="369">
        <f t="shared" si="14"/>
        <v>0</v>
      </c>
      <c r="BR66" s="386">
        <f>VLOOKUP(C66,Theory!B69:BH140,59,FALSE)</f>
        <v>6</v>
      </c>
      <c r="BS66" s="386">
        <f>VLOOKUP(C66,Theory!B69:BI140,60,FALSE)</f>
        <v>0</v>
      </c>
      <c r="BT66" s="386">
        <f>VLOOKUP(C66,Theory!B69:BJ140,61,FALSE)</f>
        <v>0</v>
      </c>
      <c r="BU66" s="386">
        <f>VLOOKUP(C66,Theory!B69:BK140,62,FALSE)</f>
        <v>0</v>
      </c>
      <c r="BV66" s="386">
        <f>VLOOKUP(C66,Theory!B69:BL140,63,FALSE)</f>
        <v>0</v>
      </c>
      <c r="BW66" s="386">
        <f>VLOOKUP(C66,Theory!B69:BM140,64,FALSE)</f>
        <v>0</v>
      </c>
      <c r="BX66" s="386">
        <f>VLOOKUP(C66,Theory!B69:BN140,65,FALSE)</f>
        <v>0</v>
      </c>
      <c r="BY66" s="386">
        <f>VLOOKUP(C66,Theory!B69:BO140,66,FALSE)</f>
        <v>0</v>
      </c>
      <c r="BZ66" s="369">
        <f t="shared" si="15"/>
        <v>6</v>
      </c>
      <c r="CA66" s="385">
        <f t="shared" si="1"/>
        <v>13</v>
      </c>
      <c r="CB66" s="386">
        <f>VLOOKUP(C66,Theory!B69:BP140,67,FALSE)</f>
        <v>6</v>
      </c>
      <c r="CC66" s="386">
        <f>VLOOKUP(C66,Theory!B69:BQ140,68,FALSE)</f>
        <v>0</v>
      </c>
      <c r="CD66" s="386">
        <f>VLOOKUP(C66,Theory!B69:BR140,69,FALSE)</f>
        <v>0</v>
      </c>
      <c r="CE66" s="386">
        <f>VLOOKUP(C66,Theory!B69:BS140,70,FALSE)</f>
        <v>0</v>
      </c>
      <c r="CF66" s="369">
        <f t="shared" si="16"/>
        <v>6</v>
      </c>
      <c r="CG66" s="399">
        <f>VLOOKUP(C66,Theory!B69:BT140,71,FALSE)</f>
        <v>10</v>
      </c>
      <c r="CH66" s="399">
        <f>VLOOKUP(C66,Theory!B69:BU140,72,FALSE)</f>
        <v>0</v>
      </c>
      <c r="CI66" s="399">
        <f>VLOOKUP(C66,Theory!B69:BV140,73,FALSE)</f>
        <v>0</v>
      </c>
      <c r="CJ66" s="399">
        <f>VLOOKUP(C66,Theory!B69:BW140,74,FALSE)</f>
        <v>0</v>
      </c>
      <c r="CK66" s="369">
        <f t="shared" si="17"/>
        <v>10</v>
      </c>
      <c r="CL66" s="386">
        <f>VLOOKUP(C66,Theory!B69:BX140,75,FALSE)</f>
        <v>10</v>
      </c>
      <c r="CM66" s="400">
        <f>VLOOKUP(C66,Theory!B69:BY140,76,FALSE)</f>
        <v>0</v>
      </c>
      <c r="CN66" s="400">
        <f>VLOOKUP(C66,Theory!B69:BZ140,77,FALSE)</f>
        <v>0</v>
      </c>
      <c r="CO66" s="400">
        <f>VLOOKUP(C66,Theory!B69:CA140,78,FALSE)</f>
        <v>0</v>
      </c>
      <c r="CP66" s="386">
        <f>VLOOKUP(C66,Theory!B69:CB140,79,FALSE)</f>
        <v>0</v>
      </c>
      <c r="CQ66" s="386">
        <f>VLOOKUP(C66,Theory!B69:CC140,80,FALSE)</f>
        <v>0</v>
      </c>
      <c r="CR66" s="386">
        <f>VLOOKUP(C66,Theory!B69:CD140,81,FALSE)</f>
        <v>0</v>
      </c>
      <c r="CS66" s="386">
        <f>VLOOKUP(C66,Theory!B69:CE140,82,FALSE)</f>
        <v>0</v>
      </c>
      <c r="CT66" s="369">
        <f t="shared" si="18"/>
        <v>10</v>
      </c>
      <c r="CU66" s="399">
        <f>VLOOKUP(C66,Theory!B69:CF140,83,FALSE)</f>
        <v>8</v>
      </c>
      <c r="CV66" s="400">
        <f>VLOOKUP(C66,Theory!B69:CG140,84,FALSE)</f>
        <v>0</v>
      </c>
      <c r="CW66" s="400">
        <f>VLOOKUP(C66,Theory!B69:CH140,85,FALSE)</f>
        <v>0</v>
      </c>
      <c r="CX66" s="400">
        <f>VLOOKUP(C66,Theory!B69:CI140,86,FALSE)</f>
        <v>0</v>
      </c>
      <c r="CY66" s="399">
        <f>VLOOKUP(C66,Theory!B69:CJ140,87,FALSE)</f>
        <v>0</v>
      </c>
      <c r="CZ66" s="399">
        <f>VLOOKUP(C66,Theory!B69:CK140,88,FALSE)</f>
        <v>0</v>
      </c>
      <c r="DA66" s="399">
        <f>VLOOKUP(C66,Theory!B69:CL140,89,FALSE)</f>
        <v>0</v>
      </c>
      <c r="DB66" s="399">
        <f>VLOOKUP(C66,Theory!B69:CM140,90,FALSE)</f>
        <v>0</v>
      </c>
      <c r="DC66" s="369">
        <f t="shared" si="19"/>
        <v>8</v>
      </c>
      <c r="DD66" s="386">
        <f>VLOOKUP(C66,Theory!B69:CN140,91,FALSE)</f>
        <v>0</v>
      </c>
      <c r="DE66" s="400">
        <f>VLOOKUP(C66,Theory!B69:CO140,92,FALSE)</f>
        <v>0</v>
      </c>
      <c r="DF66" s="400">
        <f>VLOOKUP(C66,Theory!B69:CP140,93,FALSE)</f>
        <v>0</v>
      </c>
      <c r="DG66" s="400">
        <f>VLOOKUP(C66,Theory!B69:CQ140,94,FALSE)</f>
        <v>0</v>
      </c>
      <c r="DH66" s="386">
        <f>VLOOKUP(C66,Theory!B69:CR140,95,FALSE)</f>
        <v>8</v>
      </c>
      <c r="DI66" s="386">
        <f>VLOOKUP(C66,Theory!B69:CS140,96,FALSE)</f>
        <v>0</v>
      </c>
      <c r="DJ66" s="386">
        <f>VLOOKUP(C66,Theory!B69:CT140,97,FALSE)</f>
        <v>0</v>
      </c>
      <c r="DK66" s="386">
        <f>VLOOKUP(C66,Theory!B69:CU140,98,FALSE)</f>
        <v>0</v>
      </c>
      <c r="DL66" s="369">
        <f t="shared" si="20"/>
        <v>8</v>
      </c>
      <c r="DM66" s="411">
        <f t="shared" si="2"/>
        <v>42</v>
      </c>
      <c r="DN66" s="413">
        <f t="shared" si="40"/>
        <v>22</v>
      </c>
      <c r="DO66" s="413">
        <f t="shared" si="41"/>
        <v>13</v>
      </c>
      <c r="DP66" s="413">
        <f t="shared" si="42"/>
        <v>42</v>
      </c>
      <c r="DQ66" s="418">
        <f t="shared" si="43"/>
        <v>13</v>
      </c>
      <c r="DR66" s="418">
        <f t="shared" si="44"/>
        <v>8</v>
      </c>
      <c r="DS66" s="418">
        <f t="shared" si="45"/>
        <v>25</v>
      </c>
      <c r="DT66" s="417">
        <f t="shared" si="36"/>
        <v>15</v>
      </c>
      <c r="DU66" s="423">
        <f>VLOOKUP(C66,Theory!B69:CV140,99,FALSE)</f>
        <v>8</v>
      </c>
      <c r="DV66" s="423">
        <f>VLOOKUP(C66,Theory!B69:CW140,100,FALSE)</f>
        <v>10</v>
      </c>
      <c r="DW66" s="424">
        <f t="shared" si="27"/>
        <v>18</v>
      </c>
      <c r="DX66" s="421">
        <f t="shared" si="3"/>
        <v>33</v>
      </c>
      <c r="DY66" s="430">
        <f t="shared" si="4"/>
        <v>20</v>
      </c>
      <c r="DZ66" s="431">
        <f>VLOOKUP(C66,Lab!B61:D130,3,FALSE)</f>
        <v>0</v>
      </c>
      <c r="EA66" s="432">
        <f>VLOOKUP(C66,Lab!B61:E130,4,FALSE)</f>
        <v>0</v>
      </c>
      <c r="EB66" s="432">
        <f>VLOOKUP(C66,Lab!B61:F130,5,FALSE)</f>
        <v>25</v>
      </c>
      <c r="EC66" s="422">
        <f t="shared" si="37"/>
        <v>25</v>
      </c>
      <c r="ED66" s="436">
        <f>VLOOKUP(C66,Lab!B61:G130,6,FALSE)</f>
        <v>0</v>
      </c>
      <c r="EE66" s="436">
        <f>VLOOKUP(C66,Lab!B61:H130,7,FALSE)</f>
        <v>0</v>
      </c>
      <c r="EF66" s="437">
        <v>9</v>
      </c>
      <c r="EG66" s="443">
        <f t="shared" si="38"/>
        <v>9</v>
      </c>
      <c r="EH66" s="444">
        <f t="shared" si="28"/>
        <v>34</v>
      </c>
      <c r="EI66" s="445">
        <f t="shared" si="29"/>
        <v>14</v>
      </c>
      <c r="EJ66" s="446">
        <f t="shared" si="5"/>
        <v>34</v>
      </c>
      <c r="EK66" s="449">
        <v>32.5</v>
      </c>
      <c r="EM66" s="450">
        <f>VLOOKUP(C66,Theory!B69:DK140,114,FALSE)</f>
        <v>0</v>
      </c>
      <c r="EN66" s="450">
        <f>VLOOKUP(C66,Theory!B69:DL140,115,FALSE)</f>
        <v>0</v>
      </c>
      <c r="EO66" s="450">
        <f>VLOOKUP(C66,Theory!B69:DM140,116,FALSE)</f>
        <v>0</v>
      </c>
      <c r="EP66" s="450">
        <f>VLOOKUP(C66,Theory!B69:DN138,117,FALSE)</f>
        <v>0</v>
      </c>
      <c r="EQ66" s="450">
        <f>VLOOKUP(C66,Theory!B69:DO138,118,FALSE)</f>
        <v>0</v>
      </c>
      <c r="ER66" s="451">
        <f>VLOOKUP(C66,Theory!B69:DP138,119,FALSE)</f>
        <v>0</v>
      </c>
      <c r="ES66" s="454">
        <f>VLOOKUP(C66,Theory!B69:DQ138,120,FALSE)</f>
        <v>0</v>
      </c>
      <c r="ET66" s="455">
        <f t="shared" si="39"/>
        <v>0</v>
      </c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</row>
    <row r="67" ht="18.35" spans="1:160">
      <c r="A67" s="164">
        <v>54</v>
      </c>
      <c r="B67" s="289" t="str">
        <f>Theory!C70</f>
        <v>SHREYA VIJAY KRISHNAN</v>
      </c>
      <c r="C67" s="360" t="str">
        <f>Theory!B70</f>
        <v>1DS23AI055</v>
      </c>
      <c r="D67" s="361">
        <f>VLOOKUP(C67,Theory!B70:D141,3,FALSE)</f>
        <v>8</v>
      </c>
      <c r="E67" s="361">
        <f>VLOOKUP(C67,Theory!B70:E141,4,FALSE)</f>
        <v>0</v>
      </c>
      <c r="F67" s="361">
        <f>VLOOKUP(C67,Theory!B70:F141,5,FALSE)</f>
        <v>0</v>
      </c>
      <c r="G67" s="361">
        <f>VLOOKUP(C67,Theory!B70:G141,6,FALSE)</f>
        <v>0</v>
      </c>
      <c r="H67" s="369">
        <f t="shared" si="6"/>
        <v>8</v>
      </c>
      <c r="I67" s="370">
        <f>VLOOKUP(C67,Theory!B70:H141,7,FALSE)</f>
        <v>8</v>
      </c>
      <c r="J67" s="371">
        <f>VLOOKUP(C67,Theory!B70:I141,8,FALSE)</f>
        <v>0</v>
      </c>
      <c r="K67" s="371">
        <f>VLOOKUP(C67,Theory!B70:J141,9,FALSE)</f>
        <v>0</v>
      </c>
      <c r="L67" s="371">
        <f>VLOOKUP(C67,Theory!B70:K141,10,FALSE)</f>
        <v>0</v>
      </c>
      <c r="M67" s="369">
        <f t="shared" si="7"/>
        <v>8</v>
      </c>
      <c r="N67" s="373">
        <f>VLOOKUP(C67,Theory!B70:L141,11,FALSE)</f>
        <v>9</v>
      </c>
      <c r="O67" s="373">
        <f>VLOOKUP(C67,Theory!B70:M141,12,FALSE)</f>
        <v>0</v>
      </c>
      <c r="P67" s="373">
        <f>VLOOKUP(C67,Theory!B70:N141,13,FALSE)</f>
        <v>0</v>
      </c>
      <c r="Q67" s="373">
        <f>VLOOKUP(C67,Theory!B70:O141,14,FALSE)</f>
        <v>0</v>
      </c>
      <c r="R67" s="371">
        <f>VLOOKUP(C67,Theory!B70:P141,15,FALSE)</f>
        <v>0</v>
      </c>
      <c r="S67" s="371">
        <f>VLOOKUP(C67,Theory!B70:Q141,16,FALSE)</f>
        <v>0</v>
      </c>
      <c r="T67" s="371">
        <f>VLOOKUP(C67,Theory!B70:R141,17,FALSE)</f>
        <v>0</v>
      </c>
      <c r="U67" s="371">
        <f>VLOOKUP(C67,Theory!B70:S141,18,FALSE)</f>
        <v>0</v>
      </c>
      <c r="V67" s="369">
        <f t="shared" si="8"/>
        <v>9</v>
      </c>
      <c r="W67" s="361">
        <f>VLOOKUP(C67,Theory!B70:T141,19,FALSE)</f>
        <v>8</v>
      </c>
      <c r="X67" s="361">
        <f>VLOOKUP(C67,Theory!B70:U141,20,FALSE)</f>
        <v>0</v>
      </c>
      <c r="Y67" s="361">
        <f>VLOOKUP(C67,Theory!B70:V141,21,FALSE)</f>
        <v>0</v>
      </c>
      <c r="Z67" s="361">
        <f>VLOOKUP(C67,Theory!B70:W141,22,FALSE)</f>
        <v>0</v>
      </c>
      <c r="AA67" s="370">
        <f>VLOOKUP(C67,Theory!B70:X141,23,FALSE)</f>
        <v>0</v>
      </c>
      <c r="AB67" s="370">
        <f>VLOOKUP(C67,Theory!B70:Y141,24,FALSE)</f>
        <v>0</v>
      </c>
      <c r="AC67" s="370">
        <f>VLOOKUP(C67,Theory!B70:Z141,25,FALSE)</f>
        <v>0</v>
      </c>
      <c r="AD67" s="370">
        <f>VLOOKUP(C67,Theory!B70:AA141,26,FALSE)</f>
        <v>0</v>
      </c>
      <c r="AE67" s="369">
        <f t="shared" si="9"/>
        <v>8</v>
      </c>
      <c r="AF67" s="361">
        <f>VLOOKUP(C67,Theory!B70:AB141,27,FALSE)</f>
        <v>9</v>
      </c>
      <c r="AG67" s="361">
        <f>VLOOKUP(C67,Theory!B70:AC141,28,FALSE)</f>
        <v>0</v>
      </c>
      <c r="AH67" s="361">
        <f>VLOOKUP(C67,Theory!B70:AD141,29,FALSE)</f>
        <v>0</v>
      </c>
      <c r="AI67" s="361">
        <f>VLOOKUP(C67,Theory!B70:AE141,30,FALSE)</f>
        <v>0</v>
      </c>
      <c r="AJ67" s="380">
        <f>VLOOKUP(C67,Theory!B70:AF141,31,FALSE)</f>
        <v>0</v>
      </c>
      <c r="AK67" s="380">
        <f>VLOOKUP(C67,Theory!B70:AG141,32,FALSE)</f>
        <v>0</v>
      </c>
      <c r="AL67" s="380">
        <f>VLOOKUP(C67,Theory!B70:AH141,33,FALSE)</f>
        <v>0</v>
      </c>
      <c r="AM67" s="380">
        <f>VLOOKUP(C67,Theory!B70:AI141,34,FALSE)</f>
        <v>0</v>
      </c>
      <c r="AN67" s="369">
        <f t="shared" si="10"/>
        <v>9</v>
      </c>
      <c r="AO67" s="385">
        <f t="shared" si="0"/>
        <v>42</v>
      </c>
      <c r="AP67" s="386">
        <f>VLOOKUP(C67,Theory!B70:AJ141,35,FALSE)</f>
        <v>6</v>
      </c>
      <c r="AQ67" s="386">
        <f>VLOOKUP(C67,Theory!B70:AK141,36,FALSE)</f>
        <v>0</v>
      </c>
      <c r="AR67" s="386">
        <f>VLOOKUP(C67,Theory!B70:AL141,37,FALSE)</f>
        <v>0</v>
      </c>
      <c r="AS67" s="386">
        <f>VLOOKUP(C67,Theory!B70:AM141,38,FALSE)</f>
        <v>0</v>
      </c>
      <c r="AT67" s="369">
        <f t="shared" si="11"/>
        <v>6</v>
      </c>
      <c r="AU67" s="386">
        <f>VLOOKUP(C67,Theory!B70:AN141,39,FALSE)</f>
        <v>8</v>
      </c>
      <c r="AV67" s="386">
        <f>VLOOKUP(C67,Theory!B70:AO141,40,FALSE)</f>
        <v>0</v>
      </c>
      <c r="AW67" s="386">
        <f>VLOOKUP(C67,Theory!B70:AP141,41,FALSE)</f>
        <v>0</v>
      </c>
      <c r="AX67" s="386">
        <f>VLOOKUP(C67,Theory!B70:AQ141,42,FALSE)</f>
        <v>0</v>
      </c>
      <c r="AY67" s="369">
        <f t="shared" si="12"/>
        <v>8</v>
      </c>
      <c r="AZ67" s="386">
        <f>VLOOKUP(C67,Theory!B70:AR141,43,FALSE)</f>
        <v>0</v>
      </c>
      <c r="BA67" s="386">
        <f>VLOOKUP(C67,Theory!B70:AS141,44,FALSE)</f>
        <v>0</v>
      </c>
      <c r="BB67" s="386">
        <f>VLOOKUP(C67,Theory!B70:AT141,45,FALSE)</f>
        <v>0</v>
      </c>
      <c r="BC67" s="386">
        <f>VLOOKUP(C67,Theory!B70:AU141,46,FALSE)</f>
        <v>0</v>
      </c>
      <c r="BD67" s="386">
        <f>VLOOKUP(C67,Theory!B70:AV141,47,FALSE)</f>
        <v>9</v>
      </c>
      <c r="BE67" s="386">
        <f>VLOOKUP(C67,Theory!B70:AW141,48,FALSE)</f>
        <v>0</v>
      </c>
      <c r="BF67" s="386">
        <f>VLOOKUP(C67,Theory!B70:AX141,49,FALSE)</f>
        <v>0</v>
      </c>
      <c r="BG67" s="386">
        <f>VLOOKUP(C67,Theory!B70:AY141,50,FALSE)</f>
        <v>0</v>
      </c>
      <c r="BH67" s="369">
        <f t="shared" si="13"/>
        <v>9</v>
      </c>
      <c r="BI67" s="386">
        <f>VLOOKUP(C67,Theory!B70:AZ141,51,FALSE)</f>
        <v>0</v>
      </c>
      <c r="BJ67" s="386">
        <f>VLOOKUP(C67,Theory!B70:BA141,52,FALSE)</f>
        <v>0</v>
      </c>
      <c r="BK67" s="386">
        <f>VLOOKUP(C67,Theory!B70:BB141,53,FALSE)</f>
        <v>0</v>
      </c>
      <c r="BL67" s="386">
        <f>VLOOKUP(C67,Theory!B70:BC141,54,FALSE)</f>
        <v>0</v>
      </c>
      <c r="BM67" s="386">
        <f>VLOOKUP(C67,Theory!B70:BD141,55,FALSE)</f>
        <v>8</v>
      </c>
      <c r="BN67" s="386">
        <f>VLOOKUP(C67,Theory!B70:BE141,56,FALSE)</f>
        <v>0</v>
      </c>
      <c r="BO67" s="386">
        <f>VLOOKUP(C67,Theory!B70:BF141,57,FALSE)</f>
        <v>0</v>
      </c>
      <c r="BP67" s="386">
        <f>VLOOKUP(C67,Theory!B70:BG141,58,FALSE)</f>
        <v>0</v>
      </c>
      <c r="BQ67" s="369">
        <f t="shared" si="14"/>
        <v>8</v>
      </c>
      <c r="BR67" s="386">
        <f>VLOOKUP(C67,Theory!B70:BH141,59,FALSE)</f>
        <v>0</v>
      </c>
      <c r="BS67" s="386">
        <f>VLOOKUP(C67,Theory!B70:BI141,60,FALSE)</f>
        <v>0</v>
      </c>
      <c r="BT67" s="386">
        <f>VLOOKUP(C67,Theory!B70:BJ141,61,FALSE)</f>
        <v>0</v>
      </c>
      <c r="BU67" s="386">
        <f>VLOOKUP(C67,Theory!B70:BK141,62,FALSE)</f>
        <v>0</v>
      </c>
      <c r="BV67" s="386">
        <f>VLOOKUP(C67,Theory!B70:BL141,63,FALSE)</f>
        <v>9</v>
      </c>
      <c r="BW67" s="386">
        <f>VLOOKUP(C67,Theory!B70:BM141,64,FALSE)</f>
        <v>0</v>
      </c>
      <c r="BX67" s="386">
        <f>VLOOKUP(C67,Theory!B70:BN141,65,FALSE)</f>
        <v>0</v>
      </c>
      <c r="BY67" s="386">
        <f>VLOOKUP(C67,Theory!B70:BO141,66,FALSE)</f>
        <v>0</v>
      </c>
      <c r="BZ67" s="369">
        <f t="shared" si="15"/>
        <v>9</v>
      </c>
      <c r="CA67" s="385">
        <f t="shared" si="1"/>
        <v>40</v>
      </c>
      <c r="CB67" s="386">
        <f>VLOOKUP(C67,Theory!B70:BP141,67,FALSE)</f>
        <v>8</v>
      </c>
      <c r="CC67" s="386">
        <f>VLOOKUP(C67,Theory!B70:BQ141,68,FALSE)</f>
        <v>0</v>
      </c>
      <c r="CD67" s="386">
        <f>VLOOKUP(C67,Theory!B70:BR141,69,FALSE)</f>
        <v>0</v>
      </c>
      <c r="CE67" s="386">
        <f>VLOOKUP(C67,Theory!B70:BS141,70,FALSE)</f>
        <v>0</v>
      </c>
      <c r="CF67" s="369">
        <f t="shared" si="16"/>
        <v>8</v>
      </c>
      <c r="CG67" s="399">
        <f>VLOOKUP(C67,Theory!B70:BT141,71,FALSE)</f>
        <v>6</v>
      </c>
      <c r="CH67" s="399">
        <f>VLOOKUP(C67,Theory!B70:BU141,72,FALSE)</f>
        <v>0</v>
      </c>
      <c r="CI67" s="399">
        <f>VLOOKUP(C67,Theory!B70:BV141,73,FALSE)</f>
        <v>0</v>
      </c>
      <c r="CJ67" s="399">
        <f>VLOOKUP(C67,Theory!B70:BW141,74,FALSE)</f>
        <v>0</v>
      </c>
      <c r="CK67" s="369">
        <f t="shared" si="17"/>
        <v>6</v>
      </c>
      <c r="CL67" s="386">
        <f>VLOOKUP(C67,Theory!B70:BX141,75,FALSE)</f>
        <v>0</v>
      </c>
      <c r="CM67" s="400">
        <f>VLOOKUP(C67,Theory!B70:BY141,76,FALSE)</f>
        <v>0</v>
      </c>
      <c r="CN67" s="400">
        <f>VLOOKUP(C67,Theory!B70:BZ141,77,FALSE)</f>
        <v>0</v>
      </c>
      <c r="CO67" s="400">
        <f>VLOOKUP(C67,Theory!B70:CA141,78,FALSE)</f>
        <v>0</v>
      </c>
      <c r="CP67" s="386">
        <f>VLOOKUP(C67,Theory!B70:CB141,79,FALSE)</f>
        <v>10</v>
      </c>
      <c r="CQ67" s="386">
        <f>VLOOKUP(C67,Theory!B70:CC141,80,FALSE)</f>
        <v>0</v>
      </c>
      <c r="CR67" s="386">
        <f>VLOOKUP(C67,Theory!B70:CD141,81,FALSE)</f>
        <v>0</v>
      </c>
      <c r="CS67" s="386">
        <f>VLOOKUP(C67,Theory!B70:CE141,82,FALSE)</f>
        <v>0</v>
      </c>
      <c r="CT67" s="369">
        <f t="shared" si="18"/>
        <v>10</v>
      </c>
      <c r="CU67" s="399">
        <f>VLOOKUP(C67,Theory!B70:CF141,83,FALSE)</f>
        <v>8</v>
      </c>
      <c r="CV67" s="400">
        <f>VLOOKUP(C67,Theory!B70:CG141,84,FALSE)</f>
        <v>0</v>
      </c>
      <c r="CW67" s="400">
        <f>VLOOKUP(C67,Theory!B70:CH141,85,FALSE)</f>
        <v>0</v>
      </c>
      <c r="CX67" s="400">
        <f>VLOOKUP(C67,Theory!B70:CI141,86,FALSE)</f>
        <v>0</v>
      </c>
      <c r="CY67" s="399">
        <f>VLOOKUP(C67,Theory!B70:CJ141,87,FALSE)</f>
        <v>0</v>
      </c>
      <c r="CZ67" s="399">
        <f>VLOOKUP(C67,Theory!B70:CK141,88,FALSE)</f>
        <v>0</v>
      </c>
      <c r="DA67" s="399">
        <f>VLOOKUP(C67,Theory!B70:CL141,89,FALSE)</f>
        <v>0</v>
      </c>
      <c r="DB67" s="399">
        <f>VLOOKUP(C67,Theory!B70:CM141,90,FALSE)</f>
        <v>0</v>
      </c>
      <c r="DC67" s="369">
        <f t="shared" si="19"/>
        <v>8</v>
      </c>
      <c r="DD67" s="386">
        <f>VLOOKUP(C67,Theory!B70:CN141,91,FALSE)</f>
        <v>8</v>
      </c>
      <c r="DE67" s="400">
        <f>VLOOKUP(C67,Theory!B70:CO141,92,FALSE)</f>
        <v>0</v>
      </c>
      <c r="DF67" s="400">
        <f>VLOOKUP(C67,Theory!B70:CP141,93,FALSE)</f>
        <v>0</v>
      </c>
      <c r="DG67" s="400">
        <f>VLOOKUP(C67,Theory!B70:CQ141,94,FALSE)</f>
        <v>0</v>
      </c>
      <c r="DH67" s="386">
        <f>VLOOKUP(C67,Theory!B70:CR141,95,FALSE)</f>
        <v>0</v>
      </c>
      <c r="DI67" s="386">
        <f>VLOOKUP(C67,Theory!B70:CS141,96,FALSE)</f>
        <v>0</v>
      </c>
      <c r="DJ67" s="386">
        <f>VLOOKUP(C67,Theory!B70:CT141,97,FALSE)</f>
        <v>0</v>
      </c>
      <c r="DK67" s="386">
        <f>VLOOKUP(C67,Theory!B70:CU141,98,FALSE)</f>
        <v>0</v>
      </c>
      <c r="DL67" s="369">
        <f t="shared" si="20"/>
        <v>8</v>
      </c>
      <c r="DM67" s="411">
        <f t="shared" si="2"/>
        <v>40</v>
      </c>
      <c r="DN67" s="413">
        <f t="shared" si="40"/>
        <v>42</v>
      </c>
      <c r="DO67" s="413">
        <f t="shared" si="41"/>
        <v>40</v>
      </c>
      <c r="DP67" s="413">
        <f t="shared" si="42"/>
        <v>40</v>
      </c>
      <c r="DQ67" s="418">
        <f t="shared" si="43"/>
        <v>25</v>
      </c>
      <c r="DR67" s="418">
        <f t="shared" si="44"/>
        <v>24</v>
      </c>
      <c r="DS67" s="418">
        <f t="shared" si="45"/>
        <v>24</v>
      </c>
      <c r="DT67" s="417">
        <f t="shared" si="36"/>
        <v>24</v>
      </c>
      <c r="DU67" s="423">
        <f>VLOOKUP(C67,Theory!B70:CV141,99,FALSE)</f>
        <v>9</v>
      </c>
      <c r="DV67" s="423">
        <f>VLOOKUP(C67,Theory!B70:CW141,100,FALSE)</f>
        <v>10</v>
      </c>
      <c r="DW67" s="424">
        <f t="shared" si="27"/>
        <v>19</v>
      </c>
      <c r="DX67" s="421">
        <f t="shared" si="3"/>
        <v>43</v>
      </c>
      <c r="DY67" s="430">
        <f t="shared" si="4"/>
        <v>26</v>
      </c>
      <c r="DZ67" s="431">
        <f>VLOOKUP(C67,Lab!B62:D131,3,FALSE)</f>
        <v>0</v>
      </c>
      <c r="EA67" s="432">
        <f>VLOOKUP(C67,Lab!B62:E131,4,FALSE)</f>
        <v>0</v>
      </c>
      <c r="EB67" s="432">
        <f>VLOOKUP(C67,Lab!B62:F131,5,FALSE)</f>
        <v>30</v>
      </c>
      <c r="EC67" s="422">
        <f t="shared" si="37"/>
        <v>30</v>
      </c>
      <c r="ED67" s="436">
        <f>VLOOKUP(C67,Lab!B62:G131,6,FALSE)</f>
        <v>0</v>
      </c>
      <c r="EE67" s="436">
        <f>VLOOKUP(C67,Lab!B62:H131,7,FALSE)</f>
        <v>0</v>
      </c>
      <c r="EF67" s="437">
        <f>VLOOKUP(C67,Lab!B62:I131,8,FALSE)</f>
        <v>20</v>
      </c>
      <c r="EG67" s="443">
        <f t="shared" si="38"/>
        <v>20</v>
      </c>
      <c r="EH67" s="444">
        <f t="shared" si="28"/>
        <v>50</v>
      </c>
      <c r="EI67" s="445">
        <f t="shared" si="29"/>
        <v>20</v>
      </c>
      <c r="EJ67" s="446">
        <f t="shared" si="5"/>
        <v>46</v>
      </c>
      <c r="EK67" s="449">
        <v>39</v>
      </c>
      <c r="EM67" s="450">
        <f>VLOOKUP(C67,Theory!B70:DK141,114,FALSE)</f>
        <v>0</v>
      </c>
      <c r="EN67" s="450">
        <f>VLOOKUP(C67,Theory!B70:DL141,115,FALSE)</f>
        <v>0</v>
      </c>
      <c r="EO67" s="450">
        <f>VLOOKUP(C67,Theory!B70:DM141,116,FALSE)</f>
        <v>0</v>
      </c>
      <c r="EP67" s="450">
        <f>VLOOKUP(C67,Theory!B70:DN139,117,FALSE)</f>
        <v>0</v>
      </c>
      <c r="EQ67" s="450">
        <f>VLOOKUP(C67,Theory!B70:DO139,118,FALSE)</f>
        <v>0</v>
      </c>
      <c r="ER67" s="451">
        <f>VLOOKUP(C67,Theory!B70:DP139,119,FALSE)</f>
        <v>0</v>
      </c>
      <c r="ES67" s="454">
        <f>VLOOKUP(C67,Theory!B70:DQ139,120,FALSE)</f>
        <v>0</v>
      </c>
      <c r="ET67" s="455">
        <f t="shared" si="39"/>
        <v>0</v>
      </c>
      <c r="EU67" s="456"/>
      <c r="EV67" s="456"/>
      <c r="EW67" s="456"/>
      <c r="EX67" s="456"/>
      <c r="EY67" s="456"/>
      <c r="EZ67" s="456"/>
      <c r="FA67" s="456"/>
      <c r="FB67" s="456"/>
      <c r="FC67" s="456"/>
      <c r="FD67" s="456"/>
    </row>
    <row r="68" ht="18.35" spans="1:160">
      <c r="A68" s="164">
        <v>55</v>
      </c>
      <c r="B68" s="289" t="str">
        <f>Theory!C71</f>
        <v>SHREYANSH PATHAK</v>
      </c>
      <c r="C68" s="360" t="str">
        <f>Theory!B71</f>
        <v>1DS23AI056</v>
      </c>
      <c r="D68" s="361">
        <f>VLOOKUP(C68,Theory!B71:D142,3,FALSE)</f>
        <v>6</v>
      </c>
      <c r="E68" s="361">
        <f>VLOOKUP(C68,Theory!B71:E142,4,FALSE)</f>
        <v>0</v>
      </c>
      <c r="F68" s="361">
        <f>VLOOKUP(C68,Theory!B71:F142,5,FALSE)</f>
        <v>0</v>
      </c>
      <c r="G68" s="361">
        <f>VLOOKUP(C68,Theory!B71:G142,6,FALSE)</f>
        <v>0</v>
      </c>
      <c r="H68" s="369">
        <f t="shared" si="6"/>
        <v>6</v>
      </c>
      <c r="I68" s="370">
        <f>VLOOKUP(C68,Theory!B71:H142,7,FALSE)</f>
        <v>5</v>
      </c>
      <c r="J68" s="371">
        <f>VLOOKUP(C68,Theory!B71:I142,8,FALSE)</f>
        <v>0</v>
      </c>
      <c r="K68" s="371">
        <f>VLOOKUP(C68,Theory!B71:J142,9,FALSE)</f>
        <v>0</v>
      </c>
      <c r="L68" s="371">
        <f>VLOOKUP(C68,Theory!B71:K142,10,FALSE)</f>
        <v>0</v>
      </c>
      <c r="M68" s="369">
        <f t="shared" si="7"/>
        <v>5</v>
      </c>
      <c r="N68" s="373">
        <f>VLOOKUP(C68,Theory!B71:L142,11,FALSE)</f>
        <v>5</v>
      </c>
      <c r="O68" s="373">
        <f>VLOOKUP(C68,Theory!B71:M142,12,FALSE)</f>
        <v>0</v>
      </c>
      <c r="P68" s="373">
        <f>VLOOKUP(C68,Theory!B71:N142,13,FALSE)</f>
        <v>0</v>
      </c>
      <c r="Q68" s="373">
        <f>VLOOKUP(C68,Theory!B71:O142,14,FALSE)</f>
        <v>0</v>
      </c>
      <c r="R68" s="371">
        <f>VLOOKUP(C68,Theory!B71:P142,15,FALSE)</f>
        <v>0</v>
      </c>
      <c r="S68" s="371">
        <f>VLOOKUP(C68,Theory!B71:Q142,16,FALSE)</f>
        <v>0</v>
      </c>
      <c r="T68" s="371">
        <f>VLOOKUP(C68,Theory!B71:R142,17,FALSE)</f>
        <v>0</v>
      </c>
      <c r="U68" s="371">
        <f>VLOOKUP(C68,Theory!B71:S142,18,FALSE)</f>
        <v>0</v>
      </c>
      <c r="V68" s="369">
        <f t="shared" si="8"/>
        <v>5</v>
      </c>
      <c r="W68" s="361">
        <f>VLOOKUP(C68,Theory!B71:T142,19,FALSE)</f>
        <v>0</v>
      </c>
      <c r="X68" s="361">
        <f>VLOOKUP(C68,Theory!B71:U142,20,FALSE)</f>
        <v>0</v>
      </c>
      <c r="Y68" s="361">
        <f>VLOOKUP(C68,Theory!B71:V142,21,FALSE)</f>
        <v>0</v>
      </c>
      <c r="Z68" s="361">
        <f>VLOOKUP(C68,Theory!B71:W142,22,FALSE)</f>
        <v>0</v>
      </c>
      <c r="AA68" s="370">
        <f>VLOOKUP(C68,Theory!B71:X142,23,FALSE)</f>
        <v>4</v>
      </c>
      <c r="AB68" s="370">
        <f>VLOOKUP(C68,Theory!B71:Y142,24,FALSE)</f>
        <v>0</v>
      </c>
      <c r="AC68" s="370">
        <f>VLOOKUP(C68,Theory!B71:Z142,25,FALSE)</f>
        <v>0</v>
      </c>
      <c r="AD68" s="370">
        <f>VLOOKUP(C68,Theory!B71:AA142,26,FALSE)</f>
        <v>0</v>
      </c>
      <c r="AE68" s="369">
        <f t="shared" si="9"/>
        <v>4</v>
      </c>
      <c r="AF68" s="361">
        <f>VLOOKUP(C68,Theory!B71:AB142,27,FALSE)</f>
        <v>0</v>
      </c>
      <c r="AG68" s="361">
        <f>VLOOKUP(C68,Theory!B71:AC142,28,FALSE)</f>
        <v>0</v>
      </c>
      <c r="AH68" s="361">
        <f>VLOOKUP(C68,Theory!B71:AD142,29,FALSE)</f>
        <v>0</v>
      </c>
      <c r="AI68" s="361">
        <f>VLOOKUP(C68,Theory!B71:AE142,30,FALSE)</f>
        <v>0</v>
      </c>
      <c r="AJ68" s="380">
        <f>VLOOKUP(C68,Theory!B71:AF142,31,FALSE)</f>
        <v>9</v>
      </c>
      <c r="AK68" s="380">
        <f>VLOOKUP(C68,Theory!B71:AG142,32,FALSE)</f>
        <v>0</v>
      </c>
      <c r="AL68" s="380">
        <f>VLOOKUP(C68,Theory!B71:AH142,33,FALSE)</f>
        <v>0</v>
      </c>
      <c r="AM68" s="380">
        <f>VLOOKUP(C68,Theory!B71:AI142,34,FALSE)</f>
        <v>0</v>
      </c>
      <c r="AN68" s="369">
        <f t="shared" si="10"/>
        <v>9</v>
      </c>
      <c r="AO68" s="385">
        <f t="shared" si="0"/>
        <v>29</v>
      </c>
      <c r="AP68" s="386">
        <f>VLOOKUP(C68,Theory!B71:AJ142,35,FALSE)</f>
        <v>2</v>
      </c>
      <c r="AQ68" s="386">
        <f>VLOOKUP(C68,Theory!B71:AK142,36,FALSE)</f>
        <v>0</v>
      </c>
      <c r="AR68" s="386">
        <f>VLOOKUP(C68,Theory!B71:AL142,37,FALSE)</f>
        <v>0</v>
      </c>
      <c r="AS68" s="386">
        <f>VLOOKUP(C68,Theory!B71:AM142,38,FALSE)</f>
        <v>0</v>
      </c>
      <c r="AT68" s="369">
        <f t="shared" si="11"/>
        <v>2</v>
      </c>
      <c r="AU68" s="386">
        <f>VLOOKUP(C68,Theory!B71:AN142,39,FALSE)</f>
        <v>4</v>
      </c>
      <c r="AV68" s="386">
        <f>VLOOKUP(C68,Theory!B71:AO142,40,FALSE)</f>
        <v>0</v>
      </c>
      <c r="AW68" s="386">
        <f>VLOOKUP(C68,Theory!B71:AP142,41,FALSE)</f>
        <v>0</v>
      </c>
      <c r="AX68" s="386">
        <f>VLOOKUP(C68,Theory!B71:AQ142,42,FALSE)</f>
        <v>0</v>
      </c>
      <c r="AY68" s="369">
        <f t="shared" si="12"/>
        <v>4</v>
      </c>
      <c r="AZ68" s="386">
        <f>VLOOKUP(C68,Theory!B71:AR142,43,FALSE)</f>
        <v>0</v>
      </c>
      <c r="BA68" s="386">
        <f>VLOOKUP(C68,Theory!B71:AS142,44,FALSE)</f>
        <v>0</v>
      </c>
      <c r="BB68" s="386">
        <f>VLOOKUP(C68,Theory!B71:AT142,45,FALSE)</f>
        <v>0</v>
      </c>
      <c r="BC68" s="386">
        <f>VLOOKUP(C68,Theory!B71:AU142,46,FALSE)</f>
        <v>0</v>
      </c>
      <c r="BD68" s="386">
        <f>VLOOKUP(C68,Theory!B71:AV142,47,FALSE)</f>
        <v>6</v>
      </c>
      <c r="BE68" s="386">
        <f>VLOOKUP(C68,Theory!B71:AW142,48,FALSE)</f>
        <v>0</v>
      </c>
      <c r="BF68" s="386">
        <f>VLOOKUP(C68,Theory!B71:AX142,49,FALSE)</f>
        <v>0</v>
      </c>
      <c r="BG68" s="386">
        <f>VLOOKUP(C68,Theory!B71:AY142,50,FALSE)</f>
        <v>0</v>
      </c>
      <c r="BH68" s="369">
        <f t="shared" si="13"/>
        <v>6</v>
      </c>
      <c r="BI68" s="386">
        <f>VLOOKUP(C68,Theory!B71:AZ142,51,FALSE)</f>
        <v>0</v>
      </c>
      <c r="BJ68" s="386">
        <f>VLOOKUP(C68,Theory!B71:BA142,52,FALSE)</f>
        <v>0</v>
      </c>
      <c r="BK68" s="386">
        <f>VLOOKUP(C68,Theory!B71:BB142,53,FALSE)</f>
        <v>0</v>
      </c>
      <c r="BL68" s="386">
        <f>VLOOKUP(C68,Theory!B71:BC142,54,FALSE)</f>
        <v>0</v>
      </c>
      <c r="BM68" s="386">
        <f>VLOOKUP(C68,Theory!B71:BD142,55,FALSE)</f>
        <v>2</v>
      </c>
      <c r="BN68" s="386">
        <f>VLOOKUP(C68,Theory!B71:BE142,56,FALSE)</f>
        <v>0</v>
      </c>
      <c r="BO68" s="386">
        <f>VLOOKUP(C68,Theory!B71:BF142,57,FALSE)</f>
        <v>0</v>
      </c>
      <c r="BP68" s="386">
        <f>VLOOKUP(C68,Theory!B71:BG142,58,FALSE)</f>
        <v>0</v>
      </c>
      <c r="BQ68" s="369">
        <f t="shared" si="14"/>
        <v>2</v>
      </c>
      <c r="BR68" s="386">
        <f>VLOOKUP(C68,Theory!B71:BH142,59,FALSE)</f>
        <v>6</v>
      </c>
      <c r="BS68" s="386">
        <f>VLOOKUP(C68,Theory!B71:BI142,60,FALSE)</f>
        <v>0</v>
      </c>
      <c r="BT68" s="386">
        <f>VLOOKUP(C68,Theory!B71:BJ142,61,FALSE)</f>
        <v>0</v>
      </c>
      <c r="BU68" s="386">
        <f>VLOOKUP(C68,Theory!B71:BK142,62,FALSE)</f>
        <v>0</v>
      </c>
      <c r="BV68" s="386">
        <f>VLOOKUP(C68,Theory!B71:BL142,63,FALSE)</f>
        <v>0</v>
      </c>
      <c r="BW68" s="386">
        <f>VLOOKUP(C68,Theory!B71:BM142,64,FALSE)</f>
        <v>0</v>
      </c>
      <c r="BX68" s="386">
        <f>VLOOKUP(C68,Theory!B71:BN142,65,FALSE)</f>
        <v>0</v>
      </c>
      <c r="BY68" s="386">
        <f>VLOOKUP(C68,Theory!B71:BO142,66,FALSE)</f>
        <v>0</v>
      </c>
      <c r="BZ68" s="369">
        <f t="shared" si="15"/>
        <v>6</v>
      </c>
      <c r="CA68" s="385">
        <f t="shared" si="1"/>
        <v>20</v>
      </c>
      <c r="CB68" s="386">
        <f>VLOOKUP(C68,Theory!B71:BP142,67,FALSE)</f>
        <v>6</v>
      </c>
      <c r="CC68" s="386">
        <f>VLOOKUP(C68,Theory!B71:BQ142,68,FALSE)</f>
        <v>0</v>
      </c>
      <c r="CD68" s="386">
        <f>VLOOKUP(C68,Theory!B71:BR142,69,FALSE)</f>
        <v>0</v>
      </c>
      <c r="CE68" s="386">
        <f>VLOOKUP(C68,Theory!B71:BS142,70,FALSE)</f>
        <v>0</v>
      </c>
      <c r="CF68" s="369">
        <f t="shared" si="16"/>
        <v>6</v>
      </c>
      <c r="CG68" s="399">
        <f>VLOOKUP(C68,Theory!B71:BT142,71,FALSE)</f>
        <v>5</v>
      </c>
      <c r="CH68" s="399">
        <f>VLOOKUP(C68,Theory!B71:BU142,72,FALSE)</f>
        <v>0</v>
      </c>
      <c r="CI68" s="399">
        <f>VLOOKUP(C68,Theory!B71:BV142,73,FALSE)</f>
        <v>0</v>
      </c>
      <c r="CJ68" s="399">
        <f>VLOOKUP(C68,Theory!B71:BW142,74,FALSE)</f>
        <v>0</v>
      </c>
      <c r="CK68" s="369">
        <f t="shared" si="17"/>
        <v>5</v>
      </c>
      <c r="CL68" s="386">
        <f>VLOOKUP(C68,Theory!B71:BX142,75,FALSE)</f>
        <v>8</v>
      </c>
      <c r="CM68" s="400">
        <f>VLOOKUP(C68,Theory!B71:BY142,76,FALSE)</f>
        <v>0</v>
      </c>
      <c r="CN68" s="400">
        <f>VLOOKUP(C68,Theory!B71:BZ142,77,FALSE)</f>
        <v>0</v>
      </c>
      <c r="CO68" s="400">
        <f>VLOOKUP(C68,Theory!B71:CA142,78,FALSE)</f>
        <v>0</v>
      </c>
      <c r="CP68" s="386">
        <f>VLOOKUP(C68,Theory!B71:CB142,79,FALSE)</f>
        <v>0</v>
      </c>
      <c r="CQ68" s="386">
        <f>VLOOKUP(C68,Theory!B71:CC142,80,FALSE)</f>
        <v>0</v>
      </c>
      <c r="CR68" s="386">
        <f>VLOOKUP(C68,Theory!B71:CD142,81,FALSE)</f>
        <v>0</v>
      </c>
      <c r="CS68" s="386">
        <f>VLOOKUP(C68,Theory!B71:CE142,82,FALSE)</f>
        <v>0</v>
      </c>
      <c r="CT68" s="369">
        <f t="shared" si="18"/>
        <v>8</v>
      </c>
      <c r="CU68" s="399">
        <f>VLOOKUP(C68,Theory!B71:CF142,83,FALSE)</f>
        <v>9</v>
      </c>
      <c r="CV68" s="400">
        <f>VLOOKUP(C68,Theory!B71:CG142,84,FALSE)</f>
        <v>0</v>
      </c>
      <c r="CW68" s="400">
        <f>VLOOKUP(C68,Theory!B71:CH142,85,FALSE)</f>
        <v>0</v>
      </c>
      <c r="CX68" s="400">
        <f>VLOOKUP(C68,Theory!B71:CI142,86,FALSE)</f>
        <v>0</v>
      </c>
      <c r="CY68" s="399">
        <f>VLOOKUP(C68,Theory!B71:CJ142,87,FALSE)</f>
        <v>0</v>
      </c>
      <c r="CZ68" s="399">
        <f>VLOOKUP(C68,Theory!B71:CK142,88,FALSE)</f>
        <v>0</v>
      </c>
      <c r="DA68" s="399">
        <f>VLOOKUP(C68,Theory!B71:CL142,89,FALSE)</f>
        <v>0</v>
      </c>
      <c r="DB68" s="399">
        <f>VLOOKUP(C68,Theory!B71:CM142,90,FALSE)</f>
        <v>0</v>
      </c>
      <c r="DC68" s="369">
        <f t="shared" si="19"/>
        <v>9</v>
      </c>
      <c r="DD68" s="386">
        <f>VLOOKUP(C68,Theory!B71:CN142,91,FALSE)</f>
        <v>9</v>
      </c>
      <c r="DE68" s="400">
        <f>VLOOKUP(C68,Theory!B71:CO142,92,FALSE)</f>
        <v>0</v>
      </c>
      <c r="DF68" s="400">
        <f>VLOOKUP(C68,Theory!B71:CP142,93,FALSE)</f>
        <v>0</v>
      </c>
      <c r="DG68" s="400">
        <f>VLOOKUP(C68,Theory!B71:CQ142,94,FALSE)</f>
        <v>0</v>
      </c>
      <c r="DH68" s="386">
        <f>VLOOKUP(C68,Theory!B71:CR142,95,FALSE)</f>
        <v>0</v>
      </c>
      <c r="DI68" s="386">
        <f>VLOOKUP(C68,Theory!B71:CS142,96,FALSE)</f>
        <v>0</v>
      </c>
      <c r="DJ68" s="386">
        <f>VLOOKUP(C68,Theory!B71:CT142,97,FALSE)</f>
        <v>0</v>
      </c>
      <c r="DK68" s="386">
        <f>VLOOKUP(C68,Theory!B71:CU142,98,FALSE)</f>
        <v>0</v>
      </c>
      <c r="DL68" s="369">
        <f t="shared" si="20"/>
        <v>9</v>
      </c>
      <c r="DM68" s="411">
        <f t="shared" si="2"/>
        <v>37</v>
      </c>
      <c r="DN68" s="413">
        <f t="shared" si="40"/>
        <v>29</v>
      </c>
      <c r="DO68" s="413">
        <f t="shared" si="41"/>
        <v>20</v>
      </c>
      <c r="DP68" s="413">
        <f t="shared" si="42"/>
        <v>37</v>
      </c>
      <c r="DQ68" s="418">
        <f t="shared" si="43"/>
        <v>17</v>
      </c>
      <c r="DR68" s="418">
        <f t="shared" si="44"/>
        <v>12</v>
      </c>
      <c r="DS68" s="418">
        <f t="shared" si="45"/>
        <v>22</v>
      </c>
      <c r="DT68" s="417">
        <f t="shared" si="36"/>
        <v>17</v>
      </c>
      <c r="DU68" s="423">
        <f>VLOOKUP(C68,Theory!B71:CV142,99,FALSE)</f>
        <v>7</v>
      </c>
      <c r="DV68" s="423">
        <f>VLOOKUP(C68,Theory!B71:CW142,100,FALSE)</f>
        <v>10</v>
      </c>
      <c r="DW68" s="424">
        <f t="shared" si="27"/>
        <v>17</v>
      </c>
      <c r="DX68" s="421">
        <f t="shared" si="3"/>
        <v>34</v>
      </c>
      <c r="DY68" s="430">
        <f t="shared" si="4"/>
        <v>20</v>
      </c>
      <c r="DZ68" s="431">
        <f>VLOOKUP(C68,Lab!B63:D132,3,FALSE)</f>
        <v>0</v>
      </c>
      <c r="EA68" s="432">
        <f>VLOOKUP(C68,Lab!B63:E132,4,FALSE)</f>
        <v>0</v>
      </c>
      <c r="EB68" s="432">
        <f>VLOOKUP(C68,Lab!B63:F132,5,FALSE)</f>
        <v>30</v>
      </c>
      <c r="EC68" s="422">
        <f t="shared" si="37"/>
        <v>30</v>
      </c>
      <c r="ED68" s="436">
        <f>VLOOKUP(C68,Lab!B63:G132,6,FALSE)</f>
        <v>0</v>
      </c>
      <c r="EE68" s="436">
        <f>VLOOKUP(C68,Lab!B63:H132,7,FALSE)</f>
        <v>0</v>
      </c>
      <c r="EF68" s="437">
        <f>VLOOKUP(C68,Lab!B63:I132,8,FALSE)</f>
        <v>20</v>
      </c>
      <c r="EG68" s="443">
        <f t="shared" si="38"/>
        <v>20</v>
      </c>
      <c r="EH68" s="444">
        <f t="shared" si="28"/>
        <v>50</v>
      </c>
      <c r="EI68" s="445">
        <f t="shared" si="29"/>
        <v>20</v>
      </c>
      <c r="EJ68" s="446">
        <f t="shared" si="5"/>
        <v>40</v>
      </c>
      <c r="EK68" s="449">
        <v>35</v>
      </c>
      <c r="EM68" s="450">
        <f>VLOOKUP(C68,Theory!B71:DK142,114,FALSE)</f>
        <v>0</v>
      </c>
      <c r="EN68" s="450">
        <f>VLOOKUP(C68,Theory!B71:DL142,115,FALSE)</f>
        <v>0</v>
      </c>
      <c r="EO68" s="450">
        <f>VLOOKUP(C68,Theory!B71:DM142,116,FALSE)</f>
        <v>0</v>
      </c>
      <c r="EP68" s="450">
        <f>VLOOKUP(C68,Theory!B71:DN140,117,FALSE)</f>
        <v>0</v>
      </c>
      <c r="EQ68" s="450">
        <f>VLOOKUP(C68,Theory!B71:DO140,118,FALSE)</f>
        <v>0</v>
      </c>
      <c r="ER68" s="451">
        <f>VLOOKUP(C68,Theory!B71:DP140,119,FALSE)</f>
        <v>0</v>
      </c>
      <c r="ES68" s="454">
        <f>VLOOKUP(C68,Theory!B71:DQ140,120,FALSE)</f>
        <v>0</v>
      </c>
      <c r="ET68" s="455">
        <f t="shared" si="39"/>
        <v>0</v>
      </c>
      <c r="EU68" s="456"/>
      <c r="EV68" s="456"/>
      <c r="EW68" s="456"/>
      <c r="EX68" s="456"/>
      <c r="EY68" s="456"/>
      <c r="EZ68" s="456"/>
      <c r="FA68" s="456"/>
      <c r="FB68" s="456"/>
      <c r="FC68" s="456"/>
      <c r="FD68" s="456"/>
    </row>
    <row r="69" ht="18.35" spans="1:160">
      <c r="A69" s="164">
        <v>56</v>
      </c>
      <c r="B69" s="289" t="str">
        <f>Theory!C72</f>
        <v>SHREYAS KULKARNI</v>
      </c>
      <c r="C69" s="360" t="str">
        <f>Theory!B72</f>
        <v>1DS23AI057</v>
      </c>
      <c r="D69" s="361">
        <f>VLOOKUP(C69,Theory!B72:D143,3,FALSE)</f>
        <v>10</v>
      </c>
      <c r="E69" s="361">
        <f>VLOOKUP(C69,Theory!B72:E143,4,FALSE)</f>
        <v>0</v>
      </c>
      <c r="F69" s="361">
        <f>VLOOKUP(C69,Theory!B72:F143,5,FALSE)</f>
        <v>0</v>
      </c>
      <c r="G69" s="361">
        <f>VLOOKUP(C69,Theory!B72:G143,6,FALSE)</f>
        <v>0</v>
      </c>
      <c r="H69" s="369">
        <f t="shared" si="6"/>
        <v>10</v>
      </c>
      <c r="I69" s="370">
        <f>VLOOKUP(C69,Theory!B72:H143,7,FALSE)</f>
        <v>6</v>
      </c>
      <c r="J69" s="371">
        <f>VLOOKUP(C69,Theory!B72:I143,8,FALSE)</f>
        <v>0</v>
      </c>
      <c r="K69" s="371">
        <f>VLOOKUP(C69,Theory!B72:J143,9,FALSE)</f>
        <v>0</v>
      </c>
      <c r="L69" s="371">
        <f>VLOOKUP(C69,Theory!B72:K143,10,FALSE)</f>
        <v>0</v>
      </c>
      <c r="M69" s="369">
        <f t="shared" si="7"/>
        <v>6</v>
      </c>
      <c r="N69" s="373">
        <f>VLOOKUP(C69,Theory!B72:L143,11,FALSE)</f>
        <v>6</v>
      </c>
      <c r="O69" s="373">
        <f>VLOOKUP(C69,Theory!B72:M143,12,FALSE)</f>
        <v>0</v>
      </c>
      <c r="P69" s="373">
        <f>VLOOKUP(C69,Theory!B72:N143,13,FALSE)</f>
        <v>0</v>
      </c>
      <c r="Q69" s="373">
        <f>VLOOKUP(C69,Theory!B72:O143,14,FALSE)</f>
        <v>0</v>
      </c>
      <c r="R69" s="371">
        <f>VLOOKUP(C69,Theory!B72:P143,15,FALSE)</f>
        <v>0</v>
      </c>
      <c r="S69" s="371">
        <f>VLOOKUP(C69,Theory!B72:Q143,16,FALSE)</f>
        <v>0</v>
      </c>
      <c r="T69" s="371">
        <f>VLOOKUP(C69,Theory!B72:R143,17,FALSE)</f>
        <v>0</v>
      </c>
      <c r="U69" s="371">
        <f>VLOOKUP(C69,Theory!B72:S143,18,FALSE)</f>
        <v>0</v>
      </c>
      <c r="V69" s="369">
        <f t="shared" si="8"/>
        <v>6</v>
      </c>
      <c r="W69" s="361">
        <f>VLOOKUP(C69,Theory!B72:T143,19,FALSE)</f>
        <v>9</v>
      </c>
      <c r="X69" s="361">
        <f>VLOOKUP(C69,Theory!B72:U143,20,FALSE)</f>
        <v>0</v>
      </c>
      <c r="Y69" s="361">
        <f>VLOOKUP(C69,Theory!B72:V143,21,FALSE)</f>
        <v>0</v>
      </c>
      <c r="Z69" s="361">
        <f>VLOOKUP(C69,Theory!B72:W143,22,FALSE)</f>
        <v>0</v>
      </c>
      <c r="AA69" s="370">
        <f>VLOOKUP(C69,Theory!B72:X143,23,FALSE)</f>
        <v>0</v>
      </c>
      <c r="AB69" s="370">
        <f>VLOOKUP(C69,Theory!B72:Y143,24,FALSE)</f>
        <v>0</v>
      </c>
      <c r="AC69" s="370">
        <f>VLOOKUP(C69,Theory!B72:Z143,25,FALSE)</f>
        <v>0</v>
      </c>
      <c r="AD69" s="370">
        <f>VLOOKUP(C69,Theory!B72:AA143,26,FALSE)</f>
        <v>0</v>
      </c>
      <c r="AE69" s="369">
        <f t="shared" si="9"/>
        <v>9</v>
      </c>
      <c r="AF69" s="361">
        <f>VLOOKUP(C69,Theory!B72:AB143,27,FALSE)</f>
        <v>0</v>
      </c>
      <c r="AG69" s="361">
        <f>VLOOKUP(C69,Theory!B72:AC143,28,FALSE)</f>
        <v>0</v>
      </c>
      <c r="AH69" s="361">
        <f>VLOOKUP(C69,Theory!B72:AD143,29,FALSE)</f>
        <v>0</v>
      </c>
      <c r="AI69" s="361">
        <f>VLOOKUP(C69,Theory!B72:AE143,30,FALSE)</f>
        <v>0</v>
      </c>
      <c r="AJ69" s="380">
        <f>VLOOKUP(C69,Theory!B72:AF143,31,FALSE)</f>
        <v>10</v>
      </c>
      <c r="AK69" s="380">
        <f>VLOOKUP(C69,Theory!B72:AG143,32,FALSE)</f>
        <v>0</v>
      </c>
      <c r="AL69" s="380">
        <f>VLOOKUP(C69,Theory!B72:AH143,33,FALSE)</f>
        <v>0</v>
      </c>
      <c r="AM69" s="380">
        <f>VLOOKUP(C69,Theory!B72:AI143,34,FALSE)</f>
        <v>0</v>
      </c>
      <c r="AN69" s="369">
        <f t="shared" si="10"/>
        <v>10</v>
      </c>
      <c r="AO69" s="385">
        <f t="shared" si="0"/>
        <v>41</v>
      </c>
      <c r="AP69" s="386">
        <f>VLOOKUP(C69,Theory!B72:AJ143,35,FALSE)</f>
        <v>8</v>
      </c>
      <c r="AQ69" s="386">
        <f>VLOOKUP(C69,Theory!B72:AK143,36,FALSE)</f>
        <v>0</v>
      </c>
      <c r="AR69" s="386">
        <f>VLOOKUP(C69,Theory!B72:AL143,37,FALSE)</f>
        <v>0</v>
      </c>
      <c r="AS69" s="386">
        <f>VLOOKUP(C69,Theory!B72:AM143,38,FALSE)</f>
        <v>0</v>
      </c>
      <c r="AT69" s="369">
        <f t="shared" si="11"/>
        <v>8</v>
      </c>
      <c r="AU69" s="386">
        <f>VLOOKUP(C69,Theory!B72:AN143,39,FALSE)</f>
        <v>10</v>
      </c>
      <c r="AV69" s="386">
        <f>VLOOKUP(C69,Theory!B72:AO143,40,FALSE)</f>
        <v>0</v>
      </c>
      <c r="AW69" s="386">
        <f>VLOOKUP(C69,Theory!B72:AP143,41,FALSE)</f>
        <v>0</v>
      </c>
      <c r="AX69" s="386">
        <f>VLOOKUP(C69,Theory!B72:AQ143,42,FALSE)</f>
        <v>0</v>
      </c>
      <c r="AY69" s="369">
        <f t="shared" si="12"/>
        <v>10</v>
      </c>
      <c r="AZ69" s="386">
        <f>VLOOKUP(C69,Theory!B72:AR143,43,FALSE)</f>
        <v>0</v>
      </c>
      <c r="BA69" s="386">
        <f>VLOOKUP(C69,Theory!B72:AS143,44,FALSE)</f>
        <v>0</v>
      </c>
      <c r="BB69" s="386">
        <f>VLOOKUP(C69,Theory!B72:AT143,45,FALSE)</f>
        <v>0</v>
      </c>
      <c r="BC69" s="386">
        <f>VLOOKUP(C69,Theory!B72:AU143,46,FALSE)</f>
        <v>0</v>
      </c>
      <c r="BD69" s="386">
        <f>VLOOKUP(C69,Theory!B72:AV143,47,FALSE)</f>
        <v>8</v>
      </c>
      <c r="BE69" s="386">
        <f>VLOOKUP(C69,Theory!B72:AW143,48,FALSE)</f>
        <v>0</v>
      </c>
      <c r="BF69" s="386">
        <f>VLOOKUP(C69,Theory!B72:AX143,49,FALSE)</f>
        <v>0</v>
      </c>
      <c r="BG69" s="386">
        <f>VLOOKUP(C69,Theory!B72:AY143,50,FALSE)</f>
        <v>0</v>
      </c>
      <c r="BH69" s="369">
        <f t="shared" si="13"/>
        <v>8</v>
      </c>
      <c r="BI69" s="386">
        <f>VLOOKUP(C69,Theory!B72:AZ143,51,FALSE)</f>
        <v>6</v>
      </c>
      <c r="BJ69" s="386">
        <f>VLOOKUP(C69,Theory!B72:BA143,52,FALSE)</f>
        <v>0</v>
      </c>
      <c r="BK69" s="386">
        <f>VLOOKUP(C69,Theory!B72:BB143,53,FALSE)</f>
        <v>0</v>
      </c>
      <c r="BL69" s="386">
        <f>VLOOKUP(C69,Theory!B72:BC143,54,FALSE)</f>
        <v>0</v>
      </c>
      <c r="BM69" s="386">
        <f>VLOOKUP(C69,Theory!B72:BD143,55,FALSE)</f>
        <v>0</v>
      </c>
      <c r="BN69" s="386">
        <f>VLOOKUP(C69,Theory!B72:BE143,56,FALSE)</f>
        <v>0</v>
      </c>
      <c r="BO69" s="386">
        <f>VLOOKUP(C69,Theory!B72:BF143,57,FALSE)</f>
        <v>0</v>
      </c>
      <c r="BP69" s="386">
        <f>VLOOKUP(C69,Theory!B72:BG143,58,FALSE)</f>
        <v>0</v>
      </c>
      <c r="BQ69" s="369">
        <f t="shared" si="14"/>
        <v>6</v>
      </c>
      <c r="BR69" s="386">
        <f>VLOOKUP(C69,Theory!B72:BH143,59,FALSE)</f>
        <v>0</v>
      </c>
      <c r="BS69" s="386">
        <f>VLOOKUP(C69,Theory!B72:BI143,60,FALSE)</f>
        <v>0</v>
      </c>
      <c r="BT69" s="386">
        <f>VLOOKUP(C69,Theory!B72:BJ143,61,FALSE)</f>
        <v>0</v>
      </c>
      <c r="BU69" s="386">
        <f>VLOOKUP(C69,Theory!B72:BK143,62,FALSE)</f>
        <v>0</v>
      </c>
      <c r="BV69" s="386">
        <f>VLOOKUP(C69,Theory!B72:BL143,63,FALSE)</f>
        <v>10</v>
      </c>
      <c r="BW69" s="386">
        <f>VLOOKUP(C69,Theory!B72:BM143,64,FALSE)</f>
        <v>0</v>
      </c>
      <c r="BX69" s="386">
        <f>VLOOKUP(C69,Theory!B72:BN143,65,FALSE)</f>
        <v>0</v>
      </c>
      <c r="BY69" s="386">
        <f>VLOOKUP(C69,Theory!B72:BO143,66,FALSE)</f>
        <v>0</v>
      </c>
      <c r="BZ69" s="369">
        <f t="shared" si="15"/>
        <v>10</v>
      </c>
      <c r="CA69" s="385">
        <f t="shared" si="1"/>
        <v>42</v>
      </c>
      <c r="CB69" s="386">
        <f>VLOOKUP(C69,Theory!B72:BP143,67,FALSE)</f>
        <v>10</v>
      </c>
      <c r="CC69" s="386">
        <f>VLOOKUP(C69,Theory!B72:BQ143,68,FALSE)</f>
        <v>0</v>
      </c>
      <c r="CD69" s="386">
        <f>VLOOKUP(C69,Theory!B72:BR143,69,FALSE)</f>
        <v>0</v>
      </c>
      <c r="CE69" s="386">
        <f>VLOOKUP(C69,Theory!B72:BS143,70,FALSE)</f>
        <v>0</v>
      </c>
      <c r="CF69" s="369">
        <f t="shared" si="16"/>
        <v>10</v>
      </c>
      <c r="CG69" s="399">
        <f>VLOOKUP(C69,Theory!B72:BT143,71,FALSE)</f>
        <v>6</v>
      </c>
      <c r="CH69" s="399">
        <f>VLOOKUP(C69,Theory!B72:BU143,72,FALSE)</f>
        <v>0</v>
      </c>
      <c r="CI69" s="399">
        <f>VLOOKUP(C69,Theory!B72:BV143,73,FALSE)</f>
        <v>0</v>
      </c>
      <c r="CJ69" s="399">
        <f>VLOOKUP(C69,Theory!B72:BW143,74,FALSE)</f>
        <v>0</v>
      </c>
      <c r="CK69" s="369">
        <f t="shared" si="17"/>
        <v>6</v>
      </c>
      <c r="CL69" s="386">
        <f>VLOOKUP(C69,Theory!B72:BX143,75,FALSE)</f>
        <v>0</v>
      </c>
      <c r="CM69" s="400">
        <f>VLOOKUP(C69,Theory!B72:BY143,76,FALSE)</f>
        <v>0</v>
      </c>
      <c r="CN69" s="400">
        <f>VLOOKUP(C69,Theory!B72:BZ143,77,FALSE)</f>
        <v>0</v>
      </c>
      <c r="CO69" s="400">
        <f>VLOOKUP(C69,Theory!B72:CA143,78,FALSE)</f>
        <v>0</v>
      </c>
      <c r="CP69" s="386">
        <f>VLOOKUP(C69,Theory!B72:CB143,79,FALSE)</f>
        <v>8</v>
      </c>
      <c r="CQ69" s="386">
        <f>VLOOKUP(C69,Theory!B72:CC143,80,FALSE)</f>
        <v>0</v>
      </c>
      <c r="CR69" s="386">
        <f>VLOOKUP(C69,Theory!B72:CD143,81,FALSE)</f>
        <v>0</v>
      </c>
      <c r="CS69" s="386">
        <f>VLOOKUP(C69,Theory!B72:CE143,82,FALSE)</f>
        <v>0</v>
      </c>
      <c r="CT69" s="369">
        <f t="shared" si="18"/>
        <v>8</v>
      </c>
      <c r="CU69" s="399">
        <f>VLOOKUP(C69,Theory!B72:CF143,83,FALSE)</f>
        <v>9</v>
      </c>
      <c r="CV69" s="400">
        <f>VLOOKUP(C69,Theory!B72:CG143,84,FALSE)</f>
        <v>0</v>
      </c>
      <c r="CW69" s="400">
        <f>VLOOKUP(C69,Theory!B72:CH143,85,FALSE)</f>
        <v>0</v>
      </c>
      <c r="CX69" s="400">
        <f>VLOOKUP(C69,Theory!B72:CI143,86,FALSE)</f>
        <v>0</v>
      </c>
      <c r="CY69" s="399">
        <f>VLOOKUP(C69,Theory!B72:CJ143,87,FALSE)</f>
        <v>0</v>
      </c>
      <c r="CZ69" s="399">
        <f>VLOOKUP(C69,Theory!B72:CK143,88,FALSE)</f>
        <v>0</v>
      </c>
      <c r="DA69" s="399">
        <f>VLOOKUP(C69,Theory!B72:CL143,89,FALSE)</f>
        <v>0</v>
      </c>
      <c r="DB69" s="399">
        <f>VLOOKUP(C69,Theory!B72:CM143,90,FALSE)</f>
        <v>0</v>
      </c>
      <c r="DC69" s="369">
        <f t="shared" si="19"/>
        <v>9</v>
      </c>
      <c r="DD69" s="386">
        <f>VLOOKUP(C69,Theory!B72:CN143,91,FALSE)</f>
        <v>0</v>
      </c>
      <c r="DE69" s="400">
        <f>VLOOKUP(C69,Theory!B72:CO143,92,FALSE)</f>
        <v>0</v>
      </c>
      <c r="DF69" s="400">
        <f>VLOOKUP(C69,Theory!B72:CP143,93,FALSE)</f>
        <v>0</v>
      </c>
      <c r="DG69" s="400">
        <f>VLOOKUP(C69,Theory!B72:CQ143,94,FALSE)</f>
        <v>0</v>
      </c>
      <c r="DH69" s="386">
        <f>VLOOKUP(C69,Theory!B72:CR143,95,FALSE)</f>
        <v>8</v>
      </c>
      <c r="DI69" s="386">
        <f>VLOOKUP(C69,Theory!B72:CS143,96,FALSE)</f>
        <v>0</v>
      </c>
      <c r="DJ69" s="386">
        <f>VLOOKUP(C69,Theory!B72:CT143,97,FALSE)</f>
        <v>0</v>
      </c>
      <c r="DK69" s="386">
        <f>VLOOKUP(C69,Theory!B72:CU143,98,FALSE)</f>
        <v>0</v>
      </c>
      <c r="DL69" s="369">
        <f t="shared" si="20"/>
        <v>8</v>
      </c>
      <c r="DM69" s="411">
        <f t="shared" si="2"/>
        <v>41</v>
      </c>
      <c r="DN69" s="413">
        <f t="shared" si="40"/>
        <v>41</v>
      </c>
      <c r="DO69" s="413">
        <f t="shared" si="41"/>
        <v>42</v>
      </c>
      <c r="DP69" s="413">
        <f t="shared" si="42"/>
        <v>41</v>
      </c>
      <c r="DQ69" s="418">
        <f t="shared" si="43"/>
        <v>25</v>
      </c>
      <c r="DR69" s="418">
        <f t="shared" si="44"/>
        <v>25</v>
      </c>
      <c r="DS69" s="418">
        <f t="shared" si="45"/>
        <v>25</v>
      </c>
      <c r="DT69" s="417">
        <f t="shared" si="36"/>
        <v>25</v>
      </c>
      <c r="DU69" s="423">
        <f>VLOOKUP(C69,Theory!B72:CV143,99,FALSE)</f>
        <v>9</v>
      </c>
      <c r="DV69" s="423">
        <f>VLOOKUP(C69,Theory!B72:CW143,100,FALSE)</f>
        <v>10</v>
      </c>
      <c r="DW69" s="424">
        <f t="shared" si="27"/>
        <v>19</v>
      </c>
      <c r="DX69" s="421">
        <f t="shared" si="3"/>
        <v>44</v>
      </c>
      <c r="DY69" s="430">
        <f t="shared" si="4"/>
        <v>26</v>
      </c>
      <c r="DZ69" s="431">
        <f>VLOOKUP(C69,Lab!B64:D133,3,FALSE)</f>
        <v>0</v>
      </c>
      <c r="EA69" s="432">
        <f>VLOOKUP(C69,Lab!B64:E133,4,FALSE)</f>
        <v>0</v>
      </c>
      <c r="EB69" s="432">
        <f>VLOOKUP(C69,Lab!B64:F133,5,FALSE)</f>
        <v>30</v>
      </c>
      <c r="EC69" s="422">
        <f t="shared" si="37"/>
        <v>30</v>
      </c>
      <c r="ED69" s="436">
        <f>VLOOKUP(C69,Lab!B64:G133,6,FALSE)</f>
        <v>0</v>
      </c>
      <c r="EE69" s="436">
        <f>VLOOKUP(C69,Lab!B64:H133,7,FALSE)</f>
        <v>0</v>
      </c>
      <c r="EF69" s="437">
        <f>VLOOKUP(C69,Lab!B64:I133,8,FALSE)</f>
        <v>20</v>
      </c>
      <c r="EG69" s="443">
        <f t="shared" si="38"/>
        <v>20</v>
      </c>
      <c r="EH69" s="444">
        <f t="shared" si="28"/>
        <v>50</v>
      </c>
      <c r="EI69" s="445">
        <f t="shared" si="29"/>
        <v>20</v>
      </c>
      <c r="EJ69" s="446">
        <f t="shared" si="5"/>
        <v>46</v>
      </c>
      <c r="EK69" s="449">
        <v>33.5</v>
      </c>
      <c r="EM69" s="450">
        <f>VLOOKUP(C69,Theory!B72:DK143,114,FALSE)</f>
        <v>0</v>
      </c>
      <c r="EN69" s="450">
        <f>VLOOKUP(C69,Theory!B72:DL143,115,FALSE)</f>
        <v>0</v>
      </c>
      <c r="EO69" s="450">
        <f>VLOOKUP(C69,Theory!B72:DM143,116,FALSE)</f>
        <v>0</v>
      </c>
      <c r="EP69" s="450">
        <f>VLOOKUP(C69,Theory!B72:DN141,117,FALSE)</f>
        <v>0</v>
      </c>
      <c r="EQ69" s="450">
        <f>VLOOKUP(C69,Theory!B72:DO141,118,FALSE)</f>
        <v>0</v>
      </c>
      <c r="ER69" s="451">
        <f>VLOOKUP(C69,Theory!B72:DP141,119,FALSE)</f>
        <v>0</v>
      </c>
      <c r="ES69" s="454">
        <f>VLOOKUP(C69,Theory!B72:DQ141,120,FALSE)</f>
        <v>0</v>
      </c>
      <c r="ET69" s="455">
        <f t="shared" si="39"/>
        <v>0</v>
      </c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</row>
    <row r="70" ht="17.25" customHeight="1" spans="1:160">
      <c r="A70" s="164">
        <v>57</v>
      </c>
      <c r="B70" s="289" t="str">
        <f>Theory!C73</f>
        <v>SURAJ T</v>
      </c>
      <c r="C70" s="360" t="str">
        <f>Theory!B73</f>
        <v>1DS23AI058</v>
      </c>
      <c r="D70" s="361">
        <f>VLOOKUP(C70,Theory!B73:D144,3,FALSE)</f>
        <v>4</v>
      </c>
      <c r="E70" s="361">
        <f>VLOOKUP(C70,Theory!B73:E144,4,FALSE)</f>
        <v>0</v>
      </c>
      <c r="F70" s="361">
        <f>VLOOKUP(C70,Theory!B73:F144,5,FALSE)</f>
        <v>0</v>
      </c>
      <c r="G70" s="361">
        <f>VLOOKUP(C70,Theory!B73:G144,6,FALSE)</f>
        <v>0</v>
      </c>
      <c r="H70" s="369">
        <f t="shared" si="6"/>
        <v>4</v>
      </c>
      <c r="I70" s="370">
        <f>VLOOKUP(C70,Theory!B73:H144,7,FALSE)</f>
        <v>3</v>
      </c>
      <c r="J70" s="371">
        <f>VLOOKUP(C70,Theory!B73:I144,8,FALSE)</f>
        <v>0</v>
      </c>
      <c r="K70" s="371">
        <f>VLOOKUP(C70,Theory!B73:J144,9,FALSE)</f>
        <v>0</v>
      </c>
      <c r="L70" s="371">
        <f>VLOOKUP(C70,Theory!B73:K144,10,FALSE)</f>
        <v>0</v>
      </c>
      <c r="M70" s="369">
        <f t="shared" si="7"/>
        <v>3</v>
      </c>
      <c r="N70" s="373">
        <f>VLOOKUP(C70,Theory!B73:L144,11,FALSE)</f>
        <v>0</v>
      </c>
      <c r="O70" s="373">
        <f>VLOOKUP(C70,Theory!B73:M144,12,FALSE)</f>
        <v>0</v>
      </c>
      <c r="P70" s="373">
        <f>VLOOKUP(C70,Theory!B73:N144,13,FALSE)</f>
        <v>0</v>
      </c>
      <c r="Q70" s="373">
        <f>VLOOKUP(C70,Theory!B73:O144,14,FALSE)</f>
        <v>0</v>
      </c>
      <c r="R70" s="371">
        <f>VLOOKUP(C70,Theory!B73:P144,15,FALSE)</f>
        <v>3</v>
      </c>
      <c r="S70" s="371">
        <f>VLOOKUP(C70,Theory!B73:Q144,16,FALSE)</f>
        <v>0</v>
      </c>
      <c r="T70" s="371">
        <f>VLOOKUP(C70,Theory!B73:R144,17,FALSE)</f>
        <v>0</v>
      </c>
      <c r="U70" s="371">
        <f>VLOOKUP(C70,Theory!B73:S144,18,FALSE)</f>
        <v>0</v>
      </c>
      <c r="V70" s="369">
        <f t="shared" si="8"/>
        <v>3</v>
      </c>
      <c r="W70" s="361">
        <f>VLOOKUP(C70,Theory!B73:T144,19,FALSE)</f>
        <v>0</v>
      </c>
      <c r="X70" s="361">
        <f>VLOOKUP(C70,Theory!B73:U144,20,FALSE)</f>
        <v>0</v>
      </c>
      <c r="Y70" s="361">
        <f>VLOOKUP(C70,Theory!B73:V144,21,FALSE)</f>
        <v>0</v>
      </c>
      <c r="Z70" s="361">
        <f>VLOOKUP(C70,Theory!B73:W144,22,FALSE)</f>
        <v>0</v>
      </c>
      <c r="AA70" s="370">
        <f>VLOOKUP(C70,Theory!B73:X144,23,FALSE)</f>
        <v>6</v>
      </c>
      <c r="AB70" s="370">
        <f>VLOOKUP(C70,Theory!B73:Y144,24,FALSE)</f>
        <v>0</v>
      </c>
      <c r="AC70" s="370">
        <f>VLOOKUP(C70,Theory!B73:Z144,25,FALSE)</f>
        <v>0</v>
      </c>
      <c r="AD70" s="370">
        <f>VLOOKUP(C70,Theory!B73:AA144,26,FALSE)</f>
        <v>0</v>
      </c>
      <c r="AE70" s="369">
        <f t="shared" si="9"/>
        <v>6</v>
      </c>
      <c r="AF70" s="361">
        <f>VLOOKUP(C70,Theory!B73:AB144,27,FALSE)</f>
        <v>0</v>
      </c>
      <c r="AG70" s="361">
        <f>VLOOKUP(C70,Theory!B73:AC144,28,FALSE)</f>
        <v>0</v>
      </c>
      <c r="AH70" s="361">
        <f>VLOOKUP(C70,Theory!B73:AD144,29,FALSE)</f>
        <v>0</v>
      </c>
      <c r="AI70" s="361">
        <f>VLOOKUP(C70,Theory!B73:AE144,30,FALSE)</f>
        <v>0</v>
      </c>
      <c r="AJ70" s="380">
        <f>VLOOKUP(C70,Theory!B73:AF144,31,FALSE)</f>
        <v>4</v>
      </c>
      <c r="AK70" s="380">
        <f>VLOOKUP(C70,Theory!B73:AG144,32,FALSE)</f>
        <v>0</v>
      </c>
      <c r="AL70" s="380">
        <f>VLOOKUP(C70,Theory!B73:AH144,33,FALSE)</f>
        <v>0</v>
      </c>
      <c r="AM70" s="380">
        <f>VLOOKUP(C70,Theory!B73:AI144,34,FALSE)</f>
        <v>0</v>
      </c>
      <c r="AN70" s="369">
        <f t="shared" si="10"/>
        <v>4</v>
      </c>
      <c r="AO70" s="385">
        <f t="shared" si="0"/>
        <v>20</v>
      </c>
      <c r="AP70" s="386">
        <f>VLOOKUP(C70,Theory!B73:AJ144,35,FALSE)</f>
        <v>3</v>
      </c>
      <c r="AQ70" s="386">
        <f>VLOOKUP(C70,Theory!B73:AK144,36,FALSE)</f>
        <v>0</v>
      </c>
      <c r="AR70" s="386">
        <f>VLOOKUP(C70,Theory!B73:AL144,37,FALSE)</f>
        <v>0</v>
      </c>
      <c r="AS70" s="386">
        <f>VLOOKUP(C70,Theory!B73:AM144,38,FALSE)</f>
        <v>0</v>
      </c>
      <c r="AT70" s="369">
        <f t="shared" si="11"/>
        <v>3</v>
      </c>
      <c r="AU70" s="386">
        <f>VLOOKUP(C70,Theory!B73:AN144,39,FALSE)</f>
        <v>1</v>
      </c>
      <c r="AV70" s="386">
        <f>VLOOKUP(C70,Theory!B73:AO144,40,FALSE)</f>
        <v>0</v>
      </c>
      <c r="AW70" s="386">
        <f>VLOOKUP(C70,Theory!B73:AP144,41,FALSE)</f>
        <v>0</v>
      </c>
      <c r="AX70" s="386">
        <f>VLOOKUP(C70,Theory!B73:AQ144,42,FALSE)</f>
        <v>0</v>
      </c>
      <c r="AY70" s="369">
        <f t="shared" si="12"/>
        <v>1</v>
      </c>
      <c r="AZ70" s="386">
        <f>VLOOKUP(C70,Theory!B73:AR144,43,FALSE)</f>
        <v>0</v>
      </c>
      <c r="BA70" s="386">
        <f>VLOOKUP(C70,Theory!B73:AS144,44,FALSE)</f>
        <v>0</v>
      </c>
      <c r="BB70" s="386">
        <f>VLOOKUP(C70,Theory!B73:AT144,45,FALSE)</f>
        <v>0</v>
      </c>
      <c r="BC70" s="386">
        <f>VLOOKUP(C70,Theory!B73:AU144,46,FALSE)</f>
        <v>0</v>
      </c>
      <c r="BD70" s="386">
        <f>VLOOKUP(C70,Theory!B73:AV144,47,FALSE)</f>
        <v>0</v>
      </c>
      <c r="BE70" s="386">
        <f>VLOOKUP(C70,Theory!B73:AW144,48,FALSE)</f>
        <v>0</v>
      </c>
      <c r="BF70" s="386">
        <f>VLOOKUP(C70,Theory!B73:AX144,49,FALSE)</f>
        <v>0</v>
      </c>
      <c r="BG70" s="386">
        <f>VLOOKUP(C70,Theory!B73:AY144,50,FALSE)</f>
        <v>0</v>
      </c>
      <c r="BH70" s="369">
        <f t="shared" si="13"/>
        <v>0</v>
      </c>
      <c r="BI70" s="386">
        <f>VLOOKUP(C70,Theory!B73:AZ144,51,FALSE)</f>
        <v>0</v>
      </c>
      <c r="BJ70" s="386">
        <f>VLOOKUP(C70,Theory!B73:BA144,52,FALSE)</f>
        <v>0</v>
      </c>
      <c r="BK70" s="386">
        <f>VLOOKUP(C70,Theory!B73:BB144,53,FALSE)</f>
        <v>0</v>
      </c>
      <c r="BL70" s="386">
        <f>VLOOKUP(C70,Theory!B73:BC144,54,FALSE)</f>
        <v>0</v>
      </c>
      <c r="BM70" s="386">
        <f>VLOOKUP(C70,Theory!B73:BD144,55,FALSE)</f>
        <v>0</v>
      </c>
      <c r="BN70" s="386">
        <f>VLOOKUP(C70,Theory!B73:BE144,56,FALSE)</f>
        <v>0</v>
      </c>
      <c r="BO70" s="386">
        <f>VLOOKUP(C70,Theory!B73:BF144,57,FALSE)</f>
        <v>0</v>
      </c>
      <c r="BP70" s="386">
        <f>VLOOKUP(C70,Theory!B73:BG144,58,FALSE)</f>
        <v>0</v>
      </c>
      <c r="BQ70" s="369">
        <f t="shared" si="14"/>
        <v>0</v>
      </c>
      <c r="BR70" s="386">
        <f>VLOOKUP(C70,Theory!B73:BH144,59,FALSE)</f>
        <v>4</v>
      </c>
      <c r="BS70" s="386">
        <f>VLOOKUP(C70,Theory!B73:BI144,60,FALSE)</f>
        <v>0</v>
      </c>
      <c r="BT70" s="386">
        <f>VLOOKUP(C70,Theory!B73:BJ144,61,FALSE)</f>
        <v>0</v>
      </c>
      <c r="BU70" s="386">
        <f>VLOOKUP(C70,Theory!B73:BK144,62,FALSE)</f>
        <v>0</v>
      </c>
      <c r="BV70" s="386">
        <f>VLOOKUP(C70,Theory!B73:BL144,63,FALSE)</f>
        <v>0</v>
      </c>
      <c r="BW70" s="386">
        <f>VLOOKUP(C70,Theory!B73:BM144,64,FALSE)</f>
        <v>0</v>
      </c>
      <c r="BX70" s="386">
        <f>VLOOKUP(C70,Theory!B73:BN144,65,FALSE)</f>
        <v>0</v>
      </c>
      <c r="BY70" s="386">
        <f>VLOOKUP(C70,Theory!B73:BO144,66,FALSE)</f>
        <v>0</v>
      </c>
      <c r="BZ70" s="369">
        <f t="shared" si="15"/>
        <v>4</v>
      </c>
      <c r="CA70" s="385">
        <f t="shared" si="1"/>
        <v>8</v>
      </c>
      <c r="CB70" s="386">
        <f>VLOOKUP(C70,Theory!B73:BP144,67,FALSE)</f>
        <v>6</v>
      </c>
      <c r="CC70" s="386">
        <f>VLOOKUP(C70,Theory!B73:BQ144,68,FALSE)</f>
        <v>0</v>
      </c>
      <c r="CD70" s="386">
        <f>VLOOKUP(C70,Theory!B73:BR144,69,FALSE)</f>
        <v>0</v>
      </c>
      <c r="CE70" s="386">
        <f>VLOOKUP(C70,Theory!B73:BS144,70,FALSE)</f>
        <v>0</v>
      </c>
      <c r="CF70" s="369">
        <f t="shared" si="16"/>
        <v>6</v>
      </c>
      <c r="CG70" s="399">
        <f>VLOOKUP(C70,Theory!B73:BT144,71,FALSE)</f>
        <v>4</v>
      </c>
      <c r="CH70" s="399">
        <f>VLOOKUP(C70,Theory!B73:BU144,72,FALSE)</f>
        <v>0</v>
      </c>
      <c r="CI70" s="399">
        <f>VLOOKUP(C70,Theory!B73:BV144,73,FALSE)</f>
        <v>0</v>
      </c>
      <c r="CJ70" s="399">
        <f>VLOOKUP(C70,Theory!B73:BW144,74,FALSE)</f>
        <v>0</v>
      </c>
      <c r="CK70" s="369">
        <f t="shared" si="17"/>
        <v>4</v>
      </c>
      <c r="CL70" s="386">
        <f>VLOOKUP(C70,Theory!B73:BX144,75,FALSE)</f>
        <v>4</v>
      </c>
      <c r="CM70" s="400">
        <f>VLOOKUP(C70,Theory!B73:BY144,76,FALSE)</f>
        <v>0</v>
      </c>
      <c r="CN70" s="400">
        <f>VLOOKUP(C70,Theory!B73:BZ144,77,FALSE)</f>
        <v>0</v>
      </c>
      <c r="CO70" s="400">
        <f>VLOOKUP(C70,Theory!B73:CA144,78,FALSE)</f>
        <v>0</v>
      </c>
      <c r="CP70" s="386">
        <f>VLOOKUP(C70,Theory!B73:CB144,79,FALSE)</f>
        <v>0</v>
      </c>
      <c r="CQ70" s="386">
        <f>VLOOKUP(C70,Theory!B73:CC144,80,FALSE)</f>
        <v>0</v>
      </c>
      <c r="CR70" s="386">
        <f>VLOOKUP(C70,Theory!B73:CD144,81,FALSE)</f>
        <v>0</v>
      </c>
      <c r="CS70" s="386">
        <f>VLOOKUP(C70,Theory!B73:CE144,82,FALSE)</f>
        <v>0</v>
      </c>
      <c r="CT70" s="369">
        <f t="shared" si="18"/>
        <v>4</v>
      </c>
      <c r="CU70" s="399">
        <f>VLOOKUP(C70,Theory!B73:CF144,83,FALSE)</f>
        <v>6</v>
      </c>
      <c r="CV70" s="400">
        <f>VLOOKUP(C70,Theory!B73:CG144,84,FALSE)</f>
        <v>0</v>
      </c>
      <c r="CW70" s="400">
        <f>VLOOKUP(C70,Theory!B73:CH144,85,FALSE)</f>
        <v>0</v>
      </c>
      <c r="CX70" s="400">
        <f>VLOOKUP(C70,Theory!B73:CI144,86,FALSE)</f>
        <v>0</v>
      </c>
      <c r="CY70" s="399">
        <f>VLOOKUP(C70,Theory!B73:CJ144,87,FALSE)</f>
        <v>0</v>
      </c>
      <c r="CZ70" s="399">
        <f>VLOOKUP(C70,Theory!B73:CK144,88,FALSE)</f>
        <v>0</v>
      </c>
      <c r="DA70" s="399">
        <f>VLOOKUP(C70,Theory!B73:CL144,89,FALSE)</f>
        <v>0</v>
      </c>
      <c r="DB70" s="399">
        <f>VLOOKUP(C70,Theory!B73:CM144,90,FALSE)</f>
        <v>0</v>
      </c>
      <c r="DC70" s="369">
        <f t="shared" si="19"/>
        <v>6</v>
      </c>
      <c r="DD70" s="386">
        <f>VLOOKUP(C70,Theory!B73:CN144,91,FALSE)</f>
        <v>0</v>
      </c>
      <c r="DE70" s="400">
        <f>VLOOKUP(C70,Theory!B73:CO144,92,FALSE)</f>
        <v>0</v>
      </c>
      <c r="DF70" s="400">
        <f>VLOOKUP(C70,Theory!B73:CP144,93,FALSE)</f>
        <v>0</v>
      </c>
      <c r="DG70" s="400">
        <f>VLOOKUP(C70,Theory!B73:CQ144,94,FALSE)</f>
        <v>0</v>
      </c>
      <c r="DH70" s="386">
        <f>VLOOKUP(C70,Theory!B73:CR144,95,FALSE)</f>
        <v>0</v>
      </c>
      <c r="DI70" s="386">
        <f>VLOOKUP(C70,Theory!B73:CS144,96,FALSE)</f>
        <v>0</v>
      </c>
      <c r="DJ70" s="386">
        <f>VLOOKUP(C70,Theory!B73:CT144,97,FALSE)</f>
        <v>0</v>
      </c>
      <c r="DK70" s="386">
        <f>VLOOKUP(C70,Theory!B73:CU144,98,FALSE)</f>
        <v>0</v>
      </c>
      <c r="DL70" s="369">
        <f t="shared" si="20"/>
        <v>0</v>
      </c>
      <c r="DM70" s="411">
        <f t="shared" si="2"/>
        <v>20</v>
      </c>
      <c r="DN70" s="413">
        <f t="shared" si="40"/>
        <v>20</v>
      </c>
      <c r="DO70" s="413">
        <f t="shared" si="41"/>
        <v>8</v>
      </c>
      <c r="DP70" s="413">
        <f t="shared" si="42"/>
        <v>20</v>
      </c>
      <c r="DQ70" s="418">
        <f t="shared" si="43"/>
        <v>12</v>
      </c>
      <c r="DR70" s="418">
        <f t="shared" si="44"/>
        <v>5</v>
      </c>
      <c r="DS70" s="418">
        <f t="shared" si="45"/>
        <v>12</v>
      </c>
      <c r="DT70" s="417">
        <f t="shared" si="36"/>
        <v>10</v>
      </c>
      <c r="DU70" s="423">
        <f>VLOOKUP(C70,Theory!B73:CV144,99,FALSE)</f>
        <v>7</v>
      </c>
      <c r="DV70" s="423">
        <f>VLOOKUP(C70,Theory!B73:CW144,100,FALSE)</f>
        <v>10</v>
      </c>
      <c r="DW70" s="424">
        <f t="shared" si="27"/>
        <v>17</v>
      </c>
      <c r="DX70" s="421">
        <f t="shared" si="3"/>
        <v>27</v>
      </c>
      <c r="DY70" s="430">
        <f t="shared" si="4"/>
        <v>16</v>
      </c>
      <c r="DZ70" s="431">
        <f>VLOOKUP(C70,Lab!B65:D134,3,FALSE)</f>
        <v>0</v>
      </c>
      <c r="EA70" s="432">
        <f>VLOOKUP(C70,Lab!B65:E134,4,FALSE)</f>
        <v>0</v>
      </c>
      <c r="EB70" s="432">
        <f>VLOOKUP(C70,Lab!B65:F134,5,FALSE)</f>
        <v>25</v>
      </c>
      <c r="EC70" s="422">
        <f t="shared" si="37"/>
        <v>25</v>
      </c>
      <c r="ED70" s="436">
        <f>VLOOKUP(C70,Lab!B65:G134,6,FALSE)</f>
        <v>0</v>
      </c>
      <c r="EE70" s="436">
        <f>VLOOKUP(C70,Lab!B65:H134,7,FALSE)</f>
        <v>0</v>
      </c>
      <c r="EF70" s="437">
        <v>8</v>
      </c>
      <c r="EG70" s="443">
        <f t="shared" si="38"/>
        <v>8</v>
      </c>
      <c r="EH70" s="444">
        <f t="shared" si="28"/>
        <v>33</v>
      </c>
      <c r="EI70" s="445">
        <f t="shared" si="29"/>
        <v>13</v>
      </c>
      <c r="EJ70" s="446">
        <f t="shared" si="5"/>
        <v>29</v>
      </c>
      <c r="EK70" s="449">
        <v>15</v>
      </c>
      <c r="EM70" s="450">
        <f>VLOOKUP(C70,Theory!B73:DK144,114,FALSE)</f>
        <v>0</v>
      </c>
      <c r="EN70" s="450">
        <f>VLOOKUP(C70,Theory!B73:DL144,115,FALSE)</f>
        <v>0</v>
      </c>
      <c r="EO70" s="450">
        <f>VLOOKUP(C70,Theory!B73:DM144,116,FALSE)</f>
        <v>0</v>
      </c>
      <c r="EP70" s="450">
        <f>VLOOKUP(C70,Theory!B73:DN142,117,FALSE)</f>
        <v>0</v>
      </c>
      <c r="EQ70" s="450">
        <f>VLOOKUP(C70,Theory!B73:DO142,118,FALSE)</f>
        <v>0</v>
      </c>
      <c r="ER70" s="451">
        <f>VLOOKUP(C70,Theory!B73:DP142,119,FALSE)</f>
        <v>0</v>
      </c>
      <c r="ES70" s="454">
        <f>VLOOKUP(C70,Theory!B73:DQ142,120,FALSE)</f>
        <v>0</v>
      </c>
      <c r="ET70" s="455">
        <f t="shared" si="39"/>
        <v>0</v>
      </c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</row>
    <row r="71" ht="18.35" spans="1:160">
      <c r="A71" s="164">
        <v>58</v>
      </c>
      <c r="B71" s="289" t="str">
        <f>Theory!C74</f>
        <v>TALLAM SAI SAKETH</v>
      </c>
      <c r="C71" s="360" t="str">
        <f>Theory!B74</f>
        <v>1DS23AI059</v>
      </c>
      <c r="D71" s="361">
        <f>VLOOKUP(C71,Theory!B74:D145,3,FALSE)</f>
        <v>8</v>
      </c>
      <c r="E71" s="361">
        <f>VLOOKUP(C71,Theory!B74:E145,4,FALSE)</f>
        <v>0</v>
      </c>
      <c r="F71" s="361">
        <f>VLOOKUP(C71,Theory!B74:F145,5,FALSE)</f>
        <v>0</v>
      </c>
      <c r="G71" s="361">
        <f>VLOOKUP(C71,Theory!B74:G145,6,FALSE)</f>
        <v>0</v>
      </c>
      <c r="H71" s="369">
        <f t="shared" si="6"/>
        <v>8</v>
      </c>
      <c r="I71" s="370">
        <f>VLOOKUP(C71,Theory!B74:H145,7,FALSE)</f>
        <v>5</v>
      </c>
      <c r="J71" s="371">
        <f>VLOOKUP(C71,Theory!B74:I145,8,FALSE)</f>
        <v>0</v>
      </c>
      <c r="K71" s="371">
        <f>VLOOKUP(C71,Theory!B74:J145,9,FALSE)</f>
        <v>0</v>
      </c>
      <c r="L71" s="371">
        <f>VLOOKUP(C71,Theory!B74:K145,10,FALSE)</f>
        <v>0</v>
      </c>
      <c r="M71" s="369">
        <f t="shared" si="7"/>
        <v>5</v>
      </c>
      <c r="N71" s="373">
        <f>VLOOKUP(C71,Theory!B74:L145,11,FALSE)</f>
        <v>5</v>
      </c>
      <c r="O71" s="373">
        <f>VLOOKUP(C71,Theory!B74:M145,12,FALSE)</f>
        <v>0</v>
      </c>
      <c r="P71" s="373">
        <f>VLOOKUP(C71,Theory!B74:N145,13,FALSE)</f>
        <v>0</v>
      </c>
      <c r="Q71" s="373">
        <f>VLOOKUP(C71,Theory!B74:O145,14,FALSE)</f>
        <v>0</v>
      </c>
      <c r="R71" s="371">
        <f>VLOOKUP(C71,Theory!B74:P145,15,FALSE)</f>
        <v>0</v>
      </c>
      <c r="S71" s="371">
        <f>VLOOKUP(C71,Theory!B74:Q145,16,FALSE)</f>
        <v>0</v>
      </c>
      <c r="T71" s="371">
        <f>VLOOKUP(C71,Theory!B74:R145,17,FALSE)</f>
        <v>0</v>
      </c>
      <c r="U71" s="371">
        <f>VLOOKUP(C71,Theory!B74:S145,18,FALSE)</f>
        <v>0</v>
      </c>
      <c r="V71" s="369">
        <f t="shared" si="8"/>
        <v>5</v>
      </c>
      <c r="W71" s="361">
        <f>VLOOKUP(C71,Theory!B74:T145,19,FALSE)</f>
        <v>0</v>
      </c>
      <c r="X71" s="361">
        <f>VLOOKUP(C71,Theory!B74:U145,20,FALSE)</f>
        <v>0</v>
      </c>
      <c r="Y71" s="361">
        <f>VLOOKUP(C71,Theory!B74:V145,21,FALSE)</f>
        <v>0</v>
      </c>
      <c r="Z71" s="361">
        <f>VLOOKUP(C71,Theory!B74:W145,22,FALSE)</f>
        <v>0</v>
      </c>
      <c r="AA71" s="370">
        <f>VLOOKUP(C71,Theory!B74:X145,23,FALSE)</f>
        <v>8</v>
      </c>
      <c r="AB71" s="370">
        <f>VLOOKUP(C71,Theory!B74:Y145,24,FALSE)</f>
        <v>0</v>
      </c>
      <c r="AC71" s="370">
        <f>VLOOKUP(C71,Theory!B74:Z145,25,FALSE)</f>
        <v>0</v>
      </c>
      <c r="AD71" s="370">
        <f>VLOOKUP(C71,Theory!B74:AA145,26,FALSE)</f>
        <v>0</v>
      </c>
      <c r="AE71" s="369">
        <f t="shared" si="9"/>
        <v>8</v>
      </c>
      <c r="AF71" s="361">
        <f>VLOOKUP(C71,Theory!B74:AB145,27,FALSE)</f>
        <v>0</v>
      </c>
      <c r="AG71" s="361">
        <f>VLOOKUP(C71,Theory!B74:AC145,28,FALSE)</f>
        <v>0</v>
      </c>
      <c r="AH71" s="361">
        <f>VLOOKUP(C71,Theory!B74:AD145,29,FALSE)</f>
        <v>0</v>
      </c>
      <c r="AI71" s="361">
        <f>VLOOKUP(C71,Theory!B74:AE145,30,FALSE)</f>
        <v>0</v>
      </c>
      <c r="AJ71" s="380">
        <f>VLOOKUP(C71,Theory!B74:AF145,31,FALSE)</f>
        <v>9</v>
      </c>
      <c r="AK71" s="380">
        <f>VLOOKUP(C71,Theory!B74:AG145,32,FALSE)</f>
        <v>0</v>
      </c>
      <c r="AL71" s="380">
        <f>VLOOKUP(C71,Theory!B74:AH145,33,FALSE)</f>
        <v>0</v>
      </c>
      <c r="AM71" s="380">
        <f>VLOOKUP(C71,Theory!B74:AI145,34,FALSE)</f>
        <v>0</v>
      </c>
      <c r="AN71" s="369">
        <f t="shared" si="10"/>
        <v>9</v>
      </c>
      <c r="AO71" s="385">
        <f t="shared" si="0"/>
        <v>35</v>
      </c>
      <c r="AP71" s="386">
        <f>VLOOKUP(C71,Theory!B74:AJ145,35,FALSE)</f>
        <v>6</v>
      </c>
      <c r="AQ71" s="386">
        <f>VLOOKUP(C71,Theory!B74:AK145,36,FALSE)</f>
        <v>0</v>
      </c>
      <c r="AR71" s="386">
        <f>VLOOKUP(C71,Theory!B74:AL145,37,FALSE)</f>
        <v>0</v>
      </c>
      <c r="AS71" s="386">
        <f>VLOOKUP(C71,Theory!B74:AM145,38,FALSE)</f>
        <v>0</v>
      </c>
      <c r="AT71" s="369">
        <f t="shared" si="11"/>
        <v>6</v>
      </c>
      <c r="AU71" s="386">
        <f>VLOOKUP(C71,Theory!B74:AN145,39,FALSE)</f>
        <v>8</v>
      </c>
      <c r="AV71" s="386">
        <f>VLOOKUP(C71,Theory!B74:AO145,40,FALSE)</f>
        <v>0</v>
      </c>
      <c r="AW71" s="386">
        <f>VLOOKUP(C71,Theory!B74:AP145,41,FALSE)</f>
        <v>0</v>
      </c>
      <c r="AX71" s="386">
        <f>VLOOKUP(C71,Theory!B74:AQ145,42,FALSE)</f>
        <v>0</v>
      </c>
      <c r="AY71" s="369">
        <f t="shared" si="12"/>
        <v>8</v>
      </c>
      <c r="AZ71" s="386">
        <f>VLOOKUP(C71,Theory!B74:AR145,43,FALSE)</f>
        <v>0</v>
      </c>
      <c r="BA71" s="386">
        <f>VLOOKUP(C71,Theory!B74:AS145,44,FALSE)</f>
        <v>0</v>
      </c>
      <c r="BB71" s="386">
        <f>VLOOKUP(C71,Theory!B74:AT145,45,FALSE)</f>
        <v>0</v>
      </c>
      <c r="BC71" s="386">
        <f>VLOOKUP(C71,Theory!B74:AU145,46,FALSE)</f>
        <v>0</v>
      </c>
      <c r="BD71" s="386">
        <f>VLOOKUP(C71,Theory!B74:AV145,47,FALSE)</f>
        <v>10</v>
      </c>
      <c r="BE71" s="386">
        <f>VLOOKUP(C71,Theory!B74:AW145,48,FALSE)</f>
        <v>0</v>
      </c>
      <c r="BF71" s="386">
        <f>VLOOKUP(C71,Theory!B74:AX145,49,FALSE)</f>
        <v>0</v>
      </c>
      <c r="BG71" s="386">
        <f>VLOOKUP(C71,Theory!B74:AY145,50,FALSE)</f>
        <v>0</v>
      </c>
      <c r="BH71" s="369">
        <f t="shared" si="13"/>
        <v>10</v>
      </c>
      <c r="BI71" s="386">
        <f>VLOOKUP(C71,Theory!B74:AZ145,51,FALSE)</f>
        <v>0</v>
      </c>
      <c r="BJ71" s="386">
        <f>VLOOKUP(C71,Theory!B74:BA145,52,FALSE)</f>
        <v>0</v>
      </c>
      <c r="BK71" s="386">
        <f>VLOOKUP(C71,Theory!B74:BB145,53,FALSE)</f>
        <v>0</v>
      </c>
      <c r="BL71" s="386">
        <f>VLOOKUP(C71,Theory!B74:BC145,54,FALSE)</f>
        <v>0</v>
      </c>
      <c r="BM71" s="386">
        <f>VLOOKUP(C71,Theory!B74:BD145,55,FALSE)</f>
        <v>3</v>
      </c>
      <c r="BN71" s="386">
        <f>VLOOKUP(C71,Theory!B74:BE145,56,FALSE)</f>
        <v>0</v>
      </c>
      <c r="BO71" s="386">
        <f>VLOOKUP(C71,Theory!B74:BF145,57,FALSE)</f>
        <v>0</v>
      </c>
      <c r="BP71" s="386">
        <f>VLOOKUP(C71,Theory!B74:BG145,58,FALSE)</f>
        <v>0</v>
      </c>
      <c r="BQ71" s="369">
        <f t="shared" si="14"/>
        <v>3</v>
      </c>
      <c r="BR71" s="386">
        <f>VLOOKUP(C71,Theory!B74:BH145,59,FALSE)</f>
        <v>0</v>
      </c>
      <c r="BS71" s="386">
        <f>VLOOKUP(C71,Theory!B74:BI145,60,FALSE)</f>
        <v>0</v>
      </c>
      <c r="BT71" s="386">
        <f>VLOOKUP(C71,Theory!B74:BJ145,61,FALSE)</f>
        <v>0</v>
      </c>
      <c r="BU71" s="386">
        <f>VLOOKUP(C71,Theory!B74:BK145,62,FALSE)</f>
        <v>0</v>
      </c>
      <c r="BV71" s="386">
        <f>VLOOKUP(C71,Theory!B74:BL145,63,FALSE)</f>
        <v>9</v>
      </c>
      <c r="BW71" s="386">
        <f>VLOOKUP(C71,Theory!B74:BM145,64,FALSE)</f>
        <v>0</v>
      </c>
      <c r="BX71" s="386">
        <f>VLOOKUP(C71,Theory!B74:BN145,65,FALSE)</f>
        <v>0</v>
      </c>
      <c r="BY71" s="386">
        <f>VLOOKUP(C71,Theory!B74:BO145,66,FALSE)</f>
        <v>0</v>
      </c>
      <c r="BZ71" s="369">
        <f t="shared" si="15"/>
        <v>9</v>
      </c>
      <c r="CA71" s="385">
        <f t="shared" si="1"/>
        <v>36</v>
      </c>
      <c r="CB71" s="386">
        <f>VLOOKUP(C71,Theory!B74:BP145,67,FALSE)</f>
        <v>9</v>
      </c>
      <c r="CC71" s="386">
        <f>VLOOKUP(C71,Theory!B74:BQ145,68,FALSE)</f>
        <v>0</v>
      </c>
      <c r="CD71" s="386">
        <f>VLOOKUP(C71,Theory!B74:BR145,69,FALSE)</f>
        <v>0</v>
      </c>
      <c r="CE71" s="386">
        <f>VLOOKUP(C71,Theory!B74:BS145,70,FALSE)</f>
        <v>0</v>
      </c>
      <c r="CF71" s="369">
        <f t="shared" si="16"/>
        <v>9</v>
      </c>
      <c r="CG71" s="399">
        <f>VLOOKUP(C71,Theory!B74:BT145,71,FALSE)</f>
        <v>6</v>
      </c>
      <c r="CH71" s="399">
        <f>VLOOKUP(C71,Theory!B74:BU145,72,FALSE)</f>
        <v>0</v>
      </c>
      <c r="CI71" s="399">
        <f>VLOOKUP(C71,Theory!B74:BV145,73,FALSE)</f>
        <v>0</v>
      </c>
      <c r="CJ71" s="399">
        <f>VLOOKUP(C71,Theory!B74:BW145,74,FALSE)</f>
        <v>0</v>
      </c>
      <c r="CK71" s="369">
        <f t="shared" si="17"/>
        <v>6</v>
      </c>
      <c r="CL71" s="386">
        <f>VLOOKUP(C71,Theory!B74:BX145,75,FALSE)</f>
        <v>9</v>
      </c>
      <c r="CM71" s="400">
        <f>VLOOKUP(C71,Theory!B74:BY145,76,FALSE)</f>
        <v>0</v>
      </c>
      <c r="CN71" s="400">
        <f>VLOOKUP(C71,Theory!B74:BZ145,77,FALSE)</f>
        <v>0</v>
      </c>
      <c r="CO71" s="400">
        <f>VLOOKUP(C71,Theory!B74:CA145,78,FALSE)</f>
        <v>0</v>
      </c>
      <c r="CP71" s="386">
        <f>VLOOKUP(C71,Theory!B74:CB145,79,FALSE)</f>
        <v>0</v>
      </c>
      <c r="CQ71" s="386">
        <f>VLOOKUP(C71,Theory!B74:CC145,80,FALSE)</f>
        <v>0</v>
      </c>
      <c r="CR71" s="386">
        <f>VLOOKUP(C71,Theory!B74:CD145,81,FALSE)</f>
        <v>0</v>
      </c>
      <c r="CS71" s="386">
        <f>VLOOKUP(C71,Theory!B74:CE145,82,FALSE)</f>
        <v>0</v>
      </c>
      <c r="CT71" s="369">
        <f t="shared" si="18"/>
        <v>9</v>
      </c>
      <c r="CU71" s="399">
        <f>VLOOKUP(C71,Theory!B74:CF145,83,FALSE)</f>
        <v>0</v>
      </c>
      <c r="CV71" s="400">
        <f>VLOOKUP(C71,Theory!B74:CG145,84,FALSE)</f>
        <v>0</v>
      </c>
      <c r="CW71" s="400">
        <f>VLOOKUP(C71,Theory!B74:CH145,85,FALSE)</f>
        <v>0</v>
      </c>
      <c r="CX71" s="400">
        <f>VLOOKUP(C71,Theory!B74:CI145,86,FALSE)</f>
        <v>0</v>
      </c>
      <c r="CY71" s="399">
        <f>VLOOKUP(C71,Theory!B74:CJ145,87,FALSE)</f>
        <v>9</v>
      </c>
      <c r="CZ71" s="399">
        <f>VLOOKUP(C71,Theory!B74:CK145,88,FALSE)</f>
        <v>0</v>
      </c>
      <c r="DA71" s="399">
        <f>VLOOKUP(C71,Theory!B74:CL145,89,FALSE)</f>
        <v>0</v>
      </c>
      <c r="DB71" s="399">
        <f>VLOOKUP(C71,Theory!B74:CM145,90,FALSE)</f>
        <v>0</v>
      </c>
      <c r="DC71" s="369">
        <f t="shared" si="19"/>
        <v>9</v>
      </c>
      <c r="DD71" s="386">
        <f>VLOOKUP(C71,Theory!B74:CN145,91,FALSE)</f>
        <v>10</v>
      </c>
      <c r="DE71" s="400">
        <f>VLOOKUP(C71,Theory!B74:CO145,92,FALSE)</f>
        <v>0</v>
      </c>
      <c r="DF71" s="400">
        <f>VLOOKUP(C71,Theory!B74:CP145,93,FALSE)</f>
        <v>0</v>
      </c>
      <c r="DG71" s="400">
        <f>VLOOKUP(C71,Theory!B74:CQ145,94,FALSE)</f>
        <v>0</v>
      </c>
      <c r="DH71" s="386">
        <f>VLOOKUP(C71,Theory!B74:CR145,95,FALSE)</f>
        <v>0</v>
      </c>
      <c r="DI71" s="386">
        <f>VLOOKUP(C71,Theory!B74:CS145,96,FALSE)</f>
        <v>0</v>
      </c>
      <c r="DJ71" s="386">
        <f>VLOOKUP(C71,Theory!B74:CT145,97,FALSE)</f>
        <v>0</v>
      </c>
      <c r="DK71" s="386">
        <f>VLOOKUP(C71,Theory!B74:CU145,98,FALSE)</f>
        <v>0</v>
      </c>
      <c r="DL71" s="369">
        <f t="shared" si="20"/>
        <v>10</v>
      </c>
      <c r="DM71" s="411">
        <f t="shared" si="2"/>
        <v>43</v>
      </c>
      <c r="DN71" s="413">
        <f t="shared" si="40"/>
        <v>35</v>
      </c>
      <c r="DO71" s="413">
        <f t="shared" si="41"/>
        <v>36</v>
      </c>
      <c r="DP71" s="413">
        <f t="shared" si="42"/>
        <v>43</v>
      </c>
      <c r="DQ71" s="418">
        <f t="shared" si="43"/>
        <v>21</v>
      </c>
      <c r="DR71" s="418">
        <f t="shared" si="44"/>
        <v>22</v>
      </c>
      <c r="DS71" s="418">
        <f t="shared" si="45"/>
        <v>26</v>
      </c>
      <c r="DT71" s="417">
        <f t="shared" si="36"/>
        <v>23</v>
      </c>
      <c r="DU71" s="423">
        <f>VLOOKUP(C71,Theory!B74:CV145,99,FALSE)</f>
        <v>7</v>
      </c>
      <c r="DV71" s="423">
        <f>VLOOKUP(C71,Theory!B74:CW145,100,FALSE)</f>
        <v>10</v>
      </c>
      <c r="DW71" s="424">
        <f t="shared" si="27"/>
        <v>17</v>
      </c>
      <c r="DX71" s="421">
        <f t="shared" si="3"/>
        <v>40</v>
      </c>
      <c r="DY71" s="430">
        <f t="shared" si="4"/>
        <v>24</v>
      </c>
      <c r="DZ71" s="431">
        <f>VLOOKUP(C71,Lab!B66:D135,3,FALSE)</f>
        <v>0</v>
      </c>
      <c r="EA71" s="432">
        <f>VLOOKUP(C71,Lab!B66:E135,4,FALSE)</f>
        <v>0</v>
      </c>
      <c r="EB71" s="432">
        <f>VLOOKUP(C71,Lab!B66:F135,5,FALSE)</f>
        <v>26</v>
      </c>
      <c r="EC71" s="422">
        <f t="shared" si="37"/>
        <v>26</v>
      </c>
      <c r="ED71" s="436">
        <f>VLOOKUP(C71,Lab!B66:G135,6,FALSE)</f>
        <v>0</v>
      </c>
      <c r="EE71" s="436">
        <f>VLOOKUP(C71,Lab!B66:H135,7,FALSE)</f>
        <v>0</v>
      </c>
      <c r="EF71" s="437">
        <f>VLOOKUP(C71,Lab!B66:I135,8,FALSE)</f>
        <v>18</v>
      </c>
      <c r="EG71" s="443">
        <f t="shared" si="38"/>
        <v>18</v>
      </c>
      <c r="EH71" s="444">
        <f t="shared" si="28"/>
        <v>44</v>
      </c>
      <c r="EI71" s="445">
        <f t="shared" si="29"/>
        <v>18</v>
      </c>
      <c r="EJ71" s="446">
        <f t="shared" si="5"/>
        <v>42</v>
      </c>
      <c r="EK71" s="449">
        <v>41</v>
      </c>
      <c r="EM71" s="450">
        <f>VLOOKUP(C71,Theory!B74:DK145,114,FALSE)</f>
        <v>0</v>
      </c>
      <c r="EN71" s="450">
        <f>VLOOKUP(C71,Theory!B74:DL145,115,FALSE)</f>
        <v>0</v>
      </c>
      <c r="EO71" s="450">
        <f>VLOOKUP(C71,Theory!B74:DM145,116,FALSE)</f>
        <v>0</v>
      </c>
      <c r="EP71" s="450">
        <f>VLOOKUP(C71,Theory!B74:DN143,117,FALSE)</f>
        <v>0</v>
      </c>
      <c r="EQ71" s="450">
        <f>VLOOKUP(C71,Theory!B74:DO143,118,FALSE)</f>
        <v>0</v>
      </c>
      <c r="ER71" s="451">
        <f>VLOOKUP(C71,Theory!B74:DP143,119,FALSE)</f>
        <v>0</v>
      </c>
      <c r="ES71" s="454">
        <f>VLOOKUP(C71,Theory!B74:DQ143,120,FALSE)</f>
        <v>0</v>
      </c>
      <c r="ET71" s="455">
        <f t="shared" si="39"/>
        <v>0</v>
      </c>
      <c r="EU71" s="456"/>
      <c r="EV71" s="456"/>
      <c r="EW71" s="456"/>
      <c r="EX71" s="456"/>
      <c r="EY71" s="456"/>
      <c r="EZ71" s="456"/>
      <c r="FA71" s="456"/>
      <c r="FB71" s="456"/>
      <c r="FC71" s="456"/>
      <c r="FD71" s="456"/>
    </row>
    <row r="72" ht="18.35" spans="1:160">
      <c r="A72" s="164">
        <v>59</v>
      </c>
      <c r="B72" s="289" t="str">
        <f>Theory!C75</f>
        <v>TANVI VIVEK THAKRE</v>
      </c>
      <c r="C72" s="360" t="str">
        <f>Theory!B75</f>
        <v>1DS23AI060</v>
      </c>
      <c r="D72" s="361">
        <f>VLOOKUP(C72,Theory!B75:D146,3,FALSE)</f>
        <v>8</v>
      </c>
      <c r="E72" s="361">
        <f>VLOOKUP(C72,Theory!B75:E146,4,FALSE)</f>
        <v>0</v>
      </c>
      <c r="F72" s="361">
        <f>VLOOKUP(C72,Theory!B75:F146,5,FALSE)</f>
        <v>0</v>
      </c>
      <c r="G72" s="361">
        <f>VLOOKUP(C72,Theory!B75:G146,6,FALSE)</f>
        <v>0</v>
      </c>
      <c r="H72" s="369">
        <f t="shared" si="6"/>
        <v>8</v>
      </c>
      <c r="I72" s="370">
        <f>VLOOKUP(C72,Theory!B75:H146,7,FALSE)</f>
        <v>6</v>
      </c>
      <c r="J72" s="371">
        <f>VLOOKUP(C72,Theory!B75:I146,8,FALSE)</f>
        <v>0</v>
      </c>
      <c r="K72" s="371">
        <f>VLOOKUP(C72,Theory!B75:J146,9,FALSE)</f>
        <v>0</v>
      </c>
      <c r="L72" s="371">
        <f>VLOOKUP(C72,Theory!B75:K146,10,FALSE)</f>
        <v>0</v>
      </c>
      <c r="M72" s="369">
        <f t="shared" si="7"/>
        <v>6</v>
      </c>
      <c r="N72" s="373">
        <f>VLOOKUP(C72,Theory!B75:L146,11,FALSE)</f>
        <v>0</v>
      </c>
      <c r="O72" s="373">
        <f>VLOOKUP(C72,Theory!B75:M146,12,FALSE)</f>
        <v>0</v>
      </c>
      <c r="P72" s="373">
        <f>VLOOKUP(C72,Theory!B75:N146,13,FALSE)</f>
        <v>0</v>
      </c>
      <c r="Q72" s="373">
        <f>VLOOKUP(C72,Theory!B75:O146,14,FALSE)</f>
        <v>0</v>
      </c>
      <c r="R72" s="371">
        <f>VLOOKUP(C72,Theory!B75:P146,15,FALSE)</f>
        <v>5</v>
      </c>
      <c r="S72" s="371">
        <f>VLOOKUP(C72,Theory!B75:Q146,16,FALSE)</f>
        <v>0</v>
      </c>
      <c r="T72" s="371">
        <f>VLOOKUP(C72,Theory!B75:R146,17,FALSE)</f>
        <v>0</v>
      </c>
      <c r="U72" s="371">
        <f>VLOOKUP(C72,Theory!B75:S146,18,FALSE)</f>
        <v>0</v>
      </c>
      <c r="V72" s="369">
        <f t="shared" si="8"/>
        <v>5</v>
      </c>
      <c r="W72" s="361">
        <f>VLOOKUP(C72,Theory!B75:T146,19,FALSE)</f>
        <v>8</v>
      </c>
      <c r="X72" s="361">
        <f>VLOOKUP(C72,Theory!B75:U146,20,FALSE)</f>
        <v>0</v>
      </c>
      <c r="Y72" s="361">
        <f>VLOOKUP(C72,Theory!B75:V146,21,FALSE)</f>
        <v>0</v>
      </c>
      <c r="Z72" s="361">
        <f>VLOOKUP(C72,Theory!B75:W146,22,FALSE)</f>
        <v>0</v>
      </c>
      <c r="AA72" s="370">
        <f>VLOOKUP(C72,Theory!B75:X146,23,FALSE)</f>
        <v>0</v>
      </c>
      <c r="AB72" s="370">
        <f>VLOOKUP(C72,Theory!B75:Y146,24,FALSE)</f>
        <v>0</v>
      </c>
      <c r="AC72" s="370">
        <f>VLOOKUP(C72,Theory!B75:Z146,25,FALSE)</f>
        <v>0</v>
      </c>
      <c r="AD72" s="370">
        <f>VLOOKUP(C72,Theory!B75:AA146,26,FALSE)</f>
        <v>0</v>
      </c>
      <c r="AE72" s="369">
        <f t="shared" si="9"/>
        <v>8</v>
      </c>
      <c r="AF72" s="361">
        <f>VLOOKUP(C72,Theory!B75:AB146,27,FALSE)</f>
        <v>0</v>
      </c>
      <c r="AG72" s="361">
        <f>VLOOKUP(C72,Theory!B75:AC146,28,FALSE)</f>
        <v>0</v>
      </c>
      <c r="AH72" s="361">
        <f>VLOOKUP(C72,Theory!B75:AD146,29,FALSE)</f>
        <v>0</v>
      </c>
      <c r="AI72" s="361">
        <f>VLOOKUP(C72,Theory!B75:AE146,30,FALSE)</f>
        <v>0</v>
      </c>
      <c r="AJ72" s="380">
        <f>VLOOKUP(C72,Theory!B75:AF146,31,FALSE)</f>
        <v>8</v>
      </c>
      <c r="AK72" s="380">
        <f>VLOOKUP(C72,Theory!B75:AG146,32,FALSE)</f>
        <v>0</v>
      </c>
      <c r="AL72" s="380">
        <f>VLOOKUP(C72,Theory!B75:AH146,33,FALSE)</f>
        <v>0</v>
      </c>
      <c r="AM72" s="380">
        <f>VLOOKUP(C72,Theory!B75:AI146,34,FALSE)</f>
        <v>0</v>
      </c>
      <c r="AN72" s="369">
        <f t="shared" si="10"/>
        <v>8</v>
      </c>
      <c r="AO72" s="385">
        <f t="shared" si="0"/>
        <v>35</v>
      </c>
      <c r="AP72" s="386">
        <f>VLOOKUP(C72,Theory!B75:AJ146,35,FALSE)</f>
        <v>2</v>
      </c>
      <c r="AQ72" s="386">
        <f>VLOOKUP(C72,Theory!B75:AK146,36,FALSE)</f>
        <v>0</v>
      </c>
      <c r="AR72" s="386">
        <f>VLOOKUP(C72,Theory!B75:AL146,37,FALSE)</f>
        <v>0</v>
      </c>
      <c r="AS72" s="386">
        <f>VLOOKUP(C72,Theory!B75:AM146,38,FALSE)</f>
        <v>0</v>
      </c>
      <c r="AT72" s="369">
        <f t="shared" si="11"/>
        <v>2</v>
      </c>
      <c r="AU72" s="386">
        <f>VLOOKUP(C72,Theory!B75:AN146,39,FALSE)</f>
        <v>7</v>
      </c>
      <c r="AV72" s="386">
        <f>VLOOKUP(C72,Theory!B75:AO146,40,FALSE)</f>
        <v>0</v>
      </c>
      <c r="AW72" s="386">
        <f>VLOOKUP(C72,Theory!B75:AP146,41,FALSE)</f>
        <v>0</v>
      </c>
      <c r="AX72" s="386">
        <f>VLOOKUP(C72,Theory!B75:AQ146,42,FALSE)</f>
        <v>0</v>
      </c>
      <c r="AY72" s="369">
        <f t="shared" si="12"/>
        <v>7</v>
      </c>
      <c r="AZ72" s="386">
        <f>VLOOKUP(C72,Theory!B75:AR146,43,FALSE)</f>
        <v>0</v>
      </c>
      <c r="BA72" s="386">
        <f>VLOOKUP(C72,Theory!B75:AS146,44,FALSE)</f>
        <v>0</v>
      </c>
      <c r="BB72" s="386">
        <f>VLOOKUP(C72,Theory!B75:AT146,45,FALSE)</f>
        <v>0</v>
      </c>
      <c r="BC72" s="386">
        <f>VLOOKUP(C72,Theory!B75:AU146,46,FALSE)</f>
        <v>0</v>
      </c>
      <c r="BD72" s="386">
        <f>VLOOKUP(C72,Theory!B75:AV146,47,FALSE)</f>
        <v>9</v>
      </c>
      <c r="BE72" s="386">
        <f>VLOOKUP(C72,Theory!B75:AW146,48,FALSE)</f>
        <v>0</v>
      </c>
      <c r="BF72" s="386">
        <f>VLOOKUP(C72,Theory!B75:AX146,49,FALSE)</f>
        <v>0</v>
      </c>
      <c r="BG72" s="386">
        <f>VLOOKUP(C72,Theory!B75:AY146,50,FALSE)</f>
        <v>0</v>
      </c>
      <c r="BH72" s="369">
        <f t="shared" si="13"/>
        <v>9</v>
      </c>
      <c r="BI72" s="386">
        <f>VLOOKUP(C72,Theory!B75:AZ146,51,FALSE)</f>
        <v>8</v>
      </c>
      <c r="BJ72" s="386">
        <f>VLOOKUP(C72,Theory!B75:BA146,52,FALSE)</f>
        <v>0</v>
      </c>
      <c r="BK72" s="386">
        <f>VLOOKUP(C72,Theory!B75:BB146,53,FALSE)</f>
        <v>0</v>
      </c>
      <c r="BL72" s="386">
        <f>VLOOKUP(C72,Theory!B75:BC146,54,FALSE)</f>
        <v>0</v>
      </c>
      <c r="BM72" s="386">
        <f>VLOOKUP(C72,Theory!B75:BD146,55,FALSE)</f>
        <v>0</v>
      </c>
      <c r="BN72" s="386">
        <f>VLOOKUP(C72,Theory!B75:BE146,56,FALSE)</f>
        <v>0</v>
      </c>
      <c r="BO72" s="386">
        <f>VLOOKUP(C72,Theory!B75:BF146,57,FALSE)</f>
        <v>0</v>
      </c>
      <c r="BP72" s="386">
        <f>VLOOKUP(C72,Theory!B75:BG146,58,FALSE)</f>
        <v>0</v>
      </c>
      <c r="BQ72" s="369">
        <f t="shared" si="14"/>
        <v>8</v>
      </c>
      <c r="BR72" s="386">
        <f>VLOOKUP(C72,Theory!B75:BH146,59,FALSE)</f>
        <v>0</v>
      </c>
      <c r="BS72" s="386">
        <f>VLOOKUP(C72,Theory!B75:BI146,60,FALSE)</f>
        <v>0</v>
      </c>
      <c r="BT72" s="386">
        <f>VLOOKUP(C72,Theory!B75:BJ146,61,FALSE)</f>
        <v>0</v>
      </c>
      <c r="BU72" s="386">
        <f>VLOOKUP(C72,Theory!B75:BK146,62,FALSE)</f>
        <v>0</v>
      </c>
      <c r="BV72" s="386">
        <f>VLOOKUP(C72,Theory!B75:BL146,63,FALSE)</f>
        <v>8</v>
      </c>
      <c r="BW72" s="386">
        <f>VLOOKUP(C72,Theory!B75:BM146,64,FALSE)</f>
        <v>0</v>
      </c>
      <c r="BX72" s="386">
        <f>VLOOKUP(C72,Theory!B75:BN146,65,FALSE)</f>
        <v>0</v>
      </c>
      <c r="BY72" s="386">
        <f>VLOOKUP(C72,Theory!B75:BO146,66,FALSE)</f>
        <v>0</v>
      </c>
      <c r="BZ72" s="369">
        <f t="shared" si="15"/>
        <v>8</v>
      </c>
      <c r="CA72" s="385">
        <f t="shared" si="1"/>
        <v>34</v>
      </c>
      <c r="CB72" s="386">
        <f>VLOOKUP(C72,Theory!B75:BP146,67,FALSE)</f>
        <v>9</v>
      </c>
      <c r="CC72" s="386">
        <f>VLOOKUP(C72,Theory!B75:BQ146,68,FALSE)</f>
        <v>0</v>
      </c>
      <c r="CD72" s="386">
        <f>VLOOKUP(C72,Theory!B75:BR146,69,FALSE)</f>
        <v>0</v>
      </c>
      <c r="CE72" s="386">
        <f>VLOOKUP(C72,Theory!B75:BS146,70,FALSE)</f>
        <v>0</v>
      </c>
      <c r="CF72" s="369">
        <f t="shared" si="16"/>
        <v>9</v>
      </c>
      <c r="CG72" s="399">
        <f>VLOOKUP(C72,Theory!B75:BT146,71,FALSE)</f>
        <v>7</v>
      </c>
      <c r="CH72" s="399">
        <f>VLOOKUP(C72,Theory!B75:BU146,72,FALSE)</f>
        <v>0</v>
      </c>
      <c r="CI72" s="399">
        <f>VLOOKUP(C72,Theory!B75:BV146,73,FALSE)</f>
        <v>0</v>
      </c>
      <c r="CJ72" s="399">
        <f>VLOOKUP(C72,Theory!B75:BW146,74,FALSE)</f>
        <v>0</v>
      </c>
      <c r="CK72" s="369">
        <f t="shared" si="17"/>
        <v>7</v>
      </c>
      <c r="CL72" s="386">
        <f>VLOOKUP(C72,Theory!B75:BX146,75,FALSE)</f>
        <v>0</v>
      </c>
      <c r="CM72" s="400">
        <f>VLOOKUP(C72,Theory!B75:BY146,76,FALSE)</f>
        <v>0</v>
      </c>
      <c r="CN72" s="400">
        <f>VLOOKUP(C72,Theory!B75:BZ146,77,FALSE)</f>
        <v>0</v>
      </c>
      <c r="CO72" s="400">
        <f>VLOOKUP(C72,Theory!B75:CA146,78,FALSE)</f>
        <v>0</v>
      </c>
      <c r="CP72" s="386">
        <f>VLOOKUP(C72,Theory!B75:CB146,79,FALSE)</f>
        <v>8</v>
      </c>
      <c r="CQ72" s="386">
        <f>VLOOKUP(C72,Theory!B75:CC146,80,FALSE)</f>
        <v>0</v>
      </c>
      <c r="CR72" s="386">
        <f>VLOOKUP(C72,Theory!B75:CD146,81,FALSE)</f>
        <v>0</v>
      </c>
      <c r="CS72" s="386">
        <f>VLOOKUP(C72,Theory!B75:CE146,82,FALSE)</f>
        <v>0</v>
      </c>
      <c r="CT72" s="369">
        <f t="shared" si="18"/>
        <v>8</v>
      </c>
      <c r="CU72" s="399">
        <f>VLOOKUP(C72,Theory!B75:CF146,83,FALSE)</f>
        <v>8</v>
      </c>
      <c r="CV72" s="400">
        <f>VLOOKUP(C72,Theory!B75:CG146,84,FALSE)</f>
        <v>0</v>
      </c>
      <c r="CW72" s="400">
        <f>VLOOKUP(C72,Theory!B75:CH146,85,FALSE)</f>
        <v>0</v>
      </c>
      <c r="CX72" s="400">
        <f>VLOOKUP(C72,Theory!B75:CI146,86,FALSE)</f>
        <v>0</v>
      </c>
      <c r="CY72" s="399">
        <f>VLOOKUP(C72,Theory!B75:CJ146,87,FALSE)</f>
        <v>0</v>
      </c>
      <c r="CZ72" s="399">
        <f>VLOOKUP(C72,Theory!B75:CK146,88,FALSE)</f>
        <v>0</v>
      </c>
      <c r="DA72" s="399">
        <f>VLOOKUP(C72,Theory!B75:CL146,89,FALSE)</f>
        <v>0</v>
      </c>
      <c r="DB72" s="399">
        <f>VLOOKUP(C72,Theory!B75:CM146,90,FALSE)</f>
        <v>0</v>
      </c>
      <c r="DC72" s="369">
        <f t="shared" si="19"/>
        <v>8</v>
      </c>
      <c r="DD72" s="386">
        <f>VLOOKUP(C72,Theory!B75:CN146,91,FALSE)</f>
        <v>7</v>
      </c>
      <c r="DE72" s="400">
        <f>VLOOKUP(C72,Theory!B75:CO146,92,FALSE)</f>
        <v>0</v>
      </c>
      <c r="DF72" s="400">
        <f>VLOOKUP(C72,Theory!B75:CP146,93,FALSE)</f>
        <v>0</v>
      </c>
      <c r="DG72" s="400">
        <f>VLOOKUP(C72,Theory!B75:CQ146,94,FALSE)</f>
        <v>0</v>
      </c>
      <c r="DH72" s="386">
        <f>VLOOKUP(C72,Theory!B75:CR146,95,FALSE)</f>
        <v>0</v>
      </c>
      <c r="DI72" s="386">
        <f>VLOOKUP(C72,Theory!B75:CS146,96,FALSE)</f>
        <v>0</v>
      </c>
      <c r="DJ72" s="386">
        <f>VLOOKUP(C72,Theory!B75:CT146,97,FALSE)</f>
        <v>0</v>
      </c>
      <c r="DK72" s="386">
        <f>VLOOKUP(C72,Theory!B75:CU146,98,FALSE)</f>
        <v>0</v>
      </c>
      <c r="DL72" s="369">
        <f t="shared" si="20"/>
        <v>7</v>
      </c>
      <c r="DM72" s="411">
        <f t="shared" si="2"/>
        <v>39</v>
      </c>
      <c r="DN72" s="413">
        <f t="shared" si="40"/>
        <v>35</v>
      </c>
      <c r="DO72" s="413">
        <f t="shared" si="41"/>
        <v>34</v>
      </c>
      <c r="DP72" s="413">
        <f t="shared" si="42"/>
        <v>39</v>
      </c>
      <c r="DQ72" s="418">
        <f t="shared" si="43"/>
        <v>21</v>
      </c>
      <c r="DR72" s="418">
        <f t="shared" si="44"/>
        <v>20</v>
      </c>
      <c r="DS72" s="418">
        <f t="shared" si="45"/>
        <v>23</v>
      </c>
      <c r="DT72" s="417">
        <f t="shared" si="36"/>
        <v>21</v>
      </c>
      <c r="DU72" s="423">
        <f>VLOOKUP(C72,Theory!B75:CV146,99,FALSE)</f>
        <v>8</v>
      </c>
      <c r="DV72" s="423">
        <f>VLOOKUP(C72,Theory!B75:CW146,100,FALSE)</f>
        <v>10</v>
      </c>
      <c r="DW72" s="424">
        <f t="shared" si="27"/>
        <v>18</v>
      </c>
      <c r="DX72" s="421">
        <f t="shared" si="3"/>
        <v>39</v>
      </c>
      <c r="DY72" s="430">
        <f t="shared" si="4"/>
        <v>23</v>
      </c>
      <c r="DZ72" s="431">
        <f>VLOOKUP(C72,Lab!B67:D136,3,FALSE)</f>
        <v>0</v>
      </c>
      <c r="EA72" s="432">
        <f>VLOOKUP(C72,Lab!B67:E136,4,FALSE)</f>
        <v>0</v>
      </c>
      <c r="EB72" s="432">
        <f>VLOOKUP(C72,Lab!B67:F136,5,FALSE)</f>
        <v>30</v>
      </c>
      <c r="EC72" s="422">
        <f t="shared" si="37"/>
        <v>30</v>
      </c>
      <c r="ED72" s="436">
        <f>VLOOKUP(C72,Lab!B67:G136,6,FALSE)</f>
        <v>0</v>
      </c>
      <c r="EE72" s="436">
        <f>VLOOKUP(C72,Lab!B67:H136,7,FALSE)</f>
        <v>0</v>
      </c>
      <c r="EF72" s="437">
        <f>VLOOKUP(C72,Lab!B67:I136,8,FALSE)</f>
        <v>20</v>
      </c>
      <c r="EG72" s="443">
        <f t="shared" si="38"/>
        <v>20</v>
      </c>
      <c r="EH72" s="444">
        <f t="shared" si="28"/>
        <v>50</v>
      </c>
      <c r="EI72" s="445">
        <f t="shared" si="29"/>
        <v>20</v>
      </c>
      <c r="EJ72" s="446">
        <f t="shared" si="5"/>
        <v>43</v>
      </c>
      <c r="EK72" s="449">
        <v>34</v>
      </c>
      <c r="EM72" s="450">
        <f>VLOOKUP(C72,Theory!B75:DK146,114,FALSE)</f>
        <v>0</v>
      </c>
      <c r="EN72" s="450">
        <f>VLOOKUP(C72,Theory!B75:DL146,115,FALSE)</f>
        <v>0</v>
      </c>
      <c r="EO72" s="450">
        <f>VLOOKUP(C72,Theory!B75:DM146,116,FALSE)</f>
        <v>0</v>
      </c>
      <c r="EP72" s="450">
        <f>VLOOKUP(C72,Theory!B75:DN144,117,FALSE)</f>
        <v>0</v>
      </c>
      <c r="EQ72" s="450">
        <f>VLOOKUP(C72,Theory!B75:DO144,118,FALSE)</f>
        <v>0</v>
      </c>
      <c r="ER72" s="451">
        <f>VLOOKUP(C72,Theory!B75:DP144,119,FALSE)</f>
        <v>0</v>
      </c>
      <c r="ES72" s="454">
        <f>VLOOKUP(C72,Theory!B75:DQ144,120,FALSE)</f>
        <v>0</v>
      </c>
      <c r="ET72" s="455">
        <f t="shared" si="39"/>
        <v>0</v>
      </c>
      <c r="EU72" s="456"/>
      <c r="EV72" s="456"/>
      <c r="EW72" s="456"/>
      <c r="EX72" s="456"/>
      <c r="EY72" s="456"/>
      <c r="EZ72" s="456"/>
      <c r="FA72" s="456"/>
      <c r="FB72" s="456"/>
      <c r="FC72" s="456"/>
      <c r="FD72" s="456"/>
    </row>
    <row r="73" ht="18" customHeight="1" spans="1:160">
      <c r="A73" s="164">
        <v>60</v>
      </c>
      <c r="B73" s="289" t="str">
        <f>Theory!C76</f>
        <v>UMME RUMANA</v>
      </c>
      <c r="C73" s="360" t="str">
        <f>Theory!B76</f>
        <v>1DS23AI061</v>
      </c>
      <c r="D73" s="361">
        <f>VLOOKUP(C73,Theory!B76:D147,3,FALSE)</f>
        <v>8</v>
      </c>
      <c r="E73" s="361">
        <f>VLOOKUP(C73,Theory!B76:E147,4,FALSE)</f>
        <v>0</v>
      </c>
      <c r="F73" s="361">
        <f>VLOOKUP(C73,Theory!B76:F147,5,FALSE)</f>
        <v>0</v>
      </c>
      <c r="G73" s="361">
        <f>VLOOKUP(C73,Theory!B76:G147,6,FALSE)</f>
        <v>0</v>
      </c>
      <c r="H73" s="369">
        <f t="shared" si="6"/>
        <v>8</v>
      </c>
      <c r="I73" s="370">
        <f>VLOOKUP(C73,Theory!B76:H147,7,FALSE)</f>
        <v>6</v>
      </c>
      <c r="J73" s="371">
        <f>VLOOKUP(C73,Theory!B76:I147,8,FALSE)</f>
        <v>0</v>
      </c>
      <c r="K73" s="371">
        <f>VLOOKUP(C73,Theory!B76:J147,9,FALSE)</f>
        <v>0</v>
      </c>
      <c r="L73" s="371">
        <f>VLOOKUP(C73,Theory!B76:K147,10,FALSE)</f>
        <v>0</v>
      </c>
      <c r="M73" s="369">
        <f t="shared" si="7"/>
        <v>6</v>
      </c>
      <c r="N73" s="373">
        <f>VLOOKUP(C73,Theory!B76:L147,11,FALSE)</f>
        <v>6</v>
      </c>
      <c r="O73" s="373">
        <f>VLOOKUP(C73,Theory!B76:M147,12,FALSE)</f>
        <v>0</v>
      </c>
      <c r="P73" s="373">
        <f>VLOOKUP(C73,Theory!B76:N147,13,FALSE)</f>
        <v>0</v>
      </c>
      <c r="Q73" s="373">
        <f>VLOOKUP(C73,Theory!B76:O147,14,FALSE)</f>
        <v>0</v>
      </c>
      <c r="R73" s="371">
        <f>VLOOKUP(C73,Theory!B76:P147,15,FALSE)</f>
        <v>0</v>
      </c>
      <c r="S73" s="371">
        <f>VLOOKUP(C73,Theory!B76:Q147,16,FALSE)</f>
        <v>0</v>
      </c>
      <c r="T73" s="371">
        <f>VLOOKUP(C73,Theory!B76:R147,17,FALSE)</f>
        <v>0</v>
      </c>
      <c r="U73" s="371">
        <f>VLOOKUP(C73,Theory!B76:S147,18,FALSE)</f>
        <v>0</v>
      </c>
      <c r="V73" s="369">
        <f t="shared" si="8"/>
        <v>6</v>
      </c>
      <c r="W73" s="361">
        <f>VLOOKUP(C73,Theory!B76:T147,19,FALSE)</f>
        <v>0</v>
      </c>
      <c r="X73" s="361">
        <f>VLOOKUP(C73,Theory!B76:U147,20,FALSE)</f>
        <v>0</v>
      </c>
      <c r="Y73" s="361">
        <f>VLOOKUP(C73,Theory!B76:V147,21,FALSE)</f>
        <v>0</v>
      </c>
      <c r="Z73" s="361">
        <f>VLOOKUP(C73,Theory!B76:W147,22,FALSE)</f>
        <v>0</v>
      </c>
      <c r="AA73" s="370">
        <f>VLOOKUP(C73,Theory!B76:X147,23,FALSE)</f>
        <v>7</v>
      </c>
      <c r="AB73" s="370">
        <f>VLOOKUP(C73,Theory!B76:Y147,24,FALSE)</f>
        <v>0</v>
      </c>
      <c r="AC73" s="370">
        <f>VLOOKUP(C73,Theory!B76:Z147,25,FALSE)</f>
        <v>0</v>
      </c>
      <c r="AD73" s="370">
        <f>VLOOKUP(C73,Theory!B76:AA147,26,FALSE)</f>
        <v>0</v>
      </c>
      <c r="AE73" s="369">
        <f t="shared" si="9"/>
        <v>7</v>
      </c>
      <c r="AF73" s="361">
        <f>VLOOKUP(C73,Theory!B76:AB147,27,FALSE)</f>
        <v>0</v>
      </c>
      <c r="AG73" s="361">
        <f>VLOOKUP(C73,Theory!B76:AC147,28,FALSE)</f>
        <v>0</v>
      </c>
      <c r="AH73" s="361">
        <f>VLOOKUP(C73,Theory!B76:AD147,29,FALSE)</f>
        <v>0</v>
      </c>
      <c r="AI73" s="361">
        <f>VLOOKUP(C73,Theory!B76:AE147,30,FALSE)</f>
        <v>0</v>
      </c>
      <c r="AJ73" s="380">
        <f>VLOOKUP(C73,Theory!B76:AF147,31,FALSE)</f>
        <v>3</v>
      </c>
      <c r="AK73" s="380">
        <f>VLOOKUP(C73,Theory!B76:AG147,32,FALSE)</f>
        <v>0</v>
      </c>
      <c r="AL73" s="380">
        <f>VLOOKUP(C73,Theory!B76:AH147,33,FALSE)</f>
        <v>0</v>
      </c>
      <c r="AM73" s="380">
        <f>VLOOKUP(C73,Theory!B76:AI147,34,FALSE)</f>
        <v>0</v>
      </c>
      <c r="AN73" s="369">
        <f t="shared" si="10"/>
        <v>3</v>
      </c>
      <c r="AO73" s="385">
        <f t="shared" si="0"/>
        <v>30</v>
      </c>
      <c r="AP73" s="386">
        <f>VLOOKUP(C73,Theory!B76:AJ147,35,FALSE)</f>
        <v>10</v>
      </c>
      <c r="AQ73" s="386">
        <f>VLOOKUP(C73,Theory!B76:AK147,36,FALSE)</f>
        <v>0</v>
      </c>
      <c r="AR73" s="386">
        <f>VLOOKUP(C73,Theory!B76:AL147,37,FALSE)</f>
        <v>0</v>
      </c>
      <c r="AS73" s="386">
        <f>VLOOKUP(C73,Theory!B76:AM147,38,FALSE)</f>
        <v>0</v>
      </c>
      <c r="AT73" s="369">
        <f t="shared" si="11"/>
        <v>10</v>
      </c>
      <c r="AU73" s="386">
        <f>VLOOKUP(C73,Theory!B76:AN147,39,FALSE)</f>
        <v>8</v>
      </c>
      <c r="AV73" s="386">
        <f>VLOOKUP(C73,Theory!B76:AO147,40,FALSE)</f>
        <v>0</v>
      </c>
      <c r="AW73" s="386">
        <f>VLOOKUP(C73,Theory!B76:AP147,41,FALSE)</f>
        <v>0</v>
      </c>
      <c r="AX73" s="386">
        <f>VLOOKUP(C73,Theory!B76:AQ147,42,FALSE)</f>
        <v>0</v>
      </c>
      <c r="AY73" s="369">
        <f t="shared" si="12"/>
        <v>8</v>
      </c>
      <c r="AZ73" s="386">
        <f>VLOOKUP(C73,Theory!B76:AR147,43,FALSE)</f>
        <v>0</v>
      </c>
      <c r="BA73" s="386">
        <f>VLOOKUP(C73,Theory!B76:AS147,44,FALSE)</f>
        <v>0</v>
      </c>
      <c r="BB73" s="386">
        <f>VLOOKUP(C73,Theory!B76:AT147,45,FALSE)</f>
        <v>0</v>
      </c>
      <c r="BC73" s="386">
        <f>VLOOKUP(C73,Theory!B76:AU147,46,FALSE)</f>
        <v>0</v>
      </c>
      <c r="BD73" s="386">
        <f>VLOOKUP(C73,Theory!B76:AV147,47,FALSE)</f>
        <v>8</v>
      </c>
      <c r="BE73" s="386">
        <f>VLOOKUP(C73,Theory!B76:AW147,48,FALSE)</f>
        <v>0</v>
      </c>
      <c r="BF73" s="386">
        <f>VLOOKUP(C73,Theory!B76:AX147,49,FALSE)</f>
        <v>0</v>
      </c>
      <c r="BG73" s="386">
        <f>VLOOKUP(C73,Theory!B76:AY147,50,FALSE)</f>
        <v>0</v>
      </c>
      <c r="BH73" s="369">
        <f t="shared" si="13"/>
        <v>8</v>
      </c>
      <c r="BI73" s="386">
        <f>VLOOKUP(C73,Theory!B76:AZ147,51,FALSE)</f>
        <v>0</v>
      </c>
      <c r="BJ73" s="386">
        <f>VLOOKUP(C73,Theory!B76:BA147,52,FALSE)</f>
        <v>0</v>
      </c>
      <c r="BK73" s="386">
        <f>VLOOKUP(C73,Theory!B76:BB147,53,FALSE)</f>
        <v>0</v>
      </c>
      <c r="BL73" s="386">
        <f>VLOOKUP(C73,Theory!B76:BC147,54,FALSE)</f>
        <v>0</v>
      </c>
      <c r="BM73" s="386">
        <f>VLOOKUP(C73,Theory!B76:BD147,55,FALSE)</f>
        <v>3</v>
      </c>
      <c r="BN73" s="386">
        <f>VLOOKUP(C73,Theory!B76:BE147,56,FALSE)</f>
        <v>0</v>
      </c>
      <c r="BO73" s="386">
        <f>VLOOKUP(C73,Theory!B76:BF147,57,FALSE)</f>
        <v>0</v>
      </c>
      <c r="BP73" s="386">
        <f>VLOOKUP(C73,Theory!B76:BG147,58,FALSE)</f>
        <v>0</v>
      </c>
      <c r="BQ73" s="369">
        <f t="shared" si="14"/>
        <v>3</v>
      </c>
      <c r="BR73" s="386">
        <f>VLOOKUP(C73,Theory!B76:BH147,59,FALSE)</f>
        <v>2</v>
      </c>
      <c r="BS73" s="386">
        <f>VLOOKUP(C73,Theory!B76:BI147,60,FALSE)</f>
        <v>0</v>
      </c>
      <c r="BT73" s="386">
        <f>VLOOKUP(C73,Theory!B76:BJ147,61,FALSE)</f>
        <v>0</v>
      </c>
      <c r="BU73" s="386">
        <f>VLOOKUP(C73,Theory!B76:BK147,62,FALSE)</f>
        <v>0</v>
      </c>
      <c r="BV73" s="386">
        <f>VLOOKUP(C73,Theory!B76:BL147,63,FALSE)</f>
        <v>0</v>
      </c>
      <c r="BW73" s="386">
        <f>VLOOKUP(C73,Theory!B76:BM147,64,FALSE)</f>
        <v>0</v>
      </c>
      <c r="BX73" s="386">
        <f>VLOOKUP(C73,Theory!B76:BN147,65,FALSE)</f>
        <v>0</v>
      </c>
      <c r="BY73" s="386">
        <f>VLOOKUP(C73,Theory!B76:BO147,66,FALSE)</f>
        <v>0</v>
      </c>
      <c r="BZ73" s="369">
        <f t="shared" si="15"/>
        <v>2</v>
      </c>
      <c r="CA73" s="385">
        <f t="shared" si="1"/>
        <v>31</v>
      </c>
      <c r="CB73" s="386">
        <f>VLOOKUP(C73,Theory!B76:BP147,67,FALSE)</f>
        <v>10</v>
      </c>
      <c r="CC73" s="386">
        <f>VLOOKUP(C73,Theory!B76:BQ147,68,FALSE)</f>
        <v>0</v>
      </c>
      <c r="CD73" s="386">
        <f>VLOOKUP(C73,Theory!B76:BR147,69,FALSE)</f>
        <v>0</v>
      </c>
      <c r="CE73" s="386">
        <f>VLOOKUP(C73,Theory!B76:BS147,70,FALSE)</f>
        <v>0</v>
      </c>
      <c r="CF73" s="369">
        <f t="shared" si="16"/>
        <v>10</v>
      </c>
      <c r="CG73" s="399">
        <f>VLOOKUP(C73,Theory!B76:BT147,71,FALSE)</f>
        <v>9</v>
      </c>
      <c r="CH73" s="399">
        <f>VLOOKUP(C73,Theory!B76:BU147,72,FALSE)</f>
        <v>0</v>
      </c>
      <c r="CI73" s="399">
        <f>VLOOKUP(C73,Theory!B76:BV147,73,FALSE)</f>
        <v>0</v>
      </c>
      <c r="CJ73" s="399">
        <f>VLOOKUP(C73,Theory!B76:BW147,74,FALSE)</f>
        <v>0</v>
      </c>
      <c r="CK73" s="369">
        <f t="shared" si="17"/>
        <v>9</v>
      </c>
      <c r="CL73" s="386">
        <f>VLOOKUP(C73,Theory!B76:BX147,75,FALSE)</f>
        <v>0</v>
      </c>
      <c r="CM73" s="400">
        <f>VLOOKUP(C73,Theory!B76:BY147,76,FALSE)</f>
        <v>0</v>
      </c>
      <c r="CN73" s="400">
        <f>VLOOKUP(C73,Theory!B76:BZ147,77,FALSE)</f>
        <v>0</v>
      </c>
      <c r="CO73" s="400">
        <f>VLOOKUP(C73,Theory!B76:CA147,78,FALSE)</f>
        <v>0</v>
      </c>
      <c r="CP73" s="386">
        <f>VLOOKUP(C73,Theory!B76:CB147,79,FALSE)</f>
        <v>10</v>
      </c>
      <c r="CQ73" s="386">
        <f>VLOOKUP(C73,Theory!B76:CC147,80,FALSE)</f>
        <v>0</v>
      </c>
      <c r="CR73" s="386">
        <f>VLOOKUP(C73,Theory!B76:CD147,81,FALSE)</f>
        <v>0</v>
      </c>
      <c r="CS73" s="386">
        <f>VLOOKUP(C73,Theory!B76:CE147,82,FALSE)</f>
        <v>0</v>
      </c>
      <c r="CT73" s="369">
        <f t="shared" si="18"/>
        <v>10</v>
      </c>
      <c r="CU73" s="399">
        <f>VLOOKUP(C73,Theory!B76:CF147,83,FALSE)</f>
        <v>9</v>
      </c>
      <c r="CV73" s="400">
        <f>VLOOKUP(C73,Theory!B76:CG147,84,FALSE)</f>
        <v>0</v>
      </c>
      <c r="CW73" s="400">
        <f>VLOOKUP(C73,Theory!B76:CH147,85,FALSE)</f>
        <v>0</v>
      </c>
      <c r="CX73" s="400">
        <f>VLOOKUP(C73,Theory!B76:CI147,86,FALSE)</f>
        <v>0</v>
      </c>
      <c r="CY73" s="399">
        <f>VLOOKUP(C73,Theory!B76:CJ147,87,FALSE)</f>
        <v>0</v>
      </c>
      <c r="CZ73" s="399">
        <f>VLOOKUP(C73,Theory!B76:CK147,88,FALSE)</f>
        <v>0</v>
      </c>
      <c r="DA73" s="399">
        <f>VLOOKUP(C73,Theory!B76:CL147,89,FALSE)</f>
        <v>0</v>
      </c>
      <c r="DB73" s="399">
        <f>VLOOKUP(C73,Theory!B76:CM147,90,FALSE)</f>
        <v>0</v>
      </c>
      <c r="DC73" s="369">
        <f t="shared" si="19"/>
        <v>9</v>
      </c>
      <c r="DD73" s="386">
        <f>VLOOKUP(C73,Theory!B76:CN147,91,FALSE)</f>
        <v>0</v>
      </c>
      <c r="DE73" s="400">
        <f>VLOOKUP(C73,Theory!B76:CO147,92,FALSE)</f>
        <v>0</v>
      </c>
      <c r="DF73" s="400">
        <f>VLOOKUP(C73,Theory!B76:CP147,93,FALSE)</f>
        <v>0</v>
      </c>
      <c r="DG73" s="400">
        <f>VLOOKUP(C73,Theory!B76:CQ147,94,FALSE)</f>
        <v>0</v>
      </c>
      <c r="DH73" s="386">
        <f>VLOOKUP(C73,Theory!B76:CR147,95,FALSE)</f>
        <v>8</v>
      </c>
      <c r="DI73" s="386">
        <f>VLOOKUP(C73,Theory!B76:CS147,96,FALSE)</f>
        <v>0</v>
      </c>
      <c r="DJ73" s="386">
        <f>VLOOKUP(C73,Theory!B76:CT147,97,FALSE)</f>
        <v>0</v>
      </c>
      <c r="DK73" s="386">
        <f>VLOOKUP(C73,Theory!B76:CU147,98,FALSE)</f>
        <v>0</v>
      </c>
      <c r="DL73" s="369">
        <f t="shared" si="20"/>
        <v>8</v>
      </c>
      <c r="DM73" s="411">
        <f t="shared" si="2"/>
        <v>46</v>
      </c>
      <c r="DN73" s="413">
        <f t="shared" si="40"/>
        <v>30</v>
      </c>
      <c r="DO73" s="413">
        <f t="shared" si="41"/>
        <v>31</v>
      </c>
      <c r="DP73" s="413">
        <f t="shared" si="42"/>
        <v>46</v>
      </c>
      <c r="DQ73" s="418">
        <f t="shared" si="43"/>
        <v>18</v>
      </c>
      <c r="DR73" s="418">
        <f t="shared" si="44"/>
        <v>19</v>
      </c>
      <c r="DS73" s="418">
        <f t="shared" si="45"/>
        <v>28</v>
      </c>
      <c r="DT73" s="417">
        <f t="shared" si="36"/>
        <v>22</v>
      </c>
      <c r="DU73" s="423">
        <f>VLOOKUP(C73,Theory!B76:CV147,99,FALSE)</f>
        <v>6</v>
      </c>
      <c r="DV73" s="423">
        <f>VLOOKUP(C73,Theory!B76:CW147,100,FALSE)</f>
        <v>10</v>
      </c>
      <c r="DW73" s="424">
        <f t="shared" si="27"/>
        <v>16</v>
      </c>
      <c r="DX73" s="421">
        <f t="shared" si="3"/>
        <v>38</v>
      </c>
      <c r="DY73" s="430">
        <f t="shared" si="4"/>
        <v>23</v>
      </c>
      <c r="DZ73" s="431">
        <f>VLOOKUP(C73,Lab!B68:D137,3,FALSE)</f>
        <v>0</v>
      </c>
      <c r="EA73" s="432">
        <f>VLOOKUP(C73,Lab!B68:E137,4,FALSE)</f>
        <v>0</v>
      </c>
      <c r="EB73" s="432">
        <f>VLOOKUP(C73,Lab!B68:F137,5,FALSE)</f>
        <v>29</v>
      </c>
      <c r="EC73" s="422">
        <f t="shared" si="37"/>
        <v>29</v>
      </c>
      <c r="ED73" s="436">
        <f>VLOOKUP(C73,Lab!B68:G137,6,FALSE)</f>
        <v>0</v>
      </c>
      <c r="EE73" s="436">
        <f>VLOOKUP(C73,Lab!B68:H137,7,FALSE)</f>
        <v>0</v>
      </c>
      <c r="EF73" s="437">
        <v>16</v>
      </c>
      <c r="EG73" s="443">
        <f t="shared" si="38"/>
        <v>16</v>
      </c>
      <c r="EH73" s="444">
        <f t="shared" si="28"/>
        <v>45</v>
      </c>
      <c r="EI73" s="445">
        <f t="shared" si="29"/>
        <v>18</v>
      </c>
      <c r="EJ73" s="446">
        <f t="shared" si="5"/>
        <v>41</v>
      </c>
      <c r="EK73" s="449">
        <v>36</v>
      </c>
      <c r="EM73" s="450">
        <f>VLOOKUP(C73,Theory!B76:DK147,114,FALSE)</f>
        <v>0</v>
      </c>
      <c r="EN73" s="450">
        <f>VLOOKUP(C73,Theory!B76:DL147,115,FALSE)</f>
        <v>0</v>
      </c>
      <c r="EO73" s="450">
        <f>VLOOKUP(C73,Theory!B76:DM147,116,FALSE)</f>
        <v>0</v>
      </c>
      <c r="EP73" s="450">
        <f>VLOOKUP(C73,Theory!B76:DN145,117,FALSE)</f>
        <v>0</v>
      </c>
      <c r="EQ73" s="450">
        <f>VLOOKUP(C73,Theory!B76:DO145,118,FALSE)</f>
        <v>0</v>
      </c>
      <c r="ER73" s="451">
        <f>VLOOKUP(C73,Theory!B76:DP145,119,FALSE)</f>
        <v>0</v>
      </c>
      <c r="ES73" s="454">
        <f>VLOOKUP(C73,Theory!B76:DQ145,120,FALSE)</f>
        <v>0</v>
      </c>
      <c r="ET73" s="455">
        <f t="shared" si="39"/>
        <v>0</v>
      </c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</row>
    <row r="74" ht="18.35" spans="1:160">
      <c r="A74" s="164">
        <v>61</v>
      </c>
      <c r="B74" s="289" t="str">
        <f>Theory!C77</f>
        <v>USMANAGANI DAVALASAB ATTAR</v>
      </c>
      <c r="C74" s="360" t="str">
        <f>Theory!B77</f>
        <v>1DS23AI062</v>
      </c>
      <c r="D74" s="361">
        <f>VLOOKUP(C74,Theory!B77:D148,3,FALSE)</f>
        <v>6</v>
      </c>
      <c r="E74" s="361">
        <f>VLOOKUP(C74,Theory!B77:E148,4,FALSE)</f>
        <v>0</v>
      </c>
      <c r="F74" s="361">
        <f>VLOOKUP(C74,Theory!B77:F148,5,FALSE)</f>
        <v>0</v>
      </c>
      <c r="G74" s="361">
        <f>VLOOKUP(C74,Theory!B77:G148,6,FALSE)</f>
        <v>0</v>
      </c>
      <c r="H74" s="369">
        <f t="shared" si="6"/>
        <v>6</v>
      </c>
      <c r="I74" s="370">
        <f>VLOOKUP(C74,Theory!B77:H148,7,FALSE)</f>
        <v>8</v>
      </c>
      <c r="J74" s="371">
        <f>VLOOKUP(C74,Theory!B77:I148,8,FALSE)</f>
        <v>0</v>
      </c>
      <c r="K74" s="371">
        <f>VLOOKUP(C74,Theory!B77:J148,9,FALSE)</f>
        <v>0</v>
      </c>
      <c r="L74" s="371">
        <f>VLOOKUP(C74,Theory!B77:K148,10,FALSE)</f>
        <v>0</v>
      </c>
      <c r="M74" s="369">
        <f t="shared" si="7"/>
        <v>8</v>
      </c>
      <c r="N74" s="373">
        <f>VLOOKUP(C74,Theory!B77:L148,11,FALSE)</f>
        <v>0</v>
      </c>
      <c r="O74" s="373">
        <f>VLOOKUP(C74,Theory!B77:M148,12,FALSE)</f>
        <v>0</v>
      </c>
      <c r="P74" s="373">
        <f>VLOOKUP(C74,Theory!B77:N148,13,FALSE)</f>
        <v>0</v>
      </c>
      <c r="Q74" s="373">
        <f>VLOOKUP(C74,Theory!B77:O148,14,FALSE)</f>
        <v>0</v>
      </c>
      <c r="R74" s="371">
        <f>VLOOKUP(C74,Theory!B77:P148,15,FALSE)</f>
        <v>6</v>
      </c>
      <c r="S74" s="371">
        <f>VLOOKUP(C74,Theory!B77:Q148,16,FALSE)</f>
        <v>0</v>
      </c>
      <c r="T74" s="371">
        <f>VLOOKUP(C74,Theory!B77:R148,17,FALSE)</f>
        <v>0</v>
      </c>
      <c r="U74" s="371">
        <f>VLOOKUP(C74,Theory!B77:S148,18,FALSE)</f>
        <v>0</v>
      </c>
      <c r="V74" s="369">
        <f t="shared" si="8"/>
        <v>6</v>
      </c>
      <c r="W74" s="361">
        <f>VLOOKUP(C74,Theory!B77:T148,19,FALSE)</f>
        <v>6</v>
      </c>
      <c r="X74" s="361">
        <f>VLOOKUP(C74,Theory!B77:U148,20,FALSE)</f>
        <v>0</v>
      </c>
      <c r="Y74" s="361">
        <f>VLOOKUP(C74,Theory!B77:V148,21,FALSE)</f>
        <v>0</v>
      </c>
      <c r="Z74" s="361">
        <f>VLOOKUP(C74,Theory!B77:W148,22,FALSE)</f>
        <v>0</v>
      </c>
      <c r="AA74" s="370">
        <f>VLOOKUP(C74,Theory!B77:X148,23,FALSE)</f>
        <v>0</v>
      </c>
      <c r="AB74" s="370">
        <f>VLOOKUP(C74,Theory!B77:Y148,24,FALSE)</f>
        <v>0</v>
      </c>
      <c r="AC74" s="370">
        <f>VLOOKUP(C74,Theory!B77:Z148,25,FALSE)</f>
        <v>0</v>
      </c>
      <c r="AD74" s="370">
        <f>VLOOKUP(C74,Theory!B77:AA148,26,FALSE)</f>
        <v>0</v>
      </c>
      <c r="AE74" s="369">
        <f t="shared" si="9"/>
        <v>6</v>
      </c>
      <c r="AF74" s="361">
        <f>VLOOKUP(C74,Theory!B77:AB148,27,FALSE)</f>
        <v>6</v>
      </c>
      <c r="AG74" s="361">
        <f>VLOOKUP(C74,Theory!B77:AC148,28,FALSE)</f>
        <v>0</v>
      </c>
      <c r="AH74" s="361">
        <f>VLOOKUP(C74,Theory!B77:AD148,29,FALSE)</f>
        <v>0</v>
      </c>
      <c r="AI74" s="361">
        <f>VLOOKUP(C74,Theory!B77:AE148,30,FALSE)</f>
        <v>0</v>
      </c>
      <c r="AJ74" s="380">
        <f>VLOOKUP(C74,Theory!B77:AF148,31,FALSE)</f>
        <v>0</v>
      </c>
      <c r="AK74" s="380">
        <f>VLOOKUP(C74,Theory!B77:AG148,32,FALSE)</f>
        <v>0</v>
      </c>
      <c r="AL74" s="380">
        <f>VLOOKUP(C74,Theory!B77:AH148,33,FALSE)</f>
        <v>0</v>
      </c>
      <c r="AM74" s="380">
        <f>VLOOKUP(C74,Theory!B77:AI148,34,FALSE)</f>
        <v>0</v>
      </c>
      <c r="AN74" s="369">
        <f t="shared" si="10"/>
        <v>6</v>
      </c>
      <c r="AO74" s="385">
        <f t="shared" si="0"/>
        <v>32</v>
      </c>
      <c r="AP74" s="386">
        <f>VLOOKUP(C74,Theory!B77:AJ148,35,FALSE)</f>
        <v>0</v>
      </c>
      <c r="AQ74" s="386">
        <f>VLOOKUP(C74,Theory!B77:AK148,36,FALSE)</f>
        <v>0</v>
      </c>
      <c r="AR74" s="386">
        <f>VLOOKUP(C74,Theory!B77:AL148,37,FALSE)</f>
        <v>0</v>
      </c>
      <c r="AS74" s="386">
        <f>VLOOKUP(C74,Theory!B77:AM148,38,FALSE)</f>
        <v>0</v>
      </c>
      <c r="AT74" s="369">
        <f t="shared" si="11"/>
        <v>0</v>
      </c>
      <c r="AU74" s="386">
        <f>VLOOKUP(C74,Theory!B77:AN148,39,FALSE)</f>
        <v>6</v>
      </c>
      <c r="AV74" s="386">
        <f>VLOOKUP(C74,Theory!B77:AO148,40,FALSE)</f>
        <v>0</v>
      </c>
      <c r="AW74" s="386">
        <f>VLOOKUP(C74,Theory!B77:AP148,41,FALSE)</f>
        <v>0</v>
      </c>
      <c r="AX74" s="386">
        <f>VLOOKUP(C74,Theory!B77:AQ148,42,FALSE)</f>
        <v>0</v>
      </c>
      <c r="AY74" s="369">
        <f t="shared" si="12"/>
        <v>6</v>
      </c>
      <c r="AZ74" s="386">
        <f>VLOOKUP(C74,Theory!B77:AR148,43,FALSE)</f>
        <v>0</v>
      </c>
      <c r="BA74" s="386">
        <f>VLOOKUP(C74,Theory!B77:AS148,44,FALSE)</f>
        <v>0</v>
      </c>
      <c r="BB74" s="386">
        <f>VLOOKUP(C74,Theory!B77:AT148,45,FALSE)</f>
        <v>0</v>
      </c>
      <c r="BC74" s="386">
        <f>VLOOKUP(C74,Theory!B77:AU148,46,FALSE)</f>
        <v>0</v>
      </c>
      <c r="BD74" s="386">
        <f>VLOOKUP(C74,Theory!B77:AV148,47,FALSE)</f>
        <v>10</v>
      </c>
      <c r="BE74" s="386">
        <f>VLOOKUP(C74,Theory!B77:AW148,48,FALSE)</f>
        <v>0</v>
      </c>
      <c r="BF74" s="386">
        <f>VLOOKUP(C74,Theory!B77:AX148,49,FALSE)</f>
        <v>0</v>
      </c>
      <c r="BG74" s="386">
        <f>VLOOKUP(C74,Theory!B77:AY148,50,FALSE)</f>
        <v>0</v>
      </c>
      <c r="BH74" s="369">
        <f t="shared" si="13"/>
        <v>10</v>
      </c>
      <c r="BI74" s="386">
        <f>VLOOKUP(C74,Theory!B77:AZ148,51,FALSE)</f>
        <v>0</v>
      </c>
      <c r="BJ74" s="386">
        <f>VLOOKUP(C74,Theory!B77:BA148,52,FALSE)</f>
        <v>0</v>
      </c>
      <c r="BK74" s="386">
        <f>VLOOKUP(C74,Theory!B77:BB148,53,FALSE)</f>
        <v>0</v>
      </c>
      <c r="BL74" s="386">
        <f>VLOOKUP(C74,Theory!B77:BC148,54,FALSE)</f>
        <v>0</v>
      </c>
      <c r="BM74" s="386">
        <f>VLOOKUP(C74,Theory!B77:BD148,55,FALSE)</f>
        <v>2</v>
      </c>
      <c r="BN74" s="386">
        <f>VLOOKUP(C74,Theory!B77:BE148,56,FALSE)</f>
        <v>0</v>
      </c>
      <c r="BO74" s="386">
        <f>VLOOKUP(C74,Theory!B77:BF148,57,FALSE)</f>
        <v>0</v>
      </c>
      <c r="BP74" s="386">
        <f>VLOOKUP(C74,Theory!B77:BG148,58,FALSE)</f>
        <v>0</v>
      </c>
      <c r="BQ74" s="369">
        <f t="shared" si="14"/>
        <v>2</v>
      </c>
      <c r="BR74" s="386">
        <f>VLOOKUP(C74,Theory!B77:BH148,59,FALSE)</f>
        <v>8</v>
      </c>
      <c r="BS74" s="386">
        <f>VLOOKUP(C74,Theory!B77:BI148,60,FALSE)</f>
        <v>0</v>
      </c>
      <c r="BT74" s="386">
        <f>VLOOKUP(C74,Theory!B77:BJ148,61,FALSE)</f>
        <v>0</v>
      </c>
      <c r="BU74" s="386">
        <f>VLOOKUP(C74,Theory!B77:BK148,62,FALSE)</f>
        <v>0</v>
      </c>
      <c r="BV74" s="386">
        <f>VLOOKUP(C74,Theory!B77:BL148,63,FALSE)</f>
        <v>0</v>
      </c>
      <c r="BW74" s="386">
        <f>VLOOKUP(C74,Theory!B77:BM148,64,FALSE)</f>
        <v>0</v>
      </c>
      <c r="BX74" s="386">
        <f>VLOOKUP(C74,Theory!B77:BN148,65,FALSE)</f>
        <v>0</v>
      </c>
      <c r="BY74" s="386">
        <f>VLOOKUP(C74,Theory!B77:BO148,66,FALSE)</f>
        <v>0</v>
      </c>
      <c r="BZ74" s="369">
        <f t="shared" si="15"/>
        <v>8</v>
      </c>
      <c r="CA74" s="385">
        <f t="shared" si="1"/>
        <v>26</v>
      </c>
      <c r="CB74" s="386">
        <f>VLOOKUP(C74,Theory!B77:BP148,67,FALSE)</f>
        <v>8</v>
      </c>
      <c r="CC74" s="386">
        <f>VLOOKUP(C74,Theory!B77:BQ148,68,FALSE)</f>
        <v>0</v>
      </c>
      <c r="CD74" s="386">
        <f>VLOOKUP(C74,Theory!B77:BR148,69,FALSE)</f>
        <v>0</v>
      </c>
      <c r="CE74" s="386">
        <f>VLOOKUP(C74,Theory!B77:BS148,70,FALSE)</f>
        <v>0</v>
      </c>
      <c r="CF74" s="369">
        <f t="shared" si="16"/>
        <v>8</v>
      </c>
      <c r="CG74" s="399">
        <f>VLOOKUP(C74,Theory!B77:BT148,71,FALSE)</f>
        <v>7</v>
      </c>
      <c r="CH74" s="399">
        <f>VLOOKUP(C74,Theory!B77:BU148,72,FALSE)</f>
        <v>0</v>
      </c>
      <c r="CI74" s="399">
        <f>VLOOKUP(C74,Theory!B77:BV148,73,FALSE)</f>
        <v>0</v>
      </c>
      <c r="CJ74" s="399">
        <f>VLOOKUP(C74,Theory!B77:BW148,74,FALSE)</f>
        <v>0</v>
      </c>
      <c r="CK74" s="369">
        <f t="shared" si="17"/>
        <v>7</v>
      </c>
      <c r="CL74" s="386">
        <f>VLOOKUP(C74,Theory!B77:BX148,75,FALSE)</f>
        <v>8</v>
      </c>
      <c r="CM74" s="400">
        <f>VLOOKUP(C74,Theory!B77:BY148,76,FALSE)</f>
        <v>0</v>
      </c>
      <c r="CN74" s="400">
        <f>VLOOKUP(C74,Theory!B77:BZ148,77,FALSE)</f>
        <v>0</v>
      </c>
      <c r="CO74" s="400">
        <f>VLOOKUP(C74,Theory!B77:CA148,78,FALSE)</f>
        <v>0</v>
      </c>
      <c r="CP74" s="386">
        <f>VLOOKUP(C74,Theory!B77:CB148,79,FALSE)</f>
        <v>0</v>
      </c>
      <c r="CQ74" s="386">
        <f>VLOOKUP(C74,Theory!B77:CC148,80,FALSE)</f>
        <v>0</v>
      </c>
      <c r="CR74" s="386">
        <f>VLOOKUP(C74,Theory!B77:CD148,81,FALSE)</f>
        <v>0</v>
      </c>
      <c r="CS74" s="386">
        <f>VLOOKUP(C74,Theory!B77:CE148,82,FALSE)</f>
        <v>0</v>
      </c>
      <c r="CT74" s="369">
        <f t="shared" si="18"/>
        <v>8</v>
      </c>
      <c r="CU74" s="399">
        <f>VLOOKUP(C74,Theory!B77:CF148,83,FALSE)</f>
        <v>8</v>
      </c>
      <c r="CV74" s="400">
        <f>VLOOKUP(C74,Theory!B77:CG148,84,FALSE)</f>
        <v>0</v>
      </c>
      <c r="CW74" s="400">
        <f>VLOOKUP(C74,Theory!B77:CH148,85,FALSE)</f>
        <v>0</v>
      </c>
      <c r="CX74" s="400">
        <f>VLOOKUP(C74,Theory!B77:CI148,86,FALSE)</f>
        <v>0</v>
      </c>
      <c r="CY74" s="399">
        <f>VLOOKUP(C74,Theory!B77:CJ148,87,FALSE)</f>
        <v>0</v>
      </c>
      <c r="CZ74" s="399">
        <f>VLOOKUP(C74,Theory!B77:CK148,88,FALSE)</f>
        <v>0</v>
      </c>
      <c r="DA74" s="399">
        <f>VLOOKUP(C74,Theory!B77:CL148,89,FALSE)</f>
        <v>0</v>
      </c>
      <c r="DB74" s="399">
        <f>VLOOKUP(C74,Theory!B77:CM148,90,FALSE)</f>
        <v>0</v>
      </c>
      <c r="DC74" s="369">
        <f t="shared" si="19"/>
        <v>8</v>
      </c>
      <c r="DD74" s="386">
        <f>VLOOKUP(C74,Theory!B77:CN148,91,FALSE)</f>
        <v>7</v>
      </c>
      <c r="DE74" s="400">
        <f>VLOOKUP(C74,Theory!B77:CO148,92,FALSE)</f>
        <v>0</v>
      </c>
      <c r="DF74" s="400">
        <f>VLOOKUP(C74,Theory!B77:CP148,93,FALSE)</f>
        <v>0</v>
      </c>
      <c r="DG74" s="400">
        <f>VLOOKUP(C74,Theory!B77:CQ148,94,FALSE)</f>
        <v>0</v>
      </c>
      <c r="DH74" s="386">
        <f>VLOOKUP(C74,Theory!B77:CR148,95,FALSE)</f>
        <v>0</v>
      </c>
      <c r="DI74" s="386">
        <f>VLOOKUP(C74,Theory!B77:CS148,96,FALSE)</f>
        <v>0</v>
      </c>
      <c r="DJ74" s="386">
        <f>VLOOKUP(C74,Theory!B77:CT148,97,FALSE)</f>
        <v>0</v>
      </c>
      <c r="DK74" s="386">
        <f>VLOOKUP(C74,Theory!B77:CU148,98,FALSE)</f>
        <v>0</v>
      </c>
      <c r="DL74" s="369">
        <f t="shared" si="20"/>
        <v>7</v>
      </c>
      <c r="DM74" s="411">
        <f t="shared" si="2"/>
        <v>38</v>
      </c>
      <c r="DN74" s="413">
        <f t="shared" si="40"/>
        <v>32</v>
      </c>
      <c r="DO74" s="413">
        <f t="shared" si="41"/>
        <v>26</v>
      </c>
      <c r="DP74" s="413">
        <f t="shared" si="42"/>
        <v>38</v>
      </c>
      <c r="DQ74" s="418">
        <f t="shared" si="43"/>
        <v>19</v>
      </c>
      <c r="DR74" s="418">
        <f t="shared" si="44"/>
        <v>16</v>
      </c>
      <c r="DS74" s="418">
        <f t="shared" si="45"/>
        <v>23</v>
      </c>
      <c r="DT74" s="417">
        <f t="shared" si="36"/>
        <v>19</v>
      </c>
      <c r="DU74" s="423">
        <f>VLOOKUP(C74,Theory!B77:CV148,99,FALSE)</f>
        <v>6</v>
      </c>
      <c r="DV74" s="423">
        <f>VLOOKUP(C74,Theory!B77:CW148,100,FALSE)</f>
        <v>10</v>
      </c>
      <c r="DW74" s="424">
        <f t="shared" si="27"/>
        <v>16</v>
      </c>
      <c r="DX74" s="421">
        <f t="shared" si="3"/>
        <v>35</v>
      </c>
      <c r="DY74" s="430">
        <f t="shared" si="4"/>
        <v>21</v>
      </c>
      <c r="DZ74" s="431">
        <f>VLOOKUP(C74,Lab!B69:D138,3,FALSE)</f>
        <v>0</v>
      </c>
      <c r="EA74" s="432">
        <f>VLOOKUP(C74,Lab!B69:E138,4,FALSE)</f>
        <v>0</v>
      </c>
      <c r="EB74" s="432">
        <f>VLOOKUP(C74,Lab!B69:F138,5,FALSE)</f>
        <v>27</v>
      </c>
      <c r="EC74" s="422">
        <f t="shared" si="37"/>
        <v>27</v>
      </c>
      <c r="ED74" s="436">
        <f>VLOOKUP(C74,Lab!B69:G138,6,FALSE)</f>
        <v>0</v>
      </c>
      <c r="EE74" s="436">
        <f>VLOOKUP(C74,Lab!B69:H138,7,FALSE)</f>
        <v>0</v>
      </c>
      <c r="EF74" s="437">
        <v>10</v>
      </c>
      <c r="EG74" s="443">
        <f t="shared" si="38"/>
        <v>10</v>
      </c>
      <c r="EH74" s="444">
        <f t="shared" si="28"/>
        <v>37</v>
      </c>
      <c r="EI74" s="445">
        <f t="shared" si="29"/>
        <v>15</v>
      </c>
      <c r="EJ74" s="446">
        <f t="shared" si="5"/>
        <v>36</v>
      </c>
      <c r="EK74" s="449">
        <v>25.5</v>
      </c>
      <c r="EM74" s="450">
        <f>VLOOKUP(C74,Theory!B77:DK148,114,FALSE)</f>
        <v>0</v>
      </c>
      <c r="EN74" s="450">
        <f>VLOOKUP(C74,Theory!B77:DL148,115,FALSE)</f>
        <v>0</v>
      </c>
      <c r="EO74" s="450">
        <f>VLOOKUP(C74,Theory!B77:DM148,116,FALSE)</f>
        <v>0</v>
      </c>
      <c r="EP74" s="450">
        <f>VLOOKUP(C74,Theory!B77:DN146,117,FALSE)</f>
        <v>0</v>
      </c>
      <c r="EQ74" s="450">
        <f>VLOOKUP(C74,Theory!B77:DO146,118,FALSE)</f>
        <v>0</v>
      </c>
      <c r="ER74" s="451">
        <f>VLOOKUP(C74,Theory!B77:DP146,119,FALSE)</f>
        <v>0</v>
      </c>
      <c r="ES74" s="454">
        <f>VLOOKUP(C74,Theory!B77:DQ146,120,FALSE)</f>
        <v>0</v>
      </c>
      <c r="ET74" s="455">
        <f t="shared" si="39"/>
        <v>0</v>
      </c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</row>
    <row r="75" ht="18.35" spans="1:160">
      <c r="A75" s="164">
        <v>62</v>
      </c>
      <c r="B75" s="289" t="str">
        <f>Theory!C78</f>
        <v>VISHUNU RAJAGOPALAN</v>
      </c>
      <c r="C75" s="360" t="str">
        <f>Theory!B78</f>
        <v>1DS23AI063</v>
      </c>
      <c r="D75" s="361">
        <f>VLOOKUP(C75,Theory!B78:D149,3,FALSE)</f>
        <v>9</v>
      </c>
      <c r="E75" s="361">
        <f>VLOOKUP(C75,Theory!B78:E149,4,FALSE)</f>
        <v>0</v>
      </c>
      <c r="F75" s="361">
        <f>VLOOKUP(C75,Theory!B78:F149,5,FALSE)</f>
        <v>0</v>
      </c>
      <c r="G75" s="361">
        <f>VLOOKUP(C75,Theory!B78:G149,6,FALSE)</f>
        <v>0</v>
      </c>
      <c r="H75" s="369">
        <f t="shared" si="6"/>
        <v>9</v>
      </c>
      <c r="I75" s="370">
        <f>VLOOKUP(C75,Theory!B78:H149,7,FALSE)</f>
        <v>8</v>
      </c>
      <c r="J75" s="371">
        <f>VLOOKUP(C75,Theory!B78:I149,8,FALSE)</f>
        <v>0</v>
      </c>
      <c r="K75" s="371">
        <f>VLOOKUP(C75,Theory!B78:J149,9,FALSE)</f>
        <v>0</v>
      </c>
      <c r="L75" s="371">
        <f>VLOOKUP(C75,Theory!B78:K149,10,FALSE)</f>
        <v>0</v>
      </c>
      <c r="M75" s="369">
        <f t="shared" si="7"/>
        <v>8</v>
      </c>
      <c r="N75" s="373">
        <f>VLOOKUP(C75,Theory!B78:L149,11,FALSE)</f>
        <v>2</v>
      </c>
      <c r="O75" s="373">
        <f>VLOOKUP(C75,Theory!B78:M149,12,FALSE)</f>
        <v>0</v>
      </c>
      <c r="P75" s="373">
        <f>VLOOKUP(C75,Theory!B78:N149,13,FALSE)</f>
        <v>0</v>
      </c>
      <c r="Q75" s="373">
        <f>VLOOKUP(C75,Theory!B78:O149,14,FALSE)</f>
        <v>0</v>
      </c>
      <c r="R75" s="371">
        <f>VLOOKUP(C75,Theory!B78:P149,15,FALSE)</f>
        <v>0</v>
      </c>
      <c r="S75" s="371">
        <f>VLOOKUP(C75,Theory!B78:Q149,16,FALSE)</f>
        <v>0</v>
      </c>
      <c r="T75" s="371">
        <f>VLOOKUP(C75,Theory!B78:R149,17,FALSE)</f>
        <v>0</v>
      </c>
      <c r="U75" s="371">
        <f>VLOOKUP(C75,Theory!B78:S149,18,FALSE)</f>
        <v>0</v>
      </c>
      <c r="V75" s="369">
        <f t="shared" si="8"/>
        <v>2</v>
      </c>
      <c r="W75" s="361">
        <f>VLOOKUP(C75,Theory!B78:T149,19,FALSE)</f>
        <v>9</v>
      </c>
      <c r="X75" s="361">
        <f>VLOOKUP(C75,Theory!B78:U149,20,FALSE)</f>
        <v>0</v>
      </c>
      <c r="Y75" s="361">
        <f>VLOOKUP(C75,Theory!B78:V149,21,FALSE)</f>
        <v>0</v>
      </c>
      <c r="Z75" s="361">
        <f>VLOOKUP(C75,Theory!B78:W149,22,FALSE)</f>
        <v>0</v>
      </c>
      <c r="AA75" s="370">
        <f>VLOOKUP(C75,Theory!B78:X149,23,FALSE)</f>
        <v>0</v>
      </c>
      <c r="AB75" s="370">
        <f>VLOOKUP(C75,Theory!B78:Y149,24,FALSE)</f>
        <v>0</v>
      </c>
      <c r="AC75" s="370">
        <f>VLOOKUP(C75,Theory!B78:Z149,25,FALSE)</f>
        <v>0</v>
      </c>
      <c r="AD75" s="370">
        <f>VLOOKUP(C75,Theory!B78:AA149,26,FALSE)</f>
        <v>0</v>
      </c>
      <c r="AE75" s="369">
        <f t="shared" si="9"/>
        <v>9</v>
      </c>
      <c r="AF75" s="361">
        <f>VLOOKUP(C75,Theory!B78:AB149,27,FALSE)</f>
        <v>0</v>
      </c>
      <c r="AG75" s="361">
        <f>VLOOKUP(C75,Theory!B78:AC149,28,FALSE)</f>
        <v>0</v>
      </c>
      <c r="AH75" s="361">
        <f>VLOOKUP(C75,Theory!B78:AD149,29,FALSE)</f>
        <v>0</v>
      </c>
      <c r="AI75" s="361">
        <f>VLOOKUP(C75,Theory!B78:AE149,30,FALSE)</f>
        <v>0</v>
      </c>
      <c r="AJ75" s="380">
        <f>VLOOKUP(C75,Theory!B78:AF149,31,FALSE)</f>
        <v>5</v>
      </c>
      <c r="AK75" s="380">
        <f>VLOOKUP(C75,Theory!B78:AG149,32,FALSE)</f>
        <v>0</v>
      </c>
      <c r="AL75" s="380">
        <f>VLOOKUP(C75,Theory!B78:AH149,33,FALSE)</f>
        <v>0</v>
      </c>
      <c r="AM75" s="380">
        <f>VLOOKUP(C75,Theory!B78:AI149,34,FALSE)</f>
        <v>0</v>
      </c>
      <c r="AN75" s="369">
        <f t="shared" si="10"/>
        <v>5</v>
      </c>
      <c r="AO75" s="385">
        <f t="shared" si="0"/>
        <v>33</v>
      </c>
      <c r="AP75" s="386">
        <f>VLOOKUP(C75,Theory!B78:AJ149,35,FALSE)</f>
        <v>2</v>
      </c>
      <c r="AQ75" s="386">
        <f>VLOOKUP(C75,Theory!B78:AK149,36,FALSE)</f>
        <v>0</v>
      </c>
      <c r="AR75" s="386">
        <f>VLOOKUP(C75,Theory!B78:AL149,37,FALSE)</f>
        <v>0</v>
      </c>
      <c r="AS75" s="386">
        <f>VLOOKUP(C75,Theory!B78:AM149,38,FALSE)</f>
        <v>0</v>
      </c>
      <c r="AT75" s="369">
        <f t="shared" si="11"/>
        <v>2</v>
      </c>
      <c r="AU75" s="386">
        <f>VLOOKUP(C75,Theory!B78:AN149,39,FALSE)</f>
        <v>2</v>
      </c>
      <c r="AV75" s="386">
        <f>VLOOKUP(C75,Theory!B78:AO149,40,FALSE)</f>
        <v>0</v>
      </c>
      <c r="AW75" s="386">
        <f>VLOOKUP(C75,Theory!B78:AP149,41,FALSE)</f>
        <v>0</v>
      </c>
      <c r="AX75" s="386">
        <f>VLOOKUP(C75,Theory!B78:AQ149,42,FALSE)</f>
        <v>0</v>
      </c>
      <c r="AY75" s="369">
        <f t="shared" si="12"/>
        <v>2</v>
      </c>
      <c r="AZ75" s="386">
        <f>VLOOKUP(C75,Theory!B78:AR149,43,FALSE)</f>
        <v>2</v>
      </c>
      <c r="BA75" s="386">
        <f>VLOOKUP(C75,Theory!B78:AS149,44,FALSE)</f>
        <v>0</v>
      </c>
      <c r="BB75" s="386">
        <f>VLOOKUP(C75,Theory!B78:AT149,45,FALSE)</f>
        <v>0</v>
      </c>
      <c r="BC75" s="386">
        <f>VLOOKUP(C75,Theory!B78:AU149,46,FALSE)</f>
        <v>0</v>
      </c>
      <c r="BD75" s="386">
        <f>VLOOKUP(C75,Theory!B78:AV149,47,FALSE)</f>
        <v>0</v>
      </c>
      <c r="BE75" s="386">
        <f>VLOOKUP(C75,Theory!B78:AW149,48,FALSE)</f>
        <v>0</v>
      </c>
      <c r="BF75" s="386">
        <f>VLOOKUP(C75,Theory!B78:AX149,49,FALSE)</f>
        <v>0</v>
      </c>
      <c r="BG75" s="386">
        <f>VLOOKUP(C75,Theory!B78:AY149,50,FALSE)</f>
        <v>0</v>
      </c>
      <c r="BH75" s="369">
        <f t="shared" si="13"/>
        <v>2</v>
      </c>
      <c r="BI75" s="386">
        <f>VLOOKUP(C75,Theory!B78:AZ149,51,FALSE)</f>
        <v>0</v>
      </c>
      <c r="BJ75" s="386">
        <f>VLOOKUP(C75,Theory!B78:BA149,52,FALSE)</f>
        <v>0</v>
      </c>
      <c r="BK75" s="386">
        <f>VLOOKUP(C75,Theory!B78:BB149,53,FALSE)</f>
        <v>0</v>
      </c>
      <c r="BL75" s="386">
        <f>VLOOKUP(C75,Theory!B78:BC149,54,FALSE)</f>
        <v>0</v>
      </c>
      <c r="BM75" s="386">
        <f>VLOOKUP(C75,Theory!B78:BD149,55,FALSE)</f>
        <v>2</v>
      </c>
      <c r="BN75" s="386">
        <f>VLOOKUP(C75,Theory!B78:BE149,56,FALSE)</f>
        <v>0</v>
      </c>
      <c r="BO75" s="386">
        <f>VLOOKUP(C75,Theory!B78:BF149,57,FALSE)</f>
        <v>0</v>
      </c>
      <c r="BP75" s="386">
        <f>VLOOKUP(C75,Theory!B78:BG149,58,FALSE)</f>
        <v>0</v>
      </c>
      <c r="BQ75" s="369">
        <f t="shared" si="14"/>
        <v>2</v>
      </c>
      <c r="BR75" s="386">
        <f>VLOOKUP(C75,Theory!B78:BH149,59,FALSE)</f>
        <v>0</v>
      </c>
      <c r="BS75" s="386">
        <f>VLOOKUP(C75,Theory!B78:BI149,60,FALSE)</f>
        <v>0</v>
      </c>
      <c r="BT75" s="386">
        <f>VLOOKUP(C75,Theory!B78:BJ149,61,FALSE)</f>
        <v>0</v>
      </c>
      <c r="BU75" s="386">
        <f>VLOOKUP(C75,Theory!B78:BK149,62,FALSE)</f>
        <v>0</v>
      </c>
      <c r="BV75" s="386">
        <f>VLOOKUP(C75,Theory!B78:BL149,63,FALSE)</f>
        <v>2</v>
      </c>
      <c r="BW75" s="386">
        <f>VLOOKUP(C75,Theory!B78:BM149,64,FALSE)</f>
        <v>0</v>
      </c>
      <c r="BX75" s="386">
        <f>VLOOKUP(C75,Theory!B78:BN149,65,FALSE)</f>
        <v>0</v>
      </c>
      <c r="BY75" s="386">
        <f>VLOOKUP(C75,Theory!B78:BO149,66,FALSE)</f>
        <v>0</v>
      </c>
      <c r="BZ75" s="369">
        <f t="shared" si="15"/>
        <v>2</v>
      </c>
      <c r="CA75" s="385">
        <f t="shared" si="1"/>
        <v>10</v>
      </c>
      <c r="CB75" s="386">
        <f>VLOOKUP(C75,Theory!B78:BP149,67,FALSE)</f>
        <v>8</v>
      </c>
      <c r="CC75" s="386">
        <f>VLOOKUP(C75,Theory!B78:BQ149,68,FALSE)</f>
        <v>0</v>
      </c>
      <c r="CD75" s="386">
        <f>VLOOKUP(C75,Theory!B78:BR149,69,FALSE)</f>
        <v>0</v>
      </c>
      <c r="CE75" s="386">
        <f>VLOOKUP(C75,Theory!B78:BS149,70,FALSE)</f>
        <v>0</v>
      </c>
      <c r="CF75" s="369">
        <f t="shared" si="16"/>
        <v>8</v>
      </c>
      <c r="CG75" s="399">
        <f>VLOOKUP(C75,Theory!B78:BT149,71,FALSE)</f>
        <v>3</v>
      </c>
      <c r="CH75" s="399">
        <f>VLOOKUP(C75,Theory!B78:BU149,72,FALSE)</f>
        <v>0</v>
      </c>
      <c r="CI75" s="399">
        <f>VLOOKUP(C75,Theory!B78:BV149,73,FALSE)</f>
        <v>0</v>
      </c>
      <c r="CJ75" s="399">
        <f>VLOOKUP(C75,Theory!B78:BW149,74,FALSE)</f>
        <v>0</v>
      </c>
      <c r="CK75" s="369">
        <f t="shared" si="17"/>
        <v>3</v>
      </c>
      <c r="CL75" s="386">
        <f>VLOOKUP(C75,Theory!B78:BX149,75,FALSE)</f>
        <v>0</v>
      </c>
      <c r="CM75" s="400">
        <f>VLOOKUP(C75,Theory!B78:BY149,76,FALSE)</f>
        <v>0</v>
      </c>
      <c r="CN75" s="400">
        <f>VLOOKUP(C75,Theory!B78:BZ149,77,FALSE)</f>
        <v>0</v>
      </c>
      <c r="CO75" s="400">
        <f>VLOOKUP(C75,Theory!B78:CA149,78,FALSE)</f>
        <v>0</v>
      </c>
      <c r="CP75" s="386">
        <f>VLOOKUP(C75,Theory!B78:CB149,79,FALSE)</f>
        <v>5</v>
      </c>
      <c r="CQ75" s="386">
        <f>VLOOKUP(C75,Theory!B78:CC149,80,FALSE)</f>
        <v>0</v>
      </c>
      <c r="CR75" s="386">
        <f>VLOOKUP(C75,Theory!B78:CD149,81,FALSE)</f>
        <v>0</v>
      </c>
      <c r="CS75" s="386">
        <f>VLOOKUP(C75,Theory!B78:CE149,82,FALSE)</f>
        <v>0</v>
      </c>
      <c r="CT75" s="369">
        <f t="shared" si="18"/>
        <v>5</v>
      </c>
      <c r="CU75" s="399">
        <f>VLOOKUP(C75,Theory!B78:CF149,83,FALSE)</f>
        <v>8</v>
      </c>
      <c r="CV75" s="400">
        <f>VLOOKUP(C75,Theory!B78:CG149,84,FALSE)</f>
        <v>0</v>
      </c>
      <c r="CW75" s="400">
        <f>VLOOKUP(C75,Theory!B78:CH149,85,FALSE)</f>
        <v>0</v>
      </c>
      <c r="CX75" s="400">
        <f>VLOOKUP(C75,Theory!B78:CI149,86,FALSE)</f>
        <v>0</v>
      </c>
      <c r="CY75" s="399">
        <f>VLOOKUP(C75,Theory!B78:CJ149,87,FALSE)</f>
        <v>0</v>
      </c>
      <c r="CZ75" s="399">
        <f>VLOOKUP(C75,Theory!B78:CK149,88,FALSE)</f>
        <v>0</v>
      </c>
      <c r="DA75" s="399">
        <f>VLOOKUP(C75,Theory!B78:CL149,89,FALSE)</f>
        <v>0</v>
      </c>
      <c r="DB75" s="399">
        <f>VLOOKUP(C75,Theory!B78:CM149,90,FALSE)</f>
        <v>0</v>
      </c>
      <c r="DC75" s="369">
        <f t="shared" si="19"/>
        <v>8</v>
      </c>
      <c r="DD75" s="386">
        <f>VLOOKUP(C75,Theory!B78:CN149,91,FALSE)</f>
        <v>0</v>
      </c>
      <c r="DE75" s="400">
        <f>VLOOKUP(C75,Theory!B78:CO149,92,FALSE)</f>
        <v>0</v>
      </c>
      <c r="DF75" s="400">
        <f>VLOOKUP(C75,Theory!B78:CP149,93,FALSE)</f>
        <v>0</v>
      </c>
      <c r="DG75" s="400">
        <f>VLOOKUP(C75,Theory!B78:CQ149,94,FALSE)</f>
        <v>0</v>
      </c>
      <c r="DH75" s="386">
        <f>VLOOKUP(C75,Theory!B78:CR149,95,FALSE)</f>
        <v>5</v>
      </c>
      <c r="DI75" s="386">
        <f>VLOOKUP(C75,Theory!B78:CS149,96,FALSE)</f>
        <v>0</v>
      </c>
      <c r="DJ75" s="386">
        <f>VLOOKUP(C75,Theory!B78:CT149,97,FALSE)</f>
        <v>0</v>
      </c>
      <c r="DK75" s="386">
        <f>VLOOKUP(C75,Theory!B78:CU149,98,FALSE)</f>
        <v>0</v>
      </c>
      <c r="DL75" s="369">
        <f t="shared" si="20"/>
        <v>5</v>
      </c>
      <c r="DM75" s="411">
        <f t="shared" si="2"/>
        <v>29</v>
      </c>
      <c r="DN75" s="413">
        <f t="shared" si="40"/>
        <v>33</v>
      </c>
      <c r="DO75" s="413">
        <f t="shared" si="41"/>
        <v>10</v>
      </c>
      <c r="DP75" s="413">
        <f t="shared" si="42"/>
        <v>29</v>
      </c>
      <c r="DQ75" s="418">
        <f t="shared" si="43"/>
        <v>20</v>
      </c>
      <c r="DR75" s="418">
        <f t="shared" si="44"/>
        <v>6</v>
      </c>
      <c r="DS75" s="418">
        <f t="shared" si="45"/>
        <v>17</v>
      </c>
      <c r="DT75" s="417">
        <f t="shared" si="36"/>
        <v>14</v>
      </c>
      <c r="DU75" s="423">
        <f>VLOOKUP(C75,Theory!B78:CV149,99,FALSE)</f>
        <v>3</v>
      </c>
      <c r="DV75" s="423">
        <f>VLOOKUP(C75,Theory!B78:CW149,100,FALSE)</f>
        <v>10</v>
      </c>
      <c r="DW75" s="424">
        <f t="shared" si="27"/>
        <v>13</v>
      </c>
      <c r="DX75" s="421">
        <f t="shared" si="3"/>
        <v>27</v>
      </c>
      <c r="DY75" s="430">
        <f t="shared" si="4"/>
        <v>16</v>
      </c>
      <c r="DZ75" s="431">
        <f>VLOOKUP(C75,Lab!B70:D139,3,FALSE)</f>
        <v>0</v>
      </c>
      <c r="EA75" s="432">
        <f>VLOOKUP(C75,Lab!B70:E139,4,FALSE)</f>
        <v>0</v>
      </c>
      <c r="EB75" s="432">
        <f>VLOOKUP(C75,Lab!B70:F139,5,FALSE)</f>
        <v>26</v>
      </c>
      <c r="EC75" s="422">
        <f t="shared" si="37"/>
        <v>26</v>
      </c>
      <c r="ED75" s="436">
        <f>VLOOKUP(C75,Lab!B70:G139,6,FALSE)</f>
        <v>0</v>
      </c>
      <c r="EE75" s="436">
        <f>VLOOKUP(C75,Lab!B70:H139,7,FALSE)</f>
        <v>0</v>
      </c>
      <c r="EF75" s="437">
        <v>10</v>
      </c>
      <c r="EG75" s="443">
        <f t="shared" si="38"/>
        <v>10</v>
      </c>
      <c r="EH75" s="444">
        <f t="shared" si="28"/>
        <v>36</v>
      </c>
      <c r="EI75" s="445">
        <f t="shared" si="29"/>
        <v>14</v>
      </c>
      <c r="EJ75" s="446">
        <f t="shared" si="5"/>
        <v>30</v>
      </c>
      <c r="EK75" s="449">
        <v>26</v>
      </c>
      <c r="EM75" s="450">
        <f>VLOOKUP(C75,Theory!B78:DK149,114,FALSE)</f>
        <v>0</v>
      </c>
      <c r="EN75" s="450">
        <f>VLOOKUP(C75,Theory!B78:DL149,115,FALSE)</f>
        <v>0</v>
      </c>
      <c r="EO75" s="450">
        <f>VLOOKUP(C75,Theory!B78:DM149,116,FALSE)</f>
        <v>0</v>
      </c>
      <c r="EP75" s="450">
        <f>VLOOKUP(C75,Theory!B78:DN147,117,FALSE)</f>
        <v>0</v>
      </c>
      <c r="EQ75" s="450">
        <f>VLOOKUP(C75,Theory!B78:DO147,118,FALSE)</f>
        <v>0</v>
      </c>
      <c r="ER75" s="451">
        <f>VLOOKUP(C75,Theory!B78:DP147,119,FALSE)</f>
        <v>0</v>
      </c>
      <c r="ES75" s="454">
        <f>VLOOKUP(C75,Theory!B78:DQ147,120,FALSE)</f>
        <v>0</v>
      </c>
      <c r="ET75" s="455">
        <f t="shared" si="39"/>
        <v>0</v>
      </c>
      <c r="EU75" s="456"/>
      <c r="EV75" s="456"/>
      <c r="EW75" s="456"/>
      <c r="EX75" s="456"/>
      <c r="EY75" s="456"/>
      <c r="EZ75" s="456"/>
      <c r="FA75" s="456"/>
      <c r="FB75" s="456"/>
      <c r="FC75" s="456"/>
      <c r="FD75" s="456"/>
    </row>
    <row r="76" ht="18.35" spans="1:160">
      <c r="A76" s="164">
        <v>63</v>
      </c>
      <c r="B76" s="289" t="str">
        <f>Theory!C79</f>
        <v>KEERTHI T NAIK</v>
      </c>
      <c r="C76" s="360" t="str">
        <f>Theory!B79</f>
        <v>1DS24AI401</v>
      </c>
      <c r="D76" s="361">
        <f>VLOOKUP(C76,Theory!B79:D150,3,FALSE)</f>
        <v>7</v>
      </c>
      <c r="E76" s="361">
        <f>VLOOKUP(C76,Theory!B79:E150,4,FALSE)</f>
        <v>0</v>
      </c>
      <c r="F76" s="361">
        <f>VLOOKUP(C76,Theory!B79:F150,5,FALSE)</f>
        <v>0</v>
      </c>
      <c r="G76" s="361">
        <f>VLOOKUP(C76,Theory!B79:G150,6,FALSE)</f>
        <v>0</v>
      </c>
      <c r="H76" s="369">
        <f t="shared" si="6"/>
        <v>7</v>
      </c>
      <c r="I76" s="370">
        <f>VLOOKUP(C76,Theory!B79:H150,7,FALSE)</f>
        <v>4</v>
      </c>
      <c r="J76" s="371">
        <f>VLOOKUP(C76,Theory!B79:I150,8,FALSE)</f>
        <v>0</v>
      </c>
      <c r="K76" s="371">
        <f>VLOOKUP(C76,Theory!B79:J150,9,FALSE)</f>
        <v>0</v>
      </c>
      <c r="L76" s="371">
        <f>VLOOKUP(C76,Theory!B79:K150,10,FALSE)</f>
        <v>0</v>
      </c>
      <c r="M76" s="369">
        <f t="shared" si="7"/>
        <v>4</v>
      </c>
      <c r="N76" s="373">
        <f>VLOOKUP(C76,Theory!B79:L150,11,FALSE)</f>
        <v>0</v>
      </c>
      <c r="O76" s="373">
        <f>VLOOKUP(C76,Theory!B79:M150,12,FALSE)</f>
        <v>0</v>
      </c>
      <c r="P76" s="373">
        <f>VLOOKUP(C76,Theory!B79:N150,13,FALSE)</f>
        <v>0</v>
      </c>
      <c r="Q76" s="373">
        <f>VLOOKUP(C76,Theory!B79:O150,14,FALSE)</f>
        <v>0</v>
      </c>
      <c r="R76" s="371">
        <f>VLOOKUP(C76,Theory!B79:P150,15,FALSE)</f>
        <v>0</v>
      </c>
      <c r="S76" s="371">
        <f>VLOOKUP(C76,Theory!B79:Q150,16,FALSE)</f>
        <v>0</v>
      </c>
      <c r="T76" s="371">
        <f>VLOOKUP(C76,Theory!B79:R150,17,FALSE)</f>
        <v>0</v>
      </c>
      <c r="U76" s="371">
        <f>VLOOKUP(C76,Theory!B79:S150,18,FALSE)</f>
        <v>0</v>
      </c>
      <c r="V76" s="369">
        <f t="shared" si="8"/>
        <v>0</v>
      </c>
      <c r="W76" s="361">
        <f>VLOOKUP(C76,Theory!B79:T150,19,FALSE)</f>
        <v>9</v>
      </c>
      <c r="X76" s="361">
        <f>VLOOKUP(C76,Theory!B79:U150,20,FALSE)</f>
        <v>0</v>
      </c>
      <c r="Y76" s="361">
        <f>VLOOKUP(C76,Theory!B79:V150,21,FALSE)</f>
        <v>0</v>
      </c>
      <c r="Z76" s="361">
        <f>VLOOKUP(C76,Theory!B79:W150,22,FALSE)</f>
        <v>0</v>
      </c>
      <c r="AA76" s="370">
        <f>VLOOKUP(C76,Theory!B79:X150,23,FALSE)</f>
        <v>0</v>
      </c>
      <c r="AB76" s="370">
        <f>VLOOKUP(C76,Theory!B79:Y150,24,FALSE)</f>
        <v>0</v>
      </c>
      <c r="AC76" s="370">
        <f>VLOOKUP(C76,Theory!B79:Z150,25,FALSE)</f>
        <v>0</v>
      </c>
      <c r="AD76" s="370">
        <f>VLOOKUP(C76,Theory!B79:AA150,26,FALSE)</f>
        <v>0</v>
      </c>
      <c r="AE76" s="369">
        <f t="shared" si="9"/>
        <v>9</v>
      </c>
      <c r="AF76" s="361">
        <f>VLOOKUP(C76,Theory!B79:AB150,27,FALSE)</f>
        <v>0</v>
      </c>
      <c r="AG76" s="361">
        <f>VLOOKUP(C76,Theory!B79:AC150,28,FALSE)</f>
        <v>0</v>
      </c>
      <c r="AH76" s="361">
        <f>VLOOKUP(C76,Theory!B79:AD150,29,FALSE)</f>
        <v>0</v>
      </c>
      <c r="AI76" s="361">
        <f>VLOOKUP(C76,Theory!B79:AE150,30,FALSE)</f>
        <v>0</v>
      </c>
      <c r="AJ76" s="380">
        <f>VLOOKUP(C76,Theory!B79:AF150,31,FALSE)</f>
        <v>0</v>
      </c>
      <c r="AK76" s="380">
        <f>VLOOKUP(C76,Theory!B79:AG150,32,FALSE)</f>
        <v>0</v>
      </c>
      <c r="AL76" s="380">
        <f>VLOOKUP(C76,Theory!B79:AH150,33,FALSE)</f>
        <v>0</v>
      </c>
      <c r="AM76" s="380">
        <f>VLOOKUP(C76,Theory!B79:AI150,34,FALSE)</f>
        <v>0</v>
      </c>
      <c r="AN76" s="369">
        <f t="shared" si="10"/>
        <v>0</v>
      </c>
      <c r="AO76" s="385">
        <f t="shared" si="0"/>
        <v>20</v>
      </c>
      <c r="AP76" s="386">
        <f>VLOOKUP(C76,Theory!B79:AJ150,35,FALSE)</f>
        <v>0</v>
      </c>
      <c r="AQ76" s="386">
        <f>VLOOKUP(C76,Theory!B79:AK150,36,FALSE)</f>
        <v>0</v>
      </c>
      <c r="AR76" s="386">
        <f>VLOOKUP(C76,Theory!B79:AL150,37,FALSE)</f>
        <v>0</v>
      </c>
      <c r="AS76" s="386">
        <f>VLOOKUP(C76,Theory!B79:AM150,38,FALSE)</f>
        <v>0</v>
      </c>
      <c r="AT76" s="369">
        <f t="shared" si="11"/>
        <v>0</v>
      </c>
      <c r="AU76" s="386">
        <f>VLOOKUP(C76,Theory!B79:AN150,39,FALSE)</f>
        <v>0</v>
      </c>
      <c r="AV76" s="386">
        <f>VLOOKUP(C76,Theory!B79:AO150,40,FALSE)</f>
        <v>0</v>
      </c>
      <c r="AW76" s="386">
        <f>VLOOKUP(C76,Theory!B79:AP150,41,FALSE)</f>
        <v>0</v>
      </c>
      <c r="AX76" s="386">
        <f>VLOOKUP(C76,Theory!B79:AQ150,42,FALSE)</f>
        <v>0</v>
      </c>
      <c r="AY76" s="369">
        <f t="shared" si="12"/>
        <v>0</v>
      </c>
      <c r="AZ76" s="386">
        <f>VLOOKUP(C76,Theory!B79:AR150,43,FALSE)</f>
        <v>0</v>
      </c>
      <c r="BA76" s="386">
        <f>VLOOKUP(C76,Theory!B79:AS150,44,FALSE)</f>
        <v>0</v>
      </c>
      <c r="BB76" s="386">
        <f>VLOOKUP(C76,Theory!B79:AT150,45,FALSE)</f>
        <v>0</v>
      </c>
      <c r="BC76" s="386">
        <f>VLOOKUP(C76,Theory!B79:AU150,46,FALSE)</f>
        <v>0</v>
      </c>
      <c r="BD76" s="386">
        <f>VLOOKUP(C76,Theory!B79:AV150,47,FALSE)</f>
        <v>0</v>
      </c>
      <c r="BE76" s="386">
        <f>VLOOKUP(C76,Theory!B79:AW150,48,FALSE)</f>
        <v>0</v>
      </c>
      <c r="BF76" s="386">
        <f>VLOOKUP(C76,Theory!B79:AX150,49,FALSE)</f>
        <v>0</v>
      </c>
      <c r="BG76" s="386">
        <f>VLOOKUP(C76,Theory!B79:AY150,50,FALSE)</f>
        <v>0</v>
      </c>
      <c r="BH76" s="369">
        <f t="shared" si="13"/>
        <v>0</v>
      </c>
      <c r="BI76" s="386">
        <f>VLOOKUP(C76,Theory!B79:AZ150,51,FALSE)</f>
        <v>0</v>
      </c>
      <c r="BJ76" s="386">
        <f>VLOOKUP(C76,Theory!B79:BA150,52,FALSE)</f>
        <v>0</v>
      </c>
      <c r="BK76" s="386">
        <f>VLOOKUP(C76,Theory!B79:BB150,53,FALSE)</f>
        <v>0</v>
      </c>
      <c r="BL76" s="386">
        <f>VLOOKUP(C76,Theory!B79:BC150,54,FALSE)</f>
        <v>0</v>
      </c>
      <c r="BM76" s="386">
        <f>VLOOKUP(C76,Theory!B79:BD150,55,FALSE)</f>
        <v>0</v>
      </c>
      <c r="BN76" s="386">
        <f>VLOOKUP(C76,Theory!B79:BE150,56,FALSE)</f>
        <v>0</v>
      </c>
      <c r="BO76" s="386">
        <f>VLOOKUP(C76,Theory!B79:BF150,57,FALSE)</f>
        <v>0</v>
      </c>
      <c r="BP76" s="386">
        <f>VLOOKUP(C76,Theory!B79:BG150,58,FALSE)</f>
        <v>0</v>
      </c>
      <c r="BQ76" s="369">
        <f t="shared" si="14"/>
        <v>0</v>
      </c>
      <c r="BR76" s="386">
        <f>VLOOKUP(C76,Theory!B79:BH150,59,FALSE)</f>
        <v>8</v>
      </c>
      <c r="BS76" s="386">
        <f>VLOOKUP(C76,Theory!B79:BI150,60,FALSE)</f>
        <v>0</v>
      </c>
      <c r="BT76" s="386">
        <f>VLOOKUP(C76,Theory!B79:BJ150,61,FALSE)</f>
        <v>0</v>
      </c>
      <c r="BU76" s="386">
        <f>VLOOKUP(C76,Theory!B79:BK150,62,FALSE)</f>
        <v>0</v>
      </c>
      <c r="BV76" s="386">
        <f>VLOOKUP(C76,Theory!B79:BL150,63,FALSE)</f>
        <v>0</v>
      </c>
      <c r="BW76" s="386">
        <f>VLOOKUP(C76,Theory!B79:BM150,64,FALSE)</f>
        <v>0</v>
      </c>
      <c r="BX76" s="386">
        <f>VLOOKUP(C76,Theory!B79:BN150,65,FALSE)</f>
        <v>0</v>
      </c>
      <c r="BY76" s="386">
        <f>VLOOKUP(C76,Theory!B79:BO150,66,FALSE)</f>
        <v>0</v>
      </c>
      <c r="BZ76" s="369">
        <f t="shared" si="15"/>
        <v>8</v>
      </c>
      <c r="CA76" s="385">
        <f t="shared" si="1"/>
        <v>8</v>
      </c>
      <c r="CB76" s="386">
        <f>VLOOKUP(C76,Theory!B79:BP150,67,FALSE)</f>
        <v>8</v>
      </c>
      <c r="CC76" s="386">
        <f>VLOOKUP(C76,Theory!B79:BQ150,68,FALSE)</f>
        <v>0</v>
      </c>
      <c r="CD76" s="386">
        <f>VLOOKUP(C76,Theory!B79:BR150,69,FALSE)</f>
        <v>0</v>
      </c>
      <c r="CE76" s="386">
        <f>VLOOKUP(C76,Theory!B79:BS150,70,FALSE)</f>
        <v>0</v>
      </c>
      <c r="CF76" s="369">
        <f t="shared" si="16"/>
        <v>8</v>
      </c>
      <c r="CG76" s="399">
        <f>VLOOKUP(C76,Theory!B79:BT150,71,FALSE)</f>
        <v>8</v>
      </c>
      <c r="CH76" s="399">
        <f>VLOOKUP(C76,Theory!B79:BU150,72,FALSE)</f>
        <v>0</v>
      </c>
      <c r="CI76" s="399">
        <f>VLOOKUP(C76,Theory!B79:BV150,73,FALSE)</f>
        <v>0</v>
      </c>
      <c r="CJ76" s="399">
        <f>VLOOKUP(C76,Theory!B79:BW150,74,FALSE)</f>
        <v>0</v>
      </c>
      <c r="CK76" s="369">
        <f t="shared" si="17"/>
        <v>8</v>
      </c>
      <c r="CL76" s="386">
        <f>VLOOKUP(C76,Theory!B79:BX150,75,FALSE)</f>
        <v>9</v>
      </c>
      <c r="CM76" s="400">
        <f>VLOOKUP(C76,Theory!B79:BY150,76,FALSE)</f>
        <v>0</v>
      </c>
      <c r="CN76" s="400">
        <f>VLOOKUP(C76,Theory!B79:BZ150,77,FALSE)</f>
        <v>0</v>
      </c>
      <c r="CO76" s="400">
        <f>VLOOKUP(C76,Theory!B79:CA150,78,FALSE)</f>
        <v>0</v>
      </c>
      <c r="CP76" s="386">
        <f>VLOOKUP(C76,Theory!B79:CB150,79,FALSE)</f>
        <v>0</v>
      </c>
      <c r="CQ76" s="386">
        <f>VLOOKUP(C76,Theory!B79:CC150,80,FALSE)</f>
        <v>0</v>
      </c>
      <c r="CR76" s="386">
        <f>VLOOKUP(C76,Theory!B79:CD150,81,FALSE)</f>
        <v>0</v>
      </c>
      <c r="CS76" s="386">
        <f>VLOOKUP(C76,Theory!B79:CE150,82,FALSE)</f>
        <v>0</v>
      </c>
      <c r="CT76" s="369">
        <f t="shared" si="18"/>
        <v>9</v>
      </c>
      <c r="CU76" s="399">
        <f>VLOOKUP(C76,Theory!B79:CF150,83,FALSE)</f>
        <v>4</v>
      </c>
      <c r="CV76" s="400">
        <f>VLOOKUP(C76,Theory!B79:CG150,84,FALSE)</f>
        <v>0</v>
      </c>
      <c r="CW76" s="400">
        <f>VLOOKUP(C76,Theory!B79:CH150,85,FALSE)</f>
        <v>0</v>
      </c>
      <c r="CX76" s="400">
        <f>VLOOKUP(C76,Theory!B79:CI150,86,FALSE)</f>
        <v>0</v>
      </c>
      <c r="CY76" s="399">
        <f>VLOOKUP(C76,Theory!B79:CJ150,87,FALSE)</f>
        <v>0</v>
      </c>
      <c r="CZ76" s="399">
        <f>VLOOKUP(C76,Theory!B79:CK150,88,FALSE)</f>
        <v>0</v>
      </c>
      <c r="DA76" s="399">
        <f>VLOOKUP(C76,Theory!B79:CL150,89,FALSE)</f>
        <v>0</v>
      </c>
      <c r="DB76" s="399">
        <f>VLOOKUP(C76,Theory!B79:CM150,90,FALSE)</f>
        <v>0</v>
      </c>
      <c r="DC76" s="369">
        <f t="shared" si="19"/>
        <v>4</v>
      </c>
      <c r="DD76" s="386">
        <f>VLOOKUP(C76,Theory!B79:CN150,91,FALSE)</f>
        <v>0</v>
      </c>
      <c r="DE76" s="400">
        <f>VLOOKUP(C76,Theory!B79:CO150,92,FALSE)</f>
        <v>0</v>
      </c>
      <c r="DF76" s="400">
        <f>VLOOKUP(C76,Theory!B79:CP150,93,FALSE)</f>
        <v>0</v>
      </c>
      <c r="DG76" s="400">
        <f>VLOOKUP(C76,Theory!B79:CQ150,94,FALSE)</f>
        <v>0</v>
      </c>
      <c r="DH76" s="386">
        <f>VLOOKUP(C76,Theory!B79:CR150,95,FALSE)</f>
        <v>2</v>
      </c>
      <c r="DI76" s="386">
        <f>VLOOKUP(C76,Theory!B79:CS150,96,FALSE)</f>
        <v>0</v>
      </c>
      <c r="DJ76" s="386">
        <f>VLOOKUP(C76,Theory!B79:CT150,97,FALSE)</f>
        <v>0</v>
      </c>
      <c r="DK76" s="386">
        <f>VLOOKUP(C76,Theory!B79:CU150,98,FALSE)</f>
        <v>0</v>
      </c>
      <c r="DL76" s="369">
        <f t="shared" si="20"/>
        <v>2</v>
      </c>
      <c r="DM76" s="411">
        <f t="shared" si="2"/>
        <v>31</v>
      </c>
      <c r="DN76" s="413">
        <f t="shared" si="40"/>
        <v>20</v>
      </c>
      <c r="DO76" s="413">
        <f t="shared" si="41"/>
        <v>8</v>
      </c>
      <c r="DP76" s="413">
        <f t="shared" si="42"/>
        <v>31</v>
      </c>
      <c r="DQ76" s="418">
        <f t="shared" si="43"/>
        <v>12</v>
      </c>
      <c r="DR76" s="418">
        <f t="shared" si="44"/>
        <v>5</v>
      </c>
      <c r="DS76" s="418">
        <f t="shared" si="45"/>
        <v>19</v>
      </c>
      <c r="DT76" s="417">
        <f t="shared" si="36"/>
        <v>12</v>
      </c>
      <c r="DU76" s="423">
        <f>VLOOKUP(C76,Theory!B79:CV150,99,FALSE)</f>
        <v>7</v>
      </c>
      <c r="DV76" s="423">
        <f>VLOOKUP(C76,Theory!B79:CW150,100,FALSE)</f>
        <v>10</v>
      </c>
      <c r="DW76" s="424">
        <f t="shared" si="27"/>
        <v>17</v>
      </c>
      <c r="DX76" s="421">
        <f t="shared" si="3"/>
        <v>29</v>
      </c>
      <c r="DY76" s="430">
        <f t="shared" si="4"/>
        <v>17</v>
      </c>
      <c r="DZ76" s="431">
        <f>VLOOKUP(C76,Lab!B71:D140,3,FALSE)</f>
        <v>0</v>
      </c>
      <c r="EA76" s="432">
        <f>VLOOKUP(C76,Lab!B71:E140,4,FALSE)</f>
        <v>0</v>
      </c>
      <c r="EB76" s="432">
        <f>VLOOKUP(C76,Lab!B71:F140,5,FALSE)</f>
        <v>28</v>
      </c>
      <c r="EC76" s="422">
        <f t="shared" si="37"/>
        <v>28</v>
      </c>
      <c r="ED76" s="436">
        <f>VLOOKUP(C76,Lab!B71:G140,6,FALSE)</f>
        <v>0</v>
      </c>
      <c r="EE76" s="436">
        <f>VLOOKUP(C76,Lab!B71:H140,7,FALSE)</f>
        <v>0</v>
      </c>
      <c r="EF76" s="437">
        <f>VLOOKUP(C76,Lab!B71:I140,8,FALSE)</f>
        <v>19</v>
      </c>
      <c r="EG76" s="443">
        <f t="shared" si="38"/>
        <v>19</v>
      </c>
      <c r="EH76" s="444">
        <f t="shared" si="28"/>
        <v>47</v>
      </c>
      <c r="EI76" s="445">
        <f t="shared" si="29"/>
        <v>19</v>
      </c>
      <c r="EJ76" s="446">
        <f t="shared" si="5"/>
        <v>36</v>
      </c>
      <c r="EK76" s="449">
        <v>26</v>
      </c>
      <c r="EM76" s="450">
        <f>VLOOKUP(C76,Theory!B79:DK150,114,FALSE)</f>
        <v>0</v>
      </c>
      <c r="EN76" s="450">
        <f>VLOOKUP(C76,Theory!B79:DL150,115,FALSE)</f>
        <v>0</v>
      </c>
      <c r="EO76" s="450">
        <f>VLOOKUP(C76,Theory!B79:DM150,116,FALSE)</f>
        <v>0</v>
      </c>
      <c r="EP76" s="450">
        <f>VLOOKUP(C76,Theory!B79:DN148,117,FALSE)</f>
        <v>0</v>
      </c>
      <c r="EQ76" s="450">
        <f>VLOOKUP(C76,Theory!B79:DO148,118,FALSE)</f>
        <v>0</v>
      </c>
      <c r="ER76" s="451">
        <f>VLOOKUP(C76,Theory!B79:DP148,119,FALSE)</f>
        <v>0</v>
      </c>
      <c r="ES76" s="454">
        <f>VLOOKUP(C76,Theory!B79:DQ148,120,FALSE)</f>
        <v>0</v>
      </c>
      <c r="ET76" s="455">
        <f t="shared" si="39"/>
        <v>0</v>
      </c>
      <c r="EU76" s="456"/>
      <c r="EV76" s="456"/>
      <c r="EW76" s="456"/>
      <c r="EX76" s="456"/>
      <c r="EY76" s="456"/>
      <c r="EZ76" s="456"/>
      <c r="FA76" s="456"/>
      <c r="FB76" s="456"/>
      <c r="FC76" s="456"/>
      <c r="FD76" s="456"/>
    </row>
    <row r="77" s="11" customFormat="1" ht="18.35" spans="1:160">
      <c r="A77" s="363">
        <v>64</v>
      </c>
      <c r="B77" s="289" t="str">
        <f>Theory!C80</f>
        <v>MANJUNATH </v>
      </c>
      <c r="C77" s="360" t="str">
        <f>Theory!B80</f>
        <v>1DS24AI402</v>
      </c>
      <c r="D77" s="361">
        <f>VLOOKUP(C77,Theory!B80:D151,3,FALSE)</f>
        <v>9</v>
      </c>
      <c r="E77" s="361">
        <f>VLOOKUP(C77,Theory!B80:E151,4,FALSE)</f>
        <v>0</v>
      </c>
      <c r="F77" s="361">
        <f>VLOOKUP(C77,Theory!B80:F151,5,FALSE)</f>
        <v>0</v>
      </c>
      <c r="G77" s="361">
        <f>VLOOKUP(C77,Theory!B80:G151,6,FALSE)</f>
        <v>0</v>
      </c>
      <c r="H77" s="369">
        <f t="shared" si="6"/>
        <v>9</v>
      </c>
      <c r="I77" s="370">
        <f>VLOOKUP(C77,Theory!B80:H151,7,FALSE)</f>
        <v>7</v>
      </c>
      <c r="J77" s="371">
        <f>VLOOKUP(C77,Theory!B80:I151,8,FALSE)</f>
        <v>0</v>
      </c>
      <c r="K77" s="371">
        <f>VLOOKUP(C77,Theory!B80:J151,9,FALSE)</f>
        <v>0</v>
      </c>
      <c r="L77" s="371">
        <f>VLOOKUP(C77,Theory!B80:K151,10,FALSE)</f>
        <v>0</v>
      </c>
      <c r="M77" s="369">
        <f t="shared" si="7"/>
        <v>7</v>
      </c>
      <c r="N77" s="373">
        <f>VLOOKUP(C77,Theory!B80:L151,11,FALSE)</f>
        <v>2</v>
      </c>
      <c r="O77" s="373">
        <f>VLOOKUP(C77,Theory!B80:M151,12,FALSE)</f>
        <v>0</v>
      </c>
      <c r="P77" s="373">
        <f>VLOOKUP(C77,Theory!B80:N151,13,FALSE)</f>
        <v>0</v>
      </c>
      <c r="Q77" s="373">
        <f>VLOOKUP(C77,Theory!B80:O151,14,FALSE)</f>
        <v>0</v>
      </c>
      <c r="R77" s="371">
        <f>VLOOKUP(C77,Theory!B80:P151,15,FALSE)</f>
        <v>0</v>
      </c>
      <c r="S77" s="371">
        <f>VLOOKUP(C77,Theory!B80:Q151,16,FALSE)</f>
        <v>0</v>
      </c>
      <c r="T77" s="371">
        <f>VLOOKUP(C77,Theory!B80:R151,17,FALSE)</f>
        <v>0</v>
      </c>
      <c r="U77" s="371">
        <f>VLOOKUP(C77,Theory!B80:S151,18,FALSE)</f>
        <v>0</v>
      </c>
      <c r="V77" s="369">
        <f t="shared" si="8"/>
        <v>2</v>
      </c>
      <c r="W77" s="361">
        <f>VLOOKUP(C77,Theory!B80:T151,19,FALSE)</f>
        <v>9</v>
      </c>
      <c r="X77" s="361">
        <f>VLOOKUP(C77,Theory!B80:U151,20,FALSE)</f>
        <v>0</v>
      </c>
      <c r="Y77" s="361">
        <f>VLOOKUP(C77,Theory!B80:V151,21,FALSE)</f>
        <v>0</v>
      </c>
      <c r="Z77" s="361">
        <f>VLOOKUP(C77,Theory!B80:W151,22,FALSE)</f>
        <v>0</v>
      </c>
      <c r="AA77" s="370">
        <f>VLOOKUP(C77,Theory!B80:X151,23,FALSE)</f>
        <v>0</v>
      </c>
      <c r="AB77" s="370">
        <f>VLOOKUP(C77,Theory!B80:Y151,24,FALSE)</f>
        <v>0</v>
      </c>
      <c r="AC77" s="370">
        <f>VLOOKUP(C77,Theory!B80:Z151,25,FALSE)</f>
        <v>0</v>
      </c>
      <c r="AD77" s="370">
        <f>VLOOKUP(C77,Theory!B80:AA151,26,FALSE)</f>
        <v>0</v>
      </c>
      <c r="AE77" s="369">
        <f t="shared" si="9"/>
        <v>9</v>
      </c>
      <c r="AF77" s="361">
        <f>VLOOKUP(C77,Theory!B80:AB151,27,FALSE)</f>
        <v>8</v>
      </c>
      <c r="AG77" s="361">
        <f>VLOOKUP(C77,Theory!B80:AC151,28,FALSE)</f>
        <v>0</v>
      </c>
      <c r="AH77" s="361">
        <f>VLOOKUP(C77,Theory!B80:AD151,29,FALSE)</f>
        <v>0</v>
      </c>
      <c r="AI77" s="361">
        <f>VLOOKUP(C77,Theory!B80:AE151,30,FALSE)</f>
        <v>0</v>
      </c>
      <c r="AJ77" s="380">
        <f>VLOOKUP(C77,Theory!B80:AF151,31,FALSE)</f>
        <v>0</v>
      </c>
      <c r="AK77" s="380">
        <f>VLOOKUP(C77,Theory!B80:AG151,32,FALSE)</f>
        <v>0</v>
      </c>
      <c r="AL77" s="380">
        <f>VLOOKUP(C77,Theory!B80:AH151,33,FALSE)</f>
        <v>0</v>
      </c>
      <c r="AM77" s="380">
        <f>VLOOKUP(C77,Theory!B80:AI151,34,FALSE)</f>
        <v>0</v>
      </c>
      <c r="AN77" s="369">
        <f t="shared" si="10"/>
        <v>8</v>
      </c>
      <c r="AO77" s="385">
        <f t="shared" ref="AO77:AO83" si="46">SUM(H77,M77,V77,AE77,AN77)</f>
        <v>35</v>
      </c>
      <c r="AP77" s="386">
        <f>VLOOKUP(C77,Theory!B80:AJ151,35,FALSE)</f>
        <v>4</v>
      </c>
      <c r="AQ77" s="386">
        <f>VLOOKUP(C77,Theory!B80:AK151,36,FALSE)</f>
        <v>0</v>
      </c>
      <c r="AR77" s="386">
        <f>VLOOKUP(C77,Theory!B80:AL151,37,FALSE)</f>
        <v>0</v>
      </c>
      <c r="AS77" s="386">
        <f>VLOOKUP(C77,Theory!B80:AM151,38,FALSE)</f>
        <v>0</v>
      </c>
      <c r="AT77" s="369">
        <f t="shared" si="11"/>
        <v>4</v>
      </c>
      <c r="AU77" s="386">
        <f>VLOOKUP(C77,Theory!B80:AN151,39,FALSE)</f>
        <v>8</v>
      </c>
      <c r="AV77" s="386">
        <f>VLOOKUP(C77,Theory!B80:AO151,40,FALSE)</f>
        <v>0</v>
      </c>
      <c r="AW77" s="386">
        <f>VLOOKUP(C77,Theory!B80:AP151,41,FALSE)</f>
        <v>0</v>
      </c>
      <c r="AX77" s="386">
        <f>VLOOKUP(C77,Theory!B80:AQ151,42,FALSE)</f>
        <v>0</v>
      </c>
      <c r="AY77" s="369">
        <f t="shared" si="12"/>
        <v>8</v>
      </c>
      <c r="AZ77" s="386">
        <f>VLOOKUP(C77,Theory!B80:AR151,43,FALSE)</f>
        <v>0</v>
      </c>
      <c r="BA77" s="386">
        <f>VLOOKUP(C77,Theory!B80:AS151,44,FALSE)</f>
        <v>0</v>
      </c>
      <c r="BB77" s="386">
        <f>VLOOKUP(C77,Theory!B80:AT151,45,FALSE)</f>
        <v>0</v>
      </c>
      <c r="BC77" s="386">
        <f>VLOOKUP(C77,Theory!B80:AU151,46,FALSE)</f>
        <v>0</v>
      </c>
      <c r="BD77" s="386">
        <f>VLOOKUP(C77,Theory!B80:AV151,47,FALSE)</f>
        <v>8</v>
      </c>
      <c r="BE77" s="386">
        <f>VLOOKUP(C77,Theory!B80:AW151,48,FALSE)</f>
        <v>0</v>
      </c>
      <c r="BF77" s="386">
        <f>VLOOKUP(C77,Theory!B80:AX151,49,FALSE)</f>
        <v>0</v>
      </c>
      <c r="BG77" s="386">
        <f>VLOOKUP(C77,Theory!B80:AY151,50,FALSE)</f>
        <v>0</v>
      </c>
      <c r="BH77" s="369">
        <f t="shared" si="13"/>
        <v>8</v>
      </c>
      <c r="BI77" s="386">
        <f>VLOOKUP(C77,Theory!B80:AZ151,51,FALSE)</f>
        <v>0</v>
      </c>
      <c r="BJ77" s="386">
        <f>VLOOKUP(C77,Theory!B80:BA151,52,FALSE)</f>
        <v>0</v>
      </c>
      <c r="BK77" s="386">
        <f>VLOOKUP(C77,Theory!B80:BB151,53,FALSE)</f>
        <v>0</v>
      </c>
      <c r="BL77" s="386">
        <f>VLOOKUP(C77,Theory!B80:BC151,54,FALSE)</f>
        <v>0</v>
      </c>
      <c r="BM77" s="386">
        <f>VLOOKUP(C77,Theory!B80:BD151,55,FALSE)</f>
        <v>0</v>
      </c>
      <c r="BN77" s="386">
        <f>VLOOKUP(C77,Theory!B80:BE151,56,FALSE)</f>
        <v>0</v>
      </c>
      <c r="BO77" s="386">
        <f>VLOOKUP(C77,Theory!B80:BF151,57,FALSE)</f>
        <v>0</v>
      </c>
      <c r="BP77" s="386">
        <f>VLOOKUP(C77,Theory!B80:BG151,58,FALSE)</f>
        <v>0</v>
      </c>
      <c r="BQ77" s="369">
        <f t="shared" si="14"/>
        <v>0</v>
      </c>
      <c r="BR77" s="386">
        <f>VLOOKUP(C77,Theory!B80:BH151,59,FALSE)</f>
        <v>10</v>
      </c>
      <c r="BS77" s="386">
        <f>VLOOKUP(C77,Theory!B80:BI151,60,FALSE)</f>
        <v>0</v>
      </c>
      <c r="BT77" s="386">
        <f>VLOOKUP(C77,Theory!B80:BJ151,61,FALSE)</f>
        <v>0</v>
      </c>
      <c r="BU77" s="386">
        <f>VLOOKUP(C77,Theory!B80:BK151,62,FALSE)</f>
        <v>0</v>
      </c>
      <c r="BV77" s="386">
        <f>VLOOKUP(C77,Theory!B80:BL151,63,FALSE)</f>
        <v>0</v>
      </c>
      <c r="BW77" s="386">
        <f>VLOOKUP(C77,Theory!B80:BM151,64,FALSE)</f>
        <v>0</v>
      </c>
      <c r="BX77" s="386">
        <f>VLOOKUP(C77,Theory!B80:BN151,65,FALSE)</f>
        <v>0</v>
      </c>
      <c r="BY77" s="386">
        <f>VLOOKUP(C77,Theory!B80:BO151,66,FALSE)</f>
        <v>0</v>
      </c>
      <c r="BZ77" s="369">
        <f t="shared" si="15"/>
        <v>10</v>
      </c>
      <c r="CA77" s="385">
        <f t="shared" ref="CA77:CA83" si="47">SUM(AT77,AY77,BH77,BQ77,BZ77)</f>
        <v>30</v>
      </c>
      <c r="CB77" s="386">
        <f>VLOOKUP(C77,Theory!B80:BP151,67,FALSE)</f>
        <v>10</v>
      </c>
      <c r="CC77" s="386">
        <f>VLOOKUP(C77,Theory!B80:BQ151,68,FALSE)</f>
        <v>0</v>
      </c>
      <c r="CD77" s="386">
        <f>VLOOKUP(C77,Theory!B80:BR151,69,FALSE)</f>
        <v>0</v>
      </c>
      <c r="CE77" s="386">
        <f>VLOOKUP(C77,Theory!B80:BS151,70,FALSE)</f>
        <v>0</v>
      </c>
      <c r="CF77" s="369">
        <f t="shared" si="16"/>
        <v>10</v>
      </c>
      <c r="CG77" s="399">
        <f>VLOOKUP(C77,Theory!B80:BT151,71,FALSE)</f>
        <v>10</v>
      </c>
      <c r="CH77" s="399">
        <f>VLOOKUP(C77,Theory!B80:BU151,72,FALSE)</f>
        <v>0</v>
      </c>
      <c r="CI77" s="399">
        <f>VLOOKUP(C77,Theory!B80:BV151,73,FALSE)</f>
        <v>0</v>
      </c>
      <c r="CJ77" s="399">
        <f>VLOOKUP(C77,Theory!B80:BW151,74,FALSE)</f>
        <v>0</v>
      </c>
      <c r="CK77" s="369">
        <f t="shared" si="17"/>
        <v>10</v>
      </c>
      <c r="CL77" s="386">
        <f>VLOOKUP(C77,Theory!B80:BX151,75,FALSE)</f>
        <v>10</v>
      </c>
      <c r="CM77" s="400">
        <f>VLOOKUP(C77,Theory!B80:BY151,76,FALSE)</f>
        <v>0</v>
      </c>
      <c r="CN77" s="400">
        <f>VLOOKUP(C77,Theory!B80:BZ151,77,FALSE)</f>
        <v>0</v>
      </c>
      <c r="CO77" s="400">
        <f>VLOOKUP(C77,Theory!B80:CA151,78,FALSE)</f>
        <v>0</v>
      </c>
      <c r="CP77" s="386">
        <f>VLOOKUP(C77,Theory!B80:CB151,79,FALSE)</f>
        <v>0</v>
      </c>
      <c r="CQ77" s="386">
        <f>VLOOKUP(C77,Theory!B80:CC151,80,FALSE)</f>
        <v>0</v>
      </c>
      <c r="CR77" s="386">
        <f>VLOOKUP(C77,Theory!B80:CD151,81,FALSE)</f>
        <v>0</v>
      </c>
      <c r="CS77" s="386">
        <f>VLOOKUP(C77,Theory!B80:CE151,82,FALSE)</f>
        <v>0</v>
      </c>
      <c r="CT77" s="369">
        <f t="shared" si="18"/>
        <v>10</v>
      </c>
      <c r="CU77" s="399">
        <f>VLOOKUP(C77,Theory!B80:CF151,83,FALSE)</f>
        <v>10</v>
      </c>
      <c r="CV77" s="400">
        <f>VLOOKUP(C77,Theory!B80:CG151,84,FALSE)</f>
        <v>0</v>
      </c>
      <c r="CW77" s="400">
        <f>VLOOKUP(C77,Theory!B80:CH151,85,FALSE)</f>
        <v>0</v>
      </c>
      <c r="CX77" s="400">
        <f>VLOOKUP(C77,Theory!B80:CI151,86,FALSE)</f>
        <v>0</v>
      </c>
      <c r="CY77" s="399">
        <f>VLOOKUP(C77,Theory!B80:CJ151,87,FALSE)</f>
        <v>0</v>
      </c>
      <c r="CZ77" s="399">
        <f>VLOOKUP(C77,Theory!B80:CK151,88,FALSE)</f>
        <v>0</v>
      </c>
      <c r="DA77" s="399">
        <f>VLOOKUP(C77,Theory!B80:CL151,89,FALSE)</f>
        <v>0</v>
      </c>
      <c r="DB77" s="399">
        <f>VLOOKUP(C77,Theory!B80:CM151,90,FALSE)</f>
        <v>0</v>
      </c>
      <c r="DC77" s="369">
        <f t="shared" si="19"/>
        <v>10</v>
      </c>
      <c r="DD77" s="386">
        <f>VLOOKUP(C77,Theory!B80:CN151,91,FALSE)</f>
        <v>10</v>
      </c>
      <c r="DE77" s="400">
        <f>VLOOKUP(C77,Theory!B80:CO151,92,FALSE)</f>
        <v>0</v>
      </c>
      <c r="DF77" s="400">
        <f>VLOOKUP(C77,Theory!B80:CP151,93,FALSE)</f>
        <v>0</v>
      </c>
      <c r="DG77" s="400">
        <f>VLOOKUP(C77,Theory!B80:CQ151,94,FALSE)</f>
        <v>0</v>
      </c>
      <c r="DH77" s="386">
        <f>VLOOKUP(C77,Theory!B80:CR151,95,FALSE)</f>
        <v>0</v>
      </c>
      <c r="DI77" s="386">
        <f>VLOOKUP(C77,Theory!B80:CS151,96,FALSE)</f>
        <v>0</v>
      </c>
      <c r="DJ77" s="386">
        <f>VLOOKUP(C77,Theory!B80:CT151,97,FALSE)</f>
        <v>0</v>
      </c>
      <c r="DK77" s="386">
        <f>VLOOKUP(C77,Theory!B80:CU151,98,FALSE)</f>
        <v>0</v>
      </c>
      <c r="DL77" s="369">
        <f t="shared" si="20"/>
        <v>10</v>
      </c>
      <c r="DM77" s="411">
        <f t="shared" ref="DM77:DM83" si="48">SUM(CF77,CK77,CT77,DC77,DL77)</f>
        <v>50</v>
      </c>
      <c r="DN77" s="413">
        <f t="shared" si="40"/>
        <v>35</v>
      </c>
      <c r="DO77" s="413">
        <f t="shared" si="41"/>
        <v>30</v>
      </c>
      <c r="DP77" s="413">
        <f t="shared" si="42"/>
        <v>50</v>
      </c>
      <c r="DQ77" s="418">
        <f t="shared" si="43"/>
        <v>21</v>
      </c>
      <c r="DR77" s="418">
        <f t="shared" si="44"/>
        <v>18</v>
      </c>
      <c r="DS77" s="418">
        <f t="shared" si="45"/>
        <v>30</v>
      </c>
      <c r="DT77" s="417">
        <f t="shared" si="36"/>
        <v>23</v>
      </c>
      <c r="DU77" s="423">
        <f>VLOOKUP(C77,Theory!B80:CV151,99,FALSE)</f>
        <v>7</v>
      </c>
      <c r="DV77" s="423">
        <f>VLOOKUP(C77,Theory!B80:CW151,100,FALSE)</f>
        <v>10</v>
      </c>
      <c r="DW77" s="424">
        <f t="shared" si="27"/>
        <v>17</v>
      </c>
      <c r="DX77" s="421">
        <f t="shared" ref="DX77:DX83" si="49">SUM(DT77:DV77)</f>
        <v>40</v>
      </c>
      <c r="DY77" s="430">
        <f t="shared" si="4"/>
        <v>24</v>
      </c>
      <c r="DZ77" s="431">
        <f>VLOOKUP(C77,Lab!B72:D141,3,FALSE)</f>
        <v>0</v>
      </c>
      <c r="EA77" s="432">
        <f>VLOOKUP(C77,Lab!B72:E141,4,FALSE)</f>
        <v>0</v>
      </c>
      <c r="EB77" s="432">
        <f>VLOOKUP(C77,Lab!B72:F141,5,FALSE)</f>
        <v>30</v>
      </c>
      <c r="EC77" s="422">
        <f t="shared" si="37"/>
        <v>30</v>
      </c>
      <c r="ED77" s="436">
        <f>VLOOKUP(C77,Lab!B72:G141,6,FALSE)</f>
        <v>0</v>
      </c>
      <c r="EE77" s="436">
        <f>VLOOKUP(C77,Lab!B72:H141,7,FALSE)</f>
        <v>0</v>
      </c>
      <c r="EF77" s="437">
        <f>VLOOKUP(C77,Lab!B72:I141,8,FALSE)</f>
        <v>20</v>
      </c>
      <c r="EG77" s="443">
        <f t="shared" si="38"/>
        <v>20</v>
      </c>
      <c r="EH77" s="444">
        <f t="shared" si="28"/>
        <v>50</v>
      </c>
      <c r="EI77" s="445">
        <f t="shared" si="29"/>
        <v>20</v>
      </c>
      <c r="EJ77" s="446">
        <f t="shared" ref="EJ77:EJ83" si="50">SUM(DY77,EI77)</f>
        <v>44</v>
      </c>
      <c r="EK77" s="449">
        <v>41.5</v>
      </c>
      <c r="EL77" s="336"/>
      <c r="EM77" s="450">
        <f>VLOOKUP(C77,Theory!B80:DK151,114,FALSE)</f>
        <v>0</v>
      </c>
      <c r="EN77" s="450">
        <f>VLOOKUP(C77,Theory!B80:DL151,115,FALSE)</f>
        <v>0</v>
      </c>
      <c r="EO77" s="450">
        <f>VLOOKUP(C77,Theory!B80:DM151,116,FALSE)</f>
        <v>0</v>
      </c>
      <c r="EP77" s="450">
        <f>VLOOKUP(C77,Theory!B80:DN149,117,FALSE)</f>
        <v>0</v>
      </c>
      <c r="EQ77" s="450">
        <f>VLOOKUP(C77,Theory!B80:DO149,118,FALSE)</f>
        <v>0</v>
      </c>
      <c r="ER77" s="451">
        <f>VLOOKUP(C77,Theory!B80:DP149,119,FALSE)</f>
        <v>0</v>
      </c>
      <c r="ES77" s="454">
        <f>VLOOKUP(C77,Theory!B80:DQ149,120,FALSE)</f>
        <v>0</v>
      </c>
      <c r="ET77" s="455">
        <f t="shared" si="39"/>
        <v>0</v>
      </c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</row>
    <row r="78" s="11" customFormat="1" ht="18.35" spans="1:160">
      <c r="A78" s="363">
        <v>65</v>
      </c>
      <c r="B78" s="289" t="str">
        <f>Theory!C81</f>
        <v>NANDAKISHOR C</v>
      </c>
      <c r="C78" s="360" t="str">
        <f>Theory!B81</f>
        <v>1DS24AI403</v>
      </c>
      <c r="D78" s="361">
        <f>VLOOKUP(C78,Theory!B81:D152,3,FALSE)</f>
        <v>6</v>
      </c>
      <c r="E78" s="361">
        <f>VLOOKUP(C78,Theory!B81:E152,4,FALSE)</f>
        <v>0</v>
      </c>
      <c r="F78" s="361">
        <f>VLOOKUP(C78,Theory!B81:F152,5,FALSE)</f>
        <v>0</v>
      </c>
      <c r="G78" s="361">
        <f>VLOOKUP(C78,Theory!B81:G152,6,FALSE)</f>
        <v>0</v>
      </c>
      <c r="H78" s="369">
        <f t="shared" si="6"/>
        <v>6</v>
      </c>
      <c r="I78" s="370">
        <f>VLOOKUP(C78,Theory!B81:H152,7,FALSE)</f>
        <v>4</v>
      </c>
      <c r="J78" s="371">
        <f>VLOOKUP(C78,Theory!B81:I152,8,FALSE)</f>
        <v>0</v>
      </c>
      <c r="K78" s="371">
        <f>VLOOKUP(C78,Theory!B81:J152,9,FALSE)</f>
        <v>0</v>
      </c>
      <c r="L78" s="371">
        <f>VLOOKUP(C78,Theory!B81:K152,10,FALSE)</f>
        <v>0</v>
      </c>
      <c r="M78" s="369">
        <f t="shared" ref="M78:M83" si="51">SUM(I78:L78)</f>
        <v>4</v>
      </c>
      <c r="N78" s="373">
        <f>VLOOKUP(C78,Theory!B81:L152,11,FALSE)</f>
        <v>2</v>
      </c>
      <c r="O78" s="373">
        <f>VLOOKUP(C78,Theory!B81:M152,12,FALSE)</f>
        <v>0</v>
      </c>
      <c r="P78" s="373">
        <f>VLOOKUP(C78,Theory!B81:N152,13,FALSE)</f>
        <v>0</v>
      </c>
      <c r="Q78" s="373">
        <f>VLOOKUP(C78,Theory!B81:O152,14,FALSE)</f>
        <v>0</v>
      </c>
      <c r="R78" s="371">
        <f>VLOOKUP(C78,Theory!B81:P152,15,FALSE)</f>
        <v>0</v>
      </c>
      <c r="S78" s="371">
        <f>VLOOKUP(C78,Theory!B81:Q152,16,FALSE)</f>
        <v>0</v>
      </c>
      <c r="T78" s="371">
        <f>VLOOKUP(C78,Theory!B81:R152,17,FALSE)</f>
        <v>0</v>
      </c>
      <c r="U78" s="371">
        <f>VLOOKUP(C78,Theory!B81:S152,18,FALSE)</f>
        <v>0</v>
      </c>
      <c r="V78" s="369">
        <f t="shared" ref="V78:V83" si="52">MAX(SUM(N78:Q78),SUM(R78:U78))</f>
        <v>2</v>
      </c>
      <c r="W78" s="361">
        <f>VLOOKUP(C78,Theory!B81:T152,19,FALSE)</f>
        <v>5</v>
      </c>
      <c r="X78" s="361">
        <f>VLOOKUP(C78,Theory!B81:U152,20,FALSE)</f>
        <v>0</v>
      </c>
      <c r="Y78" s="361">
        <f>VLOOKUP(C78,Theory!B81:V152,21,FALSE)</f>
        <v>0</v>
      </c>
      <c r="Z78" s="361">
        <f>VLOOKUP(C78,Theory!B81:W152,22,FALSE)</f>
        <v>0</v>
      </c>
      <c r="AA78" s="370">
        <f>VLOOKUP(C78,Theory!B81:X152,23,FALSE)</f>
        <v>0</v>
      </c>
      <c r="AB78" s="370">
        <f>VLOOKUP(C78,Theory!B81:Y152,24,FALSE)</f>
        <v>0</v>
      </c>
      <c r="AC78" s="370">
        <f>VLOOKUP(C78,Theory!B81:Z152,25,FALSE)</f>
        <v>0</v>
      </c>
      <c r="AD78" s="370">
        <f>VLOOKUP(C78,Theory!B81:AA152,26,FALSE)</f>
        <v>0</v>
      </c>
      <c r="AE78" s="369">
        <f t="shared" ref="AE78:AE83" si="53">MAX(SUM(W78:Z78),SUM(AA78:AD78))</f>
        <v>5</v>
      </c>
      <c r="AF78" s="361">
        <f>VLOOKUP(C78,Theory!B81:AB152,27,FALSE)</f>
        <v>0</v>
      </c>
      <c r="AG78" s="361">
        <f>VLOOKUP(C78,Theory!B81:AC152,28,FALSE)</f>
        <v>0</v>
      </c>
      <c r="AH78" s="361">
        <f>VLOOKUP(C78,Theory!B81:AD152,29,FALSE)</f>
        <v>0</v>
      </c>
      <c r="AI78" s="361">
        <f>VLOOKUP(C78,Theory!B81:AE152,30,FALSE)</f>
        <v>0</v>
      </c>
      <c r="AJ78" s="380">
        <f>VLOOKUP(C78,Theory!B81:AF152,31,FALSE)</f>
        <v>0</v>
      </c>
      <c r="AK78" s="380">
        <f>VLOOKUP(C78,Theory!B81:AG152,32,FALSE)</f>
        <v>0</v>
      </c>
      <c r="AL78" s="380">
        <f>VLOOKUP(C78,Theory!B81:AH152,33,FALSE)</f>
        <v>0</v>
      </c>
      <c r="AM78" s="380">
        <f>VLOOKUP(C78,Theory!B81:AI152,34,FALSE)</f>
        <v>0</v>
      </c>
      <c r="AN78" s="369">
        <f t="shared" ref="AN78:AN83" si="54">MAX(SUM(AF78:AI78),SUM(AJ78:AM78))</f>
        <v>0</v>
      </c>
      <c r="AO78" s="385">
        <f t="shared" si="46"/>
        <v>17</v>
      </c>
      <c r="AP78" s="386">
        <f>VLOOKUP(C78,Theory!B81:AJ152,35,FALSE)</f>
        <v>0</v>
      </c>
      <c r="AQ78" s="386">
        <f>VLOOKUP(C78,Theory!B81:AK152,36,FALSE)</f>
        <v>0</v>
      </c>
      <c r="AR78" s="386">
        <f>VLOOKUP(C78,Theory!B81:AL152,37,FALSE)</f>
        <v>0</v>
      </c>
      <c r="AS78" s="386">
        <f>VLOOKUP(C78,Theory!B81:AM152,38,FALSE)</f>
        <v>0</v>
      </c>
      <c r="AT78" s="369">
        <f t="shared" ref="AT78:AT83" si="55">SUM(AP78:AS78)</f>
        <v>0</v>
      </c>
      <c r="AU78" s="386">
        <f>VLOOKUP(C78,Theory!B81:AN152,39,FALSE)</f>
        <v>3</v>
      </c>
      <c r="AV78" s="386">
        <f>VLOOKUP(C78,Theory!B81:AO152,40,FALSE)</f>
        <v>0</v>
      </c>
      <c r="AW78" s="386">
        <f>VLOOKUP(C78,Theory!B81:AP152,41,FALSE)</f>
        <v>0</v>
      </c>
      <c r="AX78" s="386">
        <f>VLOOKUP(C78,Theory!B81:AQ152,42,FALSE)</f>
        <v>0</v>
      </c>
      <c r="AY78" s="369">
        <f t="shared" ref="AY78:AY83" si="56">SUM(AU78:AX78)</f>
        <v>3</v>
      </c>
      <c r="AZ78" s="386">
        <f>VLOOKUP(C78,Theory!B81:AR152,43,FALSE)</f>
        <v>0</v>
      </c>
      <c r="BA78" s="386">
        <f>VLOOKUP(C78,Theory!B81:AS152,44,FALSE)</f>
        <v>0</v>
      </c>
      <c r="BB78" s="386">
        <f>VLOOKUP(C78,Theory!B81:AT152,45,FALSE)</f>
        <v>0</v>
      </c>
      <c r="BC78" s="386">
        <f>VLOOKUP(C78,Theory!B81:AU152,46,FALSE)</f>
        <v>0</v>
      </c>
      <c r="BD78" s="386">
        <f>VLOOKUP(C78,Theory!B81:AV152,47,FALSE)</f>
        <v>6</v>
      </c>
      <c r="BE78" s="386">
        <f>VLOOKUP(C78,Theory!B81:AW152,48,FALSE)</f>
        <v>0</v>
      </c>
      <c r="BF78" s="386">
        <f>VLOOKUP(C78,Theory!B81:AX152,49,FALSE)</f>
        <v>0</v>
      </c>
      <c r="BG78" s="386">
        <f>VLOOKUP(C78,Theory!B81:AY152,50,FALSE)</f>
        <v>0</v>
      </c>
      <c r="BH78" s="369">
        <f t="shared" ref="BH78:BH83" si="57">MAX(SUM(AZ78:BC78),SUM(BD78:BG78))</f>
        <v>6</v>
      </c>
      <c r="BI78" s="386">
        <f>VLOOKUP(C78,Theory!B81:AZ152,51,FALSE)</f>
        <v>0</v>
      </c>
      <c r="BJ78" s="386">
        <f>VLOOKUP(C78,Theory!B81:BA152,52,FALSE)</f>
        <v>0</v>
      </c>
      <c r="BK78" s="386">
        <f>VLOOKUP(C78,Theory!B81:BB152,53,FALSE)</f>
        <v>0</v>
      </c>
      <c r="BL78" s="386">
        <f>VLOOKUP(C78,Theory!B81:BC152,54,FALSE)</f>
        <v>0</v>
      </c>
      <c r="BM78" s="386">
        <f>VLOOKUP(C78,Theory!B81:BD152,55,FALSE)</f>
        <v>0</v>
      </c>
      <c r="BN78" s="386">
        <f>VLOOKUP(C78,Theory!B81:BE152,56,FALSE)</f>
        <v>0</v>
      </c>
      <c r="BO78" s="386">
        <f>VLOOKUP(C78,Theory!B81:BF152,57,FALSE)</f>
        <v>0</v>
      </c>
      <c r="BP78" s="386">
        <f>VLOOKUP(C78,Theory!B81:BG152,58,FALSE)</f>
        <v>0</v>
      </c>
      <c r="BQ78" s="369">
        <f t="shared" ref="BQ78:BQ83" si="58">MAX(SUM(BI78:BL78),SUM(BM78:BP78))</f>
        <v>0</v>
      </c>
      <c r="BR78" s="386">
        <f>VLOOKUP(C78,Theory!B81:BH152,59,FALSE)</f>
        <v>3</v>
      </c>
      <c r="BS78" s="386">
        <f>VLOOKUP(C78,Theory!B81:BI152,60,FALSE)</f>
        <v>0</v>
      </c>
      <c r="BT78" s="386">
        <f>VLOOKUP(C78,Theory!B81:BJ152,61,FALSE)</f>
        <v>0</v>
      </c>
      <c r="BU78" s="386">
        <f>VLOOKUP(C78,Theory!B81:BK152,62,FALSE)</f>
        <v>0</v>
      </c>
      <c r="BV78" s="386">
        <f>VLOOKUP(C78,Theory!B81:BL152,63,FALSE)</f>
        <v>0</v>
      </c>
      <c r="BW78" s="386">
        <f>VLOOKUP(C78,Theory!B81:BM152,64,FALSE)</f>
        <v>0</v>
      </c>
      <c r="BX78" s="386">
        <f>VLOOKUP(C78,Theory!B81:BN152,65,FALSE)</f>
        <v>0</v>
      </c>
      <c r="BY78" s="386">
        <f>VLOOKUP(C78,Theory!B81:BO152,66,FALSE)</f>
        <v>0</v>
      </c>
      <c r="BZ78" s="369">
        <f t="shared" ref="BZ78:BZ83" si="59">MAX(SUM(BR78:BU78),SUM(BV78:BY78))</f>
        <v>3</v>
      </c>
      <c r="CA78" s="385">
        <f t="shared" si="47"/>
        <v>12</v>
      </c>
      <c r="CB78" s="386">
        <f>VLOOKUP(C78,Theory!B81:BP152,67,FALSE)</f>
        <v>9</v>
      </c>
      <c r="CC78" s="386">
        <f>VLOOKUP(C78,Theory!B81:BQ152,68,FALSE)</f>
        <v>0</v>
      </c>
      <c r="CD78" s="386">
        <f>VLOOKUP(C78,Theory!B81:BR152,69,FALSE)</f>
        <v>0</v>
      </c>
      <c r="CE78" s="386">
        <f>VLOOKUP(C78,Theory!B81:BS152,70,FALSE)</f>
        <v>0</v>
      </c>
      <c r="CF78" s="369">
        <f t="shared" si="16"/>
        <v>9</v>
      </c>
      <c r="CG78" s="399">
        <f>VLOOKUP(C78,Theory!B81:BT152,71,FALSE)</f>
        <v>8</v>
      </c>
      <c r="CH78" s="399">
        <f>VLOOKUP(C78,Theory!B81:BU152,72,FALSE)</f>
        <v>0</v>
      </c>
      <c r="CI78" s="399">
        <f>VLOOKUP(C78,Theory!B81:BV152,73,FALSE)</f>
        <v>0</v>
      </c>
      <c r="CJ78" s="399">
        <f>VLOOKUP(C78,Theory!B81:BW152,74,FALSE)</f>
        <v>0</v>
      </c>
      <c r="CK78" s="369">
        <f t="shared" ref="CK78:CK83" si="60">SUM(CG78:CJ78)</f>
        <v>8</v>
      </c>
      <c r="CL78" s="386">
        <f>VLOOKUP(C78,Theory!B81:BX152,75,FALSE)</f>
        <v>9</v>
      </c>
      <c r="CM78" s="400">
        <f>VLOOKUP(C78,Theory!B81:BY152,76,FALSE)</f>
        <v>0</v>
      </c>
      <c r="CN78" s="400">
        <f>VLOOKUP(C78,Theory!B81:BZ152,77,FALSE)</f>
        <v>0</v>
      </c>
      <c r="CO78" s="400">
        <f>VLOOKUP(C78,Theory!B81:CA152,78,FALSE)</f>
        <v>0</v>
      </c>
      <c r="CP78" s="386">
        <f>VLOOKUP(C78,Theory!B81:CB152,79,FALSE)</f>
        <v>0</v>
      </c>
      <c r="CQ78" s="386">
        <f>VLOOKUP(C78,Theory!B81:CC152,80,FALSE)</f>
        <v>0</v>
      </c>
      <c r="CR78" s="386">
        <f>VLOOKUP(C78,Theory!B81:CD152,81,FALSE)</f>
        <v>0</v>
      </c>
      <c r="CS78" s="386">
        <f>VLOOKUP(C78,Theory!B81:CE152,82,FALSE)</f>
        <v>0</v>
      </c>
      <c r="CT78" s="369">
        <f t="shared" ref="CT78:CT83" si="61">MAX(SUM(CL78:CO78),SUM(CP78:CS78))</f>
        <v>9</v>
      </c>
      <c r="CU78" s="399">
        <f>VLOOKUP(C78,Theory!B81:CF152,83,FALSE)</f>
        <v>10</v>
      </c>
      <c r="CV78" s="400">
        <f>VLOOKUP(C78,Theory!B81:CG152,84,FALSE)</f>
        <v>0</v>
      </c>
      <c r="CW78" s="400">
        <f>VLOOKUP(C78,Theory!B81:CH152,85,FALSE)</f>
        <v>0</v>
      </c>
      <c r="CX78" s="400">
        <f>VLOOKUP(C78,Theory!B81:CI152,86,FALSE)</f>
        <v>0</v>
      </c>
      <c r="CY78" s="399">
        <f>VLOOKUP(C78,Theory!B81:CJ152,87,FALSE)</f>
        <v>0</v>
      </c>
      <c r="CZ78" s="399">
        <f>VLOOKUP(C78,Theory!B81:CK152,88,FALSE)</f>
        <v>0</v>
      </c>
      <c r="DA78" s="399">
        <f>VLOOKUP(C78,Theory!B81:CL152,89,FALSE)</f>
        <v>0</v>
      </c>
      <c r="DB78" s="399">
        <f>VLOOKUP(C78,Theory!B81:CM152,90,FALSE)</f>
        <v>0</v>
      </c>
      <c r="DC78" s="369">
        <f t="shared" ref="DC78:DC83" si="62">MAX(SUM(CU78:CX78),SUM(CY78:DB78))</f>
        <v>10</v>
      </c>
      <c r="DD78" s="386">
        <f>VLOOKUP(C78,Theory!B81:CN152,91,FALSE)</f>
        <v>5</v>
      </c>
      <c r="DE78" s="400">
        <f>VLOOKUP(C78,Theory!B81:CO152,92,FALSE)</f>
        <v>0</v>
      </c>
      <c r="DF78" s="400">
        <f>VLOOKUP(C78,Theory!B81:CP152,93,FALSE)</f>
        <v>0</v>
      </c>
      <c r="DG78" s="400">
        <f>VLOOKUP(C78,Theory!B81:CQ152,94,FALSE)</f>
        <v>0</v>
      </c>
      <c r="DH78" s="386">
        <f>VLOOKUP(C78,Theory!B81:CR152,95,FALSE)</f>
        <v>0</v>
      </c>
      <c r="DI78" s="386">
        <f>VLOOKUP(C78,Theory!B81:CS152,96,FALSE)</f>
        <v>0</v>
      </c>
      <c r="DJ78" s="386">
        <f>VLOOKUP(C78,Theory!B81:CT152,97,FALSE)</f>
        <v>0</v>
      </c>
      <c r="DK78" s="386">
        <f>VLOOKUP(C78,Theory!B81:CU152,98,FALSE)</f>
        <v>0</v>
      </c>
      <c r="DL78" s="369">
        <f t="shared" ref="DL78:DL83" si="63">MAX(SUM(DD78:DG78),SUM(DH78:DK78))</f>
        <v>5</v>
      </c>
      <c r="DM78" s="411">
        <f t="shared" si="48"/>
        <v>41</v>
      </c>
      <c r="DN78" s="413">
        <f t="shared" si="40"/>
        <v>17</v>
      </c>
      <c r="DO78" s="413">
        <f t="shared" si="41"/>
        <v>12</v>
      </c>
      <c r="DP78" s="413">
        <f t="shared" si="42"/>
        <v>41</v>
      </c>
      <c r="DQ78" s="418">
        <f t="shared" si="43"/>
        <v>10</v>
      </c>
      <c r="DR78" s="418">
        <f t="shared" si="44"/>
        <v>7</v>
      </c>
      <c r="DS78" s="418">
        <f t="shared" si="45"/>
        <v>25</v>
      </c>
      <c r="DT78" s="417">
        <f t="shared" si="36"/>
        <v>14</v>
      </c>
      <c r="DU78" s="423">
        <f>VLOOKUP(C78,Theory!B81:CV152,99,FALSE)</f>
        <v>6</v>
      </c>
      <c r="DV78" s="423">
        <f>VLOOKUP(C78,Theory!B81:CW152,100,FALSE)</f>
        <v>10</v>
      </c>
      <c r="DW78" s="424">
        <f t="shared" ref="DW78:DW83" si="64">SUM(DU78:DV78)</f>
        <v>16</v>
      </c>
      <c r="DX78" s="421">
        <f t="shared" si="49"/>
        <v>30</v>
      </c>
      <c r="DY78" s="430">
        <f t="shared" ref="DY78:DY83" si="65">ROUND((30*DX78/50),0)</f>
        <v>18</v>
      </c>
      <c r="DZ78" s="431">
        <f>VLOOKUP(C78,Lab!B73:D142,3,FALSE)</f>
        <v>0</v>
      </c>
      <c r="EA78" s="432">
        <f>VLOOKUP(C78,Lab!B73:E142,4,FALSE)</f>
        <v>0</v>
      </c>
      <c r="EB78" s="432">
        <f>VLOOKUP(C78,Lab!B73:F142,5,FALSE)</f>
        <v>26</v>
      </c>
      <c r="EC78" s="422">
        <f t="shared" si="37"/>
        <v>26</v>
      </c>
      <c r="ED78" s="436">
        <f>VLOOKUP(C78,Lab!B73:G142,6,FALSE)</f>
        <v>0</v>
      </c>
      <c r="EE78" s="436">
        <f>VLOOKUP(C78,Lab!B73:H142,7,FALSE)</f>
        <v>0</v>
      </c>
      <c r="EF78" s="437">
        <v>19</v>
      </c>
      <c r="EG78" s="443">
        <f t="shared" si="38"/>
        <v>19</v>
      </c>
      <c r="EH78" s="444">
        <f t="shared" ref="EH78:EH83" si="66">SUM(EC78,EG78)</f>
        <v>45</v>
      </c>
      <c r="EI78" s="445">
        <f t="shared" ref="EI78:EI83" si="67">ROUND((20*EH78/50),0)</f>
        <v>18</v>
      </c>
      <c r="EJ78" s="446">
        <f t="shared" si="50"/>
        <v>36</v>
      </c>
      <c r="EK78" s="449">
        <v>23</v>
      </c>
      <c r="EL78" s="336"/>
      <c r="EM78" s="450">
        <f>VLOOKUP(C78,Theory!B81:DK152,114,FALSE)</f>
        <v>0</v>
      </c>
      <c r="EN78" s="450">
        <f>VLOOKUP(C78,Theory!B81:DL152,115,FALSE)</f>
        <v>0</v>
      </c>
      <c r="EO78" s="450">
        <f>VLOOKUP(C78,Theory!B81:DM152,116,FALSE)</f>
        <v>0</v>
      </c>
      <c r="EP78" s="450">
        <f>VLOOKUP(C78,Theory!B81:DN150,117,FALSE)</f>
        <v>0</v>
      </c>
      <c r="EQ78" s="450">
        <f>VLOOKUP(C78,Theory!B81:DO150,118,FALSE)</f>
        <v>0</v>
      </c>
      <c r="ER78" s="451">
        <f>VLOOKUP(C78,Theory!B81:DP150,119,FALSE)</f>
        <v>0</v>
      </c>
      <c r="ES78" s="454">
        <f>VLOOKUP(C78,Theory!B81:DQ150,120,FALSE)</f>
        <v>0</v>
      </c>
      <c r="ET78" s="455">
        <f t="shared" si="39"/>
        <v>0</v>
      </c>
      <c r="EU78" s="457"/>
      <c r="EV78" s="457"/>
      <c r="EW78" s="457"/>
      <c r="EX78" s="457"/>
      <c r="EY78" s="457"/>
      <c r="EZ78" s="457"/>
      <c r="FA78" s="457"/>
      <c r="FB78" s="457"/>
      <c r="FC78" s="457"/>
      <c r="FD78" s="457"/>
    </row>
    <row r="79" s="11" customFormat="1" ht="18.35" spans="1:160">
      <c r="A79" s="363">
        <v>66</v>
      </c>
      <c r="B79" s="289" t="str">
        <f>Theory!C82</f>
        <v>P CHARAN</v>
      </c>
      <c r="C79" s="360" t="str">
        <f>Theory!B82</f>
        <v>1DS24AI404</v>
      </c>
      <c r="D79" s="361">
        <f>VLOOKUP(C79,Theory!B82:D153,3,FALSE)</f>
        <v>0</v>
      </c>
      <c r="E79" s="361">
        <f>VLOOKUP(C79,Theory!B82:E153,4,FALSE)</f>
        <v>0</v>
      </c>
      <c r="F79" s="361">
        <f>VLOOKUP(C79,Theory!B82:F153,5,FALSE)</f>
        <v>0</v>
      </c>
      <c r="G79" s="361">
        <f>VLOOKUP(C79,Theory!B82:G153,6,FALSE)</f>
        <v>0</v>
      </c>
      <c r="H79" s="369">
        <f t="shared" ref="H79:H83" si="68">SUM(D79:G79)</f>
        <v>0</v>
      </c>
      <c r="I79" s="370">
        <f>VLOOKUP(C79,Theory!B82:H153,7,FALSE)</f>
        <v>2</v>
      </c>
      <c r="J79" s="371">
        <f>VLOOKUP(C79,Theory!B82:I153,8,FALSE)</f>
        <v>0</v>
      </c>
      <c r="K79" s="371">
        <f>VLOOKUP(C79,Theory!B82:J153,9,FALSE)</f>
        <v>0</v>
      </c>
      <c r="L79" s="371">
        <f>VLOOKUP(C79,Theory!B82:K153,10,FALSE)</f>
        <v>0</v>
      </c>
      <c r="M79" s="369">
        <f t="shared" si="51"/>
        <v>2</v>
      </c>
      <c r="N79" s="373">
        <f>VLOOKUP(C79,Theory!B82:L153,11,FALSE)</f>
        <v>2</v>
      </c>
      <c r="O79" s="373">
        <f>VLOOKUP(C79,Theory!B82:M153,12,FALSE)</f>
        <v>0</v>
      </c>
      <c r="P79" s="373">
        <f>VLOOKUP(C79,Theory!B82:N153,13,FALSE)</f>
        <v>0</v>
      </c>
      <c r="Q79" s="373">
        <f>VLOOKUP(C79,Theory!B82:O153,14,FALSE)</f>
        <v>0</v>
      </c>
      <c r="R79" s="371">
        <f>VLOOKUP(C79,Theory!B82:P153,15,FALSE)</f>
        <v>0</v>
      </c>
      <c r="S79" s="371">
        <f>VLOOKUP(C79,Theory!B82:Q153,16,FALSE)</f>
        <v>0</v>
      </c>
      <c r="T79" s="371">
        <f>VLOOKUP(C79,Theory!B82:R153,17,FALSE)</f>
        <v>0</v>
      </c>
      <c r="U79" s="371">
        <f>VLOOKUP(C79,Theory!B82:S153,18,FALSE)</f>
        <v>0</v>
      </c>
      <c r="V79" s="369">
        <f t="shared" si="52"/>
        <v>2</v>
      </c>
      <c r="W79" s="361">
        <f>VLOOKUP(C79,Theory!B82:T153,19,FALSE)</f>
        <v>0</v>
      </c>
      <c r="X79" s="361">
        <f>VLOOKUP(C79,Theory!B82:U153,20,FALSE)</f>
        <v>0</v>
      </c>
      <c r="Y79" s="361">
        <f>VLOOKUP(C79,Theory!B82:V153,21,FALSE)</f>
        <v>0</v>
      </c>
      <c r="Z79" s="361">
        <f>VLOOKUP(C79,Theory!B82:W153,22,FALSE)</f>
        <v>0</v>
      </c>
      <c r="AA79" s="370">
        <f>VLOOKUP(C79,Theory!B82:X153,23,FALSE)</f>
        <v>4</v>
      </c>
      <c r="AB79" s="370">
        <f>VLOOKUP(C79,Theory!B82:Y153,24,FALSE)</f>
        <v>0</v>
      </c>
      <c r="AC79" s="370">
        <f>VLOOKUP(C79,Theory!B82:Z153,25,FALSE)</f>
        <v>0</v>
      </c>
      <c r="AD79" s="370">
        <f>VLOOKUP(C79,Theory!B82:AA153,26,FALSE)</f>
        <v>0</v>
      </c>
      <c r="AE79" s="369">
        <f t="shared" si="53"/>
        <v>4</v>
      </c>
      <c r="AF79" s="361">
        <f>VLOOKUP(C79,Theory!B82:AB153,27,FALSE)</f>
        <v>0</v>
      </c>
      <c r="AG79" s="361">
        <f>VLOOKUP(C79,Theory!B82:AC153,28,FALSE)</f>
        <v>0</v>
      </c>
      <c r="AH79" s="361">
        <f>VLOOKUP(C79,Theory!B82:AD153,29,FALSE)</f>
        <v>0</v>
      </c>
      <c r="AI79" s="361">
        <f>VLOOKUP(C79,Theory!B82:AE153,30,FALSE)</f>
        <v>0</v>
      </c>
      <c r="AJ79" s="380">
        <f>VLOOKUP(C79,Theory!B82:AF153,31,FALSE)</f>
        <v>0</v>
      </c>
      <c r="AK79" s="380">
        <f>VLOOKUP(C79,Theory!B82:AG153,32,FALSE)</f>
        <v>0</v>
      </c>
      <c r="AL79" s="380">
        <f>VLOOKUP(C79,Theory!B82:AH153,33,FALSE)</f>
        <v>0</v>
      </c>
      <c r="AM79" s="380">
        <f>VLOOKUP(C79,Theory!B82:AI153,34,FALSE)</f>
        <v>0</v>
      </c>
      <c r="AN79" s="369">
        <f t="shared" si="54"/>
        <v>0</v>
      </c>
      <c r="AO79" s="385">
        <f t="shared" si="46"/>
        <v>8</v>
      </c>
      <c r="AP79" s="386">
        <f>VLOOKUP(C79,Theory!B82:AJ153,35,FALSE)</f>
        <v>8</v>
      </c>
      <c r="AQ79" s="386">
        <f>VLOOKUP(C79,Theory!B82:AK153,36,FALSE)</f>
        <v>0</v>
      </c>
      <c r="AR79" s="386">
        <f>VLOOKUP(C79,Theory!B82:AL153,37,FALSE)</f>
        <v>0</v>
      </c>
      <c r="AS79" s="386">
        <f>VLOOKUP(C79,Theory!B82:AM153,38,FALSE)</f>
        <v>0</v>
      </c>
      <c r="AT79" s="369">
        <f t="shared" si="55"/>
        <v>8</v>
      </c>
      <c r="AU79" s="386">
        <f>VLOOKUP(C79,Theory!B82:AN153,39,FALSE)</f>
        <v>4</v>
      </c>
      <c r="AV79" s="386">
        <f>VLOOKUP(C79,Theory!B82:AO153,40,FALSE)</f>
        <v>0</v>
      </c>
      <c r="AW79" s="386">
        <f>VLOOKUP(C79,Theory!B82:AP153,41,FALSE)</f>
        <v>0</v>
      </c>
      <c r="AX79" s="386">
        <f>VLOOKUP(C79,Theory!B82:AQ153,42,FALSE)</f>
        <v>0</v>
      </c>
      <c r="AY79" s="369">
        <f t="shared" si="56"/>
        <v>4</v>
      </c>
      <c r="AZ79" s="386">
        <f>VLOOKUP(C79,Theory!B82:AR153,43,FALSE)</f>
        <v>0</v>
      </c>
      <c r="BA79" s="386">
        <f>VLOOKUP(C79,Theory!B82:AS153,44,FALSE)</f>
        <v>0</v>
      </c>
      <c r="BB79" s="386">
        <f>VLOOKUP(C79,Theory!B82:AT153,45,FALSE)</f>
        <v>0</v>
      </c>
      <c r="BC79" s="386">
        <f>VLOOKUP(C79,Theory!B82:AU153,46,FALSE)</f>
        <v>0</v>
      </c>
      <c r="BD79" s="386">
        <f>VLOOKUP(C79,Theory!B82:AV153,47,FALSE)</f>
        <v>4</v>
      </c>
      <c r="BE79" s="386">
        <f>VLOOKUP(C79,Theory!B82:AW153,48,FALSE)</f>
        <v>0</v>
      </c>
      <c r="BF79" s="386">
        <f>VLOOKUP(C79,Theory!B82:AX153,49,FALSE)</f>
        <v>0</v>
      </c>
      <c r="BG79" s="386">
        <f>VLOOKUP(C79,Theory!B82:AY153,50,FALSE)</f>
        <v>0</v>
      </c>
      <c r="BH79" s="369">
        <f t="shared" si="57"/>
        <v>4</v>
      </c>
      <c r="BI79" s="386">
        <f>VLOOKUP(C79,Theory!B82:AZ153,51,FALSE)</f>
        <v>0</v>
      </c>
      <c r="BJ79" s="386">
        <f>VLOOKUP(C79,Theory!B82:BA153,52,FALSE)</f>
        <v>0</v>
      </c>
      <c r="BK79" s="386">
        <f>VLOOKUP(C79,Theory!B82:BB153,53,FALSE)</f>
        <v>0</v>
      </c>
      <c r="BL79" s="386">
        <f>VLOOKUP(C79,Theory!B82:BC153,54,FALSE)</f>
        <v>0</v>
      </c>
      <c r="BM79" s="386">
        <f>VLOOKUP(C79,Theory!B82:BD153,55,FALSE)</f>
        <v>0</v>
      </c>
      <c r="BN79" s="386">
        <f>VLOOKUP(C79,Theory!B82:BE153,56,FALSE)</f>
        <v>0</v>
      </c>
      <c r="BO79" s="386">
        <f>VLOOKUP(C79,Theory!B82:BF153,57,FALSE)</f>
        <v>0</v>
      </c>
      <c r="BP79" s="386">
        <f>VLOOKUP(C79,Theory!B82:BG153,58,FALSE)</f>
        <v>0</v>
      </c>
      <c r="BQ79" s="369">
        <f t="shared" si="58"/>
        <v>0</v>
      </c>
      <c r="BR79" s="386">
        <f>VLOOKUP(C79,Theory!B82:BH153,59,FALSE)</f>
        <v>8</v>
      </c>
      <c r="BS79" s="386">
        <f>VLOOKUP(C79,Theory!B82:BI153,60,FALSE)</f>
        <v>0</v>
      </c>
      <c r="BT79" s="386">
        <f>VLOOKUP(C79,Theory!B82:BJ153,61,FALSE)</f>
        <v>0</v>
      </c>
      <c r="BU79" s="386">
        <f>VLOOKUP(C79,Theory!B82:BK153,62,FALSE)</f>
        <v>0</v>
      </c>
      <c r="BV79" s="386">
        <f>VLOOKUP(C79,Theory!B82:BL153,63,FALSE)</f>
        <v>0</v>
      </c>
      <c r="BW79" s="386">
        <f>VLOOKUP(C79,Theory!B82:BM153,64,FALSE)</f>
        <v>0</v>
      </c>
      <c r="BX79" s="386">
        <f>VLOOKUP(C79,Theory!B82:BN153,65,FALSE)</f>
        <v>0</v>
      </c>
      <c r="BY79" s="386">
        <f>VLOOKUP(C79,Theory!B82:BO153,66,FALSE)</f>
        <v>0</v>
      </c>
      <c r="BZ79" s="369">
        <f t="shared" si="59"/>
        <v>8</v>
      </c>
      <c r="CA79" s="385">
        <f t="shared" si="47"/>
        <v>24</v>
      </c>
      <c r="CB79" s="386">
        <f>VLOOKUP(C79,Theory!B82:BP153,67,FALSE)</f>
        <v>8</v>
      </c>
      <c r="CC79" s="386">
        <f>VLOOKUP(C79,Theory!B82:BQ153,68,FALSE)</f>
        <v>0</v>
      </c>
      <c r="CD79" s="386">
        <f>VLOOKUP(C79,Theory!B82:BR153,69,FALSE)</f>
        <v>0</v>
      </c>
      <c r="CE79" s="386">
        <f>VLOOKUP(C79,Theory!B82:BS153,70,FALSE)</f>
        <v>0</v>
      </c>
      <c r="CF79" s="369">
        <f t="shared" ref="CF79:CF83" si="69">SUM(CB79:CE79)</f>
        <v>8</v>
      </c>
      <c r="CG79" s="399">
        <f>VLOOKUP(C79,Theory!B82:BT153,71,FALSE)</f>
        <v>8</v>
      </c>
      <c r="CH79" s="399">
        <f>VLOOKUP(C79,Theory!B82:BU153,72,FALSE)</f>
        <v>0</v>
      </c>
      <c r="CI79" s="399">
        <f>VLOOKUP(C79,Theory!B82:BV153,73,FALSE)</f>
        <v>0</v>
      </c>
      <c r="CJ79" s="399">
        <f>VLOOKUP(C79,Theory!B82:BW153,74,FALSE)</f>
        <v>0</v>
      </c>
      <c r="CK79" s="369">
        <f t="shared" si="60"/>
        <v>8</v>
      </c>
      <c r="CL79" s="386">
        <f>VLOOKUP(C79,Theory!B82:BX153,75,FALSE)</f>
        <v>9</v>
      </c>
      <c r="CM79" s="400">
        <f>VLOOKUP(C79,Theory!B82:BY153,76,FALSE)</f>
        <v>0</v>
      </c>
      <c r="CN79" s="400">
        <f>VLOOKUP(C79,Theory!B82:BZ153,77,FALSE)</f>
        <v>0</v>
      </c>
      <c r="CO79" s="400">
        <f>VLOOKUP(C79,Theory!B82:CA153,78,FALSE)</f>
        <v>0</v>
      </c>
      <c r="CP79" s="386">
        <f>VLOOKUP(C79,Theory!B82:CB153,79,FALSE)</f>
        <v>0</v>
      </c>
      <c r="CQ79" s="386">
        <f>VLOOKUP(C79,Theory!B82:CC153,80,FALSE)</f>
        <v>0</v>
      </c>
      <c r="CR79" s="386">
        <f>VLOOKUP(C79,Theory!B82:CD153,81,FALSE)</f>
        <v>0</v>
      </c>
      <c r="CS79" s="386">
        <f>VLOOKUP(C79,Theory!B82:CE153,82,FALSE)</f>
        <v>0</v>
      </c>
      <c r="CT79" s="369">
        <f t="shared" si="61"/>
        <v>9</v>
      </c>
      <c r="CU79" s="399">
        <f>VLOOKUP(C79,Theory!B82:CF153,83,FALSE)</f>
        <v>5</v>
      </c>
      <c r="CV79" s="400">
        <f>VLOOKUP(C79,Theory!B82:CG153,84,FALSE)</f>
        <v>0</v>
      </c>
      <c r="CW79" s="400">
        <f>VLOOKUP(C79,Theory!B82:CH153,85,FALSE)</f>
        <v>0</v>
      </c>
      <c r="CX79" s="400">
        <f>VLOOKUP(C79,Theory!B82:CI153,86,FALSE)</f>
        <v>0</v>
      </c>
      <c r="CY79" s="399">
        <f>VLOOKUP(C79,Theory!B82:CJ153,87,FALSE)</f>
        <v>0</v>
      </c>
      <c r="CZ79" s="399">
        <f>VLOOKUP(C79,Theory!B82:CK153,88,FALSE)</f>
        <v>0</v>
      </c>
      <c r="DA79" s="399">
        <f>VLOOKUP(C79,Theory!B82:CL153,89,FALSE)</f>
        <v>0</v>
      </c>
      <c r="DB79" s="399">
        <f>VLOOKUP(C79,Theory!B82:CM153,90,FALSE)</f>
        <v>0</v>
      </c>
      <c r="DC79" s="369">
        <f t="shared" si="62"/>
        <v>5</v>
      </c>
      <c r="DD79" s="386">
        <f>VLOOKUP(C79,Theory!B82:CN153,91,FALSE)</f>
        <v>7</v>
      </c>
      <c r="DE79" s="400">
        <f>VLOOKUP(C79,Theory!B82:CO153,92,FALSE)</f>
        <v>0</v>
      </c>
      <c r="DF79" s="400">
        <f>VLOOKUP(C79,Theory!B82:CP153,93,FALSE)</f>
        <v>0</v>
      </c>
      <c r="DG79" s="400">
        <f>VLOOKUP(C79,Theory!B82:CQ153,94,FALSE)</f>
        <v>0</v>
      </c>
      <c r="DH79" s="386">
        <f>VLOOKUP(C79,Theory!B82:CR153,95,FALSE)</f>
        <v>0</v>
      </c>
      <c r="DI79" s="386">
        <f>VLOOKUP(C79,Theory!B82:CS153,96,FALSE)</f>
        <v>0</v>
      </c>
      <c r="DJ79" s="386">
        <f>VLOOKUP(C79,Theory!B82:CT153,97,FALSE)</f>
        <v>0</v>
      </c>
      <c r="DK79" s="386">
        <f>VLOOKUP(C79,Theory!B82:CU153,98,FALSE)</f>
        <v>0</v>
      </c>
      <c r="DL79" s="369">
        <f t="shared" si="63"/>
        <v>7</v>
      </c>
      <c r="DM79" s="411">
        <f t="shared" si="48"/>
        <v>37</v>
      </c>
      <c r="DN79" s="413">
        <f t="shared" si="40"/>
        <v>8</v>
      </c>
      <c r="DO79" s="413">
        <f t="shared" si="41"/>
        <v>24</v>
      </c>
      <c r="DP79" s="413">
        <f t="shared" si="42"/>
        <v>37</v>
      </c>
      <c r="DQ79" s="418">
        <f t="shared" si="43"/>
        <v>5</v>
      </c>
      <c r="DR79" s="418">
        <f t="shared" si="44"/>
        <v>14</v>
      </c>
      <c r="DS79" s="418">
        <f t="shared" si="45"/>
        <v>22</v>
      </c>
      <c r="DT79" s="417">
        <f t="shared" ref="DT79:DT83" si="70">ROUND(AVERAGE(DQ79:DS79),0)</f>
        <v>14</v>
      </c>
      <c r="DU79" s="423">
        <f>VLOOKUP(C79,Theory!B82:CV153,99,FALSE)</f>
        <v>7</v>
      </c>
      <c r="DV79" s="423">
        <f>VLOOKUP(C79,Theory!B82:CW153,100,FALSE)</f>
        <v>10</v>
      </c>
      <c r="DW79" s="424">
        <f t="shared" si="64"/>
        <v>17</v>
      </c>
      <c r="DX79" s="421">
        <f t="shared" si="49"/>
        <v>31</v>
      </c>
      <c r="DY79" s="430">
        <f t="shared" si="65"/>
        <v>19</v>
      </c>
      <c r="DZ79" s="431">
        <f>VLOOKUP(C79,Lab!B74:D143,3,FALSE)</f>
        <v>0</v>
      </c>
      <c r="EA79" s="432">
        <f>VLOOKUP(C79,Lab!B74:E143,4,FALSE)</f>
        <v>0</v>
      </c>
      <c r="EB79" s="432">
        <f>VLOOKUP(C79,Lab!B74:F143,5,FALSE)</f>
        <v>28</v>
      </c>
      <c r="EC79" s="422">
        <f t="shared" ref="EC79:EC83" si="71">SUM(DZ79:EB79)</f>
        <v>28</v>
      </c>
      <c r="ED79" s="436">
        <f>VLOOKUP(C79,Lab!B74:G143,6,FALSE)</f>
        <v>0</v>
      </c>
      <c r="EE79" s="436">
        <f>VLOOKUP(C79,Lab!B74:H143,7,FALSE)</f>
        <v>0</v>
      </c>
      <c r="EF79" s="437">
        <v>10</v>
      </c>
      <c r="EG79" s="443">
        <f t="shared" ref="EG79:EG83" si="72">SUM(ED79:EF79)</f>
        <v>10</v>
      </c>
      <c r="EH79" s="444">
        <f t="shared" si="66"/>
        <v>38</v>
      </c>
      <c r="EI79" s="445">
        <f t="shared" si="67"/>
        <v>15</v>
      </c>
      <c r="EJ79" s="446">
        <f t="shared" si="50"/>
        <v>34</v>
      </c>
      <c r="EK79" s="449">
        <v>35</v>
      </c>
      <c r="EL79" s="336"/>
      <c r="EM79" s="450">
        <f>VLOOKUP(C79,Theory!B82:DK153,114,FALSE)</f>
        <v>0</v>
      </c>
      <c r="EN79" s="450">
        <f>VLOOKUP(C79,Theory!B82:DL153,115,FALSE)</f>
        <v>0</v>
      </c>
      <c r="EO79" s="450">
        <f>VLOOKUP(C79,Theory!B82:DM153,116,FALSE)</f>
        <v>0</v>
      </c>
      <c r="EP79" s="450">
        <f>VLOOKUP(C79,Theory!B82:DN151,117,FALSE)</f>
        <v>0</v>
      </c>
      <c r="EQ79" s="450">
        <f>VLOOKUP(C79,Theory!B82:DO151,118,FALSE)</f>
        <v>0</v>
      </c>
      <c r="ER79" s="451">
        <f>VLOOKUP(C79,Theory!B82:DP151,119,FALSE)</f>
        <v>0</v>
      </c>
      <c r="ES79" s="454">
        <f>VLOOKUP(C79,Theory!B82:DQ151,120,FALSE)</f>
        <v>0</v>
      </c>
      <c r="ET79" s="455">
        <f t="shared" ref="ET79:ET83" si="73">SUM(ER79:ES79)</f>
        <v>0</v>
      </c>
      <c r="EU79" s="457"/>
      <c r="EV79" s="457"/>
      <c r="EW79" s="457"/>
      <c r="EX79" s="457"/>
      <c r="EY79" s="457"/>
      <c r="EZ79" s="457"/>
      <c r="FA79" s="457"/>
      <c r="FB79" s="457"/>
      <c r="FC79" s="457"/>
      <c r="FD79" s="457"/>
    </row>
    <row r="80" s="11" customFormat="1" ht="18.35" spans="1:160">
      <c r="A80" s="363">
        <v>67</v>
      </c>
      <c r="B80" s="289" t="str">
        <f>Theory!C83</f>
        <v>SHASHANK S</v>
      </c>
      <c r="C80" s="360" t="str">
        <f>Theory!B83</f>
        <v>1DS24AI405</v>
      </c>
      <c r="D80" s="361">
        <f>VLOOKUP(C80,Theory!B83:D154,3,FALSE)</f>
        <v>3</v>
      </c>
      <c r="E80" s="361">
        <f>VLOOKUP(C80,Theory!B83:E154,4,FALSE)</f>
        <v>0</v>
      </c>
      <c r="F80" s="361">
        <f>VLOOKUP(C80,Theory!B83:F154,5,FALSE)</f>
        <v>0</v>
      </c>
      <c r="G80" s="361">
        <f>VLOOKUP(C80,Theory!B83:G154,6,FALSE)</f>
        <v>0</v>
      </c>
      <c r="H80" s="369">
        <f t="shared" si="68"/>
        <v>3</v>
      </c>
      <c r="I80" s="370">
        <f>VLOOKUP(C80,Theory!B83:H154,7,FALSE)</f>
        <v>0</v>
      </c>
      <c r="J80" s="371">
        <f>VLOOKUP(C80,Theory!B83:I154,8,FALSE)</f>
        <v>0</v>
      </c>
      <c r="K80" s="371">
        <f>VLOOKUP(C80,Theory!B83:J154,9,FALSE)</f>
        <v>0</v>
      </c>
      <c r="L80" s="371">
        <f>VLOOKUP(C80,Theory!B83:K154,10,FALSE)</f>
        <v>0</v>
      </c>
      <c r="M80" s="369">
        <f t="shared" si="51"/>
        <v>0</v>
      </c>
      <c r="N80" s="373">
        <f>VLOOKUP(C80,Theory!B83:L154,11,FALSE)</f>
        <v>4</v>
      </c>
      <c r="O80" s="373">
        <f>VLOOKUP(C80,Theory!B83:M154,12,FALSE)</f>
        <v>0</v>
      </c>
      <c r="P80" s="373">
        <f>VLOOKUP(C80,Theory!B83:N154,13,FALSE)</f>
        <v>0</v>
      </c>
      <c r="Q80" s="373">
        <f>VLOOKUP(C80,Theory!B83:O154,14,FALSE)</f>
        <v>0</v>
      </c>
      <c r="R80" s="371">
        <f>VLOOKUP(C80,Theory!B83:P154,15,FALSE)</f>
        <v>0</v>
      </c>
      <c r="S80" s="371">
        <f>VLOOKUP(C80,Theory!B83:Q154,16,FALSE)</f>
        <v>0</v>
      </c>
      <c r="T80" s="371">
        <f>VLOOKUP(C80,Theory!B83:R154,17,FALSE)</f>
        <v>0</v>
      </c>
      <c r="U80" s="371">
        <f>VLOOKUP(C80,Theory!B83:S154,18,FALSE)</f>
        <v>0</v>
      </c>
      <c r="V80" s="369">
        <f t="shared" si="52"/>
        <v>4</v>
      </c>
      <c r="W80" s="361">
        <f>VLOOKUP(C80,Theory!B83:T154,19,FALSE)</f>
        <v>8</v>
      </c>
      <c r="X80" s="361">
        <f>VLOOKUP(C80,Theory!B83:U154,20,FALSE)</f>
        <v>0</v>
      </c>
      <c r="Y80" s="361">
        <f>VLOOKUP(C80,Theory!B83:V154,21,FALSE)</f>
        <v>0</v>
      </c>
      <c r="Z80" s="361">
        <f>VLOOKUP(C80,Theory!B83:W154,22,FALSE)</f>
        <v>0</v>
      </c>
      <c r="AA80" s="370">
        <f>VLOOKUP(C80,Theory!B83:X154,23,FALSE)</f>
        <v>0</v>
      </c>
      <c r="AB80" s="370">
        <f>VLOOKUP(C80,Theory!B83:Y154,24,FALSE)</f>
        <v>0</v>
      </c>
      <c r="AC80" s="370">
        <f>VLOOKUP(C80,Theory!B83:Z154,25,FALSE)</f>
        <v>0</v>
      </c>
      <c r="AD80" s="370">
        <f>VLOOKUP(C80,Theory!B83:AA154,26,FALSE)</f>
        <v>0</v>
      </c>
      <c r="AE80" s="369">
        <f t="shared" si="53"/>
        <v>8</v>
      </c>
      <c r="AF80" s="361">
        <f>VLOOKUP(C80,Theory!B83:AB154,27,FALSE)</f>
        <v>0</v>
      </c>
      <c r="AG80" s="361">
        <f>VLOOKUP(C80,Theory!B83:AC154,28,FALSE)</f>
        <v>0</v>
      </c>
      <c r="AH80" s="361">
        <f>VLOOKUP(C80,Theory!B83:AD154,29,FALSE)</f>
        <v>0</v>
      </c>
      <c r="AI80" s="361">
        <f>VLOOKUP(C80,Theory!B83:AE154,30,FALSE)</f>
        <v>0</v>
      </c>
      <c r="AJ80" s="380">
        <f>VLOOKUP(C80,Theory!B83:AF154,31,FALSE)</f>
        <v>0</v>
      </c>
      <c r="AK80" s="380">
        <f>VLOOKUP(C80,Theory!B83:AG154,32,FALSE)</f>
        <v>0</v>
      </c>
      <c r="AL80" s="380">
        <f>VLOOKUP(C80,Theory!B83:AH154,33,FALSE)</f>
        <v>0</v>
      </c>
      <c r="AM80" s="380">
        <f>VLOOKUP(C80,Theory!B83:AI154,34,FALSE)</f>
        <v>0</v>
      </c>
      <c r="AN80" s="369">
        <f t="shared" si="54"/>
        <v>0</v>
      </c>
      <c r="AO80" s="385">
        <f t="shared" si="46"/>
        <v>15</v>
      </c>
      <c r="AP80" s="386">
        <f>VLOOKUP(C80,Theory!B83:AJ154,35,FALSE)</f>
        <v>0</v>
      </c>
      <c r="AQ80" s="386">
        <f>VLOOKUP(C80,Theory!B83:AK154,36,FALSE)</f>
        <v>0</v>
      </c>
      <c r="AR80" s="386">
        <f>VLOOKUP(C80,Theory!B83:AL154,37,FALSE)</f>
        <v>0</v>
      </c>
      <c r="AS80" s="386">
        <f>VLOOKUP(C80,Theory!B83:AM154,38,FALSE)</f>
        <v>0</v>
      </c>
      <c r="AT80" s="369">
        <f t="shared" si="55"/>
        <v>0</v>
      </c>
      <c r="AU80" s="386">
        <f>VLOOKUP(C80,Theory!B83:AN154,39,FALSE)</f>
        <v>0</v>
      </c>
      <c r="AV80" s="386">
        <f>VLOOKUP(C80,Theory!B83:AO154,40,FALSE)</f>
        <v>0</v>
      </c>
      <c r="AW80" s="386">
        <f>VLOOKUP(C80,Theory!B83:AP154,41,FALSE)</f>
        <v>0</v>
      </c>
      <c r="AX80" s="386">
        <f>VLOOKUP(C80,Theory!B83:AQ154,42,FALSE)</f>
        <v>0</v>
      </c>
      <c r="AY80" s="369">
        <f t="shared" si="56"/>
        <v>0</v>
      </c>
      <c r="AZ80" s="386">
        <f>VLOOKUP(C80,Theory!B83:AR154,43,FALSE)</f>
        <v>2</v>
      </c>
      <c r="BA80" s="386">
        <f>VLOOKUP(C80,Theory!B83:AS154,44,FALSE)</f>
        <v>0</v>
      </c>
      <c r="BB80" s="386">
        <f>VLOOKUP(C80,Theory!B83:AT154,45,FALSE)</f>
        <v>0</v>
      </c>
      <c r="BC80" s="386">
        <f>VLOOKUP(C80,Theory!B83:AU154,46,FALSE)</f>
        <v>0</v>
      </c>
      <c r="BD80" s="386">
        <f>VLOOKUP(C80,Theory!B83:AV154,47,FALSE)</f>
        <v>0</v>
      </c>
      <c r="BE80" s="386">
        <f>VLOOKUP(C80,Theory!B83:AW154,48,FALSE)</f>
        <v>0</v>
      </c>
      <c r="BF80" s="386">
        <f>VLOOKUP(C80,Theory!B83:AX154,49,FALSE)</f>
        <v>0</v>
      </c>
      <c r="BG80" s="386">
        <f>VLOOKUP(C80,Theory!B83:AY154,50,FALSE)</f>
        <v>0</v>
      </c>
      <c r="BH80" s="369">
        <f t="shared" si="57"/>
        <v>2</v>
      </c>
      <c r="BI80" s="386">
        <f>VLOOKUP(C80,Theory!B83:AZ154,51,FALSE)</f>
        <v>0</v>
      </c>
      <c r="BJ80" s="386">
        <f>VLOOKUP(C80,Theory!B83:BA154,52,FALSE)</f>
        <v>0</v>
      </c>
      <c r="BK80" s="386">
        <f>VLOOKUP(C80,Theory!B83:BB154,53,FALSE)</f>
        <v>0</v>
      </c>
      <c r="BL80" s="386">
        <f>VLOOKUP(C80,Theory!B83:BC154,54,FALSE)</f>
        <v>0</v>
      </c>
      <c r="BM80" s="386">
        <f>VLOOKUP(C80,Theory!B83:BD154,55,FALSE)</f>
        <v>0</v>
      </c>
      <c r="BN80" s="386">
        <f>VLOOKUP(C80,Theory!B83:BE154,56,FALSE)</f>
        <v>0</v>
      </c>
      <c r="BO80" s="386">
        <f>VLOOKUP(C80,Theory!B83:BF154,57,FALSE)</f>
        <v>0</v>
      </c>
      <c r="BP80" s="386">
        <f>VLOOKUP(C80,Theory!B83:BG154,58,FALSE)</f>
        <v>0</v>
      </c>
      <c r="BQ80" s="369">
        <f t="shared" si="58"/>
        <v>0</v>
      </c>
      <c r="BR80" s="386">
        <f>VLOOKUP(C80,Theory!B83:BH154,59,FALSE)</f>
        <v>4</v>
      </c>
      <c r="BS80" s="386">
        <f>VLOOKUP(C80,Theory!B83:BI154,60,FALSE)</f>
        <v>0</v>
      </c>
      <c r="BT80" s="386">
        <f>VLOOKUP(C80,Theory!B83:BJ154,61,FALSE)</f>
        <v>0</v>
      </c>
      <c r="BU80" s="386">
        <f>VLOOKUP(C80,Theory!B83:BK154,62,FALSE)</f>
        <v>0</v>
      </c>
      <c r="BV80" s="386">
        <f>VLOOKUP(C80,Theory!B83:BL154,63,FALSE)</f>
        <v>0</v>
      </c>
      <c r="BW80" s="386">
        <f>VLOOKUP(C80,Theory!B83:BM154,64,FALSE)</f>
        <v>0</v>
      </c>
      <c r="BX80" s="386">
        <f>VLOOKUP(C80,Theory!B83:BN154,65,FALSE)</f>
        <v>0</v>
      </c>
      <c r="BY80" s="386">
        <f>VLOOKUP(C80,Theory!B83:BO154,66,FALSE)</f>
        <v>0</v>
      </c>
      <c r="BZ80" s="369">
        <f t="shared" si="59"/>
        <v>4</v>
      </c>
      <c r="CA80" s="385">
        <f t="shared" si="47"/>
        <v>6</v>
      </c>
      <c r="CB80" s="386">
        <f>VLOOKUP(C80,Theory!B83:BP154,67,FALSE)</f>
        <v>9</v>
      </c>
      <c r="CC80" s="386">
        <f>VLOOKUP(C80,Theory!B83:BQ154,68,FALSE)</f>
        <v>0</v>
      </c>
      <c r="CD80" s="386">
        <f>VLOOKUP(C80,Theory!B83:BR154,69,FALSE)</f>
        <v>0</v>
      </c>
      <c r="CE80" s="386">
        <f>VLOOKUP(C80,Theory!B83:BS154,70,FALSE)</f>
        <v>0</v>
      </c>
      <c r="CF80" s="369">
        <f t="shared" si="69"/>
        <v>9</v>
      </c>
      <c r="CG80" s="399">
        <f>VLOOKUP(C80,Theory!B83:BT154,71,FALSE)</f>
        <v>6</v>
      </c>
      <c r="CH80" s="399">
        <f>VLOOKUP(C80,Theory!B83:BU154,72,FALSE)</f>
        <v>0</v>
      </c>
      <c r="CI80" s="399">
        <f>VLOOKUP(C80,Theory!B83:BV154,73,FALSE)</f>
        <v>0</v>
      </c>
      <c r="CJ80" s="399">
        <f>VLOOKUP(C80,Theory!B83:BW154,74,FALSE)</f>
        <v>0</v>
      </c>
      <c r="CK80" s="369">
        <f t="shared" si="60"/>
        <v>6</v>
      </c>
      <c r="CL80" s="386">
        <f>VLOOKUP(C80,Theory!B83:BX154,75,FALSE)</f>
        <v>0</v>
      </c>
      <c r="CM80" s="400">
        <f>VLOOKUP(C80,Theory!B83:BY154,76,FALSE)</f>
        <v>0</v>
      </c>
      <c r="CN80" s="400">
        <f>VLOOKUP(C80,Theory!B83:BZ154,77,FALSE)</f>
        <v>0</v>
      </c>
      <c r="CO80" s="400">
        <f>VLOOKUP(C80,Theory!B83:CA154,78,FALSE)</f>
        <v>0</v>
      </c>
      <c r="CP80" s="386">
        <f>VLOOKUP(C80,Theory!B83:CB154,79,FALSE)</f>
        <v>8</v>
      </c>
      <c r="CQ80" s="386">
        <f>VLOOKUP(C80,Theory!B83:CC154,80,FALSE)</f>
        <v>0</v>
      </c>
      <c r="CR80" s="386">
        <f>VLOOKUP(C80,Theory!B83:CD154,81,FALSE)</f>
        <v>0</v>
      </c>
      <c r="CS80" s="386">
        <f>VLOOKUP(C80,Theory!B83:CE154,82,FALSE)</f>
        <v>0</v>
      </c>
      <c r="CT80" s="369">
        <f t="shared" si="61"/>
        <v>8</v>
      </c>
      <c r="CU80" s="399">
        <f>VLOOKUP(C80,Theory!B83:CF154,83,FALSE)</f>
        <v>4</v>
      </c>
      <c r="CV80" s="400">
        <f>VLOOKUP(C80,Theory!B83:CG154,84,FALSE)</f>
        <v>0</v>
      </c>
      <c r="CW80" s="400">
        <f>VLOOKUP(C80,Theory!B83:CH154,85,FALSE)</f>
        <v>0</v>
      </c>
      <c r="CX80" s="400">
        <f>VLOOKUP(C80,Theory!B83:CI154,86,FALSE)</f>
        <v>0</v>
      </c>
      <c r="CY80" s="399">
        <f>VLOOKUP(C80,Theory!B83:CJ154,87,FALSE)</f>
        <v>0</v>
      </c>
      <c r="CZ80" s="399">
        <f>VLOOKUP(C80,Theory!B83:CK154,88,FALSE)</f>
        <v>0</v>
      </c>
      <c r="DA80" s="399">
        <f>VLOOKUP(C80,Theory!B83:CL154,89,FALSE)</f>
        <v>0</v>
      </c>
      <c r="DB80" s="399">
        <f>VLOOKUP(C80,Theory!B83:CM154,90,FALSE)</f>
        <v>0</v>
      </c>
      <c r="DC80" s="369">
        <f t="shared" si="62"/>
        <v>4</v>
      </c>
      <c r="DD80" s="386">
        <f>VLOOKUP(C80,Theory!B83:CN154,91,FALSE)</f>
        <v>0</v>
      </c>
      <c r="DE80" s="400">
        <f>VLOOKUP(C80,Theory!B83:CO154,92,FALSE)</f>
        <v>0</v>
      </c>
      <c r="DF80" s="400">
        <f>VLOOKUP(C80,Theory!B83:CP154,93,FALSE)</f>
        <v>0</v>
      </c>
      <c r="DG80" s="400">
        <f>VLOOKUP(C80,Theory!B83:CQ154,94,FALSE)</f>
        <v>0</v>
      </c>
      <c r="DH80" s="386">
        <f>VLOOKUP(C80,Theory!B83:CR154,95,FALSE)</f>
        <v>0</v>
      </c>
      <c r="DI80" s="386">
        <f>VLOOKUP(C80,Theory!B83:CS154,96,FALSE)</f>
        <v>0</v>
      </c>
      <c r="DJ80" s="386">
        <f>VLOOKUP(C80,Theory!B83:CT154,97,FALSE)</f>
        <v>0</v>
      </c>
      <c r="DK80" s="386">
        <f>VLOOKUP(C80,Theory!B83:CU154,98,FALSE)</f>
        <v>0</v>
      </c>
      <c r="DL80" s="369">
        <f t="shared" si="63"/>
        <v>0</v>
      </c>
      <c r="DM80" s="411">
        <f t="shared" si="48"/>
        <v>27</v>
      </c>
      <c r="DN80" s="413">
        <f t="shared" si="40"/>
        <v>15</v>
      </c>
      <c r="DO80" s="413">
        <f t="shared" si="41"/>
        <v>6</v>
      </c>
      <c r="DP80" s="413">
        <f t="shared" si="42"/>
        <v>27</v>
      </c>
      <c r="DQ80" s="418">
        <f t="shared" si="43"/>
        <v>9</v>
      </c>
      <c r="DR80" s="418">
        <f t="shared" si="44"/>
        <v>4</v>
      </c>
      <c r="DS80" s="418">
        <f t="shared" si="45"/>
        <v>16</v>
      </c>
      <c r="DT80" s="417">
        <f t="shared" si="70"/>
        <v>10</v>
      </c>
      <c r="DU80" s="423">
        <f>VLOOKUP(C80,Theory!B83:CV154,99,FALSE)</f>
        <v>6</v>
      </c>
      <c r="DV80" s="423">
        <f>VLOOKUP(C80,Theory!B83:CW154,100,FALSE)</f>
        <v>10</v>
      </c>
      <c r="DW80" s="424">
        <f t="shared" si="64"/>
        <v>16</v>
      </c>
      <c r="DX80" s="421">
        <f t="shared" si="49"/>
        <v>26</v>
      </c>
      <c r="DY80" s="430">
        <f t="shared" si="65"/>
        <v>16</v>
      </c>
      <c r="DZ80" s="431">
        <f>VLOOKUP(C80,Lab!B75:D144,3,FALSE)</f>
        <v>0</v>
      </c>
      <c r="EA80" s="432">
        <f>VLOOKUP(C80,Lab!B75:E144,4,FALSE)</f>
        <v>0</v>
      </c>
      <c r="EB80" s="432">
        <f>VLOOKUP(C80,Lab!B75:F144,5,FALSE)</f>
        <v>25</v>
      </c>
      <c r="EC80" s="422">
        <f t="shared" si="71"/>
        <v>25</v>
      </c>
      <c r="ED80" s="436">
        <f>VLOOKUP(C80,Lab!B75:G144,6,FALSE)</f>
        <v>0</v>
      </c>
      <c r="EE80" s="436">
        <f>VLOOKUP(C80,Lab!B75:H144,7,FALSE)</f>
        <v>0</v>
      </c>
      <c r="EF80" s="437">
        <v>10</v>
      </c>
      <c r="EG80" s="443">
        <f t="shared" si="72"/>
        <v>10</v>
      </c>
      <c r="EH80" s="444">
        <f t="shared" si="66"/>
        <v>35</v>
      </c>
      <c r="EI80" s="445">
        <f t="shared" si="67"/>
        <v>14</v>
      </c>
      <c r="EJ80" s="446">
        <f t="shared" si="50"/>
        <v>30</v>
      </c>
      <c r="EK80" s="449">
        <v>22.5</v>
      </c>
      <c r="EL80" s="336"/>
      <c r="EM80" s="450">
        <f>VLOOKUP(C80,Theory!B83:DK154,114,FALSE)</f>
        <v>0</v>
      </c>
      <c r="EN80" s="450">
        <f>VLOOKUP(C80,Theory!B83:DL154,115,FALSE)</f>
        <v>0</v>
      </c>
      <c r="EO80" s="450">
        <f>VLOOKUP(C80,Theory!B83:DM154,116,FALSE)</f>
        <v>0</v>
      </c>
      <c r="EP80" s="450">
        <f>VLOOKUP(C80,Theory!B83:DN152,117,FALSE)</f>
        <v>0</v>
      </c>
      <c r="EQ80" s="450">
        <f>VLOOKUP(C80,Theory!B83:DO152,118,FALSE)</f>
        <v>0</v>
      </c>
      <c r="ER80" s="451">
        <f>VLOOKUP(C80,Theory!B83:DP152,119,FALSE)</f>
        <v>0</v>
      </c>
      <c r="ES80" s="454">
        <f>VLOOKUP(C80,Theory!B83:DQ152,120,FALSE)</f>
        <v>0</v>
      </c>
      <c r="ET80" s="455">
        <f t="shared" si="73"/>
        <v>0</v>
      </c>
      <c r="EU80" s="457"/>
      <c r="EV80" s="457"/>
      <c r="EW80" s="457"/>
      <c r="EX80" s="457"/>
      <c r="EY80" s="457"/>
      <c r="EZ80" s="457"/>
      <c r="FA80" s="457"/>
      <c r="FB80" s="457"/>
      <c r="FC80" s="457"/>
      <c r="FD80" s="457"/>
    </row>
    <row r="81" s="11" customFormat="1" ht="18.35" spans="1:160">
      <c r="A81" s="363">
        <v>68</v>
      </c>
      <c r="B81" s="289" t="str">
        <f>Theory!C84</f>
        <v>QALIM INDIKAR</v>
      </c>
      <c r="C81" s="360" t="str">
        <f>Theory!B84</f>
        <v>1DS24AI406</v>
      </c>
      <c r="D81" s="361">
        <f>VLOOKUP(C81,Theory!B84:D155,3,FALSE)</f>
        <v>9</v>
      </c>
      <c r="E81" s="361">
        <f>VLOOKUP(C81,Theory!B84:E155,4,FALSE)</f>
        <v>0</v>
      </c>
      <c r="F81" s="361">
        <f>VLOOKUP(C81,Theory!B84:F155,5,FALSE)</f>
        <v>0</v>
      </c>
      <c r="G81" s="361">
        <f>VLOOKUP(C81,Theory!B84:G155,6,FALSE)</f>
        <v>0</v>
      </c>
      <c r="H81" s="369">
        <f t="shared" si="68"/>
        <v>9</v>
      </c>
      <c r="I81" s="370">
        <f>VLOOKUP(C81,Theory!B84:H155,7,FALSE)</f>
        <v>6</v>
      </c>
      <c r="J81" s="371">
        <f>VLOOKUP(C81,Theory!B84:I155,8,FALSE)</f>
        <v>0</v>
      </c>
      <c r="K81" s="371">
        <f>VLOOKUP(C81,Theory!B84:J155,9,FALSE)</f>
        <v>0</v>
      </c>
      <c r="L81" s="371">
        <f>VLOOKUP(C81,Theory!B84:K155,10,FALSE)</f>
        <v>0</v>
      </c>
      <c r="M81" s="369">
        <f t="shared" si="51"/>
        <v>6</v>
      </c>
      <c r="N81" s="373">
        <f>VLOOKUP(C81,Theory!B84:L155,11,FALSE)</f>
        <v>5</v>
      </c>
      <c r="O81" s="373">
        <f>VLOOKUP(C81,Theory!B84:M155,12,FALSE)</f>
        <v>0</v>
      </c>
      <c r="P81" s="373">
        <f>VLOOKUP(C81,Theory!B84:N155,13,FALSE)</f>
        <v>0</v>
      </c>
      <c r="Q81" s="373">
        <f>VLOOKUP(C81,Theory!B84:O155,14,FALSE)</f>
        <v>0</v>
      </c>
      <c r="R81" s="371">
        <f>VLOOKUP(C81,Theory!B84:P155,15,FALSE)</f>
        <v>0</v>
      </c>
      <c r="S81" s="371">
        <f>VLOOKUP(C81,Theory!B84:Q155,16,FALSE)</f>
        <v>0</v>
      </c>
      <c r="T81" s="371">
        <f>VLOOKUP(C81,Theory!B84:R155,17,FALSE)</f>
        <v>0</v>
      </c>
      <c r="U81" s="371">
        <f>VLOOKUP(C81,Theory!B84:S155,18,FALSE)</f>
        <v>0</v>
      </c>
      <c r="V81" s="369">
        <f t="shared" si="52"/>
        <v>5</v>
      </c>
      <c r="W81" s="361">
        <f>VLOOKUP(C81,Theory!B84:T155,19,FALSE)</f>
        <v>5</v>
      </c>
      <c r="X81" s="361">
        <f>VLOOKUP(C81,Theory!B84:U155,20,FALSE)</f>
        <v>0</v>
      </c>
      <c r="Y81" s="361">
        <f>VLOOKUP(C81,Theory!B84:V155,21,FALSE)</f>
        <v>0</v>
      </c>
      <c r="Z81" s="361">
        <f>VLOOKUP(C81,Theory!B84:W155,22,FALSE)</f>
        <v>0</v>
      </c>
      <c r="AA81" s="370">
        <f>VLOOKUP(C81,Theory!B84:X155,23,FALSE)</f>
        <v>0</v>
      </c>
      <c r="AB81" s="370">
        <f>VLOOKUP(C81,Theory!B84:Y155,24,FALSE)</f>
        <v>0</v>
      </c>
      <c r="AC81" s="370">
        <f>VLOOKUP(C81,Theory!B84:Z155,25,FALSE)</f>
        <v>0</v>
      </c>
      <c r="AD81" s="370">
        <f>VLOOKUP(C81,Theory!B84:AA155,26,FALSE)</f>
        <v>0</v>
      </c>
      <c r="AE81" s="369">
        <f t="shared" si="53"/>
        <v>5</v>
      </c>
      <c r="AF81" s="361">
        <f>VLOOKUP(C81,Theory!B84:AB155,27,FALSE)</f>
        <v>2</v>
      </c>
      <c r="AG81" s="361">
        <f>VLOOKUP(C81,Theory!B84:AC155,28,FALSE)</f>
        <v>0</v>
      </c>
      <c r="AH81" s="361">
        <f>VLOOKUP(C81,Theory!B84:AD155,29,FALSE)</f>
        <v>0</v>
      </c>
      <c r="AI81" s="361">
        <f>VLOOKUP(C81,Theory!B84:AE155,30,FALSE)</f>
        <v>0</v>
      </c>
      <c r="AJ81" s="380">
        <f>VLOOKUP(C81,Theory!B84:AF155,31,FALSE)</f>
        <v>0</v>
      </c>
      <c r="AK81" s="380">
        <f>VLOOKUP(C81,Theory!B84:AG155,32,FALSE)</f>
        <v>0</v>
      </c>
      <c r="AL81" s="380">
        <f>VLOOKUP(C81,Theory!B84:AH155,33,FALSE)</f>
        <v>0</v>
      </c>
      <c r="AM81" s="380">
        <f>VLOOKUP(C81,Theory!B84:AI155,34,FALSE)</f>
        <v>0</v>
      </c>
      <c r="AN81" s="369">
        <f t="shared" si="54"/>
        <v>2</v>
      </c>
      <c r="AO81" s="385">
        <f t="shared" si="46"/>
        <v>27</v>
      </c>
      <c r="AP81" s="386">
        <f>VLOOKUP(C81,Theory!B84:AJ155,35,FALSE)</f>
        <v>8</v>
      </c>
      <c r="AQ81" s="386">
        <f>VLOOKUP(C81,Theory!B84:AK155,36,FALSE)</f>
        <v>0</v>
      </c>
      <c r="AR81" s="386">
        <f>VLOOKUP(C81,Theory!B84:AL155,37,FALSE)</f>
        <v>0</v>
      </c>
      <c r="AS81" s="386">
        <f>VLOOKUP(C81,Theory!B84:AM155,38,FALSE)</f>
        <v>0</v>
      </c>
      <c r="AT81" s="369">
        <f t="shared" si="55"/>
        <v>8</v>
      </c>
      <c r="AU81" s="386">
        <f>VLOOKUP(C81,Theory!B84:AN155,39,FALSE)</f>
        <v>4</v>
      </c>
      <c r="AV81" s="386">
        <f>VLOOKUP(C81,Theory!B84:AO155,40,FALSE)</f>
        <v>0</v>
      </c>
      <c r="AW81" s="386">
        <f>VLOOKUP(C81,Theory!B84:AP155,41,FALSE)</f>
        <v>0</v>
      </c>
      <c r="AX81" s="386">
        <f>VLOOKUP(C81,Theory!B84:AQ155,42,FALSE)</f>
        <v>0</v>
      </c>
      <c r="AY81" s="369">
        <f t="shared" si="56"/>
        <v>4</v>
      </c>
      <c r="AZ81" s="386">
        <f>VLOOKUP(C81,Theory!B84:AR155,43,FALSE)</f>
        <v>8</v>
      </c>
      <c r="BA81" s="386">
        <f>VLOOKUP(C81,Theory!B84:AS155,44,FALSE)</f>
        <v>0</v>
      </c>
      <c r="BB81" s="386">
        <f>VLOOKUP(C81,Theory!B84:AT155,45,FALSE)</f>
        <v>0</v>
      </c>
      <c r="BC81" s="386">
        <f>VLOOKUP(C81,Theory!B84:AU155,46,FALSE)</f>
        <v>0</v>
      </c>
      <c r="BD81" s="386">
        <f>VLOOKUP(C81,Theory!B84:AV155,47,FALSE)</f>
        <v>0</v>
      </c>
      <c r="BE81" s="386">
        <f>VLOOKUP(C81,Theory!B84:AW155,48,FALSE)</f>
        <v>0</v>
      </c>
      <c r="BF81" s="386">
        <f>VLOOKUP(C81,Theory!B84:AX155,49,FALSE)</f>
        <v>0</v>
      </c>
      <c r="BG81" s="386">
        <f>VLOOKUP(C81,Theory!B84:AY155,50,FALSE)</f>
        <v>0</v>
      </c>
      <c r="BH81" s="369">
        <f t="shared" si="57"/>
        <v>8</v>
      </c>
      <c r="BI81" s="386">
        <f>VLOOKUP(C81,Theory!B84:AZ155,51,FALSE)</f>
        <v>0</v>
      </c>
      <c r="BJ81" s="386">
        <f>VLOOKUP(C81,Theory!B84:BA155,52,FALSE)</f>
        <v>0</v>
      </c>
      <c r="BK81" s="386">
        <f>VLOOKUP(C81,Theory!B84:BB155,53,FALSE)</f>
        <v>0</v>
      </c>
      <c r="BL81" s="386">
        <f>VLOOKUP(C81,Theory!B84:BC155,54,FALSE)</f>
        <v>0</v>
      </c>
      <c r="BM81" s="386">
        <f>VLOOKUP(C81,Theory!B84:BD155,55,FALSE)</f>
        <v>0</v>
      </c>
      <c r="BN81" s="386">
        <f>VLOOKUP(C81,Theory!B84:BE155,56,FALSE)</f>
        <v>0</v>
      </c>
      <c r="BO81" s="386">
        <f>VLOOKUP(C81,Theory!B84:BF155,57,FALSE)</f>
        <v>0</v>
      </c>
      <c r="BP81" s="386">
        <f>VLOOKUP(C81,Theory!B84:BG155,58,FALSE)</f>
        <v>0</v>
      </c>
      <c r="BQ81" s="369">
        <f t="shared" si="58"/>
        <v>0</v>
      </c>
      <c r="BR81" s="386">
        <f>VLOOKUP(C81,Theory!B84:BH155,59,FALSE)</f>
        <v>0</v>
      </c>
      <c r="BS81" s="386">
        <f>VLOOKUP(C81,Theory!B84:BI155,60,FALSE)</f>
        <v>0</v>
      </c>
      <c r="BT81" s="386">
        <f>VLOOKUP(C81,Theory!B84:BJ155,61,FALSE)</f>
        <v>0</v>
      </c>
      <c r="BU81" s="386">
        <f>VLOOKUP(C81,Theory!B84:BK155,62,FALSE)</f>
        <v>0</v>
      </c>
      <c r="BV81" s="386">
        <f>VLOOKUP(C81,Theory!B84:BL155,63,FALSE)</f>
        <v>8</v>
      </c>
      <c r="BW81" s="386">
        <f>VLOOKUP(C81,Theory!B84:BM155,64,FALSE)</f>
        <v>0</v>
      </c>
      <c r="BX81" s="386">
        <f>VLOOKUP(C81,Theory!B84:BN155,65,FALSE)</f>
        <v>0</v>
      </c>
      <c r="BY81" s="386">
        <f>VLOOKUP(C81,Theory!B84:BO155,66,FALSE)</f>
        <v>0</v>
      </c>
      <c r="BZ81" s="369">
        <f t="shared" si="59"/>
        <v>8</v>
      </c>
      <c r="CA81" s="385">
        <f t="shared" si="47"/>
        <v>28</v>
      </c>
      <c r="CB81" s="386">
        <f>VLOOKUP(C81,Theory!B84:BP155,67,FALSE)</f>
        <v>9</v>
      </c>
      <c r="CC81" s="386">
        <f>VLOOKUP(C81,Theory!B84:BQ155,68,FALSE)</f>
        <v>0</v>
      </c>
      <c r="CD81" s="386">
        <f>VLOOKUP(C81,Theory!B84:BR155,69,FALSE)</f>
        <v>0</v>
      </c>
      <c r="CE81" s="386">
        <f>VLOOKUP(C81,Theory!B84:BS155,70,FALSE)</f>
        <v>0</v>
      </c>
      <c r="CF81" s="369">
        <f t="shared" si="69"/>
        <v>9</v>
      </c>
      <c r="CG81" s="399">
        <f>VLOOKUP(C81,Theory!B84:BT155,71,FALSE)</f>
        <v>0</v>
      </c>
      <c r="CH81" s="399">
        <f>VLOOKUP(C81,Theory!B84:BU155,72,FALSE)</f>
        <v>0</v>
      </c>
      <c r="CI81" s="399">
        <f>VLOOKUP(C81,Theory!B84:BV155,73,FALSE)</f>
        <v>0</v>
      </c>
      <c r="CJ81" s="399">
        <f>VLOOKUP(C81,Theory!B84:BW155,74,FALSE)</f>
        <v>0</v>
      </c>
      <c r="CK81" s="369">
        <f t="shared" si="60"/>
        <v>0</v>
      </c>
      <c r="CL81" s="386">
        <f>VLOOKUP(C81,Theory!B84:BX155,75,FALSE)</f>
        <v>10</v>
      </c>
      <c r="CM81" s="400">
        <f>VLOOKUP(C81,Theory!B84:BY155,76,FALSE)</f>
        <v>0</v>
      </c>
      <c r="CN81" s="400">
        <f>VLOOKUP(C81,Theory!B84:BZ155,77,FALSE)</f>
        <v>0</v>
      </c>
      <c r="CO81" s="400">
        <f>VLOOKUP(C81,Theory!B84:CA155,78,FALSE)</f>
        <v>0</v>
      </c>
      <c r="CP81" s="386">
        <f>VLOOKUP(C81,Theory!B84:CB155,79,FALSE)</f>
        <v>0</v>
      </c>
      <c r="CQ81" s="386">
        <f>VLOOKUP(C81,Theory!B84:CC155,80,FALSE)</f>
        <v>0</v>
      </c>
      <c r="CR81" s="386">
        <f>VLOOKUP(C81,Theory!B84:CD155,81,FALSE)</f>
        <v>0</v>
      </c>
      <c r="CS81" s="386">
        <f>VLOOKUP(C81,Theory!B84:CE155,82,FALSE)</f>
        <v>0</v>
      </c>
      <c r="CT81" s="369">
        <f t="shared" si="61"/>
        <v>10</v>
      </c>
      <c r="CU81" s="399">
        <f>VLOOKUP(C81,Theory!B84:CF155,83,FALSE)</f>
        <v>10</v>
      </c>
      <c r="CV81" s="400">
        <f>VLOOKUP(C81,Theory!B84:CG155,84,FALSE)</f>
        <v>0</v>
      </c>
      <c r="CW81" s="400">
        <f>VLOOKUP(C81,Theory!B84:CH155,85,FALSE)</f>
        <v>0</v>
      </c>
      <c r="CX81" s="400">
        <f>VLOOKUP(C81,Theory!B84:CI155,86,FALSE)</f>
        <v>0</v>
      </c>
      <c r="CY81" s="399">
        <f>VLOOKUP(C81,Theory!B84:CJ155,87,FALSE)</f>
        <v>0</v>
      </c>
      <c r="CZ81" s="399">
        <f>VLOOKUP(C81,Theory!B84:CK155,88,FALSE)</f>
        <v>0</v>
      </c>
      <c r="DA81" s="399">
        <f>VLOOKUP(C81,Theory!B84:CL155,89,FALSE)</f>
        <v>0</v>
      </c>
      <c r="DB81" s="399">
        <f>VLOOKUP(C81,Theory!B84:CM155,90,FALSE)</f>
        <v>0</v>
      </c>
      <c r="DC81" s="369">
        <f t="shared" si="62"/>
        <v>10</v>
      </c>
      <c r="DD81" s="386">
        <f>VLOOKUP(C81,Theory!B84:CN155,91,FALSE)</f>
        <v>0</v>
      </c>
      <c r="DE81" s="400">
        <f>VLOOKUP(C81,Theory!B84:CO155,92,FALSE)</f>
        <v>0</v>
      </c>
      <c r="DF81" s="400">
        <f>VLOOKUP(C81,Theory!B84:CP155,93,FALSE)</f>
        <v>0</v>
      </c>
      <c r="DG81" s="400">
        <f>VLOOKUP(C81,Theory!B84:CQ155,94,FALSE)</f>
        <v>0</v>
      </c>
      <c r="DH81" s="386">
        <f>VLOOKUP(C81,Theory!B84:CR155,95,FALSE)</f>
        <v>9</v>
      </c>
      <c r="DI81" s="386">
        <f>VLOOKUP(C81,Theory!B84:CS155,96,FALSE)</f>
        <v>0</v>
      </c>
      <c r="DJ81" s="386">
        <f>VLOOKUP(C81,Theory!B84:CT155,97,FALSE)</f>
        <v>0</v>
      </c>
      <c r="DK81" s="386">
        <f>VLOOKUP(C81,Theory!B84:CU155,98,FALSE)</f>
        <v>0</v>
      </c>
      <c r="DL81" s="369">
        <f t="shared" si="63"/>
        <v>9</v>
      </c>
      <c r="DM81" s="411">
        <f t="shared" si="48"/>
        <v>38</v>
      </c>
      <c r="DN81" s="413">
        <f t="shared" ref="DN81:DN83" si="74">AO81</f>
        <v>27</v>
      </c>
      <c r="DO81" s="413">
        <f t="shared" ref="DO81:DO83" si="75">CA81</f>
        <v>28</v>
      </c>
      <c r="DP81" s="413">
        <f t="shared" ref="DP81:DP83" si="76">DM81</f>
        <v>38</v>
      </c>
      <c r="DQ81" s="418">
        <f t="shared" ref="DQ81:DQ83" si="77">ROUND(30*DN81/50,0)</f>
        <v>16</v>
      </c>
      <c r="DR81" s="418">
        <f t="shared" ref="DR81:DR83" si="78">ROUND(30*DO81/50,0)</f>
        <v>17</v>
      </c>
      <c r="DS81" s="418">
        <f t="shared" ref="DS81:DS83" si="79">ROUND(30*DP81/50,0)</f>
        <v>23</v>
      </c>
      <c r="DT81" s="417">
        <f t="shared" si="70"/>
        <v>19</v>
      </c>
      <c r="DU81" s="423">
        <f>VLOOKUP(C81,Theory!B84:CV155,99,FALSE)</f>
        <v>4</v>
      </c>
      <c r="DV81" s="423">
        <f>VLOOKUP(C81,Theory!B84:CW155,100,FALSE)</f>
        <v>10</v>
      </c>
      <c r="DW81" s="424">
        <f t="shared" si="64"/>
        <v>14</v>
      </c>
      <c r="DX81" s="421">
        <f t="shared" si="49"/>
        <v>33</v>
      </c>
      <c r="DY81" s="430">
        <f t="shared" si="65"/>
        <v>20</v>
      </c>
      <c r="DZ81" s="431">
        <f>VLOOKUP(C81,Lab!B76:D145,3,FALSE)</f>
        <v>0</v>
      </c>
      <c r="EA81" s="432">
        <f>VLOOKUP(C81,Lab!B76:E145,4,FALSE)</f>
        <v>0</v>
      </c>
      <c r="EB81" s="432">
        <f>VLOOKUP(C81,Lab!B76:F145,5,FALSE)</f>
        <v>28</v>
      </c>
      <c r="EC81" s="422">
        <f t="shared" si="71"/>
        <v>28</v>
      </c>
      <c r="ED81" s="436">
        <f>VLOOKUP(C81,Lab!B76:G145,6,FALSE)</f>
        <v>0</v>
      </c>
      <c r="EE81" s="436">
        <f>VLOOKUP(C81,Lab!B76:H145,7,FALSE)</f>
        <v>0</v>
      </c>
      <c r="EF81" s="437">
        <v>15</v>
      </c>
      <c r="EG81" s="443">
        <f t="shared" si="72"/>
        <v>15</v>
      </c>
      <c r="EH81" s="444">
        <f t="shared" si="66"/>
        <v>43</v>
      </c>
      <c r="EI81" s="445">
        <f t="shared" si="67"/>
        <v>17</v>
      </c>
      <c r="EJ81" s="446">
        <f t="shared" si="50"/>
        <v>37</v>
      </c>
      <c r="EK81" s="449">
        <v>23.5</v>
      </c>
      <c r="EL81" s="336"/>
      <c r="EM81" s="450">
        <f>VLOOKUP(C81,Theory!B84:DK155,114,FALSE)</f>
        <v>0</v>
      </c>
      <c r="EN81" s="450">
        <f>VLOOKUP(C81,Theory!B84:DL155,115,FALSE)</f>
        <v>0</v>
      </c>
      <c r="EO81" s="450">
        <f>VLOOKUP(C81,Theory!B84:DM155,116,FALSE)</f>
        <v>0</v>
      </c>
      <c r="EP81" s="450">
        <f>VLOOKUP(C81,Theory!B84:DN153,117,FALSE)</f>
        <v>0</v>
      </c>
      <c r="EQ81" s="450">
        <f>VLOOKUP(C81,Theory!B84:DO153,118,FALSE)</f>
        <v>0</v>
      </c>
      <c r="ER81" s="451">
        <f>VLOOKUP(C81,Theory!B84:DP153,119,FALSE)</f>
        <v>0</v>
      </c>
      <c r="ES81" s="454">
        <f>VLOOKUP(C81,Theory!B84:DQ153,120,FALSE)</f>
        <v>0</v>
      </c>
      <c r="ET81" s="455">
        <f t="shared" si="73"/>
        <v>0</v>
      </c>
      <c r="EU81" s="457"/>
      <c r="EV81" s="457"/>
      <c r="EW81" s="457"/>
      <c r="EX81" s="457"/>
      <c r="EY81" s="457"/>
      <c r="EZ81" s="457"/>
      <c r="FA81" s="457"/>
      <c r="FB81" s="457"/>
      <c r="FC81" s="457"/>
      <c r="FD81" s="457"/>
    </row>
    <row r="82" s="11" customFormat="1" ht="18.35" spans="1:160">
      <c r="A82" s="363">
        <v>69</v>
      </c>
      <c r="B82" s="289">
        <f>Theory!C85</f>
        <v>0</v>
      </c>
      <c r="C82" s="360">
        <f>Theory!B85</f>
        <v>0</v>
      </c>
      <c r="D82" s="361" t="e">
        <f>VLOOKUP(C82,Theory!B85:D156,3,FALSE)</f>
        <v>#N/A</v>
      </c>
      <c r="E82" s="361" t="e">
        <f>VLOOKUP(C82,Theory!B85:E156,4,FALSE)</f>
        <v>#N/A</v>
      </c>
      <c r="F82" s="361" t="e">
        <f>VLOOKUP(C82,Theory!B85:F156,5,FALSE)</f>
        <v>#N/A</v>
      </c>
      <c r="G82" s="361" t="e">
        <f>VLOOKUP(C82,Theory!B85:G156,6,FALSE)</f>
        <v>#N/A</v>
      </c>
      <c r="H82" s="369" t="e">
        <f t="shared" si="68"/>
        <v>#N/A</v>
      </c>
      <c r="I82" s="370" t="e">
        <f>VLOOKUP(C82,Theory!B85:H156,7,FALSE)</f>
        <v>#N/A</v>
      </c>
      <c r="J82" s="371" t="e">
        <f>VLOOKUP(C82,Theory!B85:I156,8,FALSE)</f>
        <v>#N/A</v>
      </c>
      <c r="K82" s="371" t="e">
        <f>VLOOKUP(C82,Theory!B85:J156,9,FALSE)</f>
        <v>#N/A</v>
      </c>
      <c r="L82" s="371" t="e">
        <f>VLOOKUP(C82,Theory!B85:K156,10,FALSE)</f>
        <v>#N/A</v>
      </c>
      <c r="M82" s="369" t="e">
        <f t="shared" si="51"/>
        <v>#N/A</v>
      </c>
      <c r="N82" s="373" t="e">
        <f>VLOOKUP(C82,Theory!B85:L156,11,FALSE)</f>
        <v>#N/A</v>
      </c>
      <c r="O82" s="373" t="e">
        <f>VLOOKUP(C82,Theory!B85:M156,12,FALSE)</f>
        <v>#N/A</v>
      </c>
      <c r="P82" s="373" t="e">
        <f>VLOOKUP(C82,Theory!B85:N156,13,FALSE)</f>
        <v>#N/A</v>
      </c>
      <c r="Q82" s="373" t="e">
        <f>VLOOKUP(C82,Theory!B85:O156,14,FALSE)</f>
        <v>#N/A</v>
      </c>
      <c r="R82" s="371" t="e">
        <f>VLOOKUP(C82,Theory!B85:P156,15,FALSE)</f>
        <v>#N/A</v>
      </c>
      <c r="S82" s="371" t="e">
        <f>VLOOKUP(C82,Theory!B85:Q156,16,FALSE)</f>
        <v>#N/A</v>
      </c>
      <c r="T82" s="371" t="e">
        <f>VLOOKUP(C82,Theory!B85:R156,17,FALSE)</f>
        <v>#N/A</v>
      </c>
      <c r="U82" s="371" t="e">
        <f>VLOOKUP(C82,Theory!B85:S156,18,FALSE)</f>
        <v>#N/A</v>
      </c>
      <c r="V82" s="369" t="e">
        <f t="shared" si="52"/>
        <v>#N/A</v>
      </c>
      <c r="W82" s="361" t="e">
        <f>VLOOKUP(C82,Theory!B85:T156,19,FALSE)</f>
        <v>#N/A</v>
      </c>
      <c r="X82" s="361" t="e">
        <f>VLOOKUP(C82,Theory!B85:U156,20,FALSE)</f>
        <v>#N/A</v>
      </c>
      <c r="Y82" s="361" t="e">
        <f>VLOOKUP(C82,Theory!B85:V156,21,FALSE)</f>
        <v>#N/A</v>
      </c>
      <c r="Z82" s="361" t="e">
        <f>VLOOKUP(C82,Theory!B85:W156,22,FALSE)</f>
        <v>#N/A</v>
      </c>
      <c r="AA82" s="370" t="e">
        <f>VLOOKUP(C82,Theory!B85:X156,23,FALSE)</f>
        <v>#N/A</v>
      </c>
      <c r="AB82" s="370" t="e">
        <f>VLOOKUP(C82,Theory!B85:Y156,24,FALSE)</f>
        <v>#N/A</v>
      </c>
      <c r="AC82" s="370" t="e">
        <f>VLOOKUP(C82,Theory!B85:Z156,25,FALSE)</f>
        <v>#N/A</v>
      </c>
      <c r="AD82" s="370" t="e">
        <f>VLOOKUP(C82,Theory!B85:AA156,26,FALSE)</f>
        <v>#N/A</v>
      </c>
      <c r="AE82" s="369" t="e">
        <f t="shared" si="53"/>
        <v>#N/A</v>
      </c>
      <c r="AF82" s="361" t="e">
        <f>VLOOKUP(C82,Theory!B85:AB156,27,FALSE)</f>
        <v>#N/A</v>
      </c>
      <c r="AG82" s="361" t="e">
        <f>VLOOKUP(C82,Theory!B85:AC156,28,FALSE)</f>
        <v>#N/A</v>
      </c>
      <c r="AH82" s="361" t="e">
        <f>VLOOKUP(C82,Theory!B85:AD156,29,FALSE)</f>
        <v>#N/A</v>
      </c>
      <c r="AI82" s="361" t="e">
        <f>VLOOKUP(C82,Theory!B85:AE156,30,FALSE)</f>
        <v>#N/A</v>
      </c>
      <c r="AJ82" s="380" t="e">
        <f>VLOOKUP(C82,Theory!B85:AF156,31,FALSE)</f>
        <v>#N/A</v>
      </c>
      <c r="AK82" s="380" t="e">
        <f>VLOOKUP(C82,Theory!B85:AG156,32,FALSE)</f>
        <v>#N/A</v>
      </c>
      <c r="AL82" s="380" t="e">
        <f>VLOOKUP(C82,Theory!B85:AH156,33,FALSE)</f>
        <v>#N/A</v>
      </c>
      <c r="AM82" s="380" t="e">
        <f>VLOOKUP(C82,Theory!B85:AI156,34,FALSE)</f>
        <v>#N/A</v>
      </c>
      <c r="AN82" s="369" t="e">
        <f t="shared" si="54"/>
        <v>#N/A</v>
      </c>
      <c r="AO82" s="385" t="e">
        <f t="shared" si="46"/>
        <v>#N/A</v>
      </c>
      <c r="AP82" s="386" t="e">
        <f>VLOOKUP(C82,Theory!B85:AJ156,35,FALSE)</f>
        <v>#N/A</v>
      </c>
      <c r="AQ82" s="386" t="e">
        <f>VLOOKUP(C82,Theory!B85:AK156,36,FALSE)</f>
        <v>#N/A</v>
      </c>
      <c r="AR82" s="386" t="e">
        <f>VLOOKUP(C82,Theory!B85:AL156,37,FALSE)</f>
        <v>#N/A</v>
      </c>
      <c r="AS82" s="386" t="e">
        <f>VLOOKUP(C82,Theory!B85:AM156,38,FALSE)</f>
        <v>#N/A</v>
      </c>
      <c r="AT82" s="369" t="e">
        <f t="shared" si="55"/>
        <v>#N/A</v>
      </c>
      <c r="AU82" s="386" t="e">
        <f>VLOOKUP(C82,Theory!B85:AN156,39,FALSE)</f>
        <v>#N/A</v>
      </c>
      <c r="AV82" s="386" t="e">
        <f>VLOOKUP(C82,Theory!B85:AO156,40,FALSE)</f>
        <v>#N/A</v>
      </c>
      <c r="AW82" s="386" t="e">
        <f>VLOOKUP(C82,Theory!B85:AP156,41,FALSE)</f>
        <v>#N/A</v>
      </c>
      <c r="AX82" s="386" t="e">
        <f>VLOOKUP(C82,Theory!B85:AQ156,42,FALSE)</f>
        <v>#N/A</v>
      </c>
      <c r="AY82" s="369" t="e">
        <f t="shared" si="56"/>
        <v>#N/A</v>
      </c>
      <c r="AZ82" s="386" t="e">
        <f>VLOOKUP(C82,Theory!B85:AR156,43,FALSE)</f>
        <v>#N/A</v>
      </c>
      <c r="BA82" s="386" t="e">
        <f>VLOOKUP(C82,Theory!B85:AS156,44,FALSE)</f>
        <v>#N/A</v>
      </c>
      <c r="BB82" s="386" t="e">
        <f>VLOOKUP(C82,Theory!B85:AT156,45,FALSE)</f>
        <v>#N/A</v>
      </c>
      <c r="BC82" s="386" t="e">
        <f>VLOOKUP(C82,Theory!B85:AU156,46,FALSE)</f>
        <v>#N/A</v>
      </c>
      <c r="BD82" s="386" t="e">
        <f>VLOOKUP(C82,Theory!B85:AV156,47,FALSE)</f>
        <v>#N/A</v>
      </c>
      <c r="BE82" s="386" t="e">
        <f>VLOOKUP(C82,Theory!B85:AW156,48,FALSE)</f>
        <v>#N/A</v>
      </c>
      <c r="BF82" s="386" t="e">
        <f>VLOOKUP(C82,Theory!B85:AX156,49,FALSE)</f>
        <v>#N/A</v>
      </c>
      <c r="BG82" s="386" t="e">
        <f>VLOOKUP(C82,Theory!B85:AY156,50,FALSE)</f>
        <v>#N/A</v>
      </c>
      <c r="BH82" s="369" t="e">
        <f t="shared" si="57"/>
        <v>#N/A</v>
      </c>
      <c r="BI82" s="386" t="e">
        <f>VLOOKUP(C82,Theory!B85:AZ156,51,FALSE)</f>
        <v>#N/A</v>
      </c>
      <c r="BJ82" s="386" t="e">
        <f>VLOOKUP(C82,Theory!B85:BA156,52,FALSE)</f>
        <v>#N/A</v>
      </c>
      <c r="BK82" s="386" t="e">
        <f>VLOOKUP(C82,Theory!B85:BB156,53,FALSE)</f>
        <v>#N/A</v>
      </c>
      <c r="BL82" s="386" t="e">
        <f>VLOOKUP(C82,Theory!B85:BC156,54,FALSE)</f>
        <v>#N/A</v>
      </c>
      <c r="BM82" s="386" t="e">
        <f>VLOOKUP(C82,Theory!B85:BD156,55,FALSE)</f>
        <v>#N/A</v>
      </c>
      <c r="BN82" s="386" t="e">
        <f>VLOOKUP(C82,Theory!B85:BE156,56,FALSE)</f>
        <v>#N/A</v>
      </c>
      <c r="BO82" s="386" t="e">
        <f>VLOOKUP(C82,Theory!B85:BF156,57,FALSE)</f>
        <v>#N/A</v>
      </c>
      <c r="BP82" s="386" t="e">
        <f>VLOOKUP(C82,Theory!B85:BG156,58,FALSE)</f>
        <v>#N/A</v>
      </c>
      <c r="BQ82" s="369" t="e">
        <f t="shared" si="58"/>
        <v>#N/A</v>
      </c>
      <c r="BR82" s="386" t="e">
        <f>VLOOKUP(C82,Theory!B85:BH156,59,FALSE)</f>
        <v>#N/A</v>
      </c>
      <c r="BS82" s="386" t="e">
        <f>VLOOKUP(C82,Theory!B85:BI156,60,FALSE)</f>
        <v>#N/A</v>
      </c>
      <c r="BT82" s="386" t="e">
        <f>VLOOKUP(C82,Theory!B85:BJ156,61,FALSE)</f>
        <v>#N/A</v>
      </c>
      <c r="BU82" s="386" t="e">
        <f>VLOOKUP(C82,Theory!B85:BK156,62,FALSE)</f>
        <v>#N/A</v>
      </c>
      <c r="BV82" s="386" t="e">
        <f>VLOOKUP(C82,Theory!B85:BL156,63,FALSE)</f>
        <v>#N/A</v>
      </c>
      <c r="BW82" s="386" t="e">
        <f>VLOOKUP(C82,Theory!B85:BM156,64,FALSE)</f>
        <v>#N/A</v>
      </c>
      <c r="BX82" s="386" t="e">
        <f>VLOOKUP(C82,Theory!B85:BN156,65,FALSE)</f>
        <v>#N/A</v>
      </c>
      <c r="BY82" s="386" t="e">
        <f>VLOOKUP(C82,Theory!B85:BO156,66,FALSE)</f>
        <v>#N/A</v>
      </c>
      <c r="BZ82" s="369" t="e">
        <f t="shared" si="59"/>
        <v>#N/A</v>
      </c>
      <c r="CA82" s="385" t="e">
        <f t="shared" si="47"/>
        <v>#N/A</v>
      </c>
      <c r="CB82" s="386" t="e">
        <f>VLOOKUP(C82,Theory!B85:BP156,67,FALSE)</f>
        <v>#N/A</v>
      </c>
      <c r="CC82" s="386" t="e">
        <f>VLOOKUP(C82,Theory!B85:BQ156,68,FALSE)</f>
        <v>#N/A</v>
      </c>
      <c r="CD82" s="386" t="e">
        <f>VLOOKUP(C82,Theory!B85:BR156,69,FALSE)</f>
        <v>#N/A</v>
      </c>
      <c r="CE82" s="386" t="e">
        <f>VLOOKUP(C82,Theory!B85:BS156,70,FALSE)</f>
        <v>#N/A</v>
      </c>
      <c r="CF82" s="369" t="e">
        <f t="shared" si="69"/>
        <v>#N/A</v>
      </c>
      <c r="CG82" s="399" t="e">
        <f>VLOOKUP(C82,Theory!B85:BT156,71,FALSE)</f>
        <v>#N/A</v>
      </c>
      <c r="CH82" s="399" t="e">
        <f>VLOOKUP(C82,Theory!B85:BU156,72,FALSE)</f>
        <v>#N/A</v>
      </c>
      <c r="CI82" s="399" t="e">
        <f>VLOOKUP(C82,Theory!B85:BV156,73,FALSE)</f>
        <v>#N/A</v>
      </c>
      <c r="CJ82" s="399" t="e">
        <f>VLOOKUP(C82,Theory!B85:BW156,74,FALSE)</f>
        <v>#N/A</v>
      </c>
      <c r="CK82" s="369" t="e">
        <f t="shared" si="60"/>
        <v>#N/A</v>
      </c>
      <c r="CL82" s="386" t="e">
        <f>VLOOKUP(C82,Theory!B85:BX156,75,FALSE)</f>
        <v>#N/A</v>
      </c>
      <c r="CM82" s="400" t="e">
        <f>VLOOKUP(C82,Theory!B85:BY156,76,FALSE)</f>
        <v>#N/A</v>
      </c>
      <c r="CN82" s="400" t="e">
        <f>VLOOKUP(C82,Theory!B85:BZ156,77,FALSE)</f>
        <v>#N/A</v>
      </c>
      <c r="CO82" s="400" t="e">
        <f>VLOOKUP(C82,Theory!B85:CA156,78,FALSE)</f>
        <v>#N/A</v>
      </c>
      <c r="CP82" s="386" t="e">
        <f>VLOOKUP(C82,Theory!B85:CB156,79,FALSE)</f>
        <v>#N/A</v>
      </c>
      <c r="CQ82" s="386" t="e">
        <f>VLOOKUP(C82,Theory!B85:CC156,80,FALSE)</f>
        <v>#N/A</v>
      </c>
      <c r="CR82" s="386" t="e">
        <f>VLOOKUP(C82,Theory!B85:CD156,81,FALSE)</f>
        <v>#N/A</v>
      </c>
      <c r="CS82" s="386" t="e">
        <f>VLOOKUP(C82,Theory!B85:CE156,82,FALSE)</f>
        <v>#N/A</v>
      </c>
      <c r="CT82" s="369" t="e">
        <f t="shared" si="61"/>
        <v>#N/A</v>
      </c>
      <c r="CU82" s="399" t="e">
        <f>VLOOKUP(C82,Theory!B85:CF156,83,FALSE)</f>
        <v>#N/A</v>
      </c>
      <c r="CV82" s="400" t="e">
        <f>VLOOKUP(C82,Theory!B85:CG156,84,FALSE)</f>
        <v>#N/A</v>
      </c>
      <c r="CW82" s="400" t="e">
        <f>VLOOKUP(C82,Theory!B85:CH156,85,FALSE)</f>
        <v>#N/A</v>
      </c>
      <c r="CX82" s="400" t="e">
        <f>VLOOKUP(C82,Theory!B85:CI156,86,FALSE)</f>
        <v>#N/A</v>
      </c>
      <c r="CY82" s="399" t="e">
        <f>VLOOKUP(C82,Theory!B85:CJ156,87,FALSE)</f>
        <v>#N/A</v>
      </c>
      <c r="CZ82" s="399" t="e">
        <f>VLOOKUP(C82,Theory!B85:CK156,88,FALSE)</f>
        <v>#N/A</v>
      </c>
      <c r="DA82" s="399" t="e">
        <f>VLOOKUP(C82,Theory!B85:CL156,89,FALSE)</f>
        <v>#N/A</v>
      </c>
      <c r="DB82" s="399" t="e">
        <f>VLOOKUP(C82,Theory!B85:CM156,90,FALSE)</f>
        <v>#N/A</v>
      </c>
      <c r="DC82" s="369" t="e">
        <f t="shared" si="62"/>
        <v>#N/A</v>
      </c>
      <c r="DD82" s="386" t="e">
        <f>VLOOKUP(C82,Theory!B85:CN156,91,FALSE)</f>
        <v>#N/A</v>
      </c>
      <c r="DE82" s="400" t="e">
        <f>VLOOKUP(C82,Theory!B85:CO156,92,FALSE)</f>
        <v>#N/A</v>
      </c>
      <c r="DF82" s="400" t="e">
        <f>VLOOKUP(C82,Theory!B85:CP156,93,FALSE)</f>
        <v>#N/A</v>
      </c>
      <c r="DG82" s="400" t="e">
        <f>VLOOKUP(C82,Theory!B85:CQ156,94,FALSE)</f>
        <v>#N/A</v>
      </c>
      <c r="DH82" s="386" t="e">
        <f>VLOOKUP(C82,Theory!B85:CR156,95,FALSE)</f>
        <v>#N/A</v>
      </c>
      <c r="DI82" s="386" t="e">
        <f>VLOOKUP(C82,Theory!B85:CS156,96,FALSE)</f>
        <v>#N/A</v>
      </c>
      <c r="DJ82" s="386" t="e">
        <f>VLOOKUP(C82,Theory!B85:CT156,97,FALSE)</f>
        <v>#N/A</v>
      </c>
      <c r="DK82" s="386" t="e">
        <f>VLOOKUP(C82,Theory!B85:CU156,98,FALSE)</f>
        <v>#N/A</v>
      </c>
      <c r="DL82" s="369" t="e">
        <f t="shared" si="63"/>
        <v>#N/A</v>
      </c>
      <c r="DM82" s="411" t="e">
        <f t="shared" si="48"/>
        <v>#N/A</v>
      </c>
      <c r="DN82" s="413" t="e">
        <f t="shared" si="74"/>
        <v>#N/A</v>
      </c>
      <c r="DO82" s="413" t="e">
        <f t="shared" si="75"/>
        <v>#N/A</v>
      </c>
      <c r="DP82" s="413" t="e">
        <f t="shared" si="76"/>
        <v>#N/A</v>
      </c>
      <c r="DQ82" s="418" t="e">
        <f t="shared" si="77"/>
        <v>#N/A</v>
      </c>
      <c r="DR82" s="418" t="e">
        <f t="shared" si="78"/>
        <v>#N/A</v>
      </c>
      <c r="DS82" s="418" t="e">
        <f t="shared" si="79"/>
        <v>#N/A</v>
      </c>
      <c r="DT82" s="417" t="e">
        <f t="shared" si="70"/>
        <v>#N/A</v>
      </c>
      <c r="DU82" s="423" t="e">
        <f>VLOOKUP(C82,Theory!B85:CV156,99,FALSE)</f>
        <v>#N/A</v>
      </c>
      <c r="DV82" s="423" t="e">
        <f>VLOOKUP(C82,Theory!B85:CW156,100,FALSE)</f>
        <v>#N/A</v>
      </c>
      <c r="DW82" s="424" t="e">
        <f t="shared" si="64"/>
        <v>#N/A</v>
      </c>
      <c r="DX82" s="421" t="e">
        <f t="shared" si="49"/>
        <v>#N/A</v>
      </c>
      <c r="DY82" s="430" t="e">
        <f t="shared" si="65"/>
        <v>#N/A</v>
      </c>
      <c r="DZ82" s="431">
        <f>VLOOKUP(C82,Lab!B77:D146,3,FALSE)</f>
        <v>0</v>
      </c>
      <c r="EA82" s="432">
        <f>VLOOKUP(C82,Lab!B77:E146,4,FALSE)</f>
        <v>0</v>
      </c>
      <c r="EB82" s="432">
        <f>VLOOKUP(C82,Lab!B77:F146,5,FALSE)</f>
        <v>0</v>
      </c>
      <c r="EC82" s="422">
        <f t="shared" si="71"/>
        <v>0</v>
      </c>
      <c r="ED82" s="436">
        <f>VLOOKUP(C82,Lab!B77:G146,6,FALSE)</f>
        <v>0</v>
      </c>
      <c r="EE82" s="436">
        <f>VLOOKUP(C82,Lab!B77:H146,7,FALSE)</f>
        <v>0</v>
      </c>
      <c r="EF82" s="437">
        <f>VLOOKUP(C82,Lab!B77:I146,8,FALSE)</f>
        <v>0</v>
      </c>
      <c r="EG82" s="443">
        <f t="shared" si="72"/>
        <v>0</v>
      </c>
      <c r="EH82" s="444">
        <f t="shared" si="66"/>
        <v>0</v>
      </c>
      <c r="EI82" s="445">
        <f t="shared" si="67"/>
        <v>0</v>
      </c>
      <c r="EJ82" s="446" t="e">
        <f t="shared" si="50"/>
        <v>#N/A</v>
      </c>
      <c r="EK82" s="449">
        <v>0</v>
      </c>
      <c r="EL82" s="336"/>
      <c r="EM82" s="450" t="e">
        <f>VLOOKUP(C82,Theory!B85:DK156,114,FALSE)</f>
        <v>#N/A</v>
      </c>
      <c r="EN82" s="450" t="e">
        <f>VLOOKUP(C82,Theory!B85:DL156,115,FALSE)</f>
        <v>#N/A</v>
      </c>
      <c r="EO82" s="450" t="e">
        <f>VLOOKUP(C82,Theory!B85:DM156,116,FALSE)</f>
        <v>#N/A</v>
      </c>
      <c r="EP82" s="450" t="e">
        <f>VLOOKUP(C82,Theory!B85:DN154,117,FALSE)</f>
        <v>#N/A</v>
      </c>
      <c r="EQ82" s="450" t="e">
        <f>VLOOKUP(C82,Theory!B85:DO154,118,FALSE)</f>
        <v>#N/A</v>
      </c>
      <c r="ER82" s="451" t="e">
        <f>VLOOKUP(C82,Theory!B85:DP154,119,FALSE)</f>
        <v>#N/A</v>
      </c>
      <c r="ES82" s="454" t="e">
        <f>VLOOKUP(C82,Theory!B85:DQ154,120,FALSE)</f>
        <v>#N/A</v>
      </c>
      <c r="ET82" s="455" t="e">
        <f t="shared" si="73"/>
        <v>#N/A</v>
      </c>
      <c r="EU82" s="457"/>
      <c r="EV82" s="457"/>
      <c r="EW82" s="457"/>
      <c r="EX82" s="457"/>
      <c r="EY82" s="457"/>
      <c r="EZ82" s="457"/>
      <c r="FA82" s="457"/>
      <c r="FB82" s="457"/>
      <c r="FC82" s="457"/>
      <c r="FD82" s="457"/>
    </row>
    <row r="83" s="11" customFormat="1" ht="18.35" spans="1:160">
      <c r="A83" s="363">
        <v>70</v>
      </c>
      <c r="B83" s="289">
        <f>Theory!C86</f>
        <v>0</v>
      </c>
      <c r="C83" s="360">
        <f>Theory!B86</f>
        <v>0</v>
      </c>
      <c r="D83" s="361" t="e">
        <f>VLOOKUP(C83,Theory!B86:D157,3,FALSE)</f>
        <v>#N/A</v>
      </c>
      <c r="E83" s="361" t="e">
        <f>VLOOKUP(C83,Theory!B86:E157,4,FALSE)</f>
        <v>#N/A</v>
      </c>
      <c r="F83" s="361" t="e">
        <f>VLOOKUP(C83,Theory!B86:F157,5,FALSE)</f>
        <v>#N/A</v>
      </c>
      <c r="G83" s="361" t="e">
        <f>VLOOKUP(C83,Theory!B86:G157,6,FALSE)</f>
        <v>#N/A</v>
      </c>
      <c r="H83" s="369" t="e">
        <f t="shared" si="68"/>
        <v>#N/A</v>
      </c>
      <c r="I83" s="370" t="e">
        <f>VLOOKUP(C83,Theory!B86:H157,7,FALSE)</f>
        <v>#N/A</v>
      </c>
      <c r="J83" s="371" t="e">
        <f>VLOOKUP(C83,Theory!B86:I157,8,FALSE)</f>
        <v>#N/A</v>
      </c>
      <c r="K83" s="371" t="e">
        <f>VLOOKUP(C83,Theory!B86:J157,9,FALSE)</f>
        <v>#N/A</v>
      </c>
      <c r="L83" s="371" t="e">
        <f>VLOOKUP(C83,Theory!B86:K157,10,FALSE)</f>
        <v>#N/A</v>
      </c>
      <c r="M83" s="369" t="e">
        <f t="shared" si="51"/>
        <v>#N/A</v>
      </c>
      <c r="N83" s="373" t="e">
        <f>VLOOKUP(C83,Theory!B86:L157,11,FALSE)</f>
        <v>#N/A</v>
      </c>
      <c r="O83" s="373" t="e">
        <f>VLOOKUP(C83,Theory!B86:M157,12,FALSE)</f>
        <v>#N/A</v>
      </c>
      <c r="P83" s="373" t="e">
        <f>VLOOKUP(C83,Theory!B86:N157,13,FALSE)</f>
        <v>#N/A</v>
      </c>
      <c r="Q83" s="373" t="e">
        <f>VLOOKUP(C83,Theory!B86:O157,14,FALSE)</f>
        <v>#N/A</v>
      </c>
      <c r="R83" s="371" t="e">
        <f>VLOOKUP(C83,Theory!B86:P157,15,FALSE)</f>
        <v>#N/A</v>
      </c>
      <c r="S83" s="371" t="e">
        <f>VLOOKUP(C83,Theory!B86:Q157,16,FALSE)</f>
        <v>#N/A</v>
      </c>
      <c r="T83" s="371" t="e">
        <f>VLOOKUP(C83,Theory!B86:R157,17,FALSE)</f>
        <v>#N/A</v>
      </c>
      <c r="U83" s="371" t="e">
        <f>VLOOKUP(C83,Theory!B86:S157,18,FALSE)</f>
        <v>#N/A</v>
      </c>
      <c r="V83" s="369" t="e">
        <f t="shared" si="52"/>
        <v>#N/A</v>
      </c>
      <c r="W83" s="361" t="e">
        <f>VLOOKUP(C83,Theory!B86:T157,19,FALSE)</f>
        <v>#N/A</v>
      </c>
      <c r="X83" s="361" t="e">
        <f>VLOOKUP(C83,Theory!B86:U157,20,FALSE)</f>
        <v>#N/A</v>
      </c>
      <c r="Y83" s="361" t="e">
        <f>VLOOKUP(C83,Theory!B86:V157,21,FALSE)</f>
        <v>#N/A</v>
      </c>
      <c r="Z83" s="361" t="e">
        <f>VLOOKUP(C83,Theory!B86:W157,22,FALSE)</f>
        <v>#N/A</v>
      </c>
      <c r="AA83" s="370" t="e">
        <f>VLOOKUP(C83,Theory!B86:X157,23,FALSE)</f>
        <v>#N/A</v>
      </c>
      <c r="AB83" s="370" t="e">
        <f>VLOOKUP(C83,Theory!B86:Y157,24,FALSE)</f>
        <v>#N/A</v>
      </c>
      <c r="AC83" s="370" t="e">
        <f>VLOOKUP(C83,Theory!B86:Z157,25,FALSE)</f>
        <v>#N/A</v>
      </c>
      <c r="AD83" s="370" t="e">
        <f>VLOOKUP(C83,Theory!B86:AA157,26,FALSE)</f>
        <v>#N/A</v>
      </c>
      <c r="AE83" s="369" t="e">
        <f t="shared" si="53"/>
        <v>#N/A</v>
      </c>
      <c r="AF83" s="361" t="e">
        <f>VLOOKUP(C83,Theory!B86:AB157,27,FALSE)</f>
        <v>#N/A</v>
      </c>
      <c r="AG83" s="361" t="e">
        <f>VLOOKUP(C83,Theory!B86:AC157,28,FALSE)</f>
        <v>#N/A</v>
      </c>
      <c r="AH83" s="361" t="e">
        <f>VLOOKUP(C83,Theory!B86:AD157,29,FALSE)</f>
        <v>#N/A</v>
      </c>
      <c r="AI83" s="361" t="e">
        <f>VLOOKUP(C83,Theory!B86:AE157,30,FALSE)</f>
        <v>#N/A</v>
      </c>
      <c r="AJ83" s="380" t="e">
        <f>VLOOKUP(C83,Theory!B86:AF157,31,FALSE)</f>
        <v>#N/A</v>
      </c>
      <c r="AK83" s="380" t="e">
        <f>VLOOKUP(C83,Theory!B86:AG157,32,FALSE)</f>
        <v>#N/A</v>
      </c>
      <c r="AL83" s="380" t="e">
        <f>VLOOKUP(C83,Theory!B86:AH157,33,FALSE)</f>
        <v>#N/A</v>
      </c>
      <c r="AM83" s="380" t="e">
        <f>VLOOKUP(C83,Theory!B86:AI157,34,FALSE)</f>
        <v>#N/A</v>
      </c>
      <c r="AN83" s="369" t="e">
        <f t="shared" si="54"/>
        <v>#N/A</v>
      </c>
      <c r="AO83" s="385" t="e">
        <f t="shared" si="46"/>
        <v>#N/A</v>
      </c>
      <c r="AP83" s="386" t="e">
        <f>VLOOKUP(C83,Theory!B86:AJ157,35,FALSE)</f>
        <v>#N/A</v>
      </c>
      <c r="AQ83" s="386" t="e">
        <f>VLOOKUP(C83,Theory!B86:AK157,36,FALSE)</f>
        <v>#N/A</v>
      </c>
      <c r="AR83" s="386" t="e">
        <f>VLOOKUP(C83,Theory!B86:AL157,37,FALSE)</f>
        <v>#N/A</v>
      </c>
      <c r="AS83" s="386" t="e">
        <f>VLOOKUP(C83,Theory!B86:AM157,38,FALSE)</f>
        <v>#N/A</v>
      </c>
      <c r="AT83" s="369" t="e">
        <f t="shared" si="55"/>
        <v>#N/A</v>
      </c>
      <c r="AU83" s="386" t="e">
        <f>VLOOKUP(C83,Theory!B86:AN157,39,FALSE)</f>
        <v>#N/A</v>
      </c>
      <c r="AV83" s="386" t="e">
        <f>VLOOKUP(C83,Theory!B86:AO157,40,FALSE)</f>
        <v>#N/A</v>
      </c>
      <c r="AW83" s="386" t="e">
        <f>VLOOKUP(C83,Theory!B86:AP157,41,FALSE)</f>
        <v>#N/A</v>
      </c>
      <c r="AX83" s="386" t="e">
        <f>VLOOKUP(C83,Theory!B86:AQ157,42,FALSE)</f>
        <v>#N/A</v>
      </c>
      <c r="AY83" s="369" t="e">
        <f t="shared" si="56"/>
        <v>#N/A</v>
      </c>
      <c r="AZ83" s="386" t="e">
        <f>VLOOKUP(C83,Theory!B86:AR157,43,FALSE)</f>
        <v>#N/A</v>
      </c>
      <c r="BA83" s="386" t="e">
        <f>VLOOKUP(C83,Theory!B86:AS157,44,FALSE)</f>
        <v>#N/A</v>
      </c>
      <c r="BB83" s="386" t="e">
        <f>VLOOKUP(C83,Theory!B86:AT157,45,FALSE)</f>
        <v>#N/A</v>
      </c>
      <c r="BC83" s="386" t="e">
        <f>VLOOKUP(C83,Theory!B86:AU157,46,FALSE)</f>
        <v>#N/A</v>
      </c>
      <c r="BD83" s="386" t="e">
        <f>VLOOKUP(C83,Theory!B86:AV157,47,FALSE)</f>
        <v>#N/A</v>
      </c>
      <c r="BE83" s="386" t="e">
        <f>VLOOKUP(C83,Theory!B86:AW157,48,FALSE)</f>
        <v>#N/A</v>
      </c>
      <c r="BF83" s="386" t="e">
        <f>VLOOKUP(C83,Theory!B86:AX157,49,FALSE)</f>
        <v>#N/A</v>
      </c>
      <c r="BG83" s="386" t="e">
        <f>VLOOKUP(C83,Theory!B86:AY157,50,FALSE)</f>
        <v>#N/A</v>
      </c>
      <c r="BH83" s="369" t="e">
        <f t="shared" si="57"/>
        <v>#N/A</v>
      </c>
      <c r="BI83" s="386" t="e">
        <f>VLOOKUP(C83,Theory!B86:AZ157,51,FALSE)</f>
        <v>#N/A</v>
      </c>
      <c r="BJ83" s="386" t="e">
        <f>VLOOKUP(C83,Theory!B86:BA157,52,FALSE)</f>
        <v>#N/A</v>
      </c>
      <c r="BK83" s="386" t="e">
        <f>VLOOKUP(C83,Theory!B86:BB157,53,FALSE)</f>
        <v>#N/A</v>
      </c>
      <c r="BL83" s="386" t="e">
        <f>VLOOKUP(C83,Theory!B86:BC157,54,FALSE)</f>
        <v>#N/A</v>
      </c>
      <c r="BM83" s="386" t="e">
        <f>VLOOKUP(C83,Theory!B86:BD157,55,FALSE)</f>
        <v>#N/A</v>
      </c>
      <c r="BN83" s="386" t="e">
        <f>VLOOKUP(C83,Theory!B86:BE157,56,FALSE)</f>
        <v>#N/A</v>
      </c>
      <c r="BO83" s="386" t="e">
        <f>VLOOKUP(C83,Theory!B86:BF157,57,FALSE)</f>
        <v>#N/A</v>
      </c>
      <c r="BP83" s="386" t="e">
        <f>VLOOKUP(C83,Theory!B86:BG157,58,FALSE)</f>
        <v>#N/A</v>
      </c>
      <c r="BQ83" s="369" t="e">
        <f t="shared" si="58"/>
        <v>#N/A</v>
      </c>
      <c r="BR83" s="386" t="e">
        <f>VLOOKUP(C83,Theory!B86:BH157,59,FALSE)</f>
        <v>#N/A</v>
      </c>
      <c r="BS83" s="386" t="e">
        <f>VLOOKUP(C83,Theory!B86:BI157,60,FALSE)</f>
        <v>#N/A</v>
      </c>
      <c r="BT83" s="386" t="e">
        <f>VLOOKUP(C83,Theory!B86:BJ157,61,FALSE)</f>
        <v>#N/A</v>
      </c>
      <c r="BU83" s="386" t="e">
        <f>VLOOKUP(C83,Theory!B86:BK157,62,FALSE)</f>
        <v>#N/A</v>
      </c>
      <c r="BV83" s="386" t="e">
        <f>VLOOKUP(C83,Theory!B86:BL157,63,FALSE)</f>
        <v>#N/A</v>
      </c>
      <c r="BW83" s="386" t="e">
        <f>VLOOKUP(C83,Theory!B86:BM157,64,FALSE)</f>
        <v>#N/A</v>
      </c>
      <c r="BX83" s="386" t="e">
        <f>VLOOKUP(C83,Theory!B86:BN157,65,FALSE)</f>
        <v>#N/A</v>
      </c>
      <c r="BY83" s="386" t="e">
        <f>VLOOKUP(C83,Theory!B86:BO157,66,FALSE)</f>
        <v>#N/A</v>
      </c>
      <c r="BZ83" s="369" t="e">
        <f t="shared" si="59"/>
        <v>#N/A</v>
      </c>
      <c r="CA83" s="385" t="e">
        <f t="shared" si="47"/>
        <v>#N/A</v>
      </c>
      <c r="CB83" s="386" t="e">
        <f>VLOOKUP(C83,Theory!B86:BP157,67,FALSE)</f>
        <v>#N/A</v>
      </c>
      <c r="CC83" s="386" t="e">
        <f>VLOOKUP(C83,Theory!B86:BQ157,68,FALSE)</f>
        <v>#N/A</v>
      </c>
      <c r="CD83" s="386" t="e">
        <f>VLOOKUP(C83,Theory!B86:BR157,69,FALSE)</f>
        <v>#N/A</v>
      </c>
      <c r="CE83" s="386" t="e">
        <f>VLOOKUP(C83,Theory!B86:BS157,70,FALSE)</f>
        <v>#N/A</v>
      </c>
      <c r="CF83" s="369" t="e">
        <f t="shared" si="69"/>
        <v>#N/A</v>
      </c>
      <c r="CG83" s="399" t="e">
        <f>VLOOKUP(C83,Theory!B86:BT157,71,FALSE)</f>
        <v>#N/A</v>
      </c>
      <c r="CH83" s="399" t="e">
        <f>VLOOKUP(C83,Theory!B86:BU157,72,FALSE)</f>
        <v>#N/A</v>
      </c>
      <c r="CI83" s="399" t="e">
        <f>VLOOKUP(C83,Theory!B86:BV157,73,FALSE)</f>
        <v>#N/A</v>
      </c>
      <c r="CJ83" s="399" t="e">
        <f>VLOOKUP(C83,Theory!B86:BW157,74,FALSE)</f>
        <v>#N/A</v>
      </c>
      <c r="CK83" s="369" t="e">
        <f t="shared" si="60"/>
        <v>#N/A</v>
      </c>
      <c r="CL83" s="386" t="e">
        <f>VLOOKUP(C83,Theory!B86:BX157,75,FALSE)</f>
        <v>#N/A</v>
      </c>
      <c r="CM83" s="400" t="e">
        <f>VLOOKUP(C83,Theory!B86:BY157,76,FALSE)</f>
        <v>#N/A</v>
      </c>
      <c r="CN83" s="400" t="e">
        <f>VLOOKUP(C83,Theory!B86:BZ157,77,FALSE)</f>
        <v>#N/A</v>
      </c>
      <c r="CO83" s="400" t="e">
        <f>VLOOKUP(C83,Theory!B86:CA157,78,FALSE)</f>
        <v>#N/A</v>
      </c>
      <c r="CP83" s="386" t="e">
        <f>VLOOKUP(C83,Theory!B86:CB157,79,FALSE)</f>
        <v>#N/A</v>
      </c>
      <c r="CQ83" s="386" t="e">
        <f>VLOOKUP(C83,Theory!B86:CC157,80,FALSE)</f>
        <v>#N/A</v>
      </c>
      <c r="CR83" s="386" t="e">
        <f>VLOOKUP(C83,Theory!B86:CD157,81,FALSE)</f>
        <v>#N/A</v>
      </c>
      <c r="CS83" s="386" t="e">
        <f>VLOOKUP(C83,Theory!B86:CE157,82,FALSE)</f>
        <v>#N/A</v>
      </c>
      <c r="CT83" s="369" t="e">
        <f t="shared" si="61"/>
        <v>#N/A</v>
      </c>
      <c r="CU83" s="399" t="e">
        <f>VLOOKUP(C83,Theory!B86:CF157,83,FALSE)</f>
        <v>#N/A</v>
      </c>
      <c r="CV83" s="400" t="e">
        <f>VLOOKUP(C83,Theory!B86:CG157,84,FALSE)</f>
        <v>#N/A</v>
      </c>
      <c r="CW83" s="400" t="e">
        <f>VLOOKUP(C83,Theory!B86:CH157,85,FALSE)</f>
        <v>#N/A</v>
      </c>
      <c r="CX83" s="400" t="e">
        <f>VLOOKUP(C83,Theory!B86:CI157,86,FALSE)</f>
        <v>#N/A</v>
      </c>
      <c r="CY83" s="399" t="e">
        <f>VLOOKUP(C83,Theory!B86:CJ157,87,FALSE)</f>
        <v>#N/A</v>
      </c>
      <c r="CZ83" s="399" t="e">
        <f>VLOOKUP(C83,Theory!B86:CK157,88,FALSE)</f>
        <v>#N/A</v>
      </c>
      <c r="DA83" s="399" t="e">
        <f>VLOOKUP(C83,Theory!B86:CL157,89,FALSE)</f>
        <v>#N/A</v>
      </c>
      <c r="DB83" s="399" t="e">
        <f>VLOOKUP(C83,Theory!B86:CM157,90,FALSE)</f>
        <v>#N/A</v>
      </c>
      <c r="DC83" s="369" t="e">
        <f t="shared" si="62"/>
        <v>#N/A</v>
      </c>
      <c r="DD83" s="386" t="e">
        <f>VLOOKUP(C83,Theory!B86:CN157,91,FALSE)</f>
        <v>#N/A</v>
      </c>
      <c r="DE83" s="400" t="e">
        <f>VLOOKUP(C83,Theory!B86:CO157,92,FALSE)</f>
        <v>#N/A</v>
      </c>
      <c r="DF83" s="400" t="e">
        <f>VLOOKUP(C83,Theory!B86:CP157,93,FALSE)</f>
        <v>#N/A</v>
      </c>
      <c r="DG83" s="400" t="e">
        <f>VLOOKUP(C83,Theory!B86:CQ157,94,FALSE)</f>
        <v>#N/A</v>
      </c>
      <c r="DH83" s="386" t="e">
        <f>VLOOKUP(C83,Theory!B86:CR157,95,FALSE)</f>
        <v>#N/A</v>
      </c>
      <c r="DI83" s="386" t="e">
        <f>VLOOKUP(C83,Theory!B86:CS157,96,FALSE)</f>
        <v>#N/A</v>
      </c>
      <c r="DJ83" s="386" t="e">
        <f>VLOOKUP(C83,Theory!B86:CT157,97,FALSE)</f>
        <v>#N/A</v>
      </c>
      <c r="DK83" s="386" t="e">
        <f>VLOOKUP(C83,Theory!B86:CU157,98,FALSE)</f>
        <v>#N/A</v>
      </c>
      <c r="DL83" s="369" t="e">
        <f t="shared" si="63"/>
        <v>#N/A</v>
      </c>
      <c r="DM83" s="411" t="e">
        <f t="shared" si="48"/>
        <v>#N/A</v>
      </c>
      <c r="DN83" s="413" t="e">
        <f t="shared" si="74"/>
        <v>#N/A</v>
      </c>
      <c r="DO83" s="413" t="e">
        <f t="shared" si="75"/>
        <v>#N/A</v>
      </c>
      <c r="DP83" s="413" t="e">
        <f t="shared" si="76"/>
        <v>#N/A</v>
      </c>
      <c r="DQ83" s="418" t="e">
        <f t="shared" si="77"/>
        <v>#N/A</v>
      </c>
      <c r="DR83" s="418" t="e">
        <f t="shared" si="78"/>
        <v>#N/A</v>
      </c>
      <c r="DS83" s="418" t="e">
        <f t="shared" si="79"/>
        <v>#N/A</v>
      </c>
      <c r="DT83" s="417" t="e">
        <f t="shared" si="70"/>
        <v>#N/A</v>
      </c>
      <c r="DU83" s="423" t="e">
        <f>VLOOKUP(C83,Theory!B86:CV157,99,FALSE)</f>
        <v>#N/A</v>
      </c>
      <c r="DV83" s="423" t="e">
        <f>VLOOKUP(C83,Theory!B86:CW157,100,FALSE)</f>
        <v>#N/A</v>
      </c>
      <c r="DW83" s="424" t="e">
        <f t="shared" si="64"/>
        <v>#N/A</v>
      </c>
      <c r="DX83" s="421" t="e">
        <f t="shared" si="49"/>
        <v>#N/A</v>
      </c>
      <c r="DY83" s="430" t="e">
        <f t="shared" si="65"/>
        <v>#N/A</v>
      </c>
      <c r="DZ83" s="431">
        <f>VLOOKUP(C83,Lab!B78:D147,3,FALSE)</f>
        <v>0</v>
      </c>
      <c r="EA83" s="432">
        <f>VLOOKUP(C83,Lab!B78:E147,4,FALSE)</f>
        <v>0</v>
      </c>
      <c r="EB83" s="432">
        <f>VLOOKUP(C83,Lab!B78:F147,5,FALSE)</f>
        <v>0</v>
      </c>
      <c r="EC83" s="422">
        <f t="shared" si="71"/>
        <v>0</v>
      </c>
      <c r="ED83" s="436">
        <f>VLOOKUP(C83,Lab!B78:G147,6,FALSE)</f>
        <v>0</v>
      </c>
      <c r="EE83" s="436">
        <f>VLOOKUP(C83,Lab!B78:H147,7,FALSE)</f>
        <v>0</v>
      </c>
      <c r="EF83" s="437">
        <f>VLOOKUP(C83,Lab!B78:I147,8,FALSE)</f>
        <v>0</v>
      </c>
      <c r="EG83" s="443">
        <f t="shared" si="72"/>
        <v>0</v>
      </c>
      <c r="EH83" s="444">
        <f t="shared" si="66"/>
        <v>0</v>
      </c>
      <c r="EI83" s="445">
        <f t="shared" si="67"/>
        <v>0</v>
      </c>
      <c r="EJ83" s="446" t="e">
        <f t="shared" si="50"/>
        <v>#N/A</v>
      </c>
      <c r="EK83" s="449">
        <v>0</v>
      </c>
      <c r="EL83" s="336"/>
      <c r="EM83" s="450" t="e">
        <f>VLOOKUP(C83,Theory!B86:DK157,114,FALSE)</f>
        <v>#N/A</v>
      </c>
      <c r="EN83" s="450" t="e">
        <f>VLOOKUP(C83,Theory!B86:DL157,115,FALSE)</f>
        <v>#N/A</v>
      </c>
      <c r="EO83" s="450" t="e">
        <f>VLOOKUP(C83,Theory!B86:DM157,116,FALSE)</f>
        <v>#N/A</v>
      </c>
      <c r="EP83" s="450" t="e">
        <f>VLOOKUP(C83,Theory!B86:DN155,117,FALSE)</f>
        <v>#N/A</v>
      </c>
      <c r="EQ83" s="450" t="e">
        <f>VLOOKUP(C83,Theory!B86:DO155,118,FALSE)</f>
        <v>#N/A</v>
      </c>
      <c r="ER83" s="451" t="e">
        <f>VLOOKUP(C83,Theory!B86:DP155,119,FALSE)</f>
        <v>#N/A</v>
      </c>
      <c r="ES83" s="454" t="e">
        <f>VLOOKUP(C83,Theory!B86:DQ155,120,FALSE)</f>
        <v>#N/A</v>
      </c>
      <c r="ET83" s="455" t="e">
        <f t="shared" si="73"/>
        <v>#N/A</v>
      </c>
      <c r="EU83" s="457"/>
      <c r="EV83" s="457"/>
      <c r="EW83" s="457"/>
      <c r="EX83" s="457"/>
      <c r="EY83" s="457"/>
      <c r="EZ83" s="457"/>
      <c r="FA83" s="457"/>
      <c r="FB83" s="457"/>
      <c r="FC83" s="457"/>
      <c r="FD83" s="457"/>
    </row>
    <row r="84" ht="17.6" spans="128:128">
      <c r="DX84" s="458"/>
    </row>
    <row r="86" spans="128:14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7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8" priority="17" operator="lessThan">
      <formula>12</formula>
    </cfRule>
  </conditionalFormatting>
  <conditionalFormatting sqref="DW13:DW83">
    <cfRule type="cellIs" dxfId="9" priority="16" operator="lessThan">
      <formula>8</formula>
    </cfRule>
  </conditionalFormatting>
  <conditionalFormatting sqref="EC13:EC83">
    <cfRule type="cellIs" dxfId="9" priority="15" operator="lessThan">
      <formula>12</formula>
    </cfRule>
  </conditionalFormatting>
  <conditionalFormatting sqref="EG13:EG83">
    <cfRule type="cellIs" dxfId="9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7" priority="25" operator="between" text="F">
      <formula>NOT(ISERROR(SEARCH("F",A10)))</formula>
    </cfRule>
  </conditionalFormatting>
  <conditionalFormatting sqref="CK11 DL11 CB12:DL12">
    <cfRule type="containsText" dxfId="7" priority="26" operator="between" text="F">
      <formula>NOT(ISERROR(SEARCH("F",CB11)))</formula>
    </cfRule>
  </conditionalFormatting>
  <conditionalFormatting sqref="EJ14:EK83">
    <cfRule type="cellIs" dxfId="10" priority="1" operator="lessThan">
      <formula>20</formula>
    </cfRule>
  </conditionalFormatting>
  <conditionalFormatting sqref="EO14:EP83">
    <cfRule type="cellIs" dxfId="11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topLeftCell="A31" workbookViewId="0">
      <selection activeCell="X2" sqref="X2:Z2"/>
    </sheetView>
  </sheetViews>
  <sheetFormatPr defaultColWidth="9" defaultRowHeight="16.8"/>
  <cols>
    <col min="1" max="1" width="9.8203125" style="149" customWidth="1"/>
    <col min="2" max="2" width="11.546875" customWidth="1"/>
    <col min="3" max="3" width="9.8203125" style="309" hidden="1" customWidth="1"/>
    <col min="4" max="4" width="8.8203125" style="309" hidden="1" customWidth="1"/>
    <col min="5" max="5" width="8.2734375" style="309" hidden="1" customWidth="1"/>
    <col min="6" max="6" width="8.1796875" style="310" customWidth="1"/>
    <col min="7" max="7" width="7" style="310" customWidth="1"/>
    <col min="8" max="8" width="8.7265625" style="310" customWidth="1"/>
    <col min="9" max="9" width="7.1796875" style="310" customWidth="1"/>
    <col min="10" max="10" width="8" style="310" customWidth="1"/>
    <col min="11" max="12" width="7.7265625" style="310" customWidth="1"/>
    <col min="13" max="14" width="10.2734375" style="310" customWidth="1"/>
    <col min="15" max="15" width="7.8203125" style="310" customWidth="1"/>
    <col min="16" max="16" width="8.2734375" style="310" customWidth="1"/>
    <col min="17" max="17" width="7.7265625" style="310" customWidth="1"/>
    <col min="18" max="18" width="9.1796875" style="149"/>
    <col min="20" max="21" width="9.1796875" style="149"/>
    <col min="22" max="22" width="11.2734375" style="149" customWidth="1"/>
  </cols>
  <sheetData>
    <row r="1" s="308" customFormat="1" ht="47.25" customHeight="1" spans="1:31">
      <c r="A1" s="311" t="s">
        <v>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20"/>
      <c r="N1" s="321" t="s">
        <v>9</v>
      </c>
      <c r="O1" s="322"/>
      <c r="P1" s="322"/>
      <c r="Q1" s="322"/>
      <c r="R1" s="322"/>
      <c r="S1" s="327" t="s">
        <v>7</v>
      </c>
      <c r="T1" s="328"/>
      <c r="U1" s="328"/>
      <c r="V1" s="328"/>
      <c r="W1" s="328"/>
      <c r="X1" s="328"/>
      <c r="Y1" s="328"/>
      <c r="Z1" s="333"/>
      <c r="AA1" s="333"/>
      <c r="AB1" s="333"/>
      <c r="AC1" s="333"/>
      <c r="AD1" s="333"/>
      <c r="AE1" s="335"/>
    </row>
    <row r="2" s="49" customFormat="1" ht="51.75" customHeight="1" spans="1:26">
      <c r="A2" s="312" t="s">
        <v>10</v>
      </c>
      <c r="B2" s="313" t="s">
        <v>47</v>
      </c>
      <c r="C2" s="314" t="s">
        <v>325</v>
      </c>
      <c r="D2" s="314" t="s">
        <v>320</v>
      </c>
      <c r="E2" s="314" t="s">
        <v>321</v>
      </c>
      <c r="F2" s="316" t="s">
        <v>326</v>
      </c>
      <c r="G2" s="316" t="s">
        <v>327</v>
      </c>
      <c r="H2" s="316" t="s">
        <v>320</v>
      </c>
      <c r="I2" s="316" t="s">
        <v>321</v>
      </c>
      <c r="J2" s="316" t="s">
        <v>322</v>
      </c>
      <c r="K2" s="316" t="s">
        <v>323</v>
      </c>
      <c r="L2" s="316" t="s">
        <v>328</v>
      </c>
      <c r="M2" s="316" t="s">
        <v>329</v>
      </c>
      <c r="N2" s="323" t="s">
        <v>9</v>
      </c>
      <c r="O2" s="324" t="s">
        <v>330</v>
      </c>
      <c r="P2" s="324" t="s">
        <v>331</v>
      </c>
      <c r="Q2" s="324" t="s">
        <v>323</v>
      </c>
      <c r="R2" s="170" t="s">
        <v>33</v>
      </c>
      <c r="S2" s="323" t="s">
        <v>7</v>
      </c>
      <c r="T2" s="329" t="s">
        <v>332</v>
      </c>
      <c r="U2" s="329" t="s">
        <v>333</v>
      </c>
      <c r="V2" s="329" t="s">
        <v>334</v>
      </c>
      <c r="W2" s="329" t="s">
        <v>335</v>
      </c>
      <c r="X2" s="314" t="s">
        <v>320</v>
      </c>
      <c r="Y2" s="314" t="s">
        <v>321</v>
      </c>
      <c r="Z2" s="332" t="s">
        <v>33</v>
      </c>
    </row>
    <row r="3" s="10" customFormat="1" spans="1:26">
      <c r="A3" s="315"/>
      <c r="B3" s="316" t="s">
        <v>336</v>
      </c>
      <c r="C3" s="314">
        <v>40</v>
      </c>
      <c r="D3" s="314">
        <v>30</v>
      </c>
      <c r="E3" s="314">
        <v>20</v>
      </c>
      <c r="F3" s="316">
        <v>40</v>
      </c>
      <c r="G3" s="316">
        <v>12</v>
      </c>
      <c r="H3" s="316">
        <v>30</v>
      </c>
      <c r="I3" s="316">
        <v>20</v>
      </c>
      <c r="J3" s="316">
        <v>30</v>
      </c>
      <c r="K3" s="316">
        <v>20</v>
      </c>
      <c r="L3" s="316">
        <v>50</v>
      </c>
      <c r="M3" s="316">
        <f>SUM(F3:G3)</f>
        <v>52</v>
      </c>
      <c r="N3" s="316" t="s">
        <v>336</v>
      </c>
      <c r="O3" s="324">
        <v>12</v>
      </c>
      <c r="P3" s="324">
        <v>30</v>
      </c>
      <c r="Q3" s="324">
        <v>20</v>
      </c>
      <c r="R3" s="170">
        <f>SUM(P3:Q3)</f>
        <v>50</v>
      </c>
      <c r="S3" s="330" t="s">
        <v>336</v>
      </c>
      <c r="T3" s="331">
        <v>12</v>
      </c>
      <c r="U3" s="331">
        <v>24</v>
      </c>
      <c r="V3" s="331">
        <v>40</v>
      </c>
      <c r="W3" s="331">
        <v>52</v>
      </c>
      <c r="X3" s="332">
        <v>30</v>
      </c>
      <c r="Y3" s="332">
        <v>20</v>
      </c>
      <c r="Z3" s="332">
        <f>SUM(X3:Y3)</f>
        <v>50</v>
      </c>
    </row>
    <row r="4" s="10" customFormat="1" spans="1:26">
      <c r="A4" s="317" t="s">
        <v>337</v>
      </c>
      <c r="B4" s="316" t="s">
        <v>338</v>
      </c>
      <c r="C4" s="314">
        <v>34</v>
      </c>
      <c r="D4" s="314">
        <v>12</v>
      </c>
      <c r="E4" s="314">
        <v>8</v>
      </c>
      <c r="F4" s="316">
        <v>34</v>
      </c>
      <c r="G4" s="316">
        <v>11</v>
      </c>
      <c r="H4" s="316">
        <v>12</v>
      </c>
      <c r="I4" s="316">
        <v>8</v>
      </c>
      <c r="J4" s="316">
        <v>12</v>
      </c>
      <c r="K4" s="316">
        <v>8</v>
      </c>
      <c r="L4" s="316">
        <v>20</v>
      </c>
      <c r="M4" s="316">
        <f>SUM(F4:G4)</f>
        <v>45</v>
      </c>
      <c r="N4" s="316" t="s">
        <v>338</v>
      </c>
      <c r="O4" s="324">
        <v>11</v>
      </c>
      <c r="P4" s="324">
        <v>12</v>
      </c>
      <c r="Q4" s="324">
        <v>8</v>
      </c>
      <c r="R4" s="170">
        <f t="shared" ref="R4:R67" si="0">SUM(P4:Q4)</f>
        <v>20</v>
      </c>
      <c r="S4" s="330" t="s">
        <v>338</v>
      </c>
      <c r="T4" s="80">
        <v>11</v>
      </c>
      <c r="U4" s="80">
        <v>11</v>
      </c>
      <c r="V4" s="80">
        <v>34</v>
      </c>
      <c r="W4" s="80">
        <v>45</v>
      </c>
      <c r="X4" s="332">
        <v>12</v>
      </c>
      <c r="Y4" s="332">
        <v>8</v>
      </c>
      <c r="Z4" s="332">
        <f t="shared" ref="Z4:Z67" si="1">SUM(X4:Y4)</f>
        <v>20</v>
      </c>
    </row>
    <row r="5" spans="1:26">
      <c r="A5" s="164">
        <v>1</v>
      </c>
      <c r="B5" s="3" t="str">
        <f>Theory!B17</f>
        <v>1DS23AI001</v>
      </c>
      <c r="C5" s="318"/>
      <c r="D5" s="318"/>
      <c r="E5" s="318"/>
      <c r="F5" s="319">
        <f>IF(Theory!D$9="YES",VLOOKUP(B5,'CIA MARKS'!C14:ER83,146,FALSE),"")</f>
        <v>0</v>
      </c>
      <c r="G5" s="319">
        <f>IF(Theory!D$9="YES",VLOOKUP(B5,'CIA MARKS'!C14:ES83,147,FALSE),"")</f>
        <v>0</v>
      </c>
      <c r="H5" s="319">
        <f>IF(Theory!D$9="YES",VLOOKUP(B5,'CIA MARKS'!C14:DT83,122,FALSE),"")</f>
        <v>17</v>
      </c>
      <c r="I5" s="319">
        <f>IF(Theory!D$9="YES",VLOOKUP(B5,'CIA MARKS'!C14:DW83,125,FALSE),"")</f>
        <v>17</v>
      </c>
      <c r="J5" s="319">
        <f>IF(Theory!D$9="YES",VLOOKUP(B5,'CIA MARKS'!C14:EC83,131,FALSE),"")</f>
        <v>28</v>
      </c>
      <c r="K5" s="319">
        <f>IF(Theory!D$9="YES",VLOOKUP(B5,'CIA MARKS'!C14:EG83,135,FALSE),"")</f>
        <v>10</v>
      </c>
      <c r="L5" s="319">
        <f>IF(Theory!D$9="YES",VLOOKUP(B5,'CIA MARKS'!C14:EJ83,138,FALSE),"")</f>
        <v>35</v>
      </c>
      <c r="M5" s="316">
        <f t="shared" ref="M5:M68" si="2">SUM(F5:G5)</f>
        <v>0</v>
      </c>
      <c r="N5" s="325"/>
      <c r="O5" s="326" t="str">
        <f>IF(Theory!D$8="YES",VLOOKUP(B5,'CIA MARKS'!C14:ES83,147,FALSE),"")</f>
        <v/>
      </c>
      <c r="P5" s="326" t="str">
        <f>IF(Theory!D$8="YES",VLOOKUP(B5,'CIA MARKS'!C14:EC83,131,FALSE),"")</f>
        <v/>
      </c>
      <c r="Q5" s="326" t="str">
        <f>IF(Theory!D$8="YES",VLOOKUP(B5,'CIA MARKS'!C14:EG83,135,FALSE),"")</f>
        <v/>
      </c>
      <c r="R5" s="170">
        <f t="shared" si="0"/>
        <v>0</v>
      </c>
      <c r="T5" s="164" cm="1">
        <f t="array" ref="T5:T74">IF(Theory!DK14="CREDIT-1",Theory!DK17:DK86,"")</f>
        <v>0</v>
      </c>
      <c r="U5" s="164" cm="1">
        <f t="array" ref="U5:U74">IF(Theory!DL14="CREDIT-2",Theory!DL17:DL86,"")</f>
        <v>0</v>
      </c>
      <c r="V5" s="164" cm="1">
        <f t="array" ref="V5:V74">IF(Theory!DM14="CREDIT-3",Theory!DM17:DM86,"")</f>
        <v>0</v>
      </c>
      <c r="W5" s="3" cm="1">
        <f t="array" ref="W5:W74">IF(Theory!DN14="CREDIT-4",Theory!DN17:DN86,"")</f>
        <v>0</v>
      </c>
      <c r="X5" s="164" t="str">
        <f>IF(Theory!D$7="YES",VLOOKUP(B5,'CIA MARKS'!C14:DT83,122,FALSE),"")</f>
        <v/>
      </c>
      <c r="Y5" s="164" t="str">
        <f>IF(Theory!D$7="YES",VLOOKUP(B5,'CIA MARKS'!C14:DW83,125,FALSE),"")</f>
        <v/>
      </c>
      <c r="Z5" s="334">
        <f t="shared" si="1"/>
        <v>0</v>
      </c>
    </row>
    <row r="6" spans="1:26">
      <c r="A6" s="164">
        <v>2</v>
      </c>
      <c r="B6" s="3" t="str">
        <f>Theory!B18</f>
        <v>1DS23AI002</v>
      </c>
      <c r="C6" s="318"/>
      <c r="D6" s="318"/>
      <c r="E6" s="318"/>
      <c r="F6" s="319">
        <f>IF(Theory!D$9="YES",VLOOKUP(B6,'CIA MARKS'!C15:ER84,146,FALSE),"")</f>
        <v>0</v>
      </c>
      <c r="G6" s="319">
        <f>IF(Theory!D$9="YES",VLOOKUP(B6,'CIA MARKS'!C15:ES84,147,FALSE),"")</f>
        <v>0</v>
      </c>
      <c r="H6" s="319">
        <f>IF(Theory!D$9="YES",VLOOKUP(B6,'CIA MARKS'!C15:DT84,122,FALSE),"")</f>
        <v>20</v>
      </c>
      <c r="I6" s="319">
        <f>IF(Theory!D$9="YES",VLOOKUP(B6,'CIA MARKS'!C15:DW84,125,FALSE),"")</f>
        <v>16</v>
      </c>
      <c r="J6" s="319">
        <f>IF(Theory!D$9="YES",VLOOKUP(B6,'CIA MARKS'!C15:EC84,131,FALSE),"")</f>
        <v>30</v>
      </c>
      <c r="K6" s="319">
        <f>IF(Theory!D$9="YES",VLOOKUP(B6,'CIA MARKS'!C15:EG84,135,FALSE),"")</f>
        <v>20</v>
      </c>
      <c r="L6" s="319">
        <f>IF(Theory!D$9="YES",VLOOKUP(B6,'CIA MARKS'!C15:EJ84,138,FALSE),"")</f>
        <v>42</v>
      </c>
      <c r="M6" s="316">
        <f t="shared" si="2"/>
        <v>0</v>
      </c>
      <c r="N6" s="325"/>
      <c r="O6" s="326" t="str">
        <f>IF(Theory!D$8="YES",VLOOKUP(B6,'CIA MARKS'!C15:ES84,147,FALSE),"")</f>
        <v/>
      </c>
      <c r="P6" s="326" t="str">
        <f>IF(Theory!D$8="YES",VLOOKUP(B6,'CIA MARKS'!C15:EC84,131,FALSE),"")</f>
        <v/>
      </c>
      <c r="Q6" s="326" t="str">
        <f>IF(Theory!D$8="YES",VLOOKUP(B6,'CIA MARKS'!C15:EG84,135,FALSE),"")</f>
        <v/>
      </c>
      <c r="R6" s="170">
        <f t="shared" si="0"/>
        <v>0</v>
      </c>
      <c r="T6" s="164">
        <v>0</v>
      </c>
      <c r="U6" s="164">
        <v>0</v>
      </c>
      <c r="V6" s="164">
        <v>0</v>
      </c>
      <c r="W6" s="3">
        <v>0</v>
      </c>
      <c r="X6" s="164" t="str">
        <f>IF(Theory!D$7="YES",VLOOKUP(B6,'CIA MARKS'!C15:DT84,122,FALSE),"")</f>
        <v/>
      </c>
      <c r="Y6" s="164" t="str">
        <f>IF(Theory!D$7="YES",VLOOKUP(B6,'CIA MARKS'!C15:DW84,125,FALSE),"")</f>
        <v/>
      </c>
      <c r="Z6" s="334">
        <f t="shared" si="1"/>
        <v>0</v>
      </c>
    </row>
    <row r="7" spans="1:26">
      <c r="A7" s="164">
        <v>3</v>
      </c>
      <c r="B7" s="3" t="str">
        <f>Theory!B19</f>
        <v>1DS23AI003</v>
      </c>
      <c r="C7" s="318"/>
      <c r="D7" s="318"/>
      <c r="E7" s="318"/>
      <c r="F7" s="319">
        <f>IF(Theory!D$9="YES",VLOOKUP(B7,'CIA MARKS'!C16:ER85,146,FALSE),"")</f>
        <v>0</v>
      </c>
      <c r="G7" s="319">
        <f>IF(Theory!D$9="YES",VLOOKUP(B7,'CIA MARKS'!C16:ES85,147,FALSE),"")</f>
        <v>0</v>
      </c>
      <c r="H7" s="319">
        <f>IF(Theory!D$9="YES",VLOOKUP(B7,'CIA MARKS'!C16:DT85,122,FALSE),"")</f>
        <v>17</v>
      </c>
      <c r="I7" s="319">
        <f>IF(Theory!D$9="YES",VLOOKUP(B7,'CIA MARKS'!C16:DW85,125,FALSE),"")</f>
        <v>16</v>
      </c>
      <c r="J7" s="319">
        <f>IF(Theory!D$9="YES",VLOOKUP(B7,'CIA MARKS'!C16:EC85,131,FALSE),"")</f>
        <v>25</v>
      </c>
      <c r="K7" s="319">
        <f>IF(Theory!D$9="YES",VLOOKUP(B7,'CIA MARKS'!C16:EG85,135,FALSE),"")</f>
        <v>10</v>
      </c>
      <c r="L7" s="319">
        <f>IF(Theory!D$9="YES",VLOOKUP(B7,'CIA MARKS'!C16:EJ85,138,FALSE),"")</f>
        <v>34</v>
      </c>
      <c r="M7" s="316">
        <f t="shared" si="2"/>
        <v>0</v>
      </c>
      <c r="N7" s="325"/>
      <c r="O7" s="326" t="str">
        <f>IF(Theory!D$8="YES",VLOOKUP(B7,'CIA MARKS'!C16:ES85,147,FALSE),"")</f>
        <v/>
      </c>
      <c r="P7" s="326" t="str">
        <f>IF(Theory!D$8="YES",VLOOKUP(B7,'CIA MARKS'!C16:EC85,131,FALSE),"")</f>
        <v/>
      </c>
      <c r="Q7" s="326" t="str">
        <f>IF(Theory!D$8="YES",VLOOKUP(B7,'CIA MARKS'!C16:EG85,135,FALSE),"")</f>
        <v/>
      </c>
      <c r="R7" s="170">
        <f t="shared" si="0"/>
        <v>0</v>
      </c>
      <c r="T7" s="164">
        <v>0</v>
      </c>
      <c r="U7" s="164">
        <v>0</v>
      </c>
      <c r="V7" s="164">
        <v>0</v>
      </c>
      <c r="W7" s="3">
        <v>0</v>
      </c>
      <c r="X7" s="164" t="str">
        <f>IF(Theory!D$7="YES",VLOOKUP(B7,'CIA MARKS'!C16:DT85,122,FALSE),"")</f>
        <v/>
      </c>
      <c r="Y7" s="164" t="str">
        <f>IF(Theory!D$7="YES",VLOOKUP(B7,'CIA MARKS'!C16:DW85,125,FALSE),"")</f>
        <v/>
      </c>
      <c r="Z7" s="334">
        <f t="shared" si="1"/>
        <v>0</v>
      </c>
    </row>
    <row r="8" spans="1:26">
      <c r="A8" s="164">
        <v>4</v>
      </c>
      <c r="B8" s="3" t="str">
        <f>Theory!B20</f>
        <v>1DS23AI004</v>
      </c>
      <c r="C8" s="318"/>
      <c r="D8" s="318"/>
      <c r="E8" s="318"/>
      <c r="F8" s="319">
        <f>IF(Theory!D$9="YES",VLOOKUP(B8,'CIA MARKS'!C17:ER86,146,FALSE),"")</f>
        <v>0</v>
      </c>
      <c r="G8" s="319">
        <f>IF(Theory!D$9="YES",VLOOKUP(B8,'CIA MARKS'!C17:ES86,147,FALSE),"")</f>
        <v>0</v>
      </c>
      <c r="H8" s="319">
        <f>IF(Theory!D$9="YES",VLOOKUP(B8,'CIA MARKS'!C17:DT86,122,FALSE),"")</f>
        <v>17</v>
      </c>
      <c r="I8" s="319">
        <f>IF(Theory!D$9="YES",VLOOKUP(B8,'CIA MARKS'!C17:DW86,125,FALSE),"")</f>
        <v>18</v>
      </c>
      <c r="J8" s="319">
        <f>IF(Theory!D$9="YES",VLOOKUP(B8,'CIA MARKS'!C17:EC86,131,FALSE),"")</f>
        <v>28</v>
      </c>
      <c r="K8" s="319">
        <f>IF(Theory!D$9="YES",VLOOKUP(B8,'CIA MARKS'!C17:EG86,135,FALSE),"")</f>
        <v>15</v>
      </c>
      <c r="L8" s="319">
        <f>IF(Theory!D$9="YES",VLOOKUP(B8,'CIA MARKS'!C17:EJ86,138,FALSE),"")</f>
        <v>38</v>
      </c>
      <c r="M8" s="316">
        <f t="shared" si="2"/>
        <v>0</v>
      </c>
      <c r="N8" s="325"/>
      <c r="O8" s="326" t="str">
        <f>IF(Theory!D$8="YES",VLOOKUP(B8,'CIA MARKS'!C17:ES86,147,FALSE),"")</f>
        <v/>
      </c>
      <c r="P8" s="326" t="str">
        <f>IF(Theory!D$8="YES",VLOOKUP(B8,'CIA MARKS'!C17:EC86,131,FALSE),"")</f>
        <v/>
      </c>
      <c r="Q8" s="326" t="str">
        <f>IF(Theory!D$8="YES",VLOOKUP(B8,'CIA MARKS'!C17:EG86,135,FALSE),"")</f>
        <v/>
      </c>
      <c r="R8" s="170">
        <f t="shared" si="0"/>
        <v>0</v>
      </c>
      <c r="T8" s="164">
        <v>0</v>
      </c>
      <c r="U8" s="164">
        <v>0</v>
      </c>
      <c r="V8" s="164">
        <v>0</v>
      </c>
      <c r="W8" s="3">
        <v>0</v>
      </c>
      <c r="X8" s="164" t="str">
        <f>IF(Theory!D$7="YES",VLOOKUP(B8,'CIA MARKS'!C17:DT86,122,FALSE),"")</f>
        <v/>
      </c>
      <c r="Y8" s="164" t="str">
        <f>IF(Theory!D$7="YES",VLOOKUP(B8,'CIA MARKS'!C17:DW86,125,FALSE),"")</f>
        <v/>
      </c>
      <c r="Z8" s="334">
        <f t="shared" si="1"/>
        <v>0</v>
      </c>
    </row>
    <row r="9" spans="1:26">
      <c r="A9" s="164">
        <v>5</v>
      </c>
      <c r="B9" s="3" t="str">
        <f>Theory!B21</f>
        <v>1DS23AI005</v>
      </c>
      <c r="C9" s="318"/>
      <c r="D9" s="318"/>
      <c r="E9" s="318"/>
      <c r="F9" s="319">
        <f>IF(Theory!D$9="YES",VLOOKUP(B9,'CIA MARKS'!C18:ER87,146,FALSE),"")</f>
        <v>0</v>
      </c>
      <c r="G9" s="319">
        <f>IF(Theory!D$9="YES",VLOOKUP(B9,'CIA MARKS'!C18:ES87,147,FALSE),"")</f>
        <v>0</v>
      </c>
      <c r="H9" s="319">
        <f>IF(Theory!D$9="YES",VLOOKUP(B9,'CIA MARKS'!C18:DT87,122,FALSE),"")</f>
        <v>22</v>
      </c>
      <c r="I9" s="319">
        <f>IF(Theory!D$9="YES",VLOOKUP(B9,'CIA MARKS'!C18:DW87,125,FALSE),"")</f>
        <v>17</v>
      </c>
      <c r="J9" s="319">
        <f>IF(Theory!D$9="YES",VLOOKUP(B9,'CIA MARKS'!C18:EC87,131,FALSE),"")</f>
        <v>27</v>
      </c>
      <c r="K9" s="319">
        <f>IF(Theory!D$9="YES",VLOOKUP(B9,'CIA MARKS'!C18:EG87,135,FALSE),"")</f>
        <v>19</v>
      </c>
      <c r="L9" s="319">
        <f>IF(Theory!D$9="YES",VLOOKUP(B9,'CIA MARKS'!C18:EJ87,138,FALSE),"")</f>
        <v>41</v>
      </c>
      <c r="M9" s="316">
        <f t="shared" si="2"/>
        <v>0</v>
      </c>
      <c r="N9" s="325"/>
      <c r="O9" s="326" t="str">
        <f>IF(Theory!D$8="YES",VLOOKUP(B9,'CIA MARKS'!C18:ES87,147,FALSE),"")</f>
        <v/>
      </c>
      <c r="P9" s="326" t="str">
        <f>IF(Theory!D$8="YES",VLOOKUP(B9,'CIA MARKS'!C18:EC87,131,FALSE),"")</f>
        <v/>
      </c>
      <c r="Q9" s="326" t="str">
        <f>IF(Theory!D$8="YES",VLOOKUP(B9,'CIA MARKS'!C18:EG87,135,FALSE),"")</f>
        <v/>
      </c>
      <c r="R9" s="170">
        <f t="shared" si="0"/>
        <v>0</v>
      </c>
      <c r="T9" s="164">
        <v>0</v>
      </c>
      <c r="U9" s="164">
        <v>0</v>
      </c>
      <c r="V9" s="164">
        <v>0</v>
      </c>
      <c r="W9" s="3">
        <v>0</v>
      </c>
      <c r="X9" s="164" t="str">
        <f>IF(Theory!D$7="YES",VLOOKUP(B9,'CIA MARKS'!C18:DT87,122,FALSE),"")</f>
        <v/>
      </c>
      <c r="Y9" s="164" t="str">
        <f>IF(Theory!D$7="YES",VLOOKUP(B9,'CIA MARKS'!C18:DW87,125,FALSE),"")</f>
        <v/>
      </c>
      <c r="Z9" s="334">
        <f t="shared" si="1"/>
        <v>0</v>
      </c>
    </row>
    <row r="10" spans="1:26">
      <c r="A10" s="164">
        <v>6</v>
      </c>
      <c r="B10" s="3" t="str">
        <f>Theory!B22</f>
        <v>1DS23AI006</v>
      </c>
      <c r="C10" s="318"/>
      <c r="D10" s="318"/>
      <c r="E10" s="318"/>
      <c r="F10" s="319">
        <f>IF(Theory!D$9="YES",VLOOKUP(B10,'CIA MARKS'!C19:ER88,146,FALSE),"")</f>
        <v>0</v>
      </c>
      <c r="G10" s="319">
        <f>IF(Theory!D$9="YES",VLOOKUP(B10,'CIA MARKS'!C19:ES88,147,FALSE),"")</f>
        <v>0</v>
      </c>
      <c r="H10" s="319">
        <f>IF(Theory!D$9="YES",VLOOKUP(B10,'CIA MARKS'!C19:DT88,122,FALSE),"")</f>
        <v>10</v>
      </c>
      <c r="I10" s="319">
        <f>IF(Theory!D$9="YES",VLOOKUP(B10,'CIA MARKS'!C19:DW88,125,FALSE),"")</f>
        <v>15</v>
      </c>
      <c r="J10" s="319">
        <f>IF(Theory!D$9="YES",VLOOKUP(B10,'CIA MARKS'!C19:EC88,131,FALSE),"")</f>
        <v>25</v>
      </c>
      <c r="K10" s="319">
        <f>IF(Theory!D$9="YES",VLOOKUP(B10,'CIA MARKS'!C19:EG88,135,FALSE),"")</f>
        <v>8</v>
      </c>
      <c r="L10" s="319">
        <f>IF(Theory!D$9="YES",VLOOKUP(B10,'CIA MARKS'!C19:EJ88,138,FALSE),"")</f>
        <v>28</v>
      </c>
      <c r="M10" s="316">
        <f t="shared" si="2"/>
        <v>0</v>
      </c>
      <c r="N10" s="325"/>
      <c r="O10" s="326" t="str">
        <f>IF(Theory!D$8="YES",VLOOKUP(B10,'CIA MARKS'!C19:ES88,147,FALSE),"")</f>
        <v/>
      </c>
      <c r="P10" s="326" t="str">
        <f>IF(Theory!D$8="YES",VLOOKUP(B10,'CIA MARKS'!C19:EC88,131,FALSE),"")</f>
        <v/>
      </c>
      <c r="Q10" s="326" t="str">
        <f>IF(Theory!D$8="YES",VLOOKUP(B10,'CIA MARKS'!C19:EG88,135,FALSE),"")</f>
        <v/>
      </c>
      <c r="R10" s="170">
        <f t="shared" si="0"/>
        <v>0</v>
      </c>
      <c r="T10" s="164">
        <v>0</v>
      </c>
      <c r="U10" s="164">
        <v>0</v>
      </c>
      <c r="V10" s="164">
        <v>0</v>
      </c>
      <c r="W10" s="3">
        <v>0</v>
      </c>
      <c r="X10" s="164" t="str">
        <f>IF(Theory!D$7="YES",VLOOKUP(B10,'CIA MARKS'!C19:DT88,122,FALSE),"")</f>
        <v/>
      </c>
      <c r="Y10" s="164" t="str">
        <f>IF(Theory!D$7="YES",VLOOKUP(B10,'CIA MARKS'!C19:DW88,125,FALSE),"")</f>
        <v/>
      </c>
      <c r="Z10" s="334">
        <f t="shared" si="1"/>
        <v>0</v>
      </c>
    </row>
    <row r="11" spans="1:26">
      <c r="A11" s="164">
        <v>7</v>
      </c>
      <c r="B11" s="3" t="str">
        <f>Theory!B23</f>
        <v>1DS23AI007</v>
      </c>
      <c r="C11" s="318"/>
      <c r="D11" s="318"/>
      <c r="E11" s="318"/>
      <c r="F11" s="319">
        <f>IF(Theory!D$9="YES",VLOOKUP(B11,'CIA MARKS'!C20:ER89,146,FALSE),"")</f>
        <v>0</v>
      </c>
      <c r="G11" s="319">
        <f>IF(Theory!D$9="YES",VLOOKUP(B11,'CIA MARKS'!C20:ES89,147,FALSE),"")</f>
        <v>0</v>
      </c>
      <c r="H11" s="319">
        <f>IF(Theory!D$9="YES",VLOOKUP(B11,'CIA MARKS'!C20:DT89,122,FALSE),"")</f>
        <v>11</v>
      </c>
      <c r="I11" s="319">
        <f>IF(Theory!D$9="YES",VLOOKUP(B11,'CIA MARKS'!C20:DW89,125,FALSE),"")</f>
        <v>18</v>
      </c>
      <c r="J11" s="319">
        <f>IF(Theory!D$9="YES",VLOOKUP(B11,'CIA MARKS'!C20:EC89,131,FALSE),"")</f>
        <v>25</v>
      </c>
      <c r="K11" s="319">
        <f>IF(Theory!D$9="YES",VLOOKUP(B11,'CIA MARKS'!C20:EG89,135,FALSE),"")</f>
        <v>8</v>
      </c>
      <c r="L11" s="319">
        <f>IF(Theory!D$9="YES",VLOOKUP(B11,'CIA MARKS'!C20:EJ89,138,FALSE),"")</f>
        <v>30</v>
      </c>
      <c r="M11" s="316">
        <f t="shared" si="2"/>
        <v>0</v>
      </c>
      <c r="N11" s="325"/>
      <c r="O11" s="326" t="str">
        <f>IF(Theory!D$8="YES",VLOOKUP(B11,'CIA MARKS'!C20:ES89,147,FALSE),"")</f>
        <v/>
      </c>
      <c r="P11" s="326" t="str">
        <f>IF(Theory!D$8="YES",VLOOKUP(B11,'CIA MARKS'!C20:EC89,131,FALSE),"")</f>
        <v/>
      </c>
      <c r="Q11" s="326" t="str">
        <f>IF(Theory!D$8="YES",VLOOKUP(B11,'CIA MARKS'!C20:EG89,135,FALSE),"")</f>
        <v/>
      </c>
      <c r="R11" s="170">
        <f t="shared" si="0"/>
        <v>0</v>
      </c>
      <c r="T11" s="164">
        <v>0</v>
      </c>
      <c r="U11" s="164">
        <v>0</v>
      </c>
      <c r="V11" s="164">
        <v>0</v>
      </c>
      <c r="W11" s="3">
        <v>0</v>
      </c>
      <c r="X11" s="164" t="str">
        <f>IF(Theory!D$7="YES",VLOOKUP(B11,'CIA MARKS'!C20:DT89,122,FALSE),"")</f>
        <v/>
      </c>
      <c r="Y11" s="164" t="str">
        <f>IF(Theory!D$7="YES",VLOOKUP(B11,'CIA MARKS'!C20:DW89,125,FALSE),"")</f>
        <v/>
      </c>
      <c r="Z11" s="334">
        <f t="shared" si="1"/>
        <v>0</v>
      </c>
    </row>
    <row r="12" spans="1:26">
      <c r="A12" s="164">
        <v>8</v>
      </c>
      <c r="B12" s="3" t="str">
        <f>Theory!B24</f>
        <v>1DS23AI008</v>
      </c>
      <c r="C12" s="318"/>
      <c r="D12" s="318"/>
      <c r="E12" s="318"/>
      <c r="F12" s="319">
        <f>IF(Theory!D$9="YES",VLOOKUP(B12,'CIA MARKS'!C21:ER90,146,FALSE),"")</f>
        <v>0</v>
      </c>
      <c r="G12" s="319">
        <f>IF(Theory!D$9="YES",VLOOKUP(B12,'CIA MARKS'!C21:ES90,147,FALSE),"")</f>
        <v>0</v>
      </c>
      <c r="H12" s="319">
        <f>IF(Theory!D$9="YES",VLOOKUP(B12,'CIA MARKS'!C21:DT90,122,FALSE),"")</f>
        <v>10</v>
      </c>
      <c r="I12" s="319">
        <f>IF(Theory!D$9="YES",VLOOKUP(B12,'CIA MARKS'!C21:DW90,125,FALSE),"")</f>
        <v>17</v>
      </c>
      <c r="J12" s="319">
        <f>IF(Theory!D$9="YES",VLOOKUP(B12,'CIA MARKS'!C21:EC90,131,FALSE),"")</f>
        <v>25</v>
      </c>
      <c r="K12" s="319">
        <f>IF(Theory!D$9="YES",VLOOKUP(B12,'CIA MARKS'!C21:EG90,135,FALSE),"")</f>
        <v>8</v>
      </c>
      <c r="L12" s="319">
        <f>IF(Theory!D$9="YES",VLOOKUP(B12,'CIA MARKS'!C21:EJ90,138,FALSE),"")</f>
        <v>29</v>
      </c>
      <c r="M12" s="316">
        <f t="shared" si="2"/>
        <v>0</v>
      </c>
      <c r="N12" s="325"/>
      <c r="O12" s="326" t="str">
        <f>IF(Theory!D$8="YES",VLOOKUP(B12,'CIA MARKS'!C21:ES90,147,FALSE),"")</f>
        <v/>
      </c>
      <c r="P12" s="326" t="str">
        <f>IF(Theory!D$8="YES",VLOOKUP(B12,'CIA MARKS'!C21:EC90,131,FALSE),"")</f>
        <v/>
      </c>
      <c r="Q12" s="326" t="str">
        <f>IF(Theory!D$8="YES",VLOOKUP(B12,'CIA MARKS'!C21:EG90,135,FALSE),"")</f>
        <v/>
      </c>
      <c r="R12" s="170">
        <f t="shared" si="0"/>
        <v>0</v>
      </c>
      <c r="T12" s="164">
        <v>0</v>
      </c>
      <c r="U12" s="164">
        <v>0</v>
      </c>
      <c r="V12" s="164">
        <v>0</v>
      </c>
      <c r="W12" s="3">
        <v>0</v>
      </c>
      <c r="X12" s="164" t="str">
        <f>IF(Theory!D$7="YES",VLOOKUP(B12,'CIA MARKS'!C21:DT90,122,FALSE),"")</f>
        <v/>
      </c>
      <c r="Y12" s="164" t="str">
        <f>IF(Theory!D$7="YES",VLOOKUP(B12,'CIA MARKS'!C21:DW90,125,FALSE),"")</f>
        <v/>
      </c>
      <c r="Z12" s="334">
        <f t="shared" si="1"/>
        <v>0</v>
      </c>
    </row>
    <row r="13" spans="1:26">
      <c r="A13" s="164">
        <v>9</v>
      </c>
      <c r="B13" s="3" t="str">
        <f>Theory!B25</f>
        <v>1DS23AI010</v>
      </c>
      <c r="C13" s="318"/>
      <c r="D13" s="318"/>
      <c r="E13" s="318"/>
      <c r="F13" s="319">
        <f>IF(Theory!D$9="YES",VLOOKUP(B13,'CIA MARKS'!C22:ER91,146,FALSE),"")</f>
        <v>0</v>
      </c>
      <c r="G13" s="319">
        <f>IF(Theory!D$9="YES",VLOOKUP(B13,'CIA MARKS'!C22:ES91,147,FALSE),"")</f>
        <v>0</v>
      </c>
      <c r="H13" s="319">
        <f>IF(Theory!D$9="YES",VLOOKUP(B13,'CIA MARKS'!C22:DT91,122,FALSE),"")</f>
        <v>7</v>
      </c>
      <c r="I13" s="319">
        <f>IF(Theory!D$9="YES",VLOOKUP(B13,'CIA MARKS'!C22:DW91,125,FALSE),"")</f>
        <v>10</v>
      </c>
      <c r="J13" s="319">
        <f>IF(Theory!D$9="YES",VLOOKUP(B13,'CIA MARKS'!C22:EC91,131,FALSE),"")</f>
        <v>25</v>
      </c>
      <c r="K13" s="319">
        <f>IF(Theory!D$9="YES",VLOOKUP(B13,'CIA MARKS'!C22:EG91,135,FALSE),"")</f>
        <v>8</v>
      </c>
      <c r="L13" s="319">
        <f>IF(Theory!D$9="YES",VLOOKUP(B13,'CIA MARKS'!C22:EJ91,138,FALSE),"")</f>
        <v>23</v>
      </c>
      <c r="M13" s="316">
        <f t="shared" si="2"/>
        <v>0</v>
      </c>
      <c r="N13" s="325"/>
      <c r="O13" s="326" t="str">
        <f>IF(Theory!D$8="YES",VLOOKUP(B13,'CIA MARKS'!C22:ES91,147,FALSE),"")</f>
        <v/>
      </c>
      <c r="P13" s="326" t="str">
        <f>IF(Theory!D$8="YES",VLOOKUP(B13,'CIA MARKS'!C22:EC91,131,FALSE),"")</f>
        <v/>
      </c>
      <c r="Q13" s="326" t="str">
        <f>IF(Theory!D$8="YES",VLOOKUP(B13,'CIA MARKS'!C22:EG91,135,FALSE),"")</f>
        <v/>
      </c>
      <c r="R13" s="170">
        <f t="shared" si="0"/>
        <v>0</v>
      </c>
      <c r="T13" s="164">
        <v>0</v>
      </c>
      <c r="U13" s="164">
        <v>0</v>
      </c>
      <c r="V13" s="164">
        <v>0</v>
      </c>
      <c r="W13" s="3">
        <v>0</v>
      </c>
      <c r="X13" s="164" t="str">
        <f>IF(Theory!D$7="YES",VLOOKUP(B13,'CIA MARKS'!C22:DT91,122,FALSE),"")</f>
        <v/>
      </c>
      <c r="Y13" s="164" t="str">
        <f>IF(Theory!D$7="YES",VLOOKUP(B13,'CIA MARKS'!C22:DW91,125,FALSE),"")</f>
        <v/>
      </c>
      <c r="Z13" s="334">
        <f t="shared" si="1"/>
        <v>0</v>
      </c>
    </row>
    <row r="14" spans="1:26">
      <c r="A14" s="164">
        <v>10</v>
      </c>
      <c r="B14" s="3" t="str">
        <f>Theory!B26</f>
        <v>1DS23AI011</v>
      </c>
      <c r="C14" s="318"/>
      <c r="D14" s="318"/>
      <c r="E14" s="318"/>
      <c r="F14" s="319">
        <f>IF(Theory!D$9="YES",VLOOKUP(B14,'CIA MARKS'!C23:ER92,146,FALSE),"")</f>
        <v>0</v>
      </c>
      <c r="G14" s="319">
        <f>IF(Theory!D$9="YES",VLOOKUP(B14,'CIA MARKS'!C23:ES92,147,FALSE),"")</f>
        <v>0</v>
      </c>
      <c r="H14" s="319">
        <f>IF(Theory!D$9="YES",VLOOKUP(B14,'CIA MARKS'!C23:DT92,122,FALSE),"")</f>
        <v>19</v>
      </c>
      <c r="I14" s="319">
        <f>IF(Theory!D$9="YES",VLOOKUP(B14,'CIA MARKS'!C23:DW92,125,FALSE),"")</f>
        <v>17</v>
      </c>
      <c r="J14" s="319">
        <f>IF(Theory!D$9="YES",VLOOKUP(B14,'CIA MARKS'!C23:EC92,131,FALSE),"")</f>
        <v>26</v>
      </c>
      <c r="K14" s="319">
        <f>IF(Theory!D$9="YES",VLOOKUP(B14,'CIA MARKS'!C23:EG92,135,FALSE),"")</f>
        <v>16</v>
      </c>
      <c r="L14" s="319">
        <f>IF(Theory!D$9="YES",VLOOKUP(B14,'CIA MARKS'!C23:EJ92,138,FALSE),"")</f>
        <v>39</v>
      </c>
      <c r="M14" s="316">
        <f t="shared" si="2"/>
        <v>0</v>
      </c>
      <c r="N14" s="325"/>
      <c r="O14" s="326" t="str">
        <f>IF(Theory!D$8="YES",VLOOKUP(B14,'CIA MARKS'!C23:ES92,147,FALSE),"")</f>
        <v/>
      </c>
      <c r="P14" s="326" t="str">
        <f>IF(Theory!D$8="YES",VLOOKUP(B14,'CIA MARKS'!C23:EC92,131,FALSE),"")</f>
        <v/>
      </c>
      <c r="Q14" s="326" t="str">
        <f>IF(Theory!D$8="YES",VLOOKUP(B14,'CIA MARKS'!C23:EG92,135,FALSE),"")</f>
        <v/>
      </c>
      <c r="R14" s="170">
        <f t="shared" si="0"/>
        <v>0</v>
      </c>
      <c r="T14" s="164">
        <v>0</v>
      </c>
      <c r="U14" s="164">
        <v>0</v>
      </c>
      <c r="V14" s="164">
        <v>0</v>
      </c>
      <c r="W14" s="3">
        <v>0</v>
      </c>
      <c r="X14" s="164" t="str">
        <f>IF(Theory!D$7="YES",VLOOKUP(B14,'CIA MARKS'!C23:DT92,122,FALSE),"")</f>
        <v/>
      </c>
      <c r="Y14" s="164" t="str">
        <f>IF(Theory!D$7="YES",VLOOKUP(B14,'CIA MARKS'!C23:DW92,125,FALSE),"")</f>
        <v/>
      </c>
      <c r="Z14" s="334">
        <f t="shared" si="1"/>
        <v>0</v>
      </c>
    </row>
    <row r="15" spans="1:26">
      <c r="A15" s="164">
        <v>11</v>
      </c>
      <c r="B15" s="3" t="str">
        <f>Theory!B27</f>
        <v>1DS23AI012</v>
      </c>
      <c r="C15" s="318"/>
      <c r="D15" s="318"/>
      <c r="E15" s="318"/>
      <c r="F15" s="319">
        <f>IF(Theory!D$9="YES",VLOOKUP(B15,'CIA MARKS'!C24:ER93,146,FALSE),"")</f>
        <v>0</v>
      </c>
      <c r="G15" s="319">
        <f>IF(Theory!D$9="YES",VLOOKUP(B15,'CIA MARKS'!C24:ES93,147,FALSE),"")</f>
        <v>0</v>
      </c>
      <c r="H15" s="319">
        <f>IF(Theory!D$9="YES",VLOOKUP(B15,'CIA MARKS'!C24:DT93,122,FALSE),"")</f>
        <v>21</v>
      </c>
      <c r="I15" s="319">
        <f>IF(Theory!D$9="YES",VLOOKUP(B15,'CIA MARKS'!C24:DW93,125,FALSE),"")</f>
        <v>18</v>
      </c>
      <c r="J15" s="319">
        <f>IF(Theory!D$9="YES",VLOOKUP(B15,'CIA MARKS'!C24:EC93,131,FALSE),"")</f>
        <v>25</v>
      </c>
      <c r="K15" s="319">
        <f>IF(Theory!D$9="YES",VLOOKUP(B15,'CIA MARKS'!C24:EG93,135,FALSE),"")</f>
        <v>10</v>
      </c>
      <c r="L15" s="319">
        <f>IF(Theory!D$9="YES",VLOOKUP(B15,'CIA MARKS'!C24:EJ93,138,FALSE),"")</f>
        <v>37</v>
      </c>
      <c r="M15" s="316">
        <f t="shared" si="2"/>
        <v>0</v>
      </c>
      <c r="N15" s="325"/>
      <c r="O15" s="326" t="str">
        <f>IF(Theory!D$8="YES",VLOOKUP(B15,'CIA MARKS'!C24:ES93,147,FALSE),"")</f>
        <v/>
      </c>
      <c r="P15" s="326" t="str">
        <f>IF(Theory!D$8="YES",VLOOKUP(B15,'CIA MARKS'!C24:EC93,131,FALSE),"")</f>
        <v/>
      </c>
      <c r="Q15" s="326" t="str">
        <f>IF(Theory!D$8="YES",VLOOKUP(B15,'CIA MARKS'!C24:EG93,135,FALSE),"")</f>
        <v/>
      </c>
      <c r="R15" s="170">
        <f t="shared" si="0"/>
        <v>0</v>
      </c>
      <c r="T15" s="164">
        <v>0</v>
      </c>
      <c r="U15" s="164">
        <v>0</v>
      </c>
      <c r="V15" s="164">
        <v>0</v>
      </c>
      <c r="W15" s="3">
        <v>0</v>
      </c>
      <c r="X15" s="164" t="str">
        <f>IF(Theory!D$7="YES",VLOOKUP(B15,'CIA MARKS'!C24:DT93,122,FALSE),"")</f>
        <v/>
      </c>
      <c r="Y15" s="164" t="str">
        <f>IF(Theory!D$7="YES",VLOOKUP(B15,'CIA MARKS'!C24:DW93,125,FALSE),"")</f>
        <v/>
      </c>
      <c r="Z15" s="334">
        <f t="shared" si="1"/>
        <v>0</v>
      </c>
    </row>
    <row r="16" spans="1:26">
      <c r="A16" s="164">
        <v>12</v>
      </c>
      <c r="B16" s="3" t="str">
        <f>Theory!B28</f>
        <v>1DS23AI013</v>
      </c>
      <c r="C16" s="318"/>
      <c r="D16" s="318"/>
      <c r="E16" s="318"/>
      <c r="F16" s="319">
        <f>IF(Theory!D$9="YES",VLOOKUP(B16,'CIA MARKS'!C25:ER94,146,FALSE),"")</f>
        <v>0</v>
      </c>
      <c r="G16" s="319">
        <f>IF(Theory!D$9="YES",VLOOKUP(B16,'CIA MARKS'!C25:ES94,147,FALSE),"")</f>
        <v>0</v>
      </c>
      <c r="H16" s="319">
        <f>IF(Theory!D$9="YES",VLOOKUP(B16,'CIA MARKS'!C25:DT94,122,FALSE),"")</f>
        <v>21</v>
      </c>
      <c r="I16" s="319">
        <f>IF(Theory!D$9="YES",VLOOKUP(B16,'CIA MARKS'!C25:DW94,125,FALSE),"")</f>
        <v>19</v>
      </c>
      <c r="J16" s="319">
        <f>IF(Theory!D$9="YES",VLOOKUP(B16,'CIA MARKS'!C25:EC94,131,FALSE),"")</f>
        <v>28</v>
      </c>
      <c r="K16" s="319">
        <f>IF(Theory!D$9="YES",VLOOKUP(B16,'CIA MARKS'!C25:EG94,135,FALSE),"")</f>
        <v>18</v>
      </c>
      <c r="L16" s="319">
        <f>IF(Theory!D$9="YES",VLOOKUP(B16,'CIA MARKS'!C25:EJ94,138,FALSE),"")</f>
        <v>42</v>
      </c>
      <c r="M16" s="316">
        <f t="shared" si="2"/>
        <v>0</v>
      </c>
      <c r="N16" s="325"/>
      <c r="O16" s="326" t="str">
        <f>IF(Theory!D$8="YES",VLOOKUP(B16,'CIA MARKS'!C25:ES94,147,FALSE),"")</f>
        <v/>
      </c>
      <c r="P16" s="326" t="str">
        <f>IF(Theory!D$8="YES",VLOOKUP(B16,'CIA MARKS'!C25:EC94,131,FALSE),"")</f>
        <v/>
      </c>
      <c r="Q16" s="326" t="str">
        <f>IF(Theory!D$8="YES",VLOOKUP(B16,'CIA MARKS'!C25:EG94,135,FALSE),"")</f>
        <v/>
      </c>
      <c r="R16" s="170">
        <f t="shared" si="0"/>
        <v>0</v>
      </c>
      <c r="T16" s="164">
        <v>0</v>
      </c>
      <c r="U16" s="164">
        <v>0</v>
      </c>
      <c r="V16" s="164">
        <v>0</v>
      </c>
      <c r="W16" s="3">
        <v>0</v>
      </c>
      <c r="X16" s="164" t="str">
        <f>IF(Theory!D$7="YES",VLOOKUP(B16,'CIA MARKS'!C25:DT94,122,FALSE),"")</f>
        <v/>
      </c>
      <c r="Y16" s="164" t="str">
        <f>IF(Theory!D$7="YES",VLOOKUP(B16,'CIA MARKS'!C25:DW94,125,FALSE),"")</f>
        <v/>
      </c>
      <c r="Z16" s="334">
        <f t="shared" si="1"/>
        <v>0</v>
      </c>
    </row>
    <row r="17" spans="1:26">
      <c r="A17" s="164">
        <v>13</v>
      </c>
      <c r="B17" s="3" t="str">
        <f>Theory!B29</f>
        <v>1DS23AI014</v>
      </c>
      <c r="C17" s="318"/>
      <c r="D17" s="318"/>
      <c r="E17" s="318"/>
      <c r="F17" s="319">
        <f>IF(Theory!D$9="YES",VLOOKUP(B17,'CIA MARKS'!C26:ER95,146,FALSE),"")</f>
        <v>0</v>
      </c>
      <c r="G17" s="319">
        <f>IF(Theory!D$9="YES",VLOOKUP(B17,'CIA MARKS'!C26:ES95,147,FALSE),"")</f>
        <v>0</v>
      </c>
      <c r="H17" s="319">
        <f>IF(Theory!D$9="YES",VLOOKUP(B17,'CIA MARKS'!C26:DT95,122,FALSE),"")</f>
        <v>25</v>
      </c>
      <c r="I17" s="319">
        <f>IF(Theory!D$9="YES",VLOOKUP(B17,'CIA MARKS'!C26:DW95,125,FALSE),"")</f>
        <v>17</v>
      </c>
      <c r="J17" s="319">
        <f>IF(Theory!D$9="YES",VLOOKUP(B17,'CIA MARKS'!C26:EC95,131,FALSE),"")</f>
        <v>27</v>
      </c>
      <c r="K17" s="319">
        <f>IF(Theory!D$9="YES",VLOOKUP(B17,'CIA MARKS'!C26:EG95,135,FALSE),"")</f>
        <v>19</v>
      </c>
      <c r="L17" s="319">
        <f>IF(Theory!D$9="YES",VLOOKUP(B17,'CIA MARKS'!C26:EJ95,138,FALSE),"")</f>
        <v>43</v>
      </c>
      <c r="M17" s="316">
        <f t="shared" si="2"/>
        <v>0</v>
      </c>
      <c r="N17" s="325"/>
      <c r="O17" s="326" t="str">
        <f>IF(Theory!D$8="YES",VLOOKUP(B17,'CIA MARKS'!C26:ES95,147,FALSE),"")</f>
        <v/>
      </c>
      <c r="P17" s="326" t="str">
        <f>IF(Theory!D$8="YES",VLOOKUP(B17,'CIA MARKS'!C26:EC95,131,FALSE),"")</f>
        <v/>
      </c>
      <c r="Q17" s="326" t="str">
        <f>IF(Theory!D$8="YES",VLOOKUP(B17,'CIA MARKS'!C26:EG95,135,FALSE),"")</f>
        <v/>
      </c>
      <c r="R17" s="170">
        <f t="shared" si="0"/>
        <v>0</v>
      </c>
      <c r="T17" s="164">
        <v>0</v>
      </c>
      <c r="U17" s="164">
        <v>0</v>
      </c>
      <c r="V17" s="164">
        <v>0</v>
      </c>
      <c r="W17" s="3">
        <v>0</v>
      </c>
      <c r="X17" s="164" t="str">
        <f>IF(Theory!D$7="YES",VLOOKUP(B17,'CIA MARKS'!C26:DT95,122,FALSE),"")</f>
        <v/>
      </c>
      <c r="Y17" s="164" t="str">
        <f>IF(Theory!D$7="YES",VLOOKUP(B17,'CIA MARKS'!C26:DW95,125,FALSE),"")</f>
        <v/>
      </c>
      <c r="Z17" s="334">
        <f t="shared" si="1"/>
        <v>0</v>
      </c>
    </row>
    <row r="18" spans="1:26">
      <c r="A18" s="164">
        <v>14</v>
      </c>
      <c r="B18" s="3" t="str">
        <f>Theory!B30</f>
        <v>1DS23AI015</v>
      </c>
      <c r="C18" s="318"/>
      <c r="D18" s="318"/>
      <c r="E18" s="318"/>
      <c r="F18" s="319">
        <f>IF(Theory!D$9="YES",VLOOKUP(B18,'CIA MARKS'!C27:ER96,146,FALSE),"")</f>
        <v>0</v>
      </c>
      <c r="G18" s="319">
        <f>IF(Theory!D$9="YES",VLOOKUP(B18,'CIA MARKS'!C27:ES96,147,FALSE),"")</f>
        <v>0</v>
      </c>
      <c r="H18" s="319">
        <f>IF(Theory!D$9="YES",VLOOKUP(B18,'CIA MARKS'!C27:DT96,122,FALSE),"")</f>
        <v>27</v>
      </c>
      <c r="I18" s="319">
        <f>IF(Theory!D$9="YES",VLOOKUP(B18,'CIA MARKS'!C27:DW96,125,FALSE),"")</f>
        <v>18</v>
      </c>
      <c r="J18" s="319">
        <f>IF(Theory!D$9="YES",VLOOKUP(B18,'CIA MARKS'!C27:EC96,131,FALSE),"")</f>
        <v>28</v>
      </c>
      <c r="K18" s="319">
        <f>IF(Theory!D$9="YES",VLOOKUP(B18,'CIA MARKS'!C27:EG96,135,FALSE),"")</f>
        <v>19</v>
      </c>
      <c r="L18" s="319">
        <f>IF(Theory!D$9="YES",VLOOKUP(B18,'CIA MARKS'!C27:EJ96,138,FALSE),"")</f>
        <v>46</v>
      </c>
      <c r="M18" s="316">
        <f t="shared" si="2"/>
        <v>0</v>
      </c>
      <c r="N18" s="325"/>
      <c r="O18" s="326" t="str">
        <f>IF(Theory!D$8="YES",VLOOKUP(B18,'CIA MARKS'!C27:ES96,147,FALSE),"")</f>
        <v/>
      </c>
      <c r="P18" s="326" t="str">
        <f>IF(Theory!D$8="YES",VLOOKUP(B18,'CIA MARKS'!C27:EC96,131,FALSE),"")</f>
        <v/>
      </c>
      <c r="Q18" s="326" t="str">
        <f>IF(Theory!D$8="YES",VLOOKUP(B18,'CIA MARKS'!C27:EG96,135,FALSE),"")</f>
        <v/>
      </c>
      <c r="R18" s="170">
        <f t="shared" si="0"/>
        <v>0</v>
      </c>
      <c r="T18" s="164">
        <v>0</v>
      </c>
      <c r="U18" s="164">
        <v>0</v>
      </c>
      <c r="V18" s="164">
        <v>0</v>
      </c>
      <c r="W18" s="3">
        <v>0</v>
      </c>
      <c r="X18" s="164" t="str">
        <f>IF(Theory!D$7="YES",VLOOKUP(B18,'CIA MARKS'!C27:DT96,122,FALSE),"")</f>
        <v/>
      </c>
      <c r="Y18" s="164" t="str">
        <f>IF(Theory!D$7="YES",VLOOKUP(B18,'CIA MARKS'!C27:DW96,125,FALSE),"")</f>
        <v/>
      </c>
      <c r="Z18" s="334">
        <f t="shared" si="1"/>
        <v>0</v>
      </c>
    </row>
    <row r="19" spans="1:26">
      <c r="A19" s="164">
        <v>15</v>
      </c>
      <c r="B19" s="3" t="str">
        <f>Theory!B31</f>
        <v>1DS23AI016</v>
      </c>
      <c r="C19" s="318"/>
      <c r="D19" s="318"/>
      <c r="E19" s="318"/>
      <c r="F19" s="319">
        <f>IF(Theory!D$9="YES",VLOOKUP(B19,'CIA MARKS'!C28:ER97,146,FALSE),"")</f>
        <v>0</v>
      </c>
      <c r="G19" s="319">
        <f>IF(Theory!D$9="YES",VLOOKUP(B19,'CIA MARKS'!C28:ES97,147,FALSE),"")</f>
        <v>0</v>
      </c>
      <c r="H19" s="319">
        <f>IF(Theory!D$9="YES",VLOOKUP(B19,'CIA MARKS'!C28:DT97,122,FALSE),"")</f>
        <v>26</v>
      </c>
      <c r="I19" s="319">
        <f>IF(Theory!D$9="YES",VLOOKUP(B19,'CIA MARKS'!C28:DW97,125,FALSE),"")</f>
        <v>17</v>
      </c>
      <c r="J19" s="319">
        <f>IF(Theory!D$9="YES",VLOOKUP(B19,'CIA MARKS'!C28:EC97,131,FALSE),"")</f>
        <v>28</v>
      </c>
      <c r="K19" s="319">
        <f>IF(Theory!D$9="YES",VLOOKUP(B19,'CIA MARKS'!C28:EG97,135,FALSE),"")</f>
        <v>19</v>
      </c>
      <c r="L19" s="319">
        <f>IF(Theory!D$9="YES",VLOOKUP(B19,'CIA MARKS'!C28:EJ97,138,FALSE),"")</f>
        <v>45</v>
      </c>
      <c r="M19" s="316">
        <f t="shared" si="2"/>
        <v>0</v>
      </c>
      <c r="N19" s="325"/>
      <c r="O19" s="326" t="str">
        <f>IF(Theory!D$8="YES",VLOOKUP(B19,'CIA MARKS'!C28:ES97,147,FALSE),"")</f>
        <v/>
      </c>
      <c r="P19" s="326" t="str">
        <f>IF(Theory!D$8="YES",VLOOKUP(B19,'CIA MARKS'!C28:EC97,131,FALSE),"")</f>
        <v/>
      </c>
      <c r="Q19" s="326" t="str">
        <f>IF(Theory!D$8="YES",VLOOKUP(B19,'CIA MARKS'!C28:EG97,135,FALSE),"")</f>
        <v/>
      </c>
      <c r="R19" s="170">
        <f t="shared" si="0"/>
        <v>0</v>
      </c>
      <c r="T19" s="164">
        <v>0</v>
      </c>
      <c r="U19" s="164">
        <v>0</v>
      </c>
      <c r="V19" s="164">
        <v>0</v>
      </c>
      <c r="W19" s="3">
        <v>0</v>
      </c>
      <c r="X19" s="164" t="str">
        <f>IF(Theory!D$7="YES",VLOOKUP(B19,'CIA MARKS'!C28:DT97,122,FALSE),"")</f>
        <v/>
      </c>
      <c r="Y19" s="164" t="str">
        <f>IF(Theory!D$7="YES",VLOOKUP(B19,'CIA MARKS'!C28:DW97,125,FALSE),"")</f>
        <v/>
      </c>
      <c r="Z19" s="334">
        <f t="shared" si="1"/>
        <v>0</v>
      </c>
    </row>
    <row r="20" spans="1:26">
      <c r="A20" s="164">
        <v>16</v>
      </c>
      <c r="B20" s="3" t="str">
        <f>Theory!B32</f>
        <v>1DS23AI017</v>
      </c>
      <c r="C20" s="318"/>
      <c r="D20" s="318"/>
      <c r="E20" s="318"/>
      <c r="F20" s="319">
        <f>IF(Theory!D$9="YES",VLOOKUP(B20,'CIA MARKS'!C29:ER98,146,FALSE),"")</f>
        <v>0</v>
      </c>
      <c r="G20" s="319">
        <f>IF(Theory!D$9="YES",VLOOKUP(B20,'CIA MARKS'!C29:ES98,147,FALSE),"")</f>
        <v>0</v>
      </c>
      <c r="H20" s="319">
        <f>IF(Theory!D$9="YES",VLOOKUP(B20,'CIA MARKS'!C29:DT98,122,FALSE),"")</f>
        <v>25</v>
      </c>
      <c r="I20" s="319">
        <f>IF(Theory!D$9="YES",VLOOKUP(B20,'CIA MARKS'!C29:DW98,125,FALSE),"")</f>
        <v>17</v>
      </c>
      <c r="J20" s="319">
        <f>IF(Theory!D$9="YES",VLOOKUP(B20,'CIA MARKS'!C29:EC98,131,FALSE),"")</f>
        <v>29</v>
      </c>
      <c r="K20" s="319">
        <f>IF(Theory!D$9="YES",VLOOKUP(B20,'CIA MARKS'!C29:EG98,135,FALSE),"")</f>
        <v>20</v>
      </c>
      <c r="L20" s="319">
        <f>IF(Theory!D$9="YES",VLOOKUP(B20,'CIA MARKS'!C29:EJ98,138,FALSE),"")</f>
        <v>45</v>
      </c>
      <c r="M20" s="316">
        <f t="shared" si="2"/>
        <v>0</v>
      </c>
      <c r="N20" s="325"/>
      <c r="O20" s="326" t="str">
        <f>IF(Theory!D$8="YES",VLOOKUP(B20,'CIA MARKS'!C29:ES98,147,FALSE),"")</f>
        <v/>
      </c>
      <c r="P20" s="326" t="str">
        <f>IF(Theory!D$8="YES",VLOOKUP(B20,'CIA MARKS'!C29:EC98,131,FALSE),"")</f>
        <v/>
      </c>
      <c r="Q20" s="326" t="str">
        <f>IF(Theory!D$8="YES",VLOOKUP(B20,'CIA MARKS'!C29:EG98,135,FALSE),"")</f>
        <v/>
      </c>
      <c r="R20" s="170">
        <f t="shared" si="0"/>
        <v>0</v>
      </c>
      <c r="T20" s="164">
        <v>0</v>
      </c>
      <c r="U20" s="164">
        <v>0</v>
      </c>
      <c r="V20" s="164">
        <v>0</v>
      </c>
      <c r="W20" s="3">
        <v>0</v>
      </c>
      <c r="X20" s="164" t="str">
        <f>IF(Theory!D$7="YES",VLOOKUP(B20,'CIA MARKS'!C29:DT98,122,FALSE),"")</f>
        <v/>
      </c>
      <c r="Y20" s="164" t="str">
        <f>IF(Theory!D$7="YES",VLOOKUP(B20,'CIA MARKS'!C29:DW98,125,FALSE),"")</f>
        <v/>
      </c>
      <c r="Z20" s="334">
        <f t="shared" si="1"/>
        <v>0</v>
      </c>
    </row>
    <row r="21" spans="1:26">
      <c r="A21" s="164">
        <v>17</v>
      </c>
      <c r="B21" s="3" t="str">
        <f>Theory!B33</f>
        <v>1DS23AI018</v>
      </c>
      <c r="C21" s="318"/>
      <c r="D21" s="318"/>
      <c r="E21" s="318"/>
      <c r="F21" s="319">
        <f>IF(Theory!D$9="YES",VLOOKUP(B21,'CIA MARKS'!C30:ER99,146,FALSE),"")</f>
        <v>0</v>
      </c>
      <c r="G21" s="319">
        <f>IF(Theory!D$9="YES",VLOOKUP(B21,'CIA MARKS'!C30:ES99,147,FALSE),"")</f>
        <v>0</v>
      </c>
      <c r="H21" s="319">
        <f>IF(Theory!D$9="YES",VLOOKUP(B21,'CIA MARKS'!C30:DT99,122,FALSE),"")</f>
        <v>13</v>
      </c>
      <c r="I21" s="319">
        <f>IF(Theory!D$9="YES",VLOOKUP(B21,'CIA MARKS'!C30:DW99,125,FALSE),"")</f>
        <v>16</v>
      </c>
      <c r="J21" s="319">
        <f>IF(Theory!D$9="YES",VLOOKUP(B21,'CIA MARKS'!C30:EC99,131,FALSE),"")</f>
        <v>26</v>
      </c>
      <c r="K21" s="319">
        <f>IF(Theory!D$9="YES",VLOOKUP(B21,'CIA MARKS'!C30:EG99,135,FALSE),"")</f>
        <v>16</v>
      </c>
      <c r="L21" s="319">
        <f>IF(Theory!D$9="YES",VLOOKUP(B21,'CIA MARKS'!C30:EJ99,138,FALSE),"")</f>
        <v>34</v>
      </c>
      <c r="M21" s="316">
        <f t="shared" si="2"/>
        <v>0</v>
      </c>
      <c r="N21" s="325"/>
      <c r="O21" s="326" t="str">
        <f>IF(Theory!D$8="YES",VLOOKUP(B21,'CIA MARKS'!C30:ES99,147,FALSE),"")</f>
        <v/>
      </c>
      <c r="P21" s="326" t="str">
        <f>IF(Theory!D$8="YES",VLOOKUP(B21,'CIA MARKS'!C30:EC99,131,FALSE),"")</f>
        <v/>
      </c>
      <c r="Q21" s="326" t="str">
        <f>IF(Theory!D$8="YES",VLOOKUP(B21,'CIA MARKS'!C30:EG99,135,FALSE),"")</f>
        <v/>
      </c>
      <c r="R21" s="170">
        <f t="shared" si="0"/>
        <v>0</v>
      </c>
      <c r="T21" s="164">
        <v>0</v>
      </c>
      <c r="U21" s="164">
        <v>0</v>
      </c>
      <c r="V21" s="164">
        <v>0</v>
      </c>
      <c r="W21" s="3">
        <v>0</v>
      </c>
      <c r="X21" s="164" t="str">
        <f>IF(Theory!D$7="YES",VLOOKUP(B21,'CIA MARKS'!C30:DT99,122,FALSE),"")</f>
        <v/>
      </c>
      <c r="Y21" s="164" t="str">
        <f>IF(Theory!D$7="YES",VLOOKUP(B21,'CIA MARKS'!C30:DW99,125,FALSE),"")</f>
        <v/>
      </c>
      <c r="Z21" s="334">
        <f t="shared" si="1"/>
        <v>0</v>
      </c>
    </row>
    <row r="22" spans="1:26">
      <c r="A22" s="164">
        <v>18</v>
      </c>
      <c r="B22" s="3" t="str">
        <f>Theory!B34</f>
        <v>1DS23AI019</v>
      </c>
      <c r="C22" s="318"/>
      <c r="D22" s="318"/>
      <c r="E22" s="318"/>
      <c r="F22" s="319">
        <f>IF(Theory!D$9="YES",VLOOKUP(B22,'CIA MARKS'!C31:ER100,146,FALSE),"")</f>
        <v>0</v>
      </c>
      <c r="G22" s="319">
        <f>IF(Theory!D$9="YES",VLOOKUP(B22,'CIA MARKS'!C31:ES100,147,FALSE),"")</f>
        <v>0</v>
      </c>
      <c r="H22" s="319">
        <f>IF(Theory!D$9="YES",VLOOKUP(B22,'CIA MARKS'!C31:DT100,122,FALSE),"")</f>
        <v>21</v>
      </c>
      <c r="I22" s="319">
        <f>IF(Theory!D$9="YES",VLOOKUP(B22,'CIA MARKS'!C31:DW100,125,FALSE),"")</f>
        <v>18</v>
      </c>
      <c r="J22" s="319">
        <f>IF(Theory!D$9="YES",VLOOKUP(B22,'CIA MARKS'!C31:EC100,131,FALSE),"")</f>
        <v>30</v>
      </c>
      <c r="K22" s="319">
        <f>IF(Theory!D$9="YES",VLOOKUP(B22,'CIA MARKS'!C31:EG100,135,FALSE),"")</f>
        <v>20</v>
      </c>
      <c r="L22" s="319">
        <f>IF(Theory!D$9="YES",VLOOKUP(B22,'CIA MARKS'!C31:EJ100,138,FALSE),"")</f>
        <v>43</v>
      </c>
      <c r="M22" s="316">
        <f t="shared" si="2"/>
        <v>0</v>
      </c>
      <c r="N22" s="325"/>
      <c r="O22" s="326" t="str">
        <f>IF(Theory!D$8="YES",VLOOKUP(B22,'CIA MARKS'!C31:ES100,147,FALSE),"")</f>
        <v/>
      </c>
      <c r="P22" s="326" t="str">
        <f>IF(Theory!D$8="YES",VLOOKUP(B22,'CIA MARKS'!C31:EC100,131,FALSE),"")</f>
        <v/>
      </c>
      <c r="Q22" s="326" t="str">
        <f>IF(Theory!D$8="YES",VLOOKUP(B22,'CIA MARKS'!C31:EG100,135,FALSE),"")</f>
        <v/>
      </c>
      <c r="R22" s="170">
        <f t="shared" si="0"/>
        <v>0</v>
      </c>
      <c r="T22" s="164">
        <v>0</v>
      </c>
      <c r="U22" s="164">
        <v>0</v>
      </c>
      <c r="V22" s="164">
        <v>0</v>
      </c>
      <c r="W22" s="3">
        <v>0</v>
      </c>
      <c r="X22" s="164" t="str">
        <f>IF(Theory!D$7="YES",VLOOKUP(B22,'CIA MARKS'!C31:DT100,122,FALSE),"")</f>
        <v/>
      </c>
      <c r="Y22" s="164" t="str">
        <f>IF(Theory!D$7="YES",VLOOKUP(B22,'CIA MARKS'!C31:DW100,125,FALSE),"")</f>
        <v/>
      </c>
      <c r="Z22" s="334">
        <f t="shared" si="1"/>
        <v>0</v>
      </c>
    </row>
    <row r="23" spans="1:26">
      <c r="A23" s="164">
        <v>19</v>
      </c>
      <c r="B23" s="3" t="str">
        <f>Theory!B35</f>
        <v>1DS23AI020</v>
      </c>
      <c r="C23" s="318"/>
      <c r="D23" s="318"/>
      <c r="E23" s="318"/>
      <c r="F23" s="319">
        <f>IF(Theory!D$9="YES",VLOOKUP(B23,'CIA MARKS'!C32:ER101,146,FALSE),"")</f>
        <v>0</v>
      </c>
      <c r="G23" s="319">
        <f>IF(Theory!D$9="YES",VLOOKUP(B23,'CIA MARKS'!C32:ES101,147,FALSE),"")</f>
        <v>0</v>
      </c>
      <c r="H23" s="319">
        <f>IF(Theory!D$9="YES",VLOOKUP(B23,'CIA MARKS'!C32:DT101,122,FALSE),"")</f>
        <v>16</v>
      </c>
      <c r="I23" s="319">
        <f>IF(Theory!D$9="YES",VLOOKUP(B23,'CIA MARKS'!C32:DW101,125,FALSE),"")</f>
        <v>18</v>
      </c>
      <c r="J23" s="319">
        <f>IF(Theory!D$9="YES",VLOOKUP(B23,'CIA MARKS'!C32:EC101,131,FALSE),"")</f>
        <v>28</v>
      </c>
      <c r="K23" s="319">
        <f>IF(Theory!D$9="YES",VLOOKUP(B23,'CIA MARKS'!C32:EG101,135,FALSE),"")</f>
        <v>19</v>
      </c>
      <c r="L23" s="319">
        <f>IF(Theory!D$9="YES",VLOOKUP(B23,'CIA MARKS'!C32:EJ101,138,FALSE),"")</f>
        <v>39</v>
      </c>
      <c r="M23" s="316">
        <f t="shared" si="2"/>
        <v>0</v>
      </c>
      <c r="N23" s="325"/>
      <c r="O23" s="326" t="str">
        <f>IF(Theory!D$8="YES",VLOOKUP(B23,'CIA MARKS'!C32:ES101,147,FALSE),"")</f>
        <v/>
      </c>
      <c r="P23" s="326" t="str">
        <f>IF(Theory!D$8="YES",VLOOKUP(B23,'CIA MARKS'!C32:EC101,131,FALSE),"")</f>
        <v/>
      </c>
      <c r="Q23" s="326" t="str">
        <f>IF(Theory!D$8="YES",VLOOKUP(B23,'CIA MARKS'!C32:EG101,135,FALSE),"")</f>
        <v/>
      </c>
      <c r="R23" s="170">
        <f t="shared" si="0"/>
        <v>0</v>
      </c>
      <c r="T23" s="164">
        <v>0</v>
      </c>
      <c r="U23" s="164">
        <v>0</v>
      </c>
      <c r="V23" s="164">
        <v>0</v>
      </c>
      <c r="W23" s="3">
        <v>0</v>
      </c>
      <c r="X23" s="164" t="str">
        <f>IF(Theory!D$7="YES",VLOOKUP(B23,'CIA MARKS'!C32:DT101,122,FALSE),"")</f>
        <v/>
      </c>
      <c r="Y23" s="164" t="str">
        <f>IF(Theory!D$7="YES",VLOOKUP(B23,'CIA MARKS'!C32:DW101,125,FALSE),"")</f>
        <v/>
      </c>
      <c r="Z23" s="334">
        <f t="shared" si="1"/>
        <v>0</v>
      </c>
    </row>
    <row r="24" spans="1:26">
      <c r="A24" s="164">
        <v>20</v>
      </c>
      <c r="B24" s="3" t="str">
        <f>Theory!B36</f>
        <v>1DS23AI021</v>
      </c>
      <c r="C24" s="318"/>
      <c r="D24" s="318"/>
      <c r="E24" s="318"/>
      <c r="F24" s="319">
        <f>IF(Theory!D$9="YES",VLOOKUP(B24,'CIA MARKS'!C33:ER102,146,FALSE),"")</f>
        <v>0</v>
      </c>
      <c r="G24" s="319">
        <f>IF(Theory!D$9="YES",VLOOKUP(B24,'CIA MARKS'!C33:ES102,147,FALSE),"")</f>
        <v>0</v>
      </c>
      <c r="H24" s="319">
        <f>IF(Theory!D$9="YES",VLOOKUP(B24,'CIA MARKS'!C33:DT102,122,FALSE),"")</f>
        <v>11</v>
      </c>
      <c r="I24" s="319">
        <f>IF(Theory!D$9="YES",VLOOKUP(B24,'CIA MARKS'!C33:DW102,125,FALSE),"")</f>
        <v>16</v>
      </c>
      <c r="J24" s="319">
        <f>IF(Theory!D$9="YES",VLOOKUP(B24,'CIA MARKS'!C33:EC102,131,FALSE),"")</f>
        <v>25</v>
      </c>
      <c r="K24" s="319">
        <f>IF(Theory!D$9="YES",VLOOKUP(B24,'CIA MARKS'!C33:EG102,135,FALSE),"")</f>
        <v>16</v>
      </c>
      <c r="L24" s="319">
        <f>IF(Theory!D$9="YES",VLOOKUP(B24,'CIA MARKS'!C33:EJ102,138,FALSE),"")</f>
        <v>32</v>
      </c>
      <c r="M24" s="316">
        <f t="shared" si="2"/>
        <v>0</v>
      </c>
      <c r="N24" s="325"/>
      <c r="O24" s="326" t="str">
        <f>IF(Theory!D$8="YES",VLOOKUP(B24,'CIA MARKS'!C33:ES102,147,FALSE),"")</f>
        <v/>
      </c>
      <c r="P24" s="326" t="str">
        <f>IF(Theory!D$8="YES",VLOOKUP(B24,'CIA MARKS'!C33:EC102,131,FALSE),"")</f>
        <v/>
      </c>
      <c r="Q24" s="326" t="str">
        <f>IF(Theory!D$8="YES",VLOOKUP(B24,'CIA MARKS'!C33:EG102,135,FALSE),"")</f>
        <v/>
      </c>
      <c r="R24" s="170">
        <f t="shared" si="0"/>
        <v>0</v>
      </c>
      <c r="T24" s="164">
        <v>0</v>
      </c>
      <c r="U24" s="164">
        <v>0</v>
      </c>
      <c r="V24" s="164">
        <v>0</v>
      </c>
      <c r="W24" s="3">
        <v>0</v>
      </c>
      <c r="X24" s="164" t="str">
        <f>IF(Theory!D$7="YES",VLOOKUP(B24,'CIA MARKS'!C33:DT102,122,FALSE),"")</f>
        <v/>
      </c>
      <c r="Y24" s="164" t="str">
        <f>IF(Theory!D$7="YES",VLOOKUP(B24,'CIA MARKS'!C33:DW102,125,FALSE),"")</f>
        <v/>
      </c>
      <c r="Z24" s="334">
        <f t="shared" si="1"/>
        <v>0</v>
      </c>
    </row>
    <row r="25" spans="1:26">
      <c r="A25" s="164">
        <v>21</v>
      </c>
      <c r="B25" s="3" t="str">
        <f>Theory!B37</f>
        <v>1DS23AI022</v>
      </c>
      <c r="C25" s="318"/>
      <c r="D25" s="318"/>
      <c r="E25" s="318"/>
      <c r="F25" s="319">
        <f>IF(Theory!D$9="YES",VLOOKUP(B25,'CIA MARKS'!C34:ER103,146,FALSE),"")</f>
        <v>0</v>
      </c>
      <c r="G25" s="319">
        <f>IF(Theory!D$9="YES",VLOOKUP(B25,'CIA MARKS'!C34:ES103,147,FALSE),"")</f>
        <v>0</v>
      </c>
      <c r="H25" s="319">
        <f>IF(Theory!D$9="YES",VLOOKUP(B25,'CIA MARKS'!C34:DT103,122,FALSE),"")</f>
        <v>13</v>
      </c>
      <c r="I25" s="319">
        <f>IF(Theory!D$9="YES",VLOOKUP(B25,'CIA MARKS'!C34:DW103,125,FALSE),"")</f>
        <v>18</v>
      </c>
      <c r="J25" s="319">
        <f>IF(Theory!D$9="YES",VLOOKUP(B25,'CIA MARKS'!C34:EC103,131,FALSE),"")</f>
        <v>25</v>
      </c>
      <c r="K25" s="319">
        <f>IF(Theory!D$9="YES",VLOOKUP(B25,'CIA MARKS'!C34:EG103,135,FALSE),"")</f>
        <v>9</v>
      </c>
      <c r="L25" s="319">
        <f>IF(Theory!D$9="YES",VLOOKUP(B25,'CIA MARKS'!C34:EJ103,138,FALSE),"")</f>
        <v>33</v>
      </c>
      <c r="M25" s="316">
        <f t="shared" si="2"/>
        <v>0</v>
      </c>
      <c r="N25" s="325"/>
      <c r="O25" s="326" t="str">
        <f>IF(Theory!D$8="YES",VLOOKUP(B25,'CIA MARKS'!C34:ES103,147,FALSE),"")</f>
        <v/>
      </c>
      <c r="P25" s="326" t="str">
        <f>IF(Theory!D$8="YES",VLOOKUP(B25,'CIA MARKS'!C34:EC103,131,FALSE),"")</f>
        <v/>
      </c>
      <c r="Q25" s="326" t="str">
        <f>IF(Theory!D$8="YES",VLOOKUP(B25,'CIA MARKS'!C34:EG103,135,FALSE),"")</f>
        <v/>
      </c>
      <c r="R25" s="170">
        <f t="shared" si="0"/>
        <v>0</v>
      </c>
      <c r="T25" s="164">
        <v>0</v>
      </c>
      <c r="U25" s="164">
        <v>0</v>
      </c>
      <c r="V25" s="164">
        <v>0</v>
      </c>
      <c r="W25" s="3">
        <v>0</v>
      </c>
      <c r="X25" s="164" t="str">
        <f>IF(Theory!D$7="YES",VLOOKUP(B25,'CIA MARKS'!C34:DT103,122,FALSE),"")</f>
        <v/>
      </c>
      <c r="Y25" s="164" t="str">
        <f>IF(Theory!D$7="YES",VLOOKUP(B25,'CIA MARKS'!C34:DW103,125,FALSE),"")</f>
        <v/>
      </c>
      <c r="Z25" s="334">
        <f t="shared" si="1"/>
        <v>0</v>
      </c>
    </row>
    <row r="26" spans="1:26">
      <c r="A26" s="164">
        <v>22</v>
      </c>
      <c r="B26" s="3" t="str">
        <f>Theory!B38</f>
        <v>1DS23AI023</v>
      </c>
      <c r="C26" s="318"/>
      <c r="D26" s="318"/>
      <c r="E26" s="318"/>
      <c r="F26" s="319">
        <f>IF(Theory!D$9="YES",VLOOKUP(B26,'CIA MARKS'!C35:ER104,146,FALSE),"")</f>
        <v>0</v>
      </c>
      <c r="G26" s="319">
        <f>IF(Theory!D$9="YES",VLOOKUP(B26,'CIA MARKS'!C35:ES104,147,FALSE),"")</f>
        <v>0</v>
      </c>
      <c r="H26" s="319">
        <f>IF(Theory!D$9="YES",VLOOKUP(B26,'CIA MARKS'!C35:DT104,122,FALSE),"")</f>
        <v>25</v>
      </c>
      <c r="I26" s="319">
        <f>IF(Theory!D$9="YES",VLOOKUP(B26,'CIA MARKS'!C35:DW104,125,FALSE),"")</f>
        <v>18</v>
      </c>
      <c r="J26" s="319">
        <f>IF(Theory!D$9="YES",VLOOKUP(B26,'CIA MARKS'!C35:EC104,131,FALSE),"")</f>
        <v>30</v>
      </c>
      <c r="K26" s="319">
        <f>IF(Theory!D$9="YES",VLOOKUP(B26,'CIA MARKS'!C35:EG104,135,FALSE),"")</f>
        <v>20</v>
      </c>
      <c r="L26" s="319">
        <f>IF(Theory!D$9="YES",VLOOKUP(B26,'CIA MARKS'!C35:EJ104,138,FALSE),"")</f>
        <v>46</v>
      </c>
      <c r="M26" s="316">
        <f t="shared" si="2"/>
        <v>0</v>
      </c>
      <c r="N26" s="325"/>
      <c r="O26" s="326" t="str">
        <f>IF(Theory!D$8="YES",VLOOKUP(B26,'CIA MARKS'!C35:ES104,147,FALSE),"")</f>
        <v/>
      </c>
      <c r="P26" s="326" t="str">
        <f>IF(Theory!D$8="YES",VLOOKUP(B26,'CIA MARKS'!C35:EC104,131,FALSE),"")</f>
        <v/>
      </c>
      <c r="Q26" s="326" t="str">
        <f>IF(Theory!D$8="YES",VLOOKUP(B26,'CIA MARKS'!C35:EG104,135,FALSE),"")</f>
        <v/>
      </c>
      <c r="R26" s="170">
        <f t="shared" si="0"/>
        <v>0</v>
      </c>
      <c r="T26" s="164">
        <v>0</v>
      </c>
      <c r="U26" s="164">
        <v>0</v>
      </c>
      <c r="V26" s="164">
        <v>0</v>
      </c>
      <c r="W26" s="3">
        <v>0</v>
      </c>
      <c r="X26" s="164" t="str">
        <f>IF(Theory!D$7="YES",VLOOKUP(B26,'CIA MARKS'!C35:DT104,122,FALSE),"")</f>
        <v/>
      </c>
      <c r="Y26" s="164" t="str">
        <f>IF(Theory!D$7="YES",VLOOKUP(B26,'CIA MARKS'!C35:DW104,125,FALSE),"")</f>
        <v/>
      </c>
      <c r="Z26" s="334">
        <f t="shared" si="1"/>
        <v>0</v>
      </c>
    </row>
    <row r="27" spans="1:26">
      <c r="A27" s="164">
        <v>23</v>
      </c>
      <c r="B27" s="3" t="str">
        <f>Theory!B39</f>
        <v>1DS23AI024</v>
      </c>
      <c r="C27" s="318"/>
      <c r="D27" s="318"/>
      <c r="E27" s="318"/>
      <c r="F27" s="319">
        <f>IF(Theory!D$9="YES",VLOOKUP(B27,'CIA MARKS'!C36:ER105,146,FALSE),"")</f>
        <v>0</v>
      </c>
      <c r="G27" s="319">
        <f>IF(Theory!D$9="YES",VLOOKUP(B27,'CIA MARKS'!C36:ES105,147,FALSE),"")</f>
        <v>0</v>
      </c>
      <c r="H27" s="319">
        <f>IF(Theory!D$9="YES",VLOOKUP(B27,'CIA MARKS'!C36:DT105,122,FALSE),"")</f>
        <v>19</v>
      </c>
      <c r="I27" s="319">
        <f>IF(Theory!D$9="YES",VLOOKUP(B27,'CIA MARKS'!C36:DW105,125,FALSE),"")</f>
        <v>16</v>
      </c>
      <c r="J27" s="319">
        <f>IF(Theory!D$9="YES",VLOOKUP(B27,'CIA MARKS'!C36:EC105,131,FALSE),"")</f>
        <v>27</v>
      </c>
      <c r="K27" s="319">
        <f>IF(Theory!D$9="YES",VLOOKUP(B27,'CIA MARKS'!C36:EG105,135,FALSE),"")</f>
        <v>18</v>
      </c>
      <c r="L27" s="319">
        <f>IF(Theory!D$9="YES",VLOOKUP(B27,'CIA MARKS'!C36:EJ105,138,FALSE),"")</f>
        <v>39</v>
      </c>
      <c r="M27" s="316">
        <f t="shared" si="2"/>
        <v>0</v>
      </c>
      <c r="N27" s="325"/>
      <c r="O27" s="326" t="str">
        <f>IF(Theory!D$8="YES",VLOOKUP(B27,'CIA MARKS'!C36:ES105,147,FALSE),"")</f>
        <v/>
      </c>
      <c r="P27" s="326" t="str">
        <f>IF(Theory!D$8="YES",VLOOKUP(B27,'CIA MARKS'!C36:EC105,131,FALSE),"")</f>
        <v/>
      </c>
      <c r="Q27" s="326" t="str">
        <f>IF(Theory!D$8="YES",VLOOKUP(B27,'CIA MARKS'!C36:EG105,135,FALSE),"")</f>
        <v/>
      </c>
      <c r="R27" s="170">
        <f t="shared" si="0"/>
        <v>0</v>
      </c>
      <c r="T27" s="164">
        <v>0</v>
      </c>
      <c r="U27" s="164">
        <v>0</v>
      </c>
      <c r="V27" s="164">
        <v>0</v>
      </c>
      <c r="W27" s="3">
        <v>0</v>
      </c>
      <c r="X27" s="164" t="str">
        <f>IF(Theory!D$7="YES",VLOOKUP(B27,'CIA MARKS'!C36:DT105,122,FALSE),"")</f>
        <v/>
      </c>
      <c r="Y27" s="164" t="str">
        <f>IF(Theory!D$7="YES",VLOOKUP(B27,'CIA MARKS'!C36:DW105,125,FALSE),"")</f>
        <v/>
      </c>
      <c r="Z27" s="334">
        <f t="shared" si="1"/>
        <v>0</v>
      </c>
    </row>
    <row r="28" spans="1:26">
      <c r="A28" s="164">
        <v>24</v>
      </c>
      <c r="B28" s="3" t="str">
        <f>Theory!B40</f>
        <v>1DS23AI025</v>
      </c>
      <c r="C28" s="318"/>
      <c r="D28" s="318"/>
      <c r="E28" s="318"/>
      <c r="F28" s="319">
        <f>IF(Theory!D$9="YES",VLOOKUP(B28,'CIA MARKS'!C37:ER106,146,FALSE),"")</f>
        <v>0</v>
      </c>
      <c r="G28" s="319">
        <f>IF(Theory!D$9="YES",VLOOKUP(B28,'CIA MARKS'!C37:ES106,147,FALSE),"")</f>
        <v>0</v>
      </c>
      <c r="H28" s="319">
        <f>IF(Theory!D$9="YES",VLOOKUP(B28,'CIA MARKS'!C37:DT106,122,FALSE),"")</f>
        <v>18</v>
      </c>
      <c r="I28" s="319">
        <f>IF(Theory!D$9="YES",VLOOKUP(B28,'CIA MARKS'!C37:DW106,125,FALSE),"")</f>
        <v>16</v>
      </c>
      <c r="J28" s="319">
        <f>IF(Theory!D$9="YES",VLOOKUP(B28,'CIA MARKS'!C37:EC106,131,FALSE),"")</f>
        <v>29</v>
      </c>
      <c r="K28" s="319">
        <f>IF(Theory!D$9="YES",VLOOKUP(B28,'CIA MARKS'!C37:EG106,135,FALSE),"")</f>
        <v>19</v>
      </c>
      <c r="L28" s="319">
        <f>IF(Theory!D$9="YES",VLOOKUP(B28,'CIA MARKS'!C37:EJ106,138,FALSE),"")</f>
        <v>39</v>
      </c>
      <c r="M28" s="316">
        <f t="shared" si="2"/>
        <v>0</v>
      </c>
      <c r="N28" s="325"/>
      <c r="O28" s="326" t="str">
        <f>IF(Theory!D$8="YES",VLOOKUP(B28,'CIA MARKS'!C37:ES106,147,FALSE),"")</f>
        <v/>
      </c>
      <c r="P28" s="326" t="str">
        <f>IF(Theory!D$8="YES",VLOOKUP(B28,'CIA MARKS'!C37:EC106,131,FALSE),"")</f>
        <v/>
      </c>
      <c r="Q28" s="326" t="str">
        <f>IF(Theory!D$8="YES",VLOOKUP(B28,'CIA MARKS'!C37:EG106,135,FALSE),"")</f>
        <v/>
      </c>
      <c r="R28" s="170">
        <f t="shared" si="0"/>
        <v>0</v>
      </c>
      <c r="T28" s="164">
        <v>0</v>
      </c>
      <c r="U28" s="164">
        <v>0</v>
      </c>
      <c r="V28" s="164">
        <v>0</v>
      </c>
      <c r="W28" s="3">
        <v>0</v>
      </c>
      <c r="X28" s="164" t="str">
        <f>IF(Theory!D$7="YES",VLOOKUP(B28,'CIA MARKS'!C37:DT106,122,FALSE),"")</f>
        <v/>
      </c>
      <c r="Y28" s="164" t="str">
        <f>IF(Theory!D$7="YES",VLOOKUP(B28,'CIA MARKS'!C37:DW106,125,FALSE),"")</f>
        <v/>
      </c>
      <c r="Z28" s="334">
        <f t="shared" si="1"/>
        <v>0</v>
      </c>
    </row>
    <row r="29" spans="1:26">
      <c r="A29" s="164">
        <v>25</v>
      </c>
      <c r="B29" s="3" t="str">
        <f>Theory!B41</f>
        <v>1DS23AI026</v>
      </c>
      <c r="C29" s="318"/>
      <c r="D29" s="318"/>
      <c r="E29" s="318"/>
      <c r="F29" s="319">
        <f>IF(Theory!D$9="YES",VLOOKUP(B29,'CIA MARKS'!C38:ER107,146,FALSE),"")</f>
        <v>0</v>
      </c>
      <c r="G29" s="319">
        <f>IF(Theory!D$9="YES",VLOOKUP(B29,'CIA MARKS'!C38:ES107,147,FALSE),"")</f>
        <v>0</v>
      </c>
      <c r="H29" s="319">
        <f>IF(Theory!D$9="YES",VLOOKUP(B29,'CIA MARKS'!C38:DT107,122,FALSE),"")</f>
        <v>15</v>
      </c>
      <c r="I29" s="319">
        <f>IF(Theory!D$9="YES",VLOOKUP(B29,'CIA MARKS'!C38:DW107,125,FALSE),"")</f>
        <v>16</v>
      </c>
      <c r="J29" s="319">
        <f>IF(Theory!D$9="YES",VLOOKUP(B29,'CIA MARKS'!C38:EC107,131,FALSE),"")</f>
        <v>29</v>
      </c>
      <c r="K29" s="319">
        <f>IF(Theory!D$9="YES",VLOOKUP(B29,'CIA MARKS'!C38:EG107,135,FALSE),"")</f>
        <v>16</v>
      </c>
      <c r="L29" s="319">
        <f>IF(Theory!D$9="YES",VLOOKUP(B29,'CIA MARKS'!C38:EJ107,138,FALSE),"")</f>
        <v>37</v>
      </c>
      <c r="M29" s="316">
        <f t="shared" si="2"/>
        <v>0</v>
      </c>
      <c r="N29" s="325"/>
      <c r="O29" s="326" t="str">
        <f>IF(Theory!D$8="YES",VLOOKUP(B29,'CIA MARKS'!C38:ES107,147,FALSE),"")</f>
        <v/>
      </c>
      <c r="P29" s="326" t="str">
        <f>IF(Theory!D$8="YES",VLOOKUP(B29,'CIA MARKS'!C38:EC107,131,FALSE),"")</f>
        <v/>
      </c>
      <c r="Q29" s="326" t="str">
        <f>IF(Theory!D$8="YES",VLOOKUP(B29,'CIA MARKS'!C38:EG107,135,FALSE),"")</f>
        <v/>
      </c>
      <c r="R29" s="170">
        <f t="shared" si="0"/>
        <v>0</v>
      </c>
      <c r="T29" s="164">
        <v>0</v>
      </c>
      <c r="U29" s="164">
        <v>0</v>
      </c>
      <c r="V29" s="164">
        <v>0</v>
      </c>
      <c r="W29" s="3">
        <v>0</v>
      </c>
      <c r="X29" s="164" t="str">
        <f>IF(Theory!D$7="YES",VLOOKUP(B29,'CIA MARKS'!C38:DT107,122,FALSE),"")</f>
        <v/>
      </c>
      <c r="Y29" s="164" t="str">
        <f>IF(Theory!D$7="YES",VLOOKUP(B29,'CIA MARKS'!C38:DW107,125,FALSE),"")</f>
        <v/>
      </c>
      <c r="Z29" s="334">
        <f t="shared" si="1"/>
        <v>0</v>
      </c>
    </row>
    <row r="30" spans="1:26">
      <c r="A30" s="164">
        <v>26</v>
      </c>
      <c r="B30" s="3" t="str">
        <f>Theory!B42</f>
        <v>1DS23AI027</v>
      </c>
      <c r="C30" s="318"/>
      <c r="D30" s="318"/>
      <c r="E30" s="318"/>
      <c r="F30" s="319">
        <f>IF(Theory!D$9="YES",VLOOKUP(B30,'CIA MARKS'!C39:ER108,146,FALSE),"")</f>
        <v>0</v>
      </c>
      <c r="G30" s="319">
        <f>IF(Theory!D$9="YES",VLOOKUP(B30,'CIA MARKS'!C39:ES108,147,FALSE),"")</f>
        <v>0</v>
      </c>
      <c r="H30" s="319">
        <f>IF(Theory!D$9="YES",VLOOKUP(B30,'CIA MARKS'!C39:DT108,122,FALSE),"")</f>
        <v>18</v>
      </c>
      <c r="I30" s="319">
        <f>IF(Theory!D$9="YES",VLOOKUP(B30,'CIA MARKS'!C39:DW108,125,FALSE),"")</f>
        <v>18</v>
      </c>
      <c r="J30" s="319">
        <f>IF(Theory!D$9="YES",VLOOKUP(B30,'CIA MARKS'!C39:EC108,131,FALSE),"")</f>
        <v>26</v>
      </c>
      <c r="K30" s="319">
        <f>IF(Theory!D$9="YES",VLOOKUP(B30,'CIA MARKS'!C39:EG108,135,FALSE),"")</f>
        <v>17</v>
      </c>
      <c r="L30" s="319">
        <f>IF(Theory!D$9="YES",VLOOKUP(B30,'CIA MARKS'!C39:EJ108,138,FALSE),"")</f>
        <v>39</v>
      </c>
      <c r="M30" s="316">
        <f t="shared" si="2"/>
        <v>0</v>
      </c>
      <c r="N30" s="325"/>
      <c r="O30" s="326" t="str">
        <f>IF(Theory!D$8="YES",VLOOKUP(B30,'CIA MARKS'!C39:ES108,147,FALSE),"")</f>
        <v/>
      </c>
      <c r="P30" s="326" t="str">
        <f>IF(Theory!D$8="YES",VLOOKUP(B30,'CIA MARKS'!C39:EC108,131,FALSE),"")</f>
        <v/>
      </c>
      <c r="Q30" s="326" t="str">
        <f>IF(Theory!D$8="YES",VLOOKUP(B30,'CIA MARKS'!C39:EG108,135,FALSE),"")</f>
        <v/>
      </c>
      <c r="R30" s="170">
        <f t="shared" si="0"/>
        <v>0</v>
      </c>
      <c r="T30" s="164">
        <v>0</v>
      </c>
      <c r="U30" s="164">
        <v>0</v>
      </c>
      <c r="V30" s="164">
        <v>0</v>
      </c>
      <c r="W30" s="3">
        <v>0</v>
      </c>
      <c r="X30" s="164" t="str">
        <f>IF(Theory!D$7="YES",VLOOKUP(B30,'CIA MARKS'!C39:DT108,122,FALSE),"")</f>
        <v/>
      </c>
      <c r="Y30" s="164" t="str">
        <f>IF(Theory!D$7="YES",VLOOKUP(B30,'CIA MARKS'!C39:DW108,125,FALSE),"")</f>
        <v/>
      </c>
      <c r="Z30" s="334">
        <f t="shared" si="1"/>
        <v>0</v>
      </c>
    </row>
    <row r="31" spans="1:26">
      <c r="A31" s="164">
        <v>27</v>
      </c>
      <c r="B31" s="3" t="str">
        <f>Theory!B43</f>
        <v>1DS23AI028</v>
      </c>
      <c r="C31" s="318"/>
      <c r="D31" s="318"/>
      <c r="E31" s="318"/>
      <c r="F31" s="319">
        <f>IF(Theory!D$9="YES",VLOOKUP(B31,'CIA MARKS'!C40:ER109,146,FALSE),"")</f>
        <v>0</v>
      </c>
      <c r="G31" s="319">
        <f>IF(Theory!D$9="YES",VLOOKUP(B31,'CIA MARKS'!C40:ES109,147,FALSE),"")</f>
        <v>0</v>
      </c>
      <c r="H31" s="319">
        <f>IF(Theory!D$9="YES",VLOOKUP(B31,'CIA MARKS'!C40:DT109,122,FALSE),"")</f>
        <v>18</v>
      </c>
      <c r="I31" s="319">
        <f>IF(Theory!D$9="YES",VLOOKUP(B31,'CIA MARKS'!C40:DW109,125,FALSE),"")</f>
        <v>16</v>
      </c>
      <c r="J31" s="319">
        <f>IF(Theory!D$9="YES",VLOOKUP(B31,'CIA MARKS'!C40:EC109,131,FALSE),"")</f>
        <v>26</v>
      </c>
      <c r="K31" s="319">
        <f>IF(Theory!D$9="YES",VLOOKUP(B31,'CIA MARKS'!C40:EG109,135,FALSE),"")</f>
        <v>8</v>
      </c>
      <c r="L31" s="319">
        <f>IF(Theory!D$9="YES",VLOOKUP(B31,'CIA MARKS'!C40:EJ109,138,FALSE),"")</f>
        <v>34</v>
      </c>
      <c r="M31" s="316">
        <f t="shared" si="2"/>
        <v>0</v>
      </c>
      <c r="N31" s="325"/>
      <c r="O31" s="326" t="str">
        <f>IF(Theory!D$8="YES",VLOOKUP(B31,'CIA MARKS'!C40:ES109,147,FALSE),"")</f>
        <v/>
      </c>
      <c r="P31" s="326" t="str">
        <f>IF(Theory!D$8="YES",VLOOKUP(B31,'CIA MARKS'!C40:EC109,131,FALSE),"")</f>
        <v/>
      </c>
      <c r="Q31" s="326" t="str">
        <f>IF(Theory!D$8="YES",VLOOKUP(B31,'CIA MARKS'!C40:EG109,135,FALSE),"")</f>
        <v/>
      </c>
      <c r="R31" s="170">
        <f t="shared" si="0"/>
        <v>0</v>
      </c>
      <c r="T31" s="164">
        <v>0</v>
      </c>
      <c r="U31" s="164">
        <v>0</v>
      </c>
      <c r="V31" s="164">
        <v>0</v>
      </c>
      <c r="W31" s="3">
        <v>0</v>
      </c>
      <c r="X31" s="164" t="str">
        <f>IF(Theory!D$7="YES",VLOOKUP(B31,'CIA MARKS'!C40:DT109,122,FALSE),"")</f>
        <v/>
      </c>
      <c r="Y31" s="164" t="str">
        <f>IF(Theory!D$7="YES",VLOOKUP(B31,'CIA MARKS'!C40:DW109,125,FALSE),"")</f>
        <v/>
      </c>
      <c r="Z31" s="334">
        <f t="shared" si="1"/>
        <v>0</v>
      </c>
    </row>
    <row r="32" spans="1:26">
      <c r="A32" s="164">
        <v>28</v>
      </c>
      <c r="B32" s="3" t="str">
        <f>Theory!B44</f>
        <v>1DS23AI029</v>
      </c>
      <c r="C32" s="318"/>
      <c r="D32" s="318"/>
      <c r="E32" s="318"/>
      <c r="F32" s="319">
        <f>IF(Theory!D$9="YES",VLOOKUP(B32,'CIA MARKS'!C41:ER110,146,FALSE),"")</f>
        <v>0</v>
      </c>
      <c r="G32" s="319">
        <f>IF(Theory!D$9="YES",VLOOKUP(B32,'CIA MARKS'!C41:ES110,147,FALSE),"")</f>
        <v>0</v>
      </c>
      <c r="H32" s="319">
        <f>IF(Theory!D$9="YES",VLOOKUP(B32,'CIA MARKS'!C41:DT110,122,FALSE),"")</f>
        <v>24</v>
      </c>
      <c r="I32" s="319">
        <f>IF(Theory!D$9="YES",VLOOKUP(B32,'CIA MARKS'!C41:DW110,125,FALSE),"")</f>
        <v>19</v>
      </c>
      <c r="J32" s="319">
        <f>IF(Theory!D$9="YES",VLOOKUP(B32,'CIA MARKS'!C41:EC110,131,FALSE),"")</f>
        <v>30</v>
      </c>
      <c r="K32" s="319">
        <f>IF(Theory!D$9="YES",VLOOKUP(B32,'CIA MARKS'!C41:EG110,135,FALSE),"")</f>
        <v>20</v>
      </c>
      <c r="L32" s="319">
        <f>IF(Theory!D$9="YES",VLOOKUP(B32,'CIA MARKS'!C41:EJ110,138,FALSE),"")</f>
        <v>46</v>
      </c>
      <c r="M32" s="316">
        <f t="shared" si="2"/>
        <v>0</v>
      </c>
      <c r="N32" s="325"/>
      <c r="O32" s="326" t="str">
        <f>IF(Theory!D$8="YES",VLOOKUP(B32,'CIA MARKS'!C41:ES110,147,FALSE),"")</f>
        <v/>
      </c>
      <c r="P32" s="326" t="str">
        <f>IF(Theory!D$8="YES",VLOOKUP(B32,'CIA MARKS'!C41:EC110,131,FALSE),"")</f>
        <v/>
      </c>
      <c r="Q32" s="326" t="str">
        <f>IF(Theory!D$8="YES",VLOOKUP(B32,'CIA MARKS'!C41:EG110,135,FALSE),"")</f>
        <v/>
      </c>
      <c r="R32" s="170">
        <f t="shared" si="0"/>
        <v>0</v>
      </c>
      <c r="T32" s="164">
        <v>0</v>
      </c>
      <c r="U32" s="164">
        <v>0</v>
      </c>
      <c r="V32" s="164">
        <v>0</v>
      </c>
      <c r="W32" s="3">
        <v>0</v>
      </c>
      <c r="X32" s="164" t="str">
        <f>IF(Theory!D$7="YES",VLOOKUP(B32,'CIA MARKS'!C41:DT110,122,FALSE),"")</f>
        <v/>
      </c>
      <c r="Y32" s="164" t="str">
        <f>IF(Theory!D$7="YES",VLOOKUP(B32,'CIA MARKS'!C41:DW110,125,FALSE),"")</f>
        <v/>
      </c>
      <c r="Z32" s="334">
        <f t="shared" si="1"/>
        <v>0</v>
      </c>
    </row>
    <row r="33" spans="1:26">
      <c r="A33" s="164">
        <v>29</v>
      </c>
      <c r="B33" s="3" t="str">
        <f>Theory!B45</f>
        <v>1DS23AI030</v>
      </c>
      <c r="C33" s="318"/>
      <c r="D33" s="318"/>
      <c r="E33" s="318"/>
      <c r="F33" s="319">
        <f>IF(Theory!D$9="YES",VLOOKUP(B33,'CIA MARKS'!C42:ER111,146,FALSE),"")</f>
        <v>0</v>
      </c>
      <c r="G33" s="319">
        <f>IF(Theory!D$9="YES",VLOOKUP(B33,'CIA MARKS'!C42:ES111,147,FALSE),"")</f>
        <v>0</v>
      </c>
      <c r="H33" s="319">
        <f>IF(Theory!D$9="YES",VLOOKUP(B33,'CIA MARKS'!C42:DT111,122,FALSE),"")</f>
        <v>5</v>
      </c>
      <c r="I33" s="319">
        <f>IF(Theory!D$9="YES",VLOOKUP(B33,'CIA MARKS'!C42:DW111,125,FALSE),"")</f>
        <v>17</v>
      </c>
      <c r="J33" s="319">
        <f>IF(Theory!D$9="YES",VLOOKUP(B33,'CIA MARKS'!C42:EC111,131,FALSE),"")</f>
        <v>25</v>
      </c>
      <c r="K33" s="319">
        <f>IF(Theory!D$9="YES",VLOOKUP(B33,'CIA MARKS'!C42:EG111,135,FALSE),"")</f>
        <v>8</v>
      </c>
      <c r="L33" s="319">
        <f>IF(Theory!D$9="YES",VLOOKUP(B33,'CIA MARKS'!C42:EJ111,138,FALSE),"")</f>
        <v>26</v>
      </c>
      <c r="M33" s="316">
        <f t="shared" si="2"/>
        <v>0</v>
      </c>
      <c r="N33" s="325"/>
      <c r="O33" s="326" t="str">
        <f>IF(Theory!D$8="YES",VLOOKUP(B33,'CIA MARKS'!C42:ES111,147,FALSE),"")</f>
        <v/>
      </c>
      <c r="P33" s="326" t="str">
        <f>IF(Theory!D$8="YES",VLOOKUP(B33,'CIA MARKS'!C42:EC111,131,FALSE),"")</f>
        <v/>
      </c>
      <c r="Q33" s="326" t="str">
        <f>IF(Theory!D$8="YES",VLOOKUP(B33,'CIA MARKS'!C42:EG111,135,FALSE),"")</f>
        <v/>
      </c>
      <c r="R33" s="170">
        <f t="shared" si="0"/>
        <v>0</v>
      </c>
      <c r="T33" s="164">
        <v>0</v>
      </c>
      <c r="U33" s="164">
        <v>0</v>
      </c>
      <c r="V33" s="164">
        <v>0</v>
      </c>
      <c r="W33" s="3">
        <v>0</v>
      </c>
      <c r="X33" s="164" t="str">
        <f>IF(Theory!D$7="YES",VLOOKUP(B33,'CIA MARKS'!C42:DT111,122,FALSE),"")</f>
        <v/>
      </c>
      <c r="Y33" s="164" t="str">
        <f>IF(Theory!D$7="YES",VLOOKUP(B33,'CIA MARKS'!C42:DW111,125,FALSE),"")</f>
        <v/>
      </c>
      <c r="Z33" s="334">
        <f t="shared" si="1"/>
        <v>0</v>
      </c>
    </row>
    <row r="34" spans="1:26">
      <c r="A34" s="164">
        <v>30</v>
      </c>
      <c r="B34" s="3" t="str">
        <f>Theory!B46</f>
        <v>1DS23AI031</v>
      </c>
      <c r="C34" s="318"/>
      <c r="D34" s="318"/>
      <c r="E34" s="318"/>
      <c r="F34" s="319">
        <f>IF(Theory!D$9="YES",VLOOKUP(B34,'CIA MARKS'!C43:ER112,146,FALSE),"")</f>
        <v>0</v>
      </c>
      <c r="G34" s="319">
        <f>IF(Theory!D$9="YES",VLOOKUP(B34,'CIA MARKS'!C43:ES112,147,FALSE),"")</f>
        <v>0</v>
      </c>
      <c r="H34" s="319">
        <f>IF(Theory!D$9="YES",VLOOKUP(B34,'CIA MARKS'!C43:DT112,122,FALSE),"")</f>
        <v>19</v>
      </c>
      <c r="I34" s="319">
        <f>IF(Theory!D$9="YES",VLOOKUP(B34,'CIA MARKS'!C43:DW112,125,FALSE),"")</f>
        <v>17</v>
      </c>
      <c r="J34" s="319">
        <f>IF(Theory!D$9="YES",VLOOKUP(B34,'CIA MARKS'!C43:EC112,131,FALSE),"")</f>
        <v>30</v>
      </c>
      <c r="K34" s="319">
        <f>IF(Theory!D$9="YES",VLOOKUP(B34,'CIA MARKS'!C43:EG112,135,FALSE),"")</f>
        <v>20</v>
      </c>
      <c r="L34" s="319">
        <f>IF(Theory!D$9="YES",VLOOKUP(B34,'CIA MARKS'!C43:EJ112,138,FALSE),"")</f>
        <v>42</v>
      </c>
      <c r="M34" s="316">
        <f t="shared" si="2"/>
        <v>0</v>
      </c>
      <c r="N34" s="325"/>
      <c r="O34" s="326" t="str">
        <f>IF(Theory!D$8="YES",VLOOKUP(B34,'CIA MARKS'!C43:ES112,147,FALSE),"")</f>
        <v/>
      </c>
      <c r="P34" s="326" t="str">
        <f>IF(Theory!D$8="YES",VLOOKUP(B34,'CIA MARKS'!C43:EC112,131,FALSE),"")</f>
        <v/>
      </c>
      <c r="Q34" s="326" t="str">
        <f>IF(Theory!D$8="YES",VLOOKUP(B34,'CIA MARKS'!C43:EG112,135,FALSE),"")</f>
        <v/>
      </c>
      <c r="R34" s="170">
        <f t="shared" si="0"/>
        <v>0</v>
      </c>
      <c r="T34" s="164">
        <v>0</v>
      </c>
      <c r="U34" s="164">
        <v>0</v>
      </c>
      <c r="V34" s="164">
        <v>0</v>
      </c>
      <c r="W34" s="3">
        <v>0</v>
      </c>
      <c r="X34" s="164" t="str">
        <f>IF(Theory!D$7="YES",VLOOKUP(B34,'CIA MARKS'!C43:DT112,122,FALSE),"")</f>
        <v/>
      </c>
      <c r="Y34" s="164" t="str">
        <f>IF(Theory!D$7="YES",VLOOKUP(B34,'CIA MARKS'!C43:DW112,125,FALSE),"")</f>
        <v/>
      </c>
      <c r="Z34" s="334">
        <f t="shared" si="1"/>
        <v>0</v>
      </c>
    </row>
    <row r="35" spans="1:26">
      <c r="A35" s="164">
        <v>31</v>
      </c>
      <c r="B35" s="3" t="str">
        <f>Theory!B47</f>
        <v>1DS23AI032</v>
      </c>
      <c r="C35" s="318"/>
      <c r="D35" s="318"/>
      <c r="E35" s="318"/>
      <c r="F35" s="319">
        <f>IF(Theory!D$9="YES",VLOOKUP(B35,'CIA MARKS'!C44:ER113,146,FALSE),"")</f>
        <v>0</v>
      </c>
      <c r="G35" s="319">
        <f>IF(Theory!D$9="YES",VLOOKUP(B35,'CIA MARKS'!C44:ES113,147,FALSE),"")</f>
        <v>0</v>
      </c>
      <c r="H35" s="319">
        <f>IF(Theory!D$9="YES",VLOOKUP(B35,'CIA MARKS'!C44:DT113,122,FALSE),"")</f>
        <v>12</v>
      </c>
      <c r="I35" s="319">
        <f>IF(Theory!D$9="YES",VLOOKUP(B35,'CIA MARKS'!C44:DW113,125,FALSE),"")</f>
        <v>17</v>
      </c>
      <c r="J35" s="319">
        <f>IF(Theory!D$9="YES",VLOOKUP(B35,'CIA MARKS'!C44:EC113,131,FALSE),"")</f>
        <v>25</v>
      </c>
      <c r="K35" s="319">
        <f>IF(Theory!D$9="YES",VLOOKUP(B35,'CIA MARKS'!C44:EG113,135,FALSE),"")</f>
        <v>12</v>
      </c>
      <c r="L35" s="319">
        <f>IF(Theory!D$9="YES",VLOOKUP(B35,'CIA MARKS'!C44:EJ113,138,FALSE),"")</f>
        <v>32</v>
      </c>
      <c r="M35" s="316">
        <f t="shared" si="2"/>
        <v>0</v>
      </c>
      <c r="N35" s="325"/>
      <c r="O35" s="326" t="str">
        <f>IF(Theory!D$8="YES",VLOOKUP(B35,'CIA MARKS'!C44:ES113,147,FALSE),"")</f>
        <v/>
      </c>
      <c r="P35" s="326" t="str">
        <f>IF(Theory!D$8="YES",VLOOKUP(B35,'CIA MARKS'!C44:EC113,131,FALSE),"")</f>
        <v/>
      </c>
      <c r="Q35" s="326" t="str">
        <f>IF(Theory!D$8="YES",VLOOKUP(B35,'CIA MARKS'!C44:EG113,135,FALSE),"")</f>
        <v/>
      </c>
      <c r="R35" s="170">
        <f t="shared" si="0"/>
        <v>0</v>
      </c>
      <c r="T35" s="164">
        <v>0</v>
      </c>
      <c r="U35" s="164">
        <v>0</v>
      </c>
      <c r="V35" s="164">
        <v>0</v>
      </c>
      <c r="W35" s="3">
        <v>0</v>
      </c>
      <c r="X35" s="164" t="str">
        <f>IF(Theory!D$7="YES",VLOOKUP(B35,'CIA MARKS'!C44:DT113,122,FALSE),"")</f>
        <v/>
      </c>
      <c r="Y35" s="164" t="str">
        <f>IF(Theory!D$7="YES",VLOOKUP(B35,'CIA MARKS'!C44:DW113,125,FALSE),"")</f>
        <v/>
      </c>
      <c r="Z35" s="334">
        <f t="shared" si="1"/>
        <v>0</v>
      </c>
    </row>
    <row r="36" spans="1:26">
      <c r="A36" s="164">
        <v>32</v>
      </c>
      <c r="B36" s="3" t="str">
        <f>Theory!B48</f>
        <v>1DS23AI033</v>
      </c>
      <c r="C36" s="318"/>
      <c r="D36" s="318"/>
      <c r="E36" s="318"/>
      <c r="F36" s="319">
        <f>IF(Theory!D$9="YES",VLOOKUP(B36,'CIA MARKS'!C45:ER114,146,FALSE),"")</f>
        <v>0</v>
      </c>
      <c r="G36" s="319">
        <f>IF(Theory!D$9="YES",VLOOKUP(B36,'CIA MARKS'!C45:ES114,147,FALSE),"")</f>
        <v>0</v>
      </c>
      <c r="H36" s="319">
        <f>IF(Theory!D$9="YES",VLOOKUP(B36,'CIA MARKS'!C45:DT114,122,FALSE),"")</f>
        <v>21</v>
      </c>
      <c r="I36" s="319">
        <f>IF(Theory!D$9="YES",VLOOKUP(B36,'CIA MARKS'!C45:DW114,125,FALSE),"")</f>
        <v>19</v>
      </c>
      <c r="J36" s="319">
        <f>IF(Theory!D$9="YES",VLOOKUP(B36,'CIA MARKS'!C45:EC114,131,FALSE),"")</f>
        <v>28</v>
      </c>
      <c r="K36" s="319">
        <f>IF(Theory!D$9="YES",VLOOKUP(B36,'CIA MARKS'!C45:EG114,135,FALSE),"")</f>
        <v>19</v>
      </c>
      <c r="L36" s="319">
        <f>IF(Theory!D$9="YES",VLOOKUP(B36,'CIA MARKS'!C45:EJ114,138,FALSE),"")</f>
        <v>43</v>
      </c>
      <c r="M36" s="316">
        <f t="shared" si="2"/>
        <v>0</v>
      </c>
      <c r="N36" s="325"/>
      <c r="O36" s="326" t="str">
        <f>IF(Theory!D$8="YES",VLOOKUP(B36,'CIA MARKS'!C45:ES114,147,FALSE),"")</f>
        <v/>
      </c>
      <c r="P36" s="326" t="str">
        <f>IF(Theory!D$8="YES",VLOOKUP(B36,'CIA MARKS'!C45:EC114,131,FALSE),"")</f>
        <v/>
      </c>
      <c r="Q36" s="326" t="str">
        <f>IF(Theory!D$8="YES",VLOOKUP(B36,'CIA MARKS'!C45:EG114,135,FALSE),"")</f>
        <v/>
      </c>
      <c r="R36" s="170">
        <f t="shared" si="0"/>
        <v>0</v>
      </c>
      <c r="T36" s="164">
        <v>0</v>
      </c>
      <c r="U36" s="164">
        <v>0</v>
      </c>
      <c r="V36" s="164">
        <v>0</v>
      </c>
      <c r="W36" s="3">
        <v>0</v>
      </c>
      <c r="X36" s="164" t="str">
        <f>IF(Theory!D$7="YES",VLOOKUP(B36,'CIA MARKS'!C45:DT114,122,FALSE),"")</f>
        <v/>
      </c>
      <c r="Y36" s="164" t="str">
        <f>IF(Theory!D$7="YES",VLOOKUP(B36,'CIA MARKS'!C45:DW114,125,FALSE),"")</f>
        <v/>
      </c>
      <c r="Z36" s="334">
        <f t="shared" si="1"/>
        <v>0</v>
      </c>
    </row>
    <row r="37" spans="1:26">
      <c r="A37" s="164">
        <v>33</v>
      </c>
      <c r="B37" s="3" t="str">
        <f>Theory!B49</f>
        <v>1DS23AI034</v>
      </c>
      <c r="C37" s="318"/>
      <c r="D37" s="318"/>
      <c r="E37" s="318"/>
      <c r="F37" s="319">
        <f>IF(Theory!D$9="YES",VLOOKUP(B37,'CIA MARKS'!C46:ER115,146,FALSE),"")</f>
        <v>0</v>
      </c>
      <c r="G37" s="319">
        <f>IF(Theory!D$9="YES",VLOOKUP(B37,'CIA MARKS'!C46:ES115,147,FALSE),"")</f>
        <v>0</v>
      </c>
      <c r="H37" s="319">
        <f>IF(Theory!D$9="YES",VLOOKUP(B37,'CIA MARKS'!C46:DT115,122,FALSE),"")</f>
        <v>20</v>
      </c>
      <c r="I37" s="319">
        <f>IF(Theory!D$9="YES",VLOOKUP(B37,'CIA MARKS'!C46:DW115,125,FALSE),"")</f>
        <v>18</v>
      </c>
      <c r="J37" s="319">
        <f>IF(Theory!D$9="YES",VLOOKUP(B37,'CIA MARKS'!C46:EC115,131,FALSE),"")</f>
        <v>28</v>
      </c>
      <c r="K37" s="319">
        <f>IF(Theory!D$9="YES",VLOOKUP(B37,'CIA MARKS'!C46:EG115,135,FALSE),"")</f>
        <v>19</v>
      </c>
      <c r="L37" s="319">
        <f>IF(Theory!D$9="YES",VLOOKUP(B37,'CIA MARKS'!C46:EJ115,138,FALSE),"")</f>
        <v>42</v>
      </c>
      <c r="M37" s="316">
        <f t="shared" si="2"/>
        <v>0</v>
      </c>
      <c r="N37" s="325"/>
      <c r="O37" s="326" t="str">
        <f>IF(Theory!D$8="YES",VLOOKUP(B37,'CIA MARKS'!C46:ES115,147,FALSE),"")</f>
        <v/>
      </c>
      <c r="P37" s="326" t="str">
        <f>IF(Theory!D$8="YES",VLOOKUP(B37,'CIA MARKS'!C46:EC115,131,FALSE),"")</f>
        <v/>
      </c>
      <c r="Q37" s="326" t="str">
        <f>IF(Theory!D$8="YES",VLOOKUP(B37,'CIA MARKS'!C46:EG115,135,FALSE),"")</f>
        <v/>
      </c>
      <c r="R37" s="170">
        <f t="shared" si="0"/>
        <v>0</v>
      </c>
      <c r="T37" s="164">
        <v>0</v>
      </c>
      <c r="U37" s="164">
        <v>0</v>
      </c>
      <c r="V37" s="164">
        <v>0</v>
      </c>
      <c r="W37" s="3">
        <v>0</v>
      </c>
      <c r="X37" s="164" t="str">
        <f>IF(Theory!D$7="YES",VLOOKUP(B37,'CIA MARKS'!C46:DT115,122,FALSE),"")</f>
        <v/>
      </c>
      <c r="Y37" s="164" t="str">
        <f>IF(Theory!D$7="YES",VLOOKUP(B37,'CIA MARKS'!C46:DW115,125,FALSE),"")</f>
        <v/>
      </c>
      <c r="Z37" s="334">
        <f t="shared" si="1"/>
        <v>0</v>
      </c>
    </row>
    <row r="38" spans="1:26">
      <c r="A38" s="164">
        <v>34</v>
      </c>
      <c r="B38" s="3" t="str">
        <f>Theory!B50</f>
        <v>1DS23AI035</v>
      </c>
      <c r="C38" s="318"/>
      <c r="D38" s="318"/>
      <c r="E38" s="318"/>
      <c r="F38" s="319">
        <f>IF(Theory!D$9="YES",VLOOKUP(B38,'CIA MARKS'!C47:ER116,146,FALSE),"")</f>
        <v>0</v>
      </c>
      <c r="G38" s="319">
        <f>IF(Theory!D$9="YES",VLOOKUP(B38,'CIA MARKS'!C47:ES116,147,FALSE),"")</f>
        <v>0</v>
      </c>
      <c r="H38" s="319">
        <f>IF(Theory!D$9="YES",VLOOKUP(B38,'CIA MARKS'!C47:DT116,122,FALSE),"")</f>
        <v>27</v>
      </c>
      <c r="I38" s="319">
        <f>IF(Theory!D$9="YES",VLOOKUP(B38,'CIA MARKS'!C47:DW116,125,FALSE),"")</f>
        <v>20</v>
      </c>
      <c r="J38" s="319">
        <f>IF(Theory!D$9="YES",VLOOKUP(B38,'CIA MARKS'!C47:EC116,131,FALSE),"")</f>
        <v>30</v>
      </c>
      <c r="K38" s="319">
        <f>IF(Theory!D$9="YES",VLOOKUP(B38,'CIA MARKS'!C47:EG116,135,FALSE),"")</f>
        <v>20</v>
      </c>
      <c r="L38" s="319">
        <f>IF(Theory!D$9="YES",VLOOKUP(B38,'CIA MARKS'!C47:EJ116,138,FALSE),"")</f>
        <v>48</v>
      </c>
      <c r="M38" s="316">
        <f t="shared" si="2"/>
        <v>0</v>
      </c>
      <c r="N38" s="325"/>
      <c r="O38" s="326" t="str">
        <f>IF(Theory!D$8="YES",VLOOKUP(B38,'CIA MARKS'!C47:ES116,147,FALSE),"")</f>
        <v/>
      </c>
      <c r="P38" s="326" t="str">
        <f>IF(Theory!D$8="YES",VLOOKUP(B38,'CIA MARKS'!C47:EC116,131,FALSE),"")</f>
        <v/>
      </c>
      <c r="Q38" s="326" t="str">
        <f>IF(Theory!D$8="YES",VLOOKUP(B38,'CIA MARKS'!C47:EG116,135,FALSE),"")</f>
        <v/>
      </c>
      <c r="R38" s="170">
        <f t="shared" si="0"/>
        <v>0</v>
      </c>
      <c r="T38" s="164">
        <v>0</v>
      </c>
      <c r="U38" s="164">
        <v>0</v>
      </c>
      <c r="V38" s="164">
        <v>0</v>
      </c>
      <c r="W38" s="3">
        <v>0</v>
      </c>
      <c r="X38" s="164" t="str">
        <f>IF(Theory!D$7="YES",VLOOKUP(B38,'CIA MARKS'!C47:DT116,122,FALSE),"")</f>
        <v/>
      </c>
      <c r="Y38" s="164" t="str">
        <f>IF(Theory!D$7="YES",VLOOKUP(B38,'CIA MARKS'!C47:DW116,125,FALSE),"")</f>
        <v/>
      </c>
      <c r="Z38" s="334">
        <f t="shared" si="1"/>
        <v>0</v>
      </c>
    </row>
    <row r="39" spans="1:26">
      <c r="A39" s="164">
        <v>35</v>
      </c>
      <c r="B39" s="3" t="str">
        <f>Theory!B51</f>
        <v>1DS23AI036</v>
      </c>
      <c r="C39" s="318"/>
      <c r="D39" s="318"/>
      <c r="E39" s="318"/>
      <c r="F39" s="319">
        <f>IF(Theory!D$9="YES",VLOOKUP(B39,'CIA MARKS'!C48:ER117,146,FALSE),"")</f>
        <v>0</v>
      </c>
      <c r="G39" s="319">
        <f>IF(Theory!D$9="YES",VLOOKUP(B39,'CIA MARKS'!C48:ES117,147,FALSE),"")</f>
        <v>0</v>
      </c>
      <c r="H39" s="319">
        <f>IF(Theory!D$9="YES",VLOOKUP(B39,'CIA MARKS'!C48:DT117,122,FALSE),"")</f>
        <v>24</v>
      </c>
      <c r="I39" s="319">
        <f>IF(Theory!D$9="YES",VLOOKUP(B39,'CIA MARKS'!C48:DW117,125,FALSE),"")</f>
        <v>19</v>
      </c>
      <c r="J39" s="319">
        <f>IF(Theory!D$9="YES",VLOOKUP(B39,'CIA MARKS'!C48:EC117,131,FALSE),"")</f>
        <v>28</v>
      </c>
      <c r="K39" s="319">
        <f>IF(Theory!D$9="YES",VLOOKUP(B39,'CIA MARKS'!C48:EG117,135,FALSE),"")</f>
        <v>20</v>
      </c>
      <c r="L39" s="319">
        <f>IF(Theory!D$9="YES",VLOOKUP(B39,'CIA MARKS'!C48:EJ117,138,FALSE),"")</f>
        <v>45</v>
      </c>
      <c r="M39" s="316">
        <f t="shared" si="2"/>
        <v>0</v>
      </c>
      <c r="N39" s="325"/>
      <c r="O39" s="326" t="str">
        <f>IF(Theory!D$8="YES",VLOOKUP(B39,'CIA MARKS'!C48:ES117,147,FALSE),"")</f>
        <v/>
      </c>
      <c r="P39" s="326" t="str">
        <f>IF(Theory!D$8="YES",VLOOKUP(B39,'CIA MARKS'!C48:EC117,131,FALSE),"")</f>
        <v/>
      </c>
      <c r="Q39" s="326" t="str">
        <f>IF(Theory!D$8="YES",VLOOKUP(B39,'CIA MARKS'!C48:EG117,135,FALSE),"")</f>
        <v/>
      </c>
      <c r="R39" s="170">
        <f t="shared" si="0"/>
        <v>0</v>
      </c>
      <c r="T39" s="164">
        <v>0</v>
      </c>
      <c r="U39" s="164">
        <v>0</v>
      </c>
      <c r="V39" s="164">
        <v>0</v>
      </c>
      <c r="W39" s="3">
        <v>0</v>
      </c>
      <c r="X39" s="164" t="str">
        <f>IF(Theory!D$7="YES",VLOOKUP(B39,'CIA MARKS'!C48:DT117,122,FALSE),"")</f>
        <v/>
      </c>
      <c r="Y39" s="164" t="str">
        <f>IF(Theory!D$7="YES",VLOOKUP(B39,'CIA MARKS'!C48:DW117,125,FALSE),"")</f>
        <v/>
      </c>
      <c r="Z39" s="334">
        <f t="shared" si="1"/>
        <v>0</v>
      </c>
    </row>
    <row r="40" spans="1:26">
      <c r="A40" s="164">
        <v>36</v>
      </c>
      <c r="B40" s="3" t="str">
        <f>Theory!B52</f>
        <v>1DS23AI037</v>
      </c>
      <c r="C40" s="318"/>
      <c r="D40" s="318"/>
      <c r="E40" s="318"/>
      <c r="F40" s="319">
        <f>IF(Theory!D$9="YES",VLOOKUP(B40,'CIA MARKS'!C49:ER118,146,FALSE),"")</f>
        <v>0</v>
      </c>
      <c r="G40" s="319">
        <f>IF(Theory!D$9="YES",VLOOKUP(B40,'CIA MARKS'!C49:ES118,147,FALSE),"")</f>
        <v>0</v>
      </c>
      <c r="H40" s="319">
        <f>IF(Theory!D$9="YES",VLOOKUP(B40,'CIA MARKS'!C49:DT118,122,FALSE),"")</f>
        <v>24</v>
      </c>
      <c r="I40" s="319">
        <f>IF(Theory!D$9="YES",VLOOKUP(B40,'CIA MARKS'!C49:DW118,125,FALSE),"")</f>
        <v>18</v>
      </c>
      <c r="J40" s="319">
        <f>IF(Theory!D$9="YES",VLOOKUP(B40,'CIA MARKS'!C49:EC118,131,FALSE),"")</f>
        <v>28</v>
      </c>
      <c r="K40" s="319">
        <f>IF(Theory!D$9="YES",VLOOKUP(B40,'CIA MARKS'!C49:EG118,135,FALSE),"")</f>
        <v>19</v>
      </c>
      <c r="L40" s="319">
        <f>IF(Theory!D$9="YES",VLOOKUP(B40,'CIA MARKS'!C49:EJ118,138,FALSE),"")</f>
        <v>44</v>
      </c>
      <c r="M40" s="316">
        <f t="shared" si="2"/>
        <v>0</v>
      </c>
      <c r="N40" s="325"/>
      <c r="O40" s="326" t="str">
        <f>IF(Theory!D$8="YES",VLOOKUP(B40,'CIA MARKS'!C49:ES118,147,FALSE),"")</f>
        <v/>
      </c>
      <c r="P40" s="326" t="str">
        <f>IF(Theory!D$8="YES",VLOOKUP(B40,'CIA MARKS'!C49:EC118,131,FALSE),"")</f>
        <v/>
      </c>
      <c r="Q40" s="326" t="str">
        <f>IF(Theory!D$8="YES",VLOOKUP(B40,'CIA MARKS'!C49:EG118,135,FALSE),"")</f>
        <v/>
      </c>
      <c r="R40" s="170">
        <f t="shared" si="0"/>
        <v>0</v>
      </c>
      <c r="T40" s="164">
        <v>0</v>
      </c>
      <c r="U40" s="164">
        <v>0</v>
      </c>
      <c r="V40" s="164">
        <v>0</v>
      </c>
      <c r="W40" s="3">
        <v>0</v>
      </c>
      <c r="X40" s="164" t="str">
        <f>IF(Theory!D$7="YES",VLOOKUP(B40,'CIA MARKS'!C49:DT118,122,FALSE),"")</f>
        <v/>
      </c>
      <c r="Y40" s="164" t="str">
        <f>IF(Theory!D$7="YES",VLOOKUP(B40,'CIA MARKS'!C49:DW118,125,FALSE),"")</f>
        <v/>
      </c>
      <c r="Z40" s="334">
        <f t="shared" si="1"/>
        <v>0</v>
      </c>
    </row>
    <row r="41" spans="1:26">
      <c r="A41" s="164">
        <v>37</v>
      </c>
      <c r="B41" s="3" t="str">
        <f>Theory!B53</f>
        <v>1DS23AI038</v>
      </c>
      <c r="C41" s="318"/>
      <c r="D41" s="318"/>
      <c r="E41" s="318"/>
      <c r="F41" s="319">
        <f>IF(Theory!D$9="YES",VLOOKUP(B41,'CIA MARKS'!C50:ER119,146,FALSE),"")</f>
        <v>0</v>
      </c>
      <c r="G41" s="319">
        <f>IF(Theory!D$9="YES",VLOOKUP(B41,'CIA MARKS'!C50:ES119,147,FALSE),"")</f>
        <v>0</v>
      </c>
      <c r="H41" s="319">
        <f>IF(Theory!D$9="YES",VLOOKUP(B41,'CIA MARKS'!C50:DT119,122,FALSE),"")</f>
        <v>24</v>
      </c>
      <c r="I41" s="319">
        <f>IF(Theory!D$9="YES",VLOOKUP(B41,'CIA MARKS'!C50:DW119,125,FALSE),"")</f>
        <v>18</v>
      </c>
      <c r="J41" s="319">
        <f>IF(Theory!D$9="YES",VLOOKUP(B41,'CIA MARKS'!C50:EC119,131,FALSE),"")</f>
        <v>30</v>
      </c>
      <c r="K41" s="319">
        <f>IF(Theory!D$9="YES",VLOOKUP(B41,'CIA MARKS'!C50:EG119,135,FALSE),"")</f>
        <v>20</v>
      </c>
      <c r="L41" s="319">
        <f>IF(Theory!D$9="YES",VLOOKUP(B41,'CIA MARKS'!C50:EJ119,138,FALSE),"")</f>
        <v>45</v>
      </c>
      <c r="M41" s="316">
        <f t="shared" si="2"/>
        <v>0</v>
      </c>
      <c r="N41" s="325"/>
      <c r="O41" s="326" t="str">
        <f>IF(Theory!D$8="YES",VLOOKUP(B41,'CIA MARKS'!C50:ES119,147,FALSE),"")</f>
        <v/>
      </c>
      <c r="P41" s="326" t="str">
        <f>IF(Theory!D$8="YES",VLOOKUP(B41,'CIA MARKS'!C50:EC119,131,FALSE),"")</f>
        <v/>
      </c>
      <c r="Q41" s="326" t="str">
        <f>IF(Theory!D$8="YES",VLOOKUP(B41,'CIA MARKS'!C50:EG119,135,FALSE),"")</f>
        <v/>
      </c>
      <c r="R41" s="170">
        <f t="shared" si="0"/>
        <v>0</v>
      </c>
      <c r="T41" s="164">
        <v>0</v>
      </c>
      <c r="U41" s="164">
        <v>0</v>
      </c>
      <c r="V41" s="164">
        <v>0</v>
      </c>
      <c r="W41" s="3">
        <v>0</v>
      </c>
      <c r="X41" s="164" t="str">
        <f>IF(Theory!D$7="YES",VLOOKUP(B41,'CIA MARKS'!C50:DT119,122,FALSE),"")</f>
        <v/>
      </c>
      <c r="Y41" s="164" t="str">
        <f>IF(Theory!D$7="YES",VLOOKUP(B41,'CIA MARKS'!C50:DW119,125,FALSE),"")</f>
        <v/>
      </c>
      <c r="Z41" s="334">
        <f t="shared" si="1"/>
        <v>0</v>
      </c>
    </row>
    <row r="42" spans="1:26">
      <c r="A42" s="164">
        <v>38</v>
      </c>
      <c r="B42" s="3" t="str">
        <f>Theory!B54</f>
        <v>1DS23AI039</v>
      </c>
      <c r="C42" s="318"/>
      <c r="D42" s="318"/>
      <c r="E42" s="318"/>
      <c r="F42" s="319">
        <f>IF(Theory!D$9="YES",VLOOKUP(B42,'CIA MARKS'!C51:ER120,146,FALSE),"")</f>
        <v>0</v>
      </c>
      <c r="G42" s="319">
        <f>IF(Theory!D$9="YES",VLOOKUP(B42,'CIA MARKS'!C51:ES120,147,FALSE),"")</f>
        <v>0</v>
      </c>
      <c r="H42" s="319">
        <f>IF(Theory!D$9="YES",VLOOKUP(B42,'CIA MARKS'!C51:DT120,122,FALSE),"")</f>
        <v>19</v>
      </c>
      <c r="I42" s="319">
        <f>IF(Theory!D$9="YES",VLOOKUP(B42,'CIA MARKS'!C51:DW120,125,FALSE),"")</f>
        <v>18</v>
      </c>
      <c r="J42" s="319">
        <f>IF(Theory!D$9="YES",VLOOKUP(B42,'CIA MARKS'!C51:EC120,131,FALSE),"")</f>
        <v>27</v>
      </c>
      <c r="K42" s="319">
        <f>IF(Theory!D$9="YES",VLOOKUP(B42,'CIA MARKS'!C51:EG120,135,FALSE),"")</f>
        <v>16</v>
      </c>
      <c r="L42" s="319">
        <f>IF(Theory!D$9="YES",VLOOKUP(B42,'CIA MARKS'!C51:EJ120,138,FALSE),"")</f>
        <v>39</v>
      </c>
      <c r="M42" s="316">
        <f t="shared" si="2"/>
        <v>0</v>
      </c>
      <c r="N42" s="325"/>
      <c r="O42" s="326" t="str">
        <f>IF(Theory!D$8="YES",VLOOKUP(B42,'CIA MARKS'!C51:ES120,147,FALSE),"")</f>
        <v/>
      </c>
      <c r="P42" s="326" t="str">
        <f>IF(Theory!D$8="YES",VLOOKUP(B42,'CIA MARKS'!C51:EC120,131,FALSE),"")</f>
        <v/>
      </c>
      <c r="Q42" s="326" t="str">
        <f>IF(Theory!D$8="YES",VLOOKUP(B42,'CIA MARKS'!C51:EG120,135,FALSE),"")</f>
        <v/>
      </c>
      <c r="R42" s="170">
        <f t="shared" si="0"/>
        <v>0</v>
      </c>
      <c r="T42" s="164">
        <v>0</v>
      </c>
      <c r="U42" s="164">
        <v>0</v>
      </c>
      <c r="V42" s="164">
        <v>0</v>
      </c>
      <c r="W42" s="3">
        <v>0</v>
      </c>
      <c r="X42" s="164" t="str">
        <f>IF(Theory!D$7="YES",VLOOKUP(B42,'CIA MARKS'!C51:DT120,122,FALSE),"")</f>
        <v/>
      </c>
      <c r="Y42" s="164" t="str">
        <f>IF(Theory!D$7="YES",VLOOKUP(B42,'CIA MARKS'!C51:DW120,125,FALSE),"")</f>
        <v/>
      </c>
      <c r="Z42" s="334">
        <f t="shared" si="1"/>
        <v>0</v>
      </c>
    </row>
    <row r="43" spans="1:26">
      <c r="A43" s="164">
        <v>39</v>
      </c>
      <c r="B43" s="3" t="str">
        <f>Theory!B55</f>
        <v>1DS23AI040</v>
      </c>
      <c r="C43" s="318"/>
      <c r="D43" s="318"/>
      <c r="E43" s="318"/>
      <c r="F43" s="319">
        <f>IF(Theory!D$9="YES",VLOOKUP(B43,'CIA MARKS'!C52:ER121,146,FALSE),"")</f>
        <v>0</v>
      </c>
      <c r="G43" s="319">
        <f>IF(Theory!D$9="YES",VLOOKUP(B43,'CIA MARKS'!C52:ES121,147,FALSE),"")</f>
        <v>0</v>
      </c>
      <c r="H43" s="319">
        <f>IF(Theory!D$9="YES",VLOOKUP(B43,'CIA MARKS'!C52:DT121,122,FALSE),"")</f>
        <v>11</v>
      </c>
      <c r="I43" s="319">
        <f>IF(Theory!D$9="YES",VLOOKUP(B43,'CIA MARKS'!C52:DW121,125,FALSE),"")</f>
        <v>17</v>
      </c>
      <c r="J43" s="319">
        <f>IF(Theory!D$9="YES",VLOOKUP(B43,'CIA MARKS'!C52:EC121,131,FALSE),"")</f>
        <v>25</v>
      </c>
      <c r="K43" s="319">
        <f>IF(Theory!D$9="YES",VLOOKUP(B43,'CIA MARKS'!C52:EG121,135,FALSE),"")</f>
        <v>12</v>
      </c>
      <c r="L43" s="319">
        <f>IF(Theory!D$9="YES",VLOOKUP(B43,'CIA MARKS'!C52:EJ121,138,FALSE),"")</f>
        <v>32</v>
      </c>
      <c r="M43" s="316">
        <f t="shared" si="2"/>
        <v>0</v>
      </c>
      <c r="N43" s="325"/>
      <c r="O43" s="326" t="str">
        <f>IF(Theory!D$8="YES",VLOOKUP(B43,'CIA MARKS'!C52:ES121,147,FALSE),"")</f>
        <v/>
      </c>
      <c r="P43" s="326" t="str">
        <f>IF(Theory!D$8="YES",VLOOKUP(B43,'CIA MARKS'!C52:EC121,131,FALSE),"")</f>
        <v/>
      </c>
      <c r="Q43" s="326" t="str">
        <f>IF(Theory!D$8="YES",VLOOKUP(B43,'CIA MARKS'!C52:EG121,135,FALSE),"")</f>
        <v/>
      </c>
      <c r="R43" s="170">
        <f t="shared" si="0"/>
        <v>0</v>
      </c>
      <c r="T43" s="164">
        <v>0</v>
      </c>
      <c r="U43" s="164">
        <v>0</v>
      </c>
      <c r="V43" s="164">
        <v>0</v>
      </c>
      <c r="W43" s="3">
        <v>0</v>
      </c>
      <c r="X43" s="164" t="str">
        <f>IF(Theory!D$7="YES",VLOOKUP(B43,'CIA MARKS'!C52:DT121,122,FALSE),"")</f>
        <v/>
      </c>
      <c r="Y43" s="164" t="str">
        <f>IF(Theory!D$7="YES",VLOOKUP(B43,'CIA MARKS'!C52:DW121,125,FALSE),"")</f>
        <v/>
      </c>
      <c r="Z43" s="334">
        <f t="shared" si="1"/>
        <v>0</v>
      </c>
    </row>
    <row r="44" spans="1:26">
      <c r="A44" s="164">
        <v>40</v>
      </c>
      <c r="B44" s="3" t="str">
        <f>Theory!B56</f>
        <v>1DS23AI041</v>
      </c>
      <c r="C44" s="318"/>
      <c r="D44" s="318"/>
      <c r="E44" s="318"/>
      <c r="F44" s="319">
        <f>IF(Theory!D$9="YES",VLOOKUP(B44,'CIA MARKS'!C53:ER122,146,FALSE),"")</f>
        <v>0</v>
      </c>
      <c r="G44" s="319">
        <f>IF(Theory!D$9="YES",VLOOKUP(B44,'CIA MARKS'!C53:ES122,147,FALSE),"")</f>
        <v>0</v>
      </c>
      <c r="H44" s="319">
        <f>IF(Theory!D$9="YES",VLOOKUP(B44,'CIA MARKS'!C53:DT122,122,FALSE),"")</f>
        <v>24</v>
      </c>
      <c r="I44" s="319">
        <f>IF(Theory!D$9="YES",VLOOKUP(B44,'CIA MARKS'!C53:DW122,125,FALSE),"")</f>
        <v>18</v>
      </c>
      <c r="J44" s="319">
        <f>IF(Theory!D$9="YES",VLOOKUP(B44,'CIA MARKS'!C53:EC122,131,FALSE),"")</f>
        <v>30</v>
      </c>
      <c r="K44" s="319">
        <f>IF(Theory!D$9="YES",VLOOKUP(B44,'CIA MARKS'!C53:EG122,135,FALSE),"")</f>
        <v>20</v>
      </c>
      <c r="L44" s="319">
        <f>IF(Theory!D$9="YES",VLOOKUP(B44,'CIA MARKS'!C53:EJ122,138,FALSE),"")</f>
        <v>45</v>
      </c>
      <c r="M44" s="316">
        <f t="shared" si="2"/>
        <v>0</v>
      </c>
      <c r="N44" s="325"/>
      <c r="O44" s="326" t="str">
        <f>IF(Theory!D$8="YES",VLOOKUP(B44,'CIA MARKS'!C53:ES122,147,FALSE),"")</f>
        <v/>
      </c>
      <c r="P44" s="326" t="str">
        <f>IF(Theory!D$8="YES",VLOOKUP(B44,'CIA MARKS'!C53:EC122,131,FALSE),"")</f>
        <v/>
      </c>
      <c r="Q44" s="326" t="str">
        <f>IF(Theory!D$8="YES",VLOOKUP(B44,'CIA MARKS'!C53:EG122,135,FALSE),"")</f>
        <v/>
      </c>
      <c r="R44" s="170">
        <f t="shared" si="0"/>
        <v>0</v>
      </c>
      <c r="T44" s="164">
        <v>0</v>
      </c>
      <c r="U44" s="164">
        <v>0</v>
      </c>
      <c r="V44" s="164">
        <v>0</v>
      </c>
      <c r="W44" s="3">
        <v>0</v>
      </c>
      <c r="X44" s="164" t="str">
        <f>IF(Theory!D$7="YES",VLOOKUP(B44,'CIA MARKS'!C53:DT122,122,FALSE),"")</f>
        <v/>
      </c>
      <c r="Y44" s="164" t="str">
        <f>IF(Theory!D$7="YES",VLOOKUP(B44,'CIA MARKS'!C53:DW122,125,FALSE),"")</f>
        <v/>
      </c>
      <c r="Z44" s="334">
        <f t="shared" si="1"/>
        <v>0</v>
      </c>
    </row>
    <row r="45" spans="1:26">
      <c r="A45" s="164">
        <v>41</v>
      </c>
      <c r="B45" s="3" t="str">
        <f>Theory!B57</f>
        <v>1DS23AI042</v>
      </c>
      <c r="C45" s="318"/>
      <c r="D45" s="318"/>
      <c r="E45" s="318"/>
      <c r="F45" s="319">
        <f>IF(Theory!D$9="YES",VLOOKUP(B45,'CIA MARKS'!C54:ER123,146,FALSE),"")</f>
        <v>0</v>
      </c>
      <c r="G45" s="319">
        <f>IF(Theory!D$9="YES",VLOOKUP(B45,'CIA MARKS'!C54:ES123,147,FALSE),"")</f>
        <v>0</v>
      </c>
      <c r="H45" s="319">
        <f>IF(Theory!D$9="YES",VLOOKUP(B45,'CIA MARKS'!C54:DT123,122,FALSE),"")</f>
        <v>18</v>
      </c>
      <c r="I45" s="319">
        <f>IF(Theory!D$9="YES",VLOOKUP(B45,'CIA MARKS'!C54:DW123,125,FALSE),"")</f>
        <v>17</v>
      </c>
      <c r="J45" s="319">
        <f>IF(Theory!D$9="YES",VLOOKUP(B45,'CIA MARKS'!C54:EC123,131,FALSE),"")</f>
        <v>28</v>
      </c>
      <c r="K45" s="319">
        <f>IF(Theory!D$9="YES",VLOOKUP(B45,'CIA MARKS'!C54:EG123,135,FALSE),"")</f>
        <v>19</v>
      </c>
      <c r="L45" s="319">
        <f>IF(Theory!D$9="YES",VLOOKUP(B45,'CIA MARKS'!C54:EJ123,138,FALSE),"")</f>
        <v>40</v>
      </c>
      <c r="M45" s="316">
        <f t="shared" si="2"/>
        <v>0</v>
      </c>
      <c r="N45" s="325"/>
      <c r="O45" s="326" t="str">
        <f>IF(Theory!D$8="YES",VLOOKUP(B45,'CIA MARKS'!C54:ES123,147,FALSE),"")</f>
        <v/>
      </c>
      <c r="P45" s="326" t="str">
        <f>IF(Theory!D$8="YES",VLOOKUP(B45,'CIA MARKS'!C54:EC123,131,FALSE),"")</f>
        <v/>
      </c>
      <c r="Q45" s="326" t="str">
        <f>IF(Theory!D$8="YES",VLOOKUP(B45,'CIA MARKS'!C54:EG123,135,FALSE),"")</f>
        <v/>
      </c>
      <c r="R45" s="170">
        <f t="shared" si="0"/>
        <v>0</v>
      </c>
      <c r="T45" s="164">
        <v>0</v>
      </c>
      <c r="U45" s="164">
        <v>0</v>
      </c>
      <c r="V45" s="164">
        <v>0</v>
      </c>
      <c r="W45" s="3">
        <v>0</v>
      </c>
      <c r="X45" s="164" t="str">
        <f>IF(Theory!D$7="YES",VLOOKUP(B45,'CIA MARKS'!C54:DT123,122,FALSE),"")</f>
        <v/>
      </c>
      <c r="Y45" s="164" t="str">
        <f>IF(Theory!D$7="YES",VLOOKUP(B45,'CIA MARKS'!C54:DW123,125,FALSE),"")</f>
        <v/>
      </c>
      <c r="Z45" s="334">
        <f t="shared" si="1"/>
        <v>0</v>
      </c>
    </row>
    <row r="46" spans="1:26">
      <c r="A46" s="164">
        <v>42</v>
      </c>
      <c r="B46" s="3" t="str">
        <f>Theory!B58</f>
        <v>1DS23AI043</v>
      </c>
      <c r="C46" s="318"/>
      <c r="D46" s="318"/>
      <c r="E46" s="318"/>
      <c r="F46" s="319">
        <f>IF(Theory!D$9="YES",VLOOKUP(B46,'CIA MARKS'!C55:ER124,146,FALSE),"")</f>
        <v>0</v>
      </c>
      <c r="G46" s="319">
        <f>IF(Theory!D$9="YES",VLOOKUP(B46,'CIA MARKS'!C55:ES124,147,FALSE),"")</f>
        <v>0</v>
      </c>
      <c r="H46" s="319">
        <f>IF(Theory!D$9="YES",VLOOKUP(B46,'CIA MARKS'!C55:DT124,122,FALSE),"")</f>
        <v>15</v>
      </c>
      <c r="I46" s="319">
        <f>IF(Theory!D$9="YES",VLOOKUP(B46,'CIA MARKS'!C55:DW124,125,FALSE),"")</f>
        <v>17</v>
      </c>
      <c r="J46" s="319">
        <f>IF(Theory!D$9="YES",VLOOKUP(B46,'CIA MARKS'!C55:EC124,131,FALSE),"")</f>
        <v>28</v>
      </c>
      <c r="K46" s="319">
        <f>IF(Theory!D$9="YES",VLOOKUP(B46,'CIA MARKS'!C55:EG124,135,FALSE),"")</f>
        <v>12</v>
      </c>
      <c r="L46" s="319">
        <f>IF(Theory!D$9="YES",VLOOKUP(B46,'CIA MARKS'!C55:EJ124,138,FALSE),"")</f>
        <v>35</v>
      </c>
      <c r="M46" s="316">
        <f t="shared" si="2"/>
        <v>0</v>
      </c>
      <c r="N46" s="325"/>
      <c r="O46" s="326" t="str">
        <f>IF(Theory!D$8="YES",VLOOKUP(B46,'CIA MARKS'!C55:ES124,147,FALSE),"")</f>
        <v/>
      </c>
      <c r="P46" s="326" t="str">
        <f>IF(Theory!D$8="YES",VLOOKUP(B46,'CIA MARKS'!C55:EC124,131,FALSE),"")</f>
        <v/>
      </c>
      <c r="Q46" s="326" t="str">
        <f>IF(Theory!D$8="YES",VLOOKUP(B46,'CIA MARKS'!C55:EG124,135,FALSE),"")</f>
        <v/>
      </c>
      <c r="R46" s="170">
        <f t="shared" si="0"/>
        <v>0</v>
      </c>
      <c r="T46" s="164">
        <v>0</v>
      </c>
      <c r="U46" s="164">
        <v>0</v>
      </c>
      <c r="V46" s="164">
        <v>0</v>
      </c>
      <c r="W46" s="3">
        <v>0</v>
      </c>
      <c r="X46" s="164" t="str">
        <f>IF(Theory!D$7="YES",VLOOKUP(B46,'CIA MARKS'!C55:DT124,122,FALSE),"")</f>
        <v/>
      </c>
      <c r="Y46" s="164" t="str">
        <f>IF(Theory!D$7="YES",VLOOKUP(B46,'CIA MARKS'!C55:DW124,125,FALSE),"")</f>
        <v/>
      </c>
      <c r="Z46" s="334">
        <f t="shared" si="1"/>
        <v>0</v>
      </c>
    </row>
    <row r="47" spans="1:26">
      <c r="A47" s="164">
        <v>43</v>
      </c>
      <c r="B47" s="3" t="str">
        <f>Theory!B59</f>
        <v>1DS23AI044</v>
      </c>
      <c r="C47" s="318"/>
      <c r="D47" s="318"/>
      <c r="E47" s="318"/>
      <c r="F47" s="319">
        <f>IF(Theory!D$9="YES",VLOOKUP(B47,'CIA MARKS'!C56:ER125,146,FALSE),"")</f>
        <v>0</v>
      </c>
      <c r="G47" s="319">
        <f>IF(Theory!D$9="YES",VLOOKUP(B47,'CIA MARKS'!C56:ES125,147,FALSE),"")</f>
        <v>0</v>
      </c>
      <c r="H47" s="319">
        <f>IF(Theory!D$9="YES",VLOOKUP(B47,'CIA MARKS'!C56:DT125,122,FALSE),"")</f>
        <v>13</v>
      </c>
      <c r="I47" s="319">
        <f>IF(Theory!D$9="YES",VLOOKUP(B47,'CIA MARKS'!C56:DW125,125,FALSE),"")</f>
        <v>17</v>
      </c>
      <c r="J47" s="319">
        <f>IF(Theory!D$9="YES",VLOOKUP(B47,'CIA MARKS'!C56:EC125,131,FALSE),"")</f>
        <v>25</v>
      </c>
      <c r="K47" s="319">
        <f>IF(Theory!D$9="YES",VLOOKUP(B47,'CIA MARKS'!C56:EG125,135,FALSE),"")</f>
        <v>14</v>
      </c>
      <c r="L47" s="319">
        <f>IF(Theory!D$9="YES",VLOOKUP(B47,'CIA MARKS'!C56:EJ125,138,FALSE),"")</f>
        <v>34</v>
      </c>
      <c r="M47" s="316">
        <f t="shared" si="2"/>
        <v>0</v>
      </c>
      <c r="N47" s="325"/>
      <c r="O47" s="326" t="str">
        <f>IF(Theory!D$8="YES",VLOOKUP(B47,'CIA MARKS'!C56:ES125,147,FALSE),"")</f>
        <v/>
      </c>
      <c r="P47" s="326" t="str">
        <f>IF(Theory!D$8="YES",VLOOKUP(B47,'CIA MARKS'!C56:EC125,131,FALSE),"")</f>
        <v/>
      </c>
      <c r="Q47" s="326" t="str">
        <f>IF(Theory!D$8="YES",VLOOKUP(B47,'CIA MARKS'!C56:EG125,135,FALSE),"")</f>
        <v/>
      </c>
      <c r="R47" s="170">
        <f t="shared" si="0"/>
        <v>0</v>
      </c>
      <c r="T47" s="164">
        <v>0</v>
      </c>
      <c r="U47" s="164">
        <v>0</v>
      </c>
      <c r="V47" s="164">
        <v>0</v>
      </c>
      <c r="W47" s="3">
        <v>0</v>
      </c>
      <c r="X47" s="164" t="str">
        <f>IF(Theory!D$7="YES",VLOOKUP(B47,'CIA MARKS'!C56:DT125,122,FALSE),"")</f>
        <v/>
      </c>
      <c r="Y47" s="164" t="str">
        <f>IF(Theory!D$7="YES",VLOOKUP(B47,'CIA MARKS'!C56:DW125,125,FALSE),"")</f>
        <v/>
      </c>
      <c r="Z47" s="334">
        <f t="shared" si="1"/>
        <v>0</v>
      </c>
    </row>
    <row r="48" spans="1:26">
      <c r="A48" s="164">
        <v>44</v>
      </c>
      <c r="B48" s="3" t="str">
        <f>Theory!B60</f>
        <v>1DS23AI045</v>
      </c>
      <c r="C48" s="318"/>
      <c r="D48" s="318"/>
      <c r="E48" s="318"/>
      <c r="F48" s="319">
        <f>IF(Theory!D$9="YES",VLOOKUP(B48,'CIA MARKS'!C57:ER126,146,FALSE),"")</f>
        <v>0</v>
      </c>
      <c r="G48" s="319">
        <f>IF(Theory!D$9="YES",VLOOKUP(B48,'CIA MARKS'!C57:ES126,147,FALSE),"")</f>
        <v>0</v>
      </c>
      <c r="H48" s="319">
        <f>IF(Theory!D$9="YES",VLOOKUP(B48,'CIA MARKS'!C57:DT126,122,FALSE),"")</f>
        <v>25</v>
      </c>
      <c r="I48" s="319">
        <f>IF(Theory!D$9="YES",VLOOKUP(B48,'CIA MARKS'!C57:DW126,125,FALSE),"")</f>
        <v>20</v>
      </c>
      <c r="J48" s="319">
        <f>IF(Theory!D$9="YES",VLOOKUP(B48,'CIA MARKS'!C57:EC126,131,FALSE),"")</f>
        <v>30</v>
      </c>
      <c r="K48" s="319">
        <f>IF(Theory!D$9="YES",VLOOKUP(B48,'CIA MARKS'!C57:EG126,135,FALSE),"")</f>
        <v>20</v>
      </c>
      <c r="L48" s="319">
        <f>IF(Theory!D$9="YES",VLOOKUP(B48,'CIA MARKS'!C57:EJ126,138,FALSE),"")</f>
        <v>47</v>
      </c>
      <c r="M48" s="316">
        <f t="shared" si="2"/>
        <v>0</v>
      </c>
      <c r="N48" s="325"/>
      <c r="O48" s="326" t="str">
        <f>IF(Theory!D$8="YES",VLOOKUP(B48,'CIA MARKS'!C57:ES126,147,FALSE),"")</f>
        <v/>
      </c>
      <c r="P48" s="326" t="str">
        <f>IF(Theory!D$8="YES",VLOOKUP(B48,'CIA MARKS'!C57:EC126,131,FALSE),"")</f>
        <v/>
      </c>
      <c r="Q48" s="326" t="str">
        <f>IF(Theory!D$8="YES",VLOOKUP(B48,'CIA MARKS'!C57:EG126,135,FALSE),"")</f>
        <v/>
      </c>
      <c r="R48" s="170">
        <f t="shared" si="0"/>
        <v>0</v>
      </c>
      <c r="T48" s="164">
        <v>0</v>
      </c>
      <c r="U48" s="164">
        <v>0</v>
      </c>
      <c r="V48" s="164">
        <v>0</v>
      </c>
      <c r="W48" s="3">
        <v>0</v>
      </c>
      <c r="X48" s="164" t="str">
        <f>IF(Theory!D$7="YES",VLOOKUP(B48,'CIA MARKS'!C57:DT126,122,FALSE),"")</f>
        <v/>
      </c>
      <c r="Y48" s="164" t="str">
        <f>IF(Theory!D$7="YES",VLOOKUP(B48,'CIA MARKS'!C57:DW126,125,FALSE),"")</f>
        <v/>
      </c>
      <c r="Z48" s="334">
        <f t="shared" si="1"/>
        <v>0</v>
      </c>
    </row>
    <row r="49" spans="1:26">
      <c r="A49" s="164">
        <v>45</v>
      </c>
      <c r="B49" s="3" t="str">
        <f>Theory!B61</f>
        <v>1DS23AI046</v>
      </c>
      <c r="C49" s="318"/>
      <c r="D49" s="318"/>
      <c r="E49" s="318"/>
      <c r="F49" s="319">
        <f>IF(Theory!D$9="YES",VLOOKUP(B49,'CIA MARKS'!C58:ER127,146,FALSE),"")</f>
        <v>0</v>
      </c>
      <c r="G49" s="319">
        <f>IF(Theory!D$9="YES",VLOOKUP(B49,'CIA MARKS'!C58:ES127,147,FALSE),"")</f>
        <v>0</v>
      </c>
      <c r="H49" s="319">
        <f>IF(Theory!D$9="YES",VLOOKUP(B49,'CIA MARKS'!C58:DT127,122,FALSE),"")</f>
        <v>17</v>
      </c>
      <c r="I49" s="319">
        <f>IF(Theory!D$9="YES",VLOOKUP(B49,'CIA MARKS'!C58:DW127,125,FALSE),"")</f>
        <v>17</v>
      </c>
      <c r="J49" s="319">
        <f>IF(Theory!D$9="YES",VLOOKUP(B49,'CIA MARKS'!C58:EC127,131,FALSE),"")</f>
        <v>28</v>
      </c>
      <c r="K49" s="319">
        <f>IF(Theory!D$9="YES",VLOOKUP(B49,'CIA MARKS'!C58:EG127,135,FALSE),"")</f>
        <v>16</v>
      </c>
      <c r="L49" s="319">
        <f>IF(Theory!D$9="YES",VLOOKUP(B49,'CIA MARKS'!C58:EJ127,138,FALSE),"")</f>
        <v>38</v>
      </c>
      <c r="M49" s="316">
        <f t="shared" si="2"/>
        <v>0</v>
      </c>
      <c r="N49" s="325"/>
      <c r="O49" s="326" t="str">
        <f>IF(Theory!D$8="YES",VLOOKUP(B49,'CIA MARKS'!C58:ES127,147,FALSE),"")</f>
        <v/>
      </c>
      <c r="P49" s="326" t="str">
        <f>IF(Theory!D$8="YES",VLOOKUP(B49,'CIA MARKS'!C58:EC127,131,FALSE),"")</f>
        <v/>
      </c>
      <c r="Q49" s="326" t="str">
        <f>IF(Theory!D$8="YES",VLOOKUP(B49,'CIA MARKS'!C58:EG127,135,FALSE),"")</f>
        <v/>
      </c>
      <c r="R49" s="170">
        <f t="shared" si="0"/>
        <v>0</v>
      </c>
      <c r="T49" s="164">
        <v>0</v>
      </c>
      <c r="U49" s="164">
        <v>0</v>
      </c>
      <c r="V49" s="164">
        <v>0</v>
      </c>
      <c r="W49" s="3">
        <v>0</v>
      </c>
      <c r="X49" s="164" t="str">
        <f>IF(Theory!D$7="YES",VLOOKUP(B49,'CIA MARKS'!C58:DT127,122,FALSE),"")</f>
        <v/>
      </c>
      <c r="Y49" s="164" t="str">
        <f>IF(Theory!D$7="YES",VLOOKUP(B49,'CIA MARKS'!C58:DW127,125,FALSE),"")</f>
        <v/>
      </c>
      <c r="Z49" s="334">
        <f t="shared" si="1"/>
        <v>0</v>
      </c>
    </row>
    <row r="50" spans="1:26">
      <c r="A50" s="164">
        <v>46</v>
      </c>
      <c r="B50" s="3" t="str">
        <f>Theory!B62</f>
        <v>1DS23AI047</v>
      </c>
      <c r="C50" s="318"/>
      <c r="D50" s="318"/>
      <c r="E50" s="318"/>
      <c r="F50" s="319">
        <f>IF(Theory!D$9="YES",VLOOKUP(B50,'CIA MARKS'!C59:ER128,146,FALSE),"")</f>
        <v>0</v>
      </c>
      <c r="G50" s="319">
        <f>IF(Theory!D$9="YES",VLOOKUP(B50,'CIA MARKS'!C59:ES128,147,FALSE),"")</f>
        <v>0</v>
      </c>
      <c r="H50" s="319">
        <f>IF(Theory!D$9="YES",VLOOKUP(B50,'CIA MARKS'!C59:DT128,122,FALSE),"")</f>
        <v>25</v>
      </c>
      <c r="I50" s="319">
        <f>IF(Theory!D$9="YES",VLOOKUP(B50,'CIA MARKS'!C59:DW128,125,FALSE),"")</f>
        <v>16</v>
      </c>
      <c r="J50" s="319">
        <f>IF(Theory!D$9="YES",VLOOKUP(B50,'CIA MARKS'!C59:EC128,131,FALSE),"")</f>
        <v>27</v>
      </c>
      <c r="K50" s="319">
        <f>IF(Theory!D$9="YES",VLOOKUP(B50,'CIA MARKS'!C59:EG128,135,FALSE),"")</f>
        <v>20</v>
      </c>
      <c r="L50" s="319">
        <f>IF(Theory!D$9="YES",VLOOKUP(B50,'CIA MARKS'!C59:EJ128,138,FALSE),"")</f>
        <v>44</v>
      </c>
      <c r="M50" s="316">
        <f t="shared" si="2"/>
        <v>0</v>
      </c>
      <c r="N50" s="325"/>
      <c r="O50" s="326" t="str">
        <f>IF(Theory!D$8="YES",VLOOKUP(B50,'CIA MARKS'!C59:ES128,147,FALSE),"")</f>
        <v/>
      </c>
      <c r="P50" s="326" t="str">
        <f>IF(Theory!D$8="YES",VLOOKUP(B50,'CIA MARKS'!C59:EC128,131,FALSE),"")</f>
        <v/>
      </c>
      <c r="Q50" s="326" t="str">
        <f>IF(Theory!D$8="YES",VLOOKUP(B50,'CIA MARKS'!C59:EG128,135,FALSE),"")</f>
        <v/>
      </c>
      <c r="R50" s="170">
        <f t="shared" si="0"/>
        <v>0</v>
      </c>
      <c r="T50" s="164">
        <v>0</v>
      </c>
      <c r="U50" s="164">
        <v>0</v>
      </c>
      <c r="V50" s="164">
        <v>0</v>
      </c>
      <c r="W50" s="3">
        <v>0</v>
      </c>
      <c r="X50" s="164" t="str">
        <f>IF(Theory!D$7="YES",VLOOKUP(B50,'CIA MARKS'!C59:DT128,122,FALSE),"")</f>
        <v/>
      </c>
      <c r="Y50" s="164" t="str">
        <f>IF(Theory!D$7="YES",VLOOKUP(B50,'CIA MARKS'!C59:DW128,125,FALSE),"")</f>
        <v/>
      </c>
      <c r="Z50" s="334">
        <f t="shared" si="1"/>
        <v>0</v>
      </c>
    </row>
    <row r="51" spans="1:26">
      <c r="A51" s="164">
        <v>47</v>
      </c>
      <c r="B51" s="3" t="str">
        <f>Theory!B63</f>
        <v>1DS23AI048</v>
      </c>
      <c r="C51" s="318"/>
      <c r="D51" s="318"/>
      <c r="E51" s="318"/>
      <c r="F51" s="319">
        <f>IF(Theory!D$9="YES",VLOOKUP(B51,'CIA MARKS'!C60:ER129,146,FALSE),"")</f>
        <v>0</v>
      </c>
      <c r="G51" s="319">
        <f>IF(Theory!D$9="YES",VLOOKUP(B51,'CIA MARKS'!C60:ES129,147,FALSE),"")</f>
        <v>0</v>
      </c>
      <c r="H51" s="319">
        <f>IF(Theory!D$9="YES",VLOOKUP(B51,'CIA MARKS'!C60:DT129,122,FALSE),"")</f>
        <v>22</v>
      </c>
      <c r="I51" s="319">
        <f>IF(Theory!D$9="YES",VLOOKUP(B51,'CIA MARKS'!C60:DW129,125,FALSE),"")</f>
        <v>16</v>
      </c>
      <c r="J51" s="319">
        <f>IF(Theory!D$9="YES",VLOOKUP(B51,'CIA MARKS'!C60:EC129,131,FALSE),"")</f>
        <v>30</v>
      </c>
      <c r="K51" s="319">
        <f>IF(Theory!D$9="YES",VLOOKUP(B51,'CIA MARKS'!C60:EG129,135,FALSE),"")</f>
        <v>19</v>
      </c>
      <c r="L51" s="319">
        <f>IF(Theory!D$9="YES",VLOOKUP(B51,'CIA MARKS'!C60:EJ129,138,FALSE),"")</f>
        <v>43</v>
      </c>
      <c r="M51" s="316">
        <f t="shared" si="2"/>
        <v>0</v>
      </c>
      <c r="N51" s="325"/>
      <c r="O51" s="326" t="str">
        <f>IF(Theory!D$8="YES",VLOOKUP(B51,'CIA MARKS'!C60:ES129,147,FALSE),"")</f>
        <v/>
      </c>
      <c r="P51" s="326" t="str">
        <f>IF(Theory!D$8="YES",VLOOKUP(B51,'CIA MARKS'!C60:EC129,131,FALSE),"")</f>
        <v/>
      </c>
      <c r="Q51" s="326" t="str">
        <f>IF(Theory!D$8="YES",VLOOKUP(B51,'CIA MARKS'!C60:EG129,135,FALSE),"")</f>
        <v/>
      </c>
      <c r="R51" s="170">
        <f t="shared" si="0"/>
        <v>0</v>
      </c>
      <c r="T51" s="164">
        <v>0</v>
      </c>
      <c r="U51" s="164">
        <v>0</v>
      </c>
      <c r="V51" s="164">
        <v>0</v>
      </c>
      <c r="W51" s="3">
        <v>0</v>
      </c>
      <c r="X51" s="164" t="str">
        <f>IF(Theory!D$7="YES",VLOOKUP(B51,'CIA MARKS'!C60:DT129,122,FALSE),"")</f>
        <v/>
      </c>
      <c r="Y51" s="164" t="str">
        <f>IF(Theory!D$7="YES",VLOOKUP(B51,'CIA MARKS'!C60:DW129,125,FALSE),"")</f>
        <v/>
      </c>
      <c r="Z51" s="334">
        <f t="shared" si="1"/>
        <v>0</v>
      </c>
    </row>
    <row r="52" spans="1:26">
      <c r="A52" s="164">
        <v>48</v>
      </c>
      <c r="B52" s="3" t="str">
        <f>Theory!B64</f>
        <v>1DS23AI049</v>
      </c>
      <c r="C52" s="318"/>
      <c r="D52" s="318"/>
      <c r="E52" s="318"/>
      <c r="F52" s="319">
        <f>IF(Theory!D$9="YES",VLOOKUP(B52,'CIA MARKS'!C61:ER130,146,FALSE),"")</f>
        <v>0</v>
      </c>
      <c r="G52" s="319">
        <f>IF(Theory!D$9="YES",VLOOKUP(B52,'CIA MARKS'!C61:ES130,147,FALSE),"")</f>
        <v>0</v>
      </c>
      <c r="H52" s="319">
        <f>IF(Theory!D$9="YES",VLOOKUP(B52,'CIA MARKS'!C61:DT130,122,FALSE),"")</f>
        <v>11</v>
      </c>
      <c r="I52" s="319">
        <f>IF(Theory!D$9="YES",VLOOKUP(B52,'CIA MARKS'!C61:DW130,125,FALSE),"")</f>
        <v>18</v>
      </c>
      <c r="J52" s="319">
        <f>IF(Theory!D$9="YES",VLOOKUP(B52,'CIA MARKS'!C61:EC130,131,FALSE),"")</f>
        <v>27</v>
      </c>
      <c r="K52" s="319">
        <f>IF(Theory!D$9="YES",VLOOKUP(B52,'CIA MARKS'!C61:EG130,135,FALSE),"")</f>
        <v>12</v>
      </c>
      <c r="L52" s="319">
        <f>IF(Theory!D$9="YES",VLOOKUP(B52,'CIA MARKS'!C61:EJ130,138,FALSE),"")</f>
        <v>33</v>
      </c>
      <c r="M52" s="316">
        <f t="shared" si="2"/>
        <v>0</v>
      </c>
      <c r="N52" s="325"/>
      <c r="O52" s="326" t="str">
        <f>IF(Theory!D$8="YES",VLOOKUP(B52,'CIA MARKS'!C61:ES130,147,FALSE),"")</f>
        <v/>
      </c>
      <c r="P52" s="326" t="str">
        <f>IF(Theory!D$8="YES",VLOOKUP(B52,'CIA MARKS'!C61:EC130,131,FALSE),"")</f>
        <v/>
      </c>
      <c r="Q52" s="326" t="str">
        <f>IF(Theory!D$8="YES",VLOOKUP(B52,'CIA MARKS'!C61:EG130,135,FALSE),"")</f>
        <v/>
      </c>
      <c r="R52" s="170">
        <f t="shared" si="0"/>
        <v>0</v>
      </c>
      <c r="T52" s="164">
        <v>0</v>
      </c>
      <c r="U52" s="164">
        <v>0</v>
      </c>
      <c r="V52" s="164">
        <v>0</v>
      </c>
      <c r="W52" s="3">
        <v>0</v>
      </c>
      <c r="X52" s="164" t="str">
        <f>IF(Theory!D$7="YES",VLOOKUP(B52,'CIA MARKS'!C61:DT130,122,FALSE),"")</f>
        <v/>
      </c>
      <c r="Y52" s="164" t="str">
        <f>IF(Theory!D$7="YES",VLOOKUP(B52,'CIA MARKS'!C61:DW130,125,FALSE),"")</f>
        <v/>
      </c>
      <c r="Z52" s="334">
        <f t="shared" si="1"/>
        <v>0</v>
      </c>
    </row>
    <row r="53" spans="1:26">
      <c r="A53" s="164">
        <v>49</v>
      </c>
      <c r="B53" s="3" t="str">
        <f>Theory!B65</f>
        <v>1DS23AI050</v>
      </c>
      <c r="C53" s="318"/>
      <c r="D53" s="318"/>
      <c r="E53" s="318"/>
      <c r="F53" s="319">
        <f>IF(Theory!D$9="YES",VLOOKUP(B53,'CIA MARKS'!C62:ER131,146,FALSE),"")</f>
        <v>0</v>
      </c>
      <c r="G53" s="319">
        <f>IF(Theory!D$9="YES",VLOOKUP(B53,'CIA MARKS'!C62:ES131,147,FALSE),"")</f>
        <v>0</v>
      </c>
      <c r="H53" s="319">
        <f>IF(Theory!D$9="YES",VLOOKUP(B53,'CIA MARKS'!C62:DT131,122,FALSE),"")</f>
        <v>29</v>
      </c>
      <c r="I53" s="319">
        <f>IF(Theory!D$9="YES",VLOOKUP(B53,'CIA MARKS'!C62:DW131,125,FALSE),"")</f>
        <v>19</v>
      </c>
      <c r="J53" s="319">
        <f>IF(Theory!D$9="YES",VLOOKUP(B53,'CIA MARKS'!C62:EC131,131,FALSE),"")</f>
        <v>30</v>
      </c>
      <c r="K53" s="319">
        <f>IF(Theory!D$9="YES",VLOOKUP(B53,'CIA MARKS'!C62:EG131,135,FALSE),"")</f>
        <v>20</v>
      </c>
      <c r="L53" s="319">
        <f>IF(Theory!D$9="YES",VLOOKUP(B53,'CIA MARKS'!C62:EJ131,138,FALSE),"")</f>
        <v>49</v>
      </c>
      <c r="M53" s="316">
        <f t="shared" si="2"/>
        <v>0</v>
      </c>
      <c r="N53" s="325"/>
      <c r="O53" s="326" t="str">
        <f>IF(Theory!D$8="YES",VLOOKUP(B53,'CIA MARKS'!C62:ES131,147,FALSE),"")</f>
        <v/>
      </c>
      <c r="P53" s="326" t="str">
        <f>IF(Theory!D$8="YES",VLOOKUP(B53,'CIA MARKS'!C62:EC131,131,FALSE),"")</f>
        <v/>
      </c>
      <c r="Q53" s="326" t="str">
        <f>IF(Theory!D$8="YES",VLOOKUP(B53,'CIA MARKS'!C62:EG131,135,FALSE),"")</f>
        <v/>
      </c>
      <c r="R53" s="170">
        <f t="shared" si="0"/>
        <v>0</v>
      </c>
      <c r="T53" s="164">
        <v>0</v>
      </c>
      <c r="U53" s="164">
        <v>0</v>
      </c>
      <c r="V53" s="164">
        <v>0</v>
      </c>
      <c r="W53" s="3">
        <v>0</v>
      </c>
      <c r="X53" s="164" t="str">
        <f>IF(Theory!D$7="YES",VLOOKUP(B53,'CIA MARKS'!C62:DT131,122,FALSE),"")</f>
        <v/>
      </c>
      <c r="Y53" s="164" t="str">
        <f>IF(Theory!D$7="YES",VLOOKUP(B53,'CIA MARKS'!C62:DW131,125,FALSE),"")</f>
        <v/>
      </c>
      <c r="Z53" s="334">
        <f t="shared" si="1"/>
        <v>0</v>
      </c>
    </row>
    <row r="54" spans="1:26">
      <c r="A54" s="164">
        <v>50</v>
      </c>
      <c r="B54" s="3" t="str">
        <f>Theory!B66</f>
        <v>1DS23AI051</v>
      </c>
      <c r="C54" s="318"/>
      <c r="D54" s="318"/>
      <c r="E54" s="318"/>
      <c r="F54" s="319">
        <f>IF(Theory!D$9="YES",VLOOKUP(B54,'CIA MARKS'!C63:ER132,146,FALSE),"")</f>
        <v>0</v>
      </c>
      <c r="G54" s="319">
        <f>IF(Theory!D$9="YES",VLOOKUP(B54,'CIA MARKS'!C63:ES132,147,FALSE),"")</f>
        <v>0</v>
      </c>
      <c r="H54" s="319">
        <f>IF(Theory!D$9="YES",VLOOKUP(B54,'CIA MARKS'!C63:DT132,122,FALSE),"")</f>
        <v>20</v>
      </c>
      <c r="I54" s="319">
        <f>IF(Theory!D$9="YES",VLOOKUP(B54,'CIA MARKS'!C63:DW132,125,FALSE),"")</f>
        <v>16</v>
      </c>
      <c r="J54" s="319">
        <f>IF(Theory!D$9="YES",VLOOKUP(B54,'CIA MARKS'!C63:EC132,131,FALSE),"")</f>
        <v>27</v>
      </c>
      <c r="K54" s="319">
        <f>IF(Theory!D$9="YES",VLOOKUP(B54,'CIA MARKS'!C63:EG132,135,FALSE),"")</f>
        <v>15</v>
      </c>
      <c r="L54" s="319">
        <f>IF(Theory!D$9="YES",VLOOKUP(B54,'CIA MARKS'!C63:EJ132,138,FALSE),"")</f>
        <v>39</v>
      </c>
      <c r="M54" s="316">
        <f t="shared" si="2"/>
        <v>0</v>
      </c>
      <c r="N54" s="325"/>
      <c r="O54" s="326" t="str">
        <f>IF(Theory!D$8="YES",VLOOKUP(B54,'CIA MARKS'!C63:ES132,147,FALSE),"")</f>
        <v/>
      </c>
      <c r="P54" s="326" t="str">
        <f>IF(Theory!D$8="YES",VLOOKUP(B54,'CIA MARKS'!C63:EC132,131,FALSE),"")</f>
        <v/>
      </c>
      <c r="Q54" s="326" t="str">
        <f>IF(Theory!D$8="YES",VLOOKUP(B54,'CIA MARKS'!C63:EG132,135,FALSE),"")</f>
        <v/>
      </c>
      <c r="R54" s="170">
        <f t="shared" si="0"/>
        <v>0</v>
      </c>
      <c r="T54" s="164">
        <v>0</v>
      </c>
      <c r="U54" s="164">
        <v>0</v>
      </c>
      <c r="V54" s="164">
        <v>0</v>
      </c>
      <c r="W54" s="3">
        <v>0</v>
      </c>
      <c r="X54" s="164" t="str">
        <f>IF(Theory!D$7="YES",VLOOKUP(B54,'CIA MARKS'!C63:DT132,122,FALSE),"")</f>
        <v/>
      </c>
      <c r="Y54" s="164" t="str">
        <f>IF(Theory!D$7="YES",VLOOKUP(B54,'CIA MARKS'!C63:DW132,125,FALSE),"")</f>
        <v/>
      </c>
      <c r="Z54" s="334">
        <f t="shared" si="1"/>
        <v>0</v>
      </c>
    </row>
    <row r="55" spans="1:26">
      <c r="A55" s="164">
        <v>51</v>
      </c>
      <c r="B55" s="3" t="str">
        <f>Theory!B67</f>
        <v>1DS23AI052</v>
      </c>
      <c r="C55" s="318"/>
      <c r="D55" s="318"/>
      <c r="E55" s="318"/>
      <c r="F55" s="319">
        <f>IF(Theory!D$9="YES",VLOOKUP(B55,'CIA MARKS'!C64:ER133,146,FALSE),"")</f>
        <v>0</v>
      </c>
      <c r="G55" s="319">
        <f>IF(Theory!D$9="YES",VLOOKUP(B55,'CIA MARKS'!C64:ES133,147,FALSE),"")</f>
        <v>0</v>
      </c>
      <c r="H55" s="319">
        <f>IF(Theory!D$9="YES",VLOOKUP(B55,'CIA MARKS'!C64:DT133,122,FALSE),"")</f>
        <v>15</v>
      </c>
      <c r="I55" s="319">
        <f>IF(Theory!D$9="YES",VLOOKUP(B55,'CIA MARKS'!C64:DW133,125,FALSE),"")</f>
        <v>19</v>
      </c>
      <c r="J55" s="319">
        <f>IF(Theory!D$9="YES",VLOOKUP(B55,'CIA MARKS'!C64:EC133,131,FALSE),"")</f>
        <v>25</v>
      </c>
      <c r="K55" s="319">
        <f>IF(Theory!D$9="YES",VLOOKUP(B55,'CIA MARKS'!C64:EG133,135,FALSE),"")</f>
        <v>10</v>
      </c>
      <c r="L55" s="319">
        <f>IF(Theory!D$9="YES",VLOOKUP(B55,'CIA MARKS'!C64:EJ133,138,FALSE),"")</f>
        <v>34</v>
      </c>
      <c r="M55" s="316">
        <f t="shared" si="2"/>
        <v>0</v>
      </c>
      <c r="N55" s="325"/>
      <c r="O55" s="326" t="str">
        <f>IF(Theory!D$8="YES",VLOOKUP(B55,'CIA MARKS'!C64:ES133,147,FALSE),"")</f>
        <v/>
      </c>
      <c r="P55" s="326" t="str">
        <f>IF(Theory!D$8="YES",VLOOKUP(B55,'CIA MARKS'!C64:EC133,131,FALSE),"")</f>
        <v/>
      </c>
      <c r="Q55" s="326" t="str">
        <f>IF(Theory!D$8="YES",VLOOKUP(B55,'CIA MARKS'!C64:EG133,135,FALSE),"")</f>
        <v/>
      </c>
      <c r="R55" s="170">
        <f t="shared" si="0"/>
        <v>0</v>
      </c>
      <c r="T55" s="164">
        <v>0</v>
      </c>
      <c r="U55" s="164">
        <v>0</v>
      </c>
      <c r="V55" s="164">
        <v>0</v>
      </c>
      <c r="W55" s="3">
        <v>0</v>
      </c>
      <c r="X55" s="164" t="str">
        <f>IF(Theory!D$7="YES",VLOOKUP(B55,'CIA MARKS'!C64:DT133,122,FALSE),"")</f>
        <v/>
      </c>
      <c r="Y55" s="164" t="str">
        <f>IF(Theory!D$7="YES",VLOOKUP(B55,'CIA MARKS'!C64:DW133,125,FALSE),"")</f>
        <v/>
      </c>
      <c r="Z55" s="334">
        <f t="shared" si="1"/>
        <v>0</v>
      </c>
    </row>
    <row r="56" spans="1:26">
      <c r="A56" s="164">
        <v>52</v>
      </c>
      <c r="B56" s="3" t="str">
        <f>Theory!B68</f>
        <v>1DS23AI053</v>
      </c>
      <c r="C56" s="318"/>
      <c r="D56" s="318"/>
      <c r="E56" s="318"/>
      <c r="F56" s="319">
        <f>IF(Theory!D$9="YES",VLOOKUP(B56,'CIA MARKS'!C65:ER134,146,FALSE),"")</f>
        <v>0</v>
      </c>
      <c r="G56" s="319">
        <f>IF(Theory!D$9="YES",VLOOKUP(B56,'CIA MARKS'!C65:ES134,147,FALSE),"")</f>
        <v>0</v>
      </c>
      <c r="H56" s="319">
        <f>IF(Theory!D$9="YES",VLOOKUP(B56,'CIA MARKS'!C65:DT134,122,FALSE),"")</f>
        <v>17</v>
      </c>
      <c r="I56" s="319">
        <f>IF(Theory!D$9="YES",VLOOKUP(B56,'CIA MARKS'!C65:DW134,125,FALSE),"")</f>
        <v>18</v>
      </c>
      <c r="J56" s="319">
        <f>IF(Theory!D$9="YES",VLOOKUP(B56,'CIA MARKS'!C65:EC134,131,FALSE),"")</f>
        <v>28</v>
      </c>
      <c r="K56" s="319">
        <f>IF(Theory!D$9="YES",VLOOKUP(B56,'CIA MARKS'!C65:EG134,135,FALSE),"")</f>
        <v>10</v>
      </c>
      <c r="L56" s="319">
        <f>IF(Theory!D$9="YES",VLOOKUP(B56,'CIA MARKS'!C65:EJ134,138,FALSE),"")</f>
        <v>36</v>
      </c>
      <c r="M56" s="316">
        <f t="shared" si="2"/>
        <v>0</v>
      </c>
      <c r="N56" s="325"/>
      <c r="O56" s="326" t="str">
        <f>IF(Theory!D$8="YES",VLOOKUP(B56,'CIA MARKS'!C65:ES134,147,FALSE),"")</f>
        <v/>
      </c>
      <c r="P56" s="326" t="str">
        <f>IF(Theory!D$8="YES",VLOOKUP(B56,'CIA MARKS'!C65:EC134,131,FALSE),"")</f>
        <v/>
      </c>
      <c r="Q56" s="326" t="str">
        <f>IF(Theory!D$8="YES",VLOOKUP(B56,'CIA MARKS'!C65:EG134,135,FALSE),"")</f>
        <v/>
      </c>
      <c r="R56" s="170">
        <f t="shared" si="0"/>
        <v>0</v>
      </c>
      <c r="T56" s="164">
        <v>0</v>
      </c>
      <c r="U56" s="164">
        <v>0</v>
      </c>
      <c r="V56" s="164">
        <v>0</v>
      </c>
      <c r="W56" s="3">
        <v>0</v>
      </c>
      <c r="X56" s="164" t="str">
        <f>IF(Theory!D$7="YES",VLOOKUP(B56,'CIA MARKS'!C65:DT134,122,FALSE),"")</f>
        <v/>
      </c>
      <c r="Y56" s="164" t="str">
        <f>IF(Theory!D$7="YES",VLOOKUP(B56,'CIA MARKS'!C65:DW134,125,FALSE),"")</f>
        <v/>
      </c>
      <c r="Z56" s="334">
        <f t="shared" si="1"/>
        <v>0</v>
      </c>
    </row>
    <row r="57" spans="1:26">
      <c r="A57" s="164">
        <v>53</v>
      </c>
      <c r="B57" s="3" t="str">
        <f>Theory!B69</f>
        <v>1DS23AI054</v>
      </c>
      <c r="C57" s="318"/>
      <c r="D57" s="318"/>
      <c r="E57" s="318"/>
      <c r="F57" s="319">
        <f>IF(Theory!D$9="YES",VLOOKUP(B57,'CIA MARKS'!C66:ER135,146,FALSE),"")</f>
        <v>0</v>
      </c>
      <c r="G57" s="319">
        <f>IF(Theory!D$9="YES",VLOOKUP(B57,'CIA MARKS'!C66:ES135,147,FALSE),"")</f>
        <v>0</v>
      </c>
      <c r="H57" s="319">
        <f>IF(Theory!D$9="YES",VLOOKUP(B57,'CIA MARKS'!C66:DT135,122,FALSE),"")</f>
        <v>15</v>
      </c>
      <c r="I57" s="319">
        <f>IF(Theory!D$9="YES",VLOOKUP(B57,'CIA MARKS'!C66:DW135,125,FALSE),"")</f>
        <v>18</v>
      </c>
      <c r="J57" s="319">
        <f>IF(Theory!D$9="YES",VLOOKUP(B57,'CIA MARKS'!C66:EC135,131,FALSE),"")</f>
        <v>25</v>
      </c>
      <c r="K57" s="319">
        <f>IF(Theory!D$9="YES",VLOOKUP(B57,'CIA MARKS'!C66:EG135,135,FALSE),"")</f>
        <v>9</v>
      </c>
      <c r="L57" s="319">
        <f>IF(Theory!D$9="YES",VLOOKUP(B57,'CIA MARKS'!C66:EJ135,138,FALSE),"")</f>
        <v>34</v>
      </c>
      <c r="M57" s="316">
        <f t="shared" si="2"/>
        <v>0</v>
      </c>
      <c r="N57" s="325"/>
      <c r="O57" s="326" t="str">
        <f>IF(Theory!D$8="YES",VLOOKUP(B57,'CIA MARKS'!C66:ES135,147,FALSE),"")</f>
        <v/>
      </c>
      <c r="P57" s="326" t="str">
        <f>IF(Theory!D$8="YES",VLOOKUP(B57,'CIA MARKS'!C66:EC135,131,FALSE),"")</f>
        <v/>
      </c>
      <c r="Q57" s="326" t="str">
        <f>IF(Theory!D$8="YES",VLOOKUP(B57,'CIA MARKS'!C66:EG135,135,FALSE),"")</f>
        <v/>
      </c>
      <c r="R57" s="170">
        <f t="shared" si="0"/>
        <v>0</v>
      </c>
      <c r="T57" s="164">
        <v>0</v>
      </c>
      <c r="U57" s="164">
        <v>0</v>
      </c>
      <c r="V57" s="164">
        <v>0</v>
      </c>
      <c r="W57" s="3">
        <v>0</v>
      </c>
      <c r="X57" s="164" t="str">
        <f>IF(Theory!D$7="YES",VLOOKUP(B57,'CIA MARKS'!C66:DT135,122,FALSE),"")</f>
        <v/>
      </c>
      <c r="Y57" s="164" t="str">
        <f>IF(Theory!D$7="YES",VLOOKUP(B57,'CIA MARKS'!C66:DW135,125,FALSE),"")</f>
        <v/>
      </c>
      <c r="Z57" s="334">
        <f t="shared" si="1"/>
        <v>0</v>
      </c>
    </row>
    <row r="58" spans="1:26">
      <c r="A58" s="164">
        <v>54</v>
      </c>
      <c r="B58" s="3" t="str">
        <f>Theory!B70</f>
        <v>1DS23AI055</v>
      </c>
      <c r="C58" s="318"/>
      <c r="D58" s="318"/>
      <c r="E58" s="318"/>
      <c r="F58" s="319">
        <f>IF(Theory!D$9="YES",VLOOKUP(B58,'CIA MARKS'!C67:ER136,146,FALSE),"")</f>
        <v>0</v>
      </c>
      <c r="G58" s="319">
        <f>IF(Theory!D$9="YES",VLOOKUP(B58,'CIA MARKS'!C67:ES136,147,FALSE),"")</f>
        <v>0</v>
      </c>
      <c r="H58" s="319">
        <f>IF(Theory!D$9="YES",VLOOKUP(B58,'CIA MARKS'!C67:DT136,122,FALSE),"")</f>
        <v>24</v>
      </c>
      <c r="I58" s="319">
        <f>IF(Theory!D$9="YES",VLOOKUP(B58,'CIA MARKS'!C67:DW136,125,FALSE),"")</f>
        <v>19</v>
      </c>
      <c r="J58" s="319">
        <f>IF(Theory!D$9="YES",VLOOKUP(B58,'CIA MARKS'!C67:EC136,131,FALSE),"")</f>
        <v>30</v>
      </c>
      <c r="K58" s="319">
        <f>IF(Theory!D$9="YES",VLOOKUP(B58,'CIA MARKS'!C67:EG136,135,FALSE),"")</f>
        <v>20</v>
      </c>
      <c r="L58" s="319">
        <f>IF(Theory!D$9="YES",VLOOKUP(B58,'CIA MARKS'!C67:EJ136,138,FALSE),"")</f>
        <v>46</v>
      </c>
      <c r="M58" s="316">
        <f t="shared" si="2"/>
        <v>0</v>
      </c>
      <c r="N58" s="325"/>
      <c r="O58" s="326" t="str">
        <f>IF(Theory!D$8="YES",VLOOKUP(B58,'CIA MARKS'!C67:ES136,147,FALSE),"")</f>
        <v/>
      </c>
      <c r="P58" s="326" t="str">
        <f>IF(Theory!D$8="YES",VLOOKUP(B58,'CIA MARKS'!C67:EC136,131,FALSE),"")</f>
        <v/>
      </c>
      <c r="Q58" s="326" t="str">
        <f>IF(Theory!D$8="YES",VLOOKUP(B58,'CIA MARKS'!C67:EG136,135,FALSE),"")</f>
        <v/>
      </c>
      <c r="R58" s="170">
        <f t="shared" si="0"/>
        <v>0</v>
      </c>
      <c r="T58" s="164">
        <v>0</v>
      </c>
      <c r="U58" s="164">
        <v>0</v>
      </c>
      <c r="V58" s="164">
        <v>0</v>
      </c>
      <c r="W58" s="3">
        <v>0</v>
      </c>
      <c r="X58" s="164" t="str">
        <f>IF(Theory!D$7="YES",VLOOKUP(B58,'CIA MARKS'!C67:DT136,122,FALSE),"")</f>
        <v/>
      </c>
      <c r="Y58" s="164" t="str">
        <f>IF(Theory!D$7="YES",VLOOKUP(B58,'CIA MARKS'!C67:DW136,125,FALSE),"")</f>
        <v/>
      </c>
      <c r="Z58" s="334">
        <f t="shared" si="1"/>
        <v>0</v>
      </c>
    </row>
    <row r="59" spans="1:26">
      <c r="A59" s="164">
        <v>55</v>
      </c>
      <c r="B59" s="3" t="str">
        <f>Theory!B71</f>
        <v>1DS23AI056</v>
      </c>
      <c r="C59" s="318"/>
      <c r="D59" s="318"/>
      <c r="E59" s="318"/>
      <c r="F59" s="319">
        <f>IF(Theory!D$9="YES",VLOOKUP(B59,'CIA MARKS'!C68:ER137,146,FALSE),"")</f>
        <v>0</v>
      </c>
      <c r="G59" s="319">
        <f>IF(Theory!D$9="YES",VLOOKUP(B59,'CIA MARKS'!C68:ES137,147,FALSE),"")</f>
        <v>0</v>
      </c>
      <c r="H59" s="319">
        <f>IF(Theory!D$9="YES",VLOOKUP(B59,'CIA MARKS'!C68:DT137,122,FALSE),"")</f>
        <v>17</v>
      </c>
      <c r="I59" s="319">
        <f>IF(Theory!D$9="YES",VLOOKUP(B59,'CIA MARKS'!C68:DW137,125,FALSE),"")</f>
        <v>17</v>
      </c>
      <c r="J59" s="319">
        <f>IF(Theory!D$9="YES",VLOOKUP(B59,'CIA MARKS'!C68:EC137,131,FALSE),"")</f>
        <v>30</v>
      </c>
      <c r="K59" s="319">
        <f>IF(Theory!D$9="YES",VLOOKUP(B59,'CIA MARKS'!C68:EG137,135,FALSE),"")</f>
        <v>20</v>
      </c>
      <c r="L59" s="319">
        <f>IF(Theory!D$9="YES",VLOOKUP(B59,'CIA MARKS'!C68:EJ137,138,FALSE),"")</f>
        <v>40</v>
      </c>
      <c r="M59" s="316">
        <f t="shared" si="2"/>
        <v>0</v>
      </c>
      <c r="N59" s="325"/>
      <c r="O59" s="326" t="str">
        <f>IF(Theory!D$8="YES",VLOOKUP(B59,'CIA MARKS'!C68:ES137,147,FALSE),"")</f>
        <v/>
      </c>
      <c r="P59" s="326" t="str">
        <f>IF(Theory!D$8="YES",VLOOKUP(B59,'CIA MARKS'!C68:EC137,131,FALSE),"")</f>
        <v/>
      </c>
      <c r="Q59" s="326" t="str">
        <f>IF(Theory!D$8="YES",VLOOKUP(B59,'CIA MARKS'!C68:EG137,135,FALSE),"")</f>
        <v/>
      </c>
      <c r="R59" s="170">
        <f t="shared" si="0"/>
        <v>0</v>
      </c>
      <c r="T59" s="164">
        <v>0</v>
      </c>
      <c r="U59" s="164">
        <v>0</v>
      </c>
      <c r="V59" s="164">
        <v>0</v>
      </c>
      <c r="W59" s="3">
        <v>0</v>
      </c>
      <c r="X59" s="164" t="str">
        <f>IF(Theory!D$7="YES",VLOOKUP(B59,'CIA MARKS'!C68:DT137,122,FALSE),"")</f>
        <v/>
      </c>
      <c r="Y59" s="164" t="str">
        <f>IF(Theory!D$7="YES",VLOOKUP(B59,'CIA MARKS'!C68:DW137,125,FALSE),"")</f>
        <v/>
      </c>
      <c r="Z59" s="334">
        <f t="shared" si="1"/>
        <v>0</v>
      </c>
    </row>
    <row r="60" spans="1:26">
      <c r="A60" s="164">
        <v>56</v>
      </c>
      <c r="B60" s="3" t="str">
        <f>Theory!B72</f>
        <v>1DS23AI057</v>
      </c>
      <c r="C60" s="318"/>
      <c r="D60" s="318"/>
      <c r="E60" s="318"/>
      <c r="F60" s="319">
        <f>IF(Theory!D$9="YES",VLOOKUP(B60,'CIA MARKS'!C69:ER138,146,FALSE),"")</f>
        <v>0</v>
      </c>
      <c r="G60" s="319">
        <f>IF(Theory!D$9="YES",VLOOKUP(B60,'CIA MARKS'!C69:ES138,147,FALSE),"")</f>
        <v>0</v>
      </c>
      <c r="H60" s="319">
        <f>IF(Theory!D$9="YES",VLOOKUP(B60,'CIA MARKS'!C69:DT138,122,FALSE),"")</f>
        <v>25</v>
      </c>
      <c r="I60" s="319">
        <f>IF(Theory!D$9="YES",VLOOKUP(B60,'CIA MARKS'!C69:DW138,125,FALSE),"")</f>
        <v>19</v>
      </c>
      <c r="J60" s="319">
        <f>IF(Theory!D$9="YES",VLOOKUP(B60,'CIA MARKS'!C69:EC138,131,FALSE),"")</f>
        <v>30</v>
      </c>
      <c r="K60" s="319">
        <f>IF(Theory!D$9="YES",VLOOKUP(B60,'CIA MARKS'!C69:EG138,135,FALSE),"")</f>
        <v>20</v>
      </c>
      <c r="L60" s="319">
        <f>IF(Theory!D$9="YES",VLOOKUP(B60,'CIA MARKS'!C69:EJ138,138,FALSE),"")</f>
        <v>46</v>
      </c>
      <c r="M60" s="316">
        <f t="shared" si="2"/>
        <v>0</v>
      </c>
      <c r="N60" s="325"/>
      <c r="O60" s="326" t="str">
        <f>IF(Theory!D$8="YES",VLOOKUP(B60,'CIA MARKS'!C69:ES138,147,FALSE),"")</f>
        <v/>
      </c>
      <c r="P60" s="326" t="str">
        <f>IF(Theory!D$8="YES",VLOOKUP(B60,'CIA MARKS'!C69:EC138,131,FALSE),"")</f>
        <v/>
      </c>
      <c r="Q60" s="326" t="str">
        <f>IF(Theory!D$8="YES",VLOOKUP(B60,'CIA MARKS'!C69:EG138,135,FALSE),"")</f>
        <v/>
      </c>
      <c r="R60" s="170">
        <f t="shared" si="0"/>
        <v>0</v>
      </c>
      <c r="T60" s="164">
        <v>0</v>
      </c>
      <c r="U60" s="164">
        <v>0</v>
      </c>
      <c r="V60" s="164">
        <v>0</v>
      </c>
      <c r="W60" s="3">
        <v>0</v>
      </c>
      <c r="X60" s="164" t="str">
        <f>IF(Theory!D$7="YES",VLOOKUP(B60,'CIA MARKS'!C69:DT138,122,FALSE),"")</f>
        <v/>
      </c>
      <c r="Y60" s="164" t="str">
        <f>IF(Theory!D$7="YES",VLOOKUP(B60,'CIA MARKS'!C69:DW138,125,FALSE),"")</f>
        <v/>
      </c>
      <c r="Z60" s="334">
        <f t="shared" si="1"/>
        <v>0</v>
      </c>
    </row>
    <row r="61" spans="1:26">
      <c r="A61" s="164">
        <v>57</v>
      </c>
      <c r="B61" s="3" t="str">
        <f>Theory!B73</f>
        <v>1DS23AI058</v>
      </c>
      <c r="C61" s="318"/>
      <c r="D61" s="318"/>
      <c r="E61" s="318"/>
      <c r="F61" s="319">
        <f>IF(Theory!D$9="YES",VLOOKUP(B61,'CIA MARKS'!C70:ER139,146,FALSE),"")</f>
        <v>0</v>
      </c>
      <c r="G61" s="319">
        <f>IF(Theory!D$9="YES",VLOOKUP(B61,'CIA MARKS'!C70:ES139,147,FALSE),"")</f>
        <v>0</v>
      </c>
      <c r="H61" s="319">
        <f>IF(Theory!D$9="YES",VLOOKUP(B61,'CIA MARKS'!C70:DT139,122,FALSE),"")</f>
        <v>10</v>
      </c>
      <c r="I61" s="319">
        <f>IF(Theory!D$9="YES",VLOOKUP(B61,'CIA MARKS'!C70:DW139,125,FALSE),"")</f>
        <v>17</v>
      </c>
      <c r="J61" s="319">
        <f>IF(Theory!D$9="YES",VLOOKUP(B61,'CIA MARKS'!C70:EC139,131,FALSE),"")</f>
        <v>25</v>
      </c>
      <c r="K61" s="319">
        <f>IF(Theory!D$9="YES",VLOOKUP(B61,'CIA MARKS'!C70:EG139,135,FALSE),"")</f>
        <v>8</v>
      </c>
      <c r="L61" s="319">
        <f>IF(Theory!D$9="YES",VLOOKUP(B61,'CIA MARKS'!C70:EJ139,138,FALSE),"")</f>
        <v>29</v>
      </c>
      <c r="M61" s="316">
        <f t="shared" si="2"/>
        <v>0</v>
      </c>
      <c r="N61" s="325"/>
      <c r="O61" s="326" t="str">
        <f>IF(Theory!D$8="YES",VLOOKUP(B61,'CIA MARKS'!C70:ES139,147,FALSE),"")</f>
        <v/>
      </c>
      <c r="P61" s="326" t="str">
        <f>IF(Theory!D$8="YES",VLOOKUP(B61,'CIA MARKS'!C70:EC139,131,FALSE),"")</f>
        <v/>
      </c>
      <c r="Q61" s="326" t="str">
        <f>IF(Theory!D$8="YES",VLOOKUP(B61,'CIA MARKS'!C70:EG139,135,FALSE),"")</f>
        <v/>
      </c>
      <c r="R61" s="170">
        <f t="shared" si="0"/>
        <v>0</v>
      </c>
      <c r="T61" s="164">
        <v>0</v>
      </c>
      <c r="U61" s="164">
        <v>0</v>
      </c>
      <c r="V61" s="164">
        <v>0</v>
      </c>
      <c r="W61" s="3">
        <v>0</v>
      </c>
      <c r="X61" s="164" t="str">
        <f>IF(Theory!D$7="YES",VLOOKUP(B61,'CIA MARKS'!C70:DT139,122,FALSE),"")</f>
        <v/>
      </c>
      <c r="Y61" s="164" t="str">
        <f>IF(Theory!D$7="YES",VLOOKUP(B61,'CIA MARKS'!C70:DW139,125,FALSE),"")</f>
        <v/>
      </c>
      <c r="Z61" s="334">
        <f t="shared" si="1"/>
        <v>0</v>
      </c>
    </row>
    <row r="62" spans="1:26">
      <c r="A62" s="164">
        <v>58</v>
      </c>
      <c r="B62" s="3" t="str">
        <f>Theory!B74</f>
        <v>1DS23AI059</v>
      </c>
      <c r="C62" s="318"/>
      <c r="D62" s="318"/>
      <c r="E62" s="318"/>
      <c r="F62" s="319">
        <f>IF(Theory!D$9="YES",VLOOKUP(B62,'CIA MARKS'!C71:ER140,146,FALSE),"")</f>
        <v>0</v>
      </c>
      <c r="G62" s="319">
        <f>IF(Theory!D$9="YES",VLOOKUP(B62,'CIA MARKS'!C71:ES140,147,FALSE),"")</f>
        <v>0</v>
      </c>
      <c r="H62" s="319">
        <f>IF(Theory!D$9="YES",VLOOKUP(B62,'CIA MARKS'!C71:DT140,122,FALSE),"")</f>
        <v>23</v>
      </c>
      <c r="I62" s="319">
        <f>IF(Theory!D$9="YES",VLOOKUP(B62,'CIA MARKS'!C71:DW140,125,FALSE),"")</f>
        <v>17</v>
      </c>
      <c r="J62" s="319">
        <f>IF(Theory!D$9="YES",VLOOKUP(B62,'CIA MARKS'!C71:EC140,131,FALSE),"")</f>
        <v>26</v>
      </c>
      <c r="K62" s="319">
        <f>IF(Theory!D$9="YES",VLOOKUP(B62,'CIA MARKS'!C71:EG140,135,FALSE),"")</f>
        <v>18</v>
      </c>
      <c r="L62" s="319">
        <f>IF(Theory!D$9="YES",VLOOKUP(B62,'CIA MARKS'!C71:EJ140,138,FALSE),"")</f>
        <v>42</v>
      </c>
      <c r="M62" s="316">
        <f t="shared" si="2"/>
        <v>0</v>
      </c>
      <c r="N62" s="325"/>
      <c r="O62" s="326" t="str">
        <f>IF(Theory!D$8="YES",VLOOKUP(B62,'CIA MARKS'!C71:ES140,147,FALSE),"")</f>
        <v/>
      </c>
      <c r="P62" s="326" t="str">
        <f>IF(Theory!D$8="YES",VLOOKUP(B62,'CIA MARKS'!C71:EC140,131,FALSE),"")</f>
        <v/>
      </c>
      <c r="Q62" s="326" t="str">
        <f>IF(Theory!D$8="YES",VLOOKUP(B62,'CIA MARKS'!C71:EG140,135,FALSE),"")</f>
        <v/>
      </c>
      <c r="R62" s="170">
        <f t="shared" si="0"/>
        <v>0</v>
      </c>
      <c r="T62" s="164">
        <v>0</v>
      </c>
      <c r="U62" s="164">
        <v>0</v>
      </c>
      <c r="V62" s="164">
        <v>0</v>
      </c>
      <c r="W62" s="3">
        <v>0</v>
      </c>
      <c r="X62" s="164" t="str">
        <f>IF(Theory!D$7="YES",VLOOKUP(B62,'CIA MARKS'!C71:DT140,122,FALSE),"")</f>
        <v/>
      </c>
      <c r="Y62" s="164" t="str">
        <f>IF(Theory!D$7="YES",VLOOKUP(B62,'CIA MARKS'!C71:DW140,125,FALSE),"")</f>
        <v/>
      </c>
      <c r="Z62" s="334">
        <f t="shared" si="1"/>
        <v>0</v>
      </c>
    </row>
    <row r="63" spans="1:26">
      <c r="A63" s="164">
        <v>59</v>
      </c>
      <c r="B63" s="3" t="str">
        <f>Theory!B75</f>
        <v>1DS23AI060</v>
      </c>
      <c r="C63" s="318"/>
      <c r="D63" s="318"/>
      <c r="E63" s="318"/>
      <c r="F63" s="319">
        <f>IF(Theory!D$9="YES",VLOOKUP(B63,'CIA MARKS'!C72:ER141,146,FALSE),"")</f>
        <v>0</v>
      </c>
      <c r="G63" s="319">
        <f>IF(Theory!D$9="YES",VLOOKUP(B63,'CIA MARKS'!C72:ES141,147,FALSE),"")</f>
        <v>0</v>
      </c>
      <c r="H63" s="319">
        <f>IF(Theory!D$9="YES",VLOOKUP(B63,'CIA MARKS'!C72:DT141,122,FALSE),"")</f>
        <v>21</v>
      </c>
      <c r="I63" s="319">
        <f>IF(Theory!D$9="YES",VLOOKUP(B63,'CIA MARKS'!C72:DW141,125,FALSE),"")</f>
        <v>18</v>
      </c>
      <c r="J63" s="319">
        <f>IF(Theory!D$9="YES",VLOOKUP(B63,'CIA MARKS'!C72:EC141,131,FALSE),"")</f>
        <v>30</v>
      </c>
      <c r="K63" s="319">
        <f>IF(Theory!D$9="YES",VLOOKUP(B63,'CIA MARKS'!C72:EG141,135,FALSE),"")</f>
        <v>20</v>
      </c>
      <c r="L63" s="319">
        <f>IF(Theory!D$9="YES",VLOOKUP(B63,'CIA MARKS'!C72:EJ141,138,FALSE),"")</f>
        <v>43</v>
      </c>
      <c r="M63" s="316">
        <f t="shared" si="2"/>
        <v>0</v>
      </c>
      <c r="N63" s="325"/>
      <c r="O63" s="326" t="str">
        <f>IF(Theory!D$8="YES",VLOOKUP(B63,'CIA MARKS'!C72:ES141,147,FALSE),"")</f>
        <v/>
      </c>
      <c r="P63" s="326" t="str">
        <f>IF(Theory!D$8="YES",VLOOKUP(B63,'CIA MARKS'!C72:EC141,131,FALSE),"")</f>
        <v/>
      </c>
      <c r="Q63" s="326" t="str">
        <f>IF(Theory!D$8="YES",VLOOKUP(B63,'CIA MARKS'!C72:EG141,135,FALSE),"")</f>
        <v/>
      </c>
      <c r="R63" s="170">
        <f t="shared" si="0"/>
        <v>0</v>
      </c>
      <c r="T63" s="164">
        <v>0</v>
      </c>
      <c r="U63" s="164">
        <v>0</v>
      </c>
      <c r="V63" s="164">
        <v>0</v>
      </c>
      <c r="W63" s="3">
        <v>0</v>
      </c>
      <c r="X63" s="164" t="str">
        <f>IF(Theory!D$7="YES",VLOOKUP(B63,'CIA MARKS'!C72:DT141,122,FALSE),"")</f>
        <v/>
      </c>
      <c r="Y63" s="164" t="str">
        <f>IF(Theory!D$7="YES",VLOOKUP(B63,'CIA MARKS'!C72:DW141,125,FALSE),"")</f>
        <v/>
      </c>
      <c r="Z63" s="334">
        <f t="shared" si="1"/>
        <v>0</v>
      </c>
    </row>
    <row r="64" spans="1:26">
      <c r="A64" s="164">
        <v>60</v>
      </c>
      <c r="B64" s="3" t="str">
        <f>Theory!B76</f>
        <v>1DS23AI061</v>
      </c>
      <c r="C64" s="318"/>
      <c r="D64" s="318"/>
      <c r="E64" s="318"/>
      <c r="F64" s="319">
        <f>IF(Theory!D$9="YES",VLOOKUP(B64,'CIA MARKS'!C73:ER142,146,FALSE),"")</f>
        <v>0</v>
      </c>
      <c r="G64" s="319">
        <f>IF(Theory!D$9="YES",VLOOKUP(B64,'CIA MARKS'!C73:ES142,147,FALSE),"")</f>
        <v>0</v>
      </c>
      <c r="H64" s="319">
        <f>IF(Theory!D$9="YES",VLOOKUP(B64,'CIA MARKS'!C73:DT142,122,FALSE),"")</f>
        <v>22</v>
      </c>
      <c r="I64" s="319">
        <f>IF(Theory!D$9="YES",VLOOKUP(B64,'CIA MARKS'!C73:DW142,125,FALSE),"")</f>
        <v>16</v>
      </c>
      <c r="J64" s="319">
        <f>IF(Theory!D$9="YES",VLOOKUP(B64,'CIA MARKS'!C73:EC142,131,FALSE),"")</f>
        <v>29</v>
      </c>
      <c r="K64" s="319">
        <f>IF(Theory!D$9="YES",VLOOKUP(B64,'CIA MARKS'!C73:EG142,135,FALSE),"")</f>
        <v>16</v>
      </c>
      <c r="L64" s="319">
        <f>IF(Theory!D$9="YES",VLOOKUP(B64,'CIA MARKS'!C73:EJ142,138,FALSE),"")</f>
        <v>41</v>
      </c>
      <c r="M64" s="316">
        <f t="shared" si="2"/>
        <v>0</v>
      </c>
      <c r="N64" s="325"/>
      <c r="O64" s="326" t="str">
        <f>IF(Theory!D$8="YES",VLOOKUP(B64,'CIA MARKS'!C73:ES142,147,FALSE),"")</f>
        <v/>
      </c>
      <c r="P64" s="326" t="str">
        <f>IF(Theory!D$8="YES",VLOOKUP(B64,'CIA MARKS'!C73:EC142,131,FALSE),"")</f>
        <v/>
      </c>
      <c r="Q64" s="326" t="str">
        <f>IF(Theory!D$8="YES",VLOOKUP(B64,'CIA MARKS'!C73:EG142,135,FALSE),"")</f>
        <v/>
      </c>
      <c r="R64" s="170">
        <f t="shared" si="0"/>
        <v>0</v>
      </c>
      <c r="T64" s="164">
        <v>0</v>
      </c>
      <c r="U64" s="164">
        <v>0</v>
      </c>
      <c r="V64" s="164">
        <v>0</v>
      </c>
      <c r="W64" s="3">
        <v>0</v>
      </c>
      <c r="X64" s="164" t="str">
        <f>IF(Theory!D$7="YES",VLOOKUP(B64,'CIA MARKS'!C73:DT142,122,FALSE),"")</f>
        <v/>
      </c>
      <c r="Y64" s="164" t="str">
        <f>IF(Theory!D$7="YES",VLOOKUP(B64,'CIA MARKS'!C73:DW142,125,FALSE),"")</f>
        <v/>
      </c>
      <c r="Z64" s="334">
        <f t="shared" si="1"/>
        <v>0</v>
      </c>
    </row>
    <row r="65" spans="1:26">
      <c r="A65" s="164">
        <v>61</v>
      </c>
      <c r="B65" s="3" t="str">
        <f>Theory!B77</f>
        <v>1DS23AI062</v>
      </c>
      <c r="C65" s="318"/>
      <c r="D65" s="318"/>
      <c r="E65" s="318"/>
      <c r="F65" s="319">
        <f>IF(Theory!D$9="YES",VLOOKUP(B65,'CIA MARKS'!C74:ER143,146,FALSE),"")</f>
        <v>0</v>
      </c>
      <c r="G65" s="319">
        <f>IF(Theory!D$9="YES",VLOOKUP(B65,'CIA MARKS'!C74:ES143,147,FALSE),"")</f>
        <v>0</v>
      </c>
      <c r="H65" s="319">
        <f>IF(Theory!D$9="YES",VLOOKUP(B65,'CIA MARKS'!C74:DT143,122,FALSE),"")</f>
        <v>19</v>
      </c>
      <c r="I65" s="319">
        <f>IF(Theory!D$9="YES",VLOOKUP(B65,'CIA MARKS'!C74:DW143,125,FALSE),"")</f>
        <v>16</v>
      </c>
      <c r="J65" s="319">
        <f>IF(Theory!D$9="YES",VLOOKUP(B65,'CIA MARKS'!C74:EC143,131,FALSE),"")</f>
        <v>27</v>
      </c>
      <c r="K65" s="319">
        <f>IF(Theory!D$9="YES",VLOOKUP(B65,'CIA MARKS'!C74:EG143,135,FALSE),"")</f>
        <v>10</v>
      </c>
      <c r="L65" s="319">
        <f>IF(Theory!D$9="YES",VLOOKUP(B65,'CIA MARKS'!C74:EJ143,138,FALSE),"")</f>
        <v>36</v>
      </c>
      <c r="M65" s="316">
        <f t="shared" si="2"/>
        <v>0</v>
      </c>
      <c r="N65" s="325"/>
      <c r="O65" s="326" t="str">
        <f>IF(Theory!D$8="YES",VLOOKUP(B65,'CIA MARKS'!C74:ES143,147,FALSE),"")</f>
        <v/>
      </c>
      <c r="P65" s="326" t="str">
        <f>IF(Theory!D$8="YES",VLOOKUP(B65,'CIA MARKS'!C74:EC143,131,FALSE),"")</f>
        <v/>
      </c>
      <c r="Q65" s="326" t="str">
        <f>IF(Theory!D$8="YES",VLOOKUP(B65,'CIA MARKS'!C74:EG143,135,FALSE),"")</f>
        <v/>
      </c>
      <c r="R65" s="170">
        <f t="shared" si="0"/>
        <v>0</v>
      </c>
      <c r="T65" s="164">
        <v>0</v>
      </c>
      <c r="U65" s="164">
        <v>0</v>
      </c>
      <c r="V65" s="164">
        <v>0</v>
      </c>
      <c r="W65" s="3">
        <v>0</v>
      </c>
      <c r="X65" s="164" t="str">
        <f>IF(Theory!D$7="YES",VLOOKUP(B65,'CIA MARKS'!C74:DT143,122,FALSE),"")</f>
        <v/>
      </c>
      <c r="Y65" s="164" t="str">
        <f>IF(Theory!D$7="YES",VLOOKUP(B65,'CIA MARKS'!C74:DW143,125,FALSE),"")</f>
        <v/>
      </c>
      <c r="Z65" s="334">
        <f t="shared" si="1"/>
        <v>0</v>
      </c>
    </row>
    <row r="66" spans="1:26">
      <c r="A66" s="164">
        <v>62</v>
      </c>
      <c r="B66" s="3" t="str">
        <f>Theory!B78</f>
        <v>1DS23AI063</v>
      </c>
      <c r="C66" s="318"/>
      <c r="D66" s="318"/>
      <c r="E66" s="318"/>
      <c r="F66" s="319">
        <f>IF(Theory!D$9="YES",VLOOKUP(B66,'CIA MARKS'!C75:ER144,146,FALSE),"")</f>
        <v>0</v>
      </c>
      <c r="G66" s="319">
        <f>IF(Theory!D$9="YES",VLOOKUP(B66,'CIA MARKS'!C75:ES144,147,FALSE),"")</f>
        <v>0</v>
      </c>
      <c r="H66" s="319">
        <f>IF(Theory!D$9="YES",VLOOKUP(B66,'CIA MARKS'!C75:DT144,122,FALSE),"")</f>
        <v>14</v>
      </c>
      <c r="I66" s="319">
        <f>IF(Theory!D$9="YES",VLOOKUP(B66,'CIA MARKS'!C75:DW144,125,FALSE),"")</f>
        <v>13</v>
      </c>
      <c r="J66" s="319">
        <f>IF(Theory!D$9="YES",VLOOKUP(B66,'CIA MARKS'!C75:EC144,131,FALSE),"")</f>
        <v>26</v>
      </c>
      <c r="K66" s="319">
        <f>IF(Theory!D$9="YES",VLOOKUP(B66,'CIA MARKS'!C75:EG144,135,FALSE),"")</f>
        <v>10</v>
      </c>
      <c r="L66" s="319">
        <f>IF(Theory!D$9="YES",VLOOKUP(B66,'CIA MARKS'!C75:EJ144,138,FALSE),"")</f>
        <v>30</v>
      </c>
      <c r="M66" s="316">
        <f t="shared" si="2"/>
        <v>0</v>
      </c>
      <c r="N66" s="325"/>
      <c r="O66" s="326" t="str">
        <f>IF(Theory!D$8="YES",VLOOKUP(B66,'CIA MARKS'!C75:ES144,147,FALSE),"")</f>
        <v/>
      </c>
      <c r="P66" s="326" t="str">
        <f>IF(Theory!D$8="YES",VLOOKUP(B66,'CIA MARKS'!C75:EC144,131,FALSE),"")</f>
        <v/>
      </c>
      <c r="Q66" s="326" t="str">
        <f>IF(Theory!D$8="YES",VLOOKUP(B66,'CIA MARKS'!C75:EG144,135,FALSE),"")</f>
        <v/>
      </c>
      <c r="R66" s="170">
        <f t="shared" si="0"/>
        <v>0</v>
      </c>
      <c r="T66" s="164">
        <v>0</v>
      </c>
      <c r="U66" s="164">
        <v>0</v>
      </c>
      <c r="V66" s="164">
        <v>0</v>
      </c>
      <c r="W66" s="3">
        <v>0</v>
      </c>
      <c r="X66" s="164" t="str">
        <f>IF(Theory!D$7="YES",VLOOKUP(B66,'CIA MARKS'!C75:DT144,122,FALSE),"")</f>
        <v/>
      </c>
      <c r="Y66" s="164" t="str">
        <f>IF(Theory!D$7="YES",VLOOKUP(B66,'CIA MARKS'!C75:DW144,125,FALSE),"")</f>
        <v/>
      </c>
      <c r="Z66" s="334">
        <f t="shared" si="1"/>
        <v>0</v>
      </c>
    </row>
    <row r="67" spans="1:26">
      <c r="A67" s="164">
        <v>63</v>
      </c>
      <c r="B67" s="3" t="str">
        <f>Theory!B79</f>
        <v>1DS24AI401</v>
      </c>
      <c r="C67" s="318"/>
      <c r="D67" s="318"/>
      <c r="E67" s="318"/>
      <c r="F67" s="319">
        <f>IF(Theory!D$9="YES",VLOOKUP(B67,'CIA MARKS'!C76:ER145,146,FALSE),"")</f>
        <v>0</v>
      </c>
      <c r="G67" s="319">
        <f>IF(Theory!D$9="YES",VLOOKUP(B67,'CIA MARKS'!C76:ES145,147,FALSE),"")</f>
        <v>0</v>
      </c>
      <c r="H67" s="319">
        <f>IF(Theory!D$9="YES",VLOOKUP(B67,'CIA MARKS'!C76:DT145,122,FALSE),"")</f>
        <v>12</v>
      </c>
      <c r="I67" s="319">
        <f>IF(Theory!D$9="YES",VLOOKUP(B67,'CIA MARKS'!C76:DW145,125,FALSE),"")</f>
        <v>17</v>
      </c>
      <c r="J67" s="319">
        <f>IF(Theory!D$9="YES",VLOOKUP(B67,'CIA MARKS'!C76:EC145,131,FALSE),"")</f>
        <v>28</v>
      </c>
      <c r="K67" s="319">
        <f>IF(Theory!D$9="YES",VLOOKUP(B67,'CIA MARKS'!C76:EG145,135,FALSE),"")</f>
        <v>19</v>
      </c>
      <c r="L67" s="319">
        <f>IF(Theory!D$9="YES",VLOOKUP(B67,'CIA MARKS'!C76:EJ145,138,FALSE),"")</f>
        <v>36</v>
      </c>
      <c r="M67" s="316">
        <f t="shared" si="2"/>
        <v>0</v>
      </c>
      <c r="N67" s="325"/>
      <c r="O67" s="326" t="str">
        <f>IF(Theory!D$8="YES",VLOOKUP(B67,'CIA MARKS'!C76:ES145,147,FALSE),"")</f>
        <v/>
      </c>
      <c r="P67" s="326" t="str">
        <f>IF(Theory!D$8="YES",VLOOKUP(B67,'CIA MARKS'!C76:EC145,131,FALSE),"")</f>
        <v/>
      </c>
      <c r="Q67" s="326" t="str">
        <f>IF(Theory!D$8="YES",VLOOKUP(B67,'CIA MARKS'!C76:EG145,135,FALSE),"")</f>
        <v/>
      </c>
      <c r="R67" s="170">
        <f t="shared" si="0"/>
        <v>0</v>
      </c>
      <c r="T67" s="164">
        <v>0</v>
      </c>
      <c r="U67" s="164">
        <v>0</v>
      </c>
      <c r="V67" s="164">
        <v>0</v>
      </c>
      <c r="W67" s="3">
        <v>0</v>
      </c>
      <c r="X67" s="164" t="str">
        <f>IF(Theory!D$7="YES",VLOOKUP(B67,'CIA MARKS'!C76:DT145,122,FALSE),"")</f>
        <v/>
      </c>
      <c r="Y67" s="164" t="str">
        <f>IF(Theory!D$7="YES",VLOOKUP(B67,'CIA MARKS'!C76:DW145,125,FALSE),"")</f>
        <v/>
      </c>
      <c r="Z67" s="334">
        <f t="shared" si="1"/>
        <v>0</v>
      </c>
    </row>
    <row r="68" spans="1:26">
      <c r="A68" s="164">
        <v>64</v>
      </c>
      <c r="B68" s="3" t="str">
        <f>Theory!B80</f>
        <v>1DS24AI402</v>
      </c>
      <c r="C68" s="318"/>
      <c r="D68" s="318"/>
      <c r="E68" s="318"/>
      <c r="F68" s="319">
        <f>IF(Theory!D$9="YES",VLOOKUP(B68,'CIA MARKS'!C77:ER146,146,FALSE),"")</f>
        <v>0</v>
      </c>
      <c r="G68" s="319">
        <f>IF(Theory!D$9="YES",VLOOKUP(B68,'CIA MARKS'!C77:ES146,147,FALSE),"")</f>
        <v>0</v>
      </c>
      <c r="H68" s="319">
        <f>IF(Theory!D$9="YES",VLOOKUP(B68,'CIA MARKS'!C77:DT146,122,FALSE),"")</f>
        <v>23</v>
      </c>
      <c r="I68" s="319">
        <f>IF(Theory!D$9="YES",VLOOKUP(B68,'CIA MARKS'!C77:DW146,125,FALSE),"")</f>
        <v>17</v>
      </c>
      <c r="J68" s="319">
        <f>IF(Theory!D$9="YES",VLOOKUP(B68,'CIA MARKS'!C77:EC146,131,FALSE),"")</f>
        <v>30</v>
      </c>
      <c r="K68" s="319">
        <f>IF(Theory!D$9="YES",VLOOKUP(B68,'CIA MARKS'!C77:EG146,135,FALSE),"")</f>
        <v>20</v>
      </c>
      <c r="L68" s="319">
        <f>IF(Theory!D$9="YES",VLOOKUP(B68,'CIA MARKS'!C77:EJ146,138,FALSE),"")</f>
        <v>44</v>
      </c>
      <c r="M68" s="316">
        <f t="shared" si="2"/>
        <v>0</v>
      </c>
      <c r="N68" s="325"/>
      <c r="O68" s="326" t="str">
        <f>IF(Theory!D$8="YES",VLOOKUP(B68,'CIA MARKS'!C77:ES146,147,FALSE),"")</f>
        <v/>
      </c>
      <c r="P68" s="326" t="str">
        <f>IF(Theory!D$8="YES",VLOOKUP(B68,'CIA MARKS'!C77:EC146,131,FALSE),"")</f>
        <v/>
      </c>
      <c r="Q68" s="326" t="str">
        <f>IF(Theory!D$8="YES",VLOOKUP(B68,'CIA MARKS'!C77:EG146,135,FALSE),"")</f>
        <v/>
      </c>
      <c r="R68" s="170">
        <f t="shared" ref="R68:R74" si="3">SUM(P68:Q68)</f>
        <v>0</v>
      </c>
      <c r="T68" s="164">
        <v>0</v>
      </c>
      <c r="U68" s="164">
        <v>0</v>
      </c>
      <c r="V68" s="164">
        <v>0</v>
      </c>
      <c r="W68" s="3">
        <v>0</v>
      </c>
      <c r="X68" s="164" t="str">
        <f>IF(Theory!D$7="YES",VLOOKUP(B68,'CIA MARKS'!C77:DT146,122,FALSE),"")</f>
        <v/>
      </c>
      <c r="Y68" s="164" t="str">
        <f>IF(Theory!D$7="YES",VLOOKUP(B68,'CIA MARKS'!C77:DW146,125,FALSE),"")</f>
        <v/>
      </c>
      <c r="Z68" s="334">
        <f t="shared" ref="Z68:Z74" si="4">SUM(X68:Y68)</f>
        <v>0</v>
      </c>
    </row>
    <row r="69" spans="1:26">
      <c r="A69" s="164">
        <v>65</v>
      </c>
      <c r="B69" s="3" t="str">
        <f>Theory!B81</f>
        <v>1DS24AI403</v>
      </c>
      <c r="C69" s="318"/>
      <c r="D69" s="318"/>
      <c r="E69" s="318"/>
      <c r="F69" s="319">
        <f>IF(Theory!D$9="YES",VLOOKUP(B69,'CIA MARKS'!C78:ER147,146,FALSE),"")</f>
        <v>0</v>
      </c>
      <c r="G69" s="319">
        <f>IF(Theory!D$9="YES",VLOOKUP(B69,'CIA MARKS'!C78:ES147,147,FALSE),"")</f>
        <v>0</v>
      </c>
      <c r="H69" s="319">
        <f>IF(Theory!D$9="YES",VLOOKUP(B69,'CIA MARKS'!C78:DT147,122,FALSE),"")</f>
        <v>14</v>
      </c>
      <c r="I69" s="319">
        <f>IF(Theory!D$9="YES",VLOOKUP(B69,'CIA MARKS'!C78:DW147,125,FALSE),"")</f>
        <v>16</v>
      </c>
      <c r="J69" s="319">
        <f>IF(Theory!D$9="YES",VLOOKUP(B69,'CIA MARKS'!C78:EC147,131,FALSE),"")</f>
        <v>26</v>
      </c>
      <c r="K69" s="319">
        <f>IF(Theory!D$9="YES",VLOOKUP(B69,'CIA MARKS'!C78:EG147,135,FALSE),"")</f>
        <v>19</v>
      </c>
      <c r="L69" s="319">
        <f>IF(Theory!D$9="YES",VLOOKUP(B69,'CIA MARKS'!C78:EJ147,138,FALSE),"")</f>
        <v>36</v>
      </c>
      <c r="M69" s="316">
        <f t="shared" ref="M69:M74" si="5">SUM(F69:G69)</f>
        <v>0</v>
      </c>
      <c r="N69" s="325"/>
      <c r="O69" s="326" t="str">
        <f>IF(Theory!D$8="YES",VLOOKUP(B69,'CIA MARKS'!C78:ES147,147,FALSE),"")</f>
        <v/>
      </c>
      <c r="P69" s="326" t="str">
        <f>IF(Theory!D$8="YES",VLOOKUP(B69,'CIA MARKS'!C78:EC147,131,FALSE),"")</f>
        <v/>
      </c>
      <c r="Q69" s="326" t="str">
        <f>IF(Theory!D$8="YES",VLOOKUP(B69,'CIA MARKS'!C78:EG147,135,FALSE),"")</f>
        <v/>
      </c>
      <c r="R69" s="170">
        <f t="shared" si="3"/>
        <v>0</v>
      </c>
      <c r="T69" s="164">
        <v>0</v>
      </c>
      <c r="U69" s="164">
        <v>0</v>
      </c>
      <c r="V69" s="164">
        <v>0</v>
      </c>
      <c r="W69" s="3">
        <v>0</v>
      </c>
      <c r="X69" s="164" t="str">
        <f>IF(Theory!D$7="YES",VLOOKUP(B69,'CIA MARKS'!C78:DT147,122,FALSE),"")</f>
        <v/>
      </c>
      <c r="Y69" s="164" t="str">
        <f>IF(Theory!D$7="YES",VLOOKUP(B69,'CIA MARKS'!C78:DW147,125,FALSE),"")</f>
        <v/>
      </c>
      <c r="Z69" s="334">
        <f t="shared" si="4"/>
        <v>0</v>
      </c>
    </row>
    <row r="70" spans="1:26">
      <c r="A70" s="164">
        <v>66</v>
      </c>
      <c r="B70" s="3" t="str">
        <f>Theory!B82</f>
        <v>1DS24AI404</v>
      </c>
      <c r="C70" s="318"/>
      <c r="D70" s="318"/>
      <c r="E70" s="318"/>
      <c r="F70" s="319">
        <f>IF(Theory!D$9="YES",VLOOKUP(B70,'CIA MARKS'!C79:ER148,146,FALSE),"")</f>
        <v>0</v>
      </c>
      <c r="G70" s="319">
        <f>IF(Theory!D$9="YES",VLOOKUP(B70,'CIA MARKS'!C79:ES148,147,FALSE),"")</f>
        <v>0</v>
      </c>
      <c r="H70" s="319">
        <f>IF(Theory!D$9="YES",VLOOKUP(B70,'CIA MARKS'!C79:DT148,122,FALSE),"")</f>
        <v>14</v>
      </c>
      <c r="I70" s="319">
        <f>IF(Theory!D$9="YES",VLOOKUP(B70,'CIA MARKS'!C79:DW148,125,FALSE),"")</f>
        <v>17</v>
      </c>
      <c r="J70" s="319">
        <f>IF(Theory!D$9="YES",VLOOKUP(B70,'CIA MARKS'!C79:EC148,131,FALSE),"")</f>
        <v>28</v>
      </c>
      <c r="K70" s="319">
        <f>IF(Theory!D$9="YES",VLOOKUP(B70,'CIA MARKS'!C79:EG148,135,FALSE),"")</f>
        <v>10</v>
      </c>
      <c r="L70" s="319">
        <f>IF(Theory!D$9="YES",VLOOKUP(B70,'CIA MARKS'!C79:EJ148,138,FALSE),"")</f>
        <v>34</v>
      </c>
      <c r="M70" s="316">
        <f t="shared" si="5"/>
        <v>0</v>
      </c>
      <c r="N70" s="325"/>
      <c r="O70" s="326" t="str">
        <f>IF(Theory!D$8="YES",VLOOKUP(B70,'CIA MARKS'!C79:ES148,147,FALSE),"")</f>
        <v/>
      </c>
      <c r="P70" s="326" t="str">
        <f>IF(Theory!D$8="YES",VLOOKUP(B70,'CIA MARKS'!C79:EC148,131,FALSE),"")</f>
        <v/>
      </c>
      <c r="Q70" s="326" t="str">
        <f>IF(Theory!D$8="YES",VLOOKUP(B70,'CIA MARKS'!C79:EG148,135,FALSE),"")</f>
        <v/>
      </c>
      <c r="R70" s="170">
        <f t="shared" si="3"/>
        <v>0</v>
      </c>
      <c r="T70" s="164">
        <v>0</v>
      </c>
      <c r="U70" s="164">
        <v>0</v>
      </c>
      <c r="V70" s="164">
        <v>0</v>
      </c>
      <c r="W70" s="3">
        <v>0</v>
      </c>
      <c r="X70" s="164" t="str">
        <f>IF(Theory!D$7="YES",VLOOKUP(B70,'CIA MARKS'!C79:DT148,122,FALSE),"")</f>
        <v/>
      </c>
      <c r="Y70" s="164" t="str">
        <f>IF(Theory!D$7="YES",VLOOKUP(B70,'CIA MARKS'!C79:DW148,125,FALSE),"")</f>
        <v/>
      </c>
      <c r="Z70" s="334">
        <f t="shared" si="4"/>
        <v>0</v>
      </c>
    </row>
    <row r="71" spans="1:26">
      <c r="A71" s="164">
        <v>67</v>
      </c>
      <c r="B71" s="3" t="str">
        <f>Theory!B83</f>
        <v>1DS24AI405</v>
      </c>
      <c r="C71" s="318"/>
      <c r="D71" s="318"/>
      <c r="E71" s="318"/>
      <c r="F71" s="319">
        <f>IF(Theory!D$9="YES",VLOOKUP(B71,'CIA MARKS'!C80:ER149,146,FALSE),"")</f>
        <v>0</v>
      </c>
      <c r="G71" s="319">
        <f>IF(Theory!D$9="YES",VLOOKUP(B71,'CIA MARKS'!C80:ES149,147,FALSE),"")</f>
        <v>0</v>
      </c>
      <c r="H71" s="319">
        <f>IF(Theory!D$9="YES",VLOOKUP(B71,'CIA MARKS'!C80:DT149,122,FALSE),"")</f>
        <v>10</v>
      </c>
      <c r="I71" s="319">
        <f>IF(Theory!D$9="YES",VLOOKUP(B71,'CIA MARKS'!C80:DW149,125,FALSE),"")</f>
        <v>16</v>
      </c>
      <c r="J71" s="319">
        <f>IF(Theory!D$9="YES",VLOOKUP(B71,'CIA MARKS'!C80:EC149,131,FALSE),"")</f>
        <v>25</v>
      </c>
      <c r="K71" s="319">
        <f>IF(Theory!D$9="YES",VLOOKUP(B71,'CIA MARKS'!C80:EG149,135,FALSE),"")</f>
        <v>10</v>
      </c>
      <c r="L71" s="319">
        <f>IF(Theory!D$9="YES",VLOOKUP(B71,'CIA MARKS'!C80:EJ149,138,FALSE),"")</f>
        <v>30</v>
      </c>
      <c r="M71" s="316">
        <f t="shared" si="5"/>
        <v>0</v>
      </c>
      <c r="N71" s="325"/>
      <c r="O71" s="326" t="str">
        <f>IF(Theory!D$8="YES",VLOOKUP(B71,'CIA MARKS'!C80:ES149,147,FALSE),"")</f>
        <v/>
      </c>
      <c r="P71" s="326" t="str">
        <f>IF(Theory!D$8="YES",VLOOKUP(B71,'CIA MARKS'!C80:EC149,131,FALSE),"")</f>
        <v/>
      </c>
      <c r="Q71" s="326" t="str">
        <f>IF(Theory!D$8="YES",VLOOKUP(B71,'CIA MARKS'!C80:EG149,135,FALSE),"")</f>
        <v/>
      </c>
      <c r="R71" s="170">
        <f t="shared" si="3"/>
        <v>0</v>
      </c>
      <c r="T71" s="164">
        <v>0</v>
      </c>
      <c r="U71" s="164">
        <v>0</v>
      </c>
      <c r="V71" s="164">
        <v>0</v>
      </c>
      <c r="W71" s="3">
        <v>0</v>
      </c>
      <c r="X71" s="164" t="str">
        <f>IF(Theory!D$7="YES",VLOOKUP(B71,'CIA MARKS'!C80:DT149,122,FALSE),"")</f>
        <v/>
      </c>
      <c r="Y71" s="164" t="str">
        <f>IF(Theory!D$7="YES",VLOOKUP(B71,'CIA MARKS'!C80:DW149,125,FALSE),"")</f>
        <v/>
      </c>
      <c r="Z71" s="334">
        <f t="shared" si="4"/>
        <v>0</v>
      </c>
    </row>
    <row r="72" spans="1:26">
      <c r="A72" s="164">
        <v>68</v>
      </c>
      <c r="B72" s="3" t="str">
        <f>Theory!B84</f>
        <v>1DS24AI406</v>
      </c>
      <c r="C72" s="318"/>
      <c r="D72" s="318"/>
      <c r="E72" s="318"/>
      <c r="F72" s="319">
        <f>IF(Theory!D$9="YES",VLOOKUP(B72,'CIA MARKS'!C81:ER150,146,FALSE),"")</f>
        <v>0</v>
      </c>
      <c r="G72" s="319">
        <f>IF(Theory!D$9="YES",VLOOKUP(B72,'CIA MARKS'!C81:ES150,147,FALSE),"")</f>
        <v>0</v>
      </c>
      <c r="H72" s="319">
        <f>IF(Theory!D$9="YES",VLOOKUP(B72,'CIA MARKS'!C81:DT150,122,FALSE),"")</f>
        <v>19</v>
      </c>
      <c r="I72" s="319">
        <f>IF(Theory!D$9="YES",VLOOKUP(B72,'CIA MARKS'!C81:DW150,125,FALSE),"")</f>
        <v>14</v>
      </c>
      <c r="J72" s="319">
        <f>IF(Theory!D$9="YES",VLOOKUP(B72,'CIA MARKS'!C81:EC150,131,FALSE),"")</f>
        <v>28</v>
      </c>
      <c r="K72" s="319">
        <f>IF(Theory!D$9="YES",VLOOKUP(B72,'CIA MARKS'!C81:EG150,135,FALSE),"")</f>
        <v>15</v>
      </c>
      <c r="L72" s="319">
        <f>IF(Theory!D$9="YES",VLOOKUP(B72,'CIA MARKS'!C81:EJ150,138,FALSE),"")</f>
        <v>37</v>
      </c>
      <c r="M72" s="316">
        <f t="shared" si="5"/>
        <v>0</v>
      </c>
      <c r="N72" s="325"/>
      <c r="O72" s="326" t="str">
        <f>IF(Theory!D$8="YES",VLOOKUP(B72,'CIA MARKS'!C81:ES150,147,FALSE),"")</f>
        <v/>
      </c>
      <c r="P72" s="326" t="str">
        <f>IF(Theory!D$8="YES",VLOOKUP(B72,'CIA MARKS'!C81:EC150,131,FALSE),"")</f>
        <v/>
      </c>
      <c r="Q72" s="326" t="str">
        <f>IF(Theory!D$8="YES",VLOOKUP(B72,'CIA MARKS'!C81:EG150,135,FALSE),"")</f>
        <v/>
      </c>
      <c r="R72" s="170">
        <f t="shared" si="3"/>
        <v>0</v>
      </c>
      <c r="T72" s="164">
        <v>0</v>
      </c>
      <c r="U72" s="164">
        <v>0</v>
      </c>
      <c r="V72" s="164">
        <v>0</v>
      </c>
      <c r="W72" s="3">
        <v>0</v>
      </c>
      <c r="X72" s="164" t="str">
        <f>IF(Theory!D$7="YES",VLOOKUP(B72,'CIA MARKS'!C81:DT150,122,FALSE),"")</f>
        <v/>
      </c>
      <c r="Y72" s="164" t="str">
        <f>IF(Theory!D$7="YES",VLOOKUP(B72,'CIA MARKS'!C81:DW150,125,FALSE),"")</f>
        <v/>
      </c>
      <c r="Z72" s="334">
        <f t="shared" si="4"/>
        <v>0</v>
      </c>
    </row>
    <row r="73" spans="1:26">
      <c r="A73" s="164">
        <v>69</v>
      </c>
      <c r="B73" s="3">
        <f>Theory!B85</f>
        <v>0</v>
      </c>
      <c r="C73" s="318"/>
      <c r="D73" s="318"/>
      <c r="E73" s="318"/>
      <c r="F73" s="319" t="e">
        <f>IF(Theory!D$9="YES",VLOOKUP(B73,'CIA MARKS'!C82:ER151,146,FALSE),"")</f>
        <v>#N/A</v>
      </c>
      <c r="G73" s="319" t="e">
        <f>IF(Theory!D$9="YES",VLOOKUP(B73,'CIA MARKS'!C82:ES151,147,FALSE),"")</f>
        <v>#N/A</v>
      </c>
      <c r="H73" s="319" t="e">
        <f>IF(Theory!D$9="YES",VLOOKUP(B73,'CIA MARKS'!C82:DT151,122,FALSE),"")</f>
        <v>#N/A</v>
      </c>
      <c r="I73" s="319" t="e">
        <f>IF(Theory!D$9="YES",VLOOKUP(B73,'CIA MARKS'!C82:DW151,125,FALSE),"")</f>
        <v>#N/A</v>
      </c>
      <c r="J73" s="319">
        <f>IF(Theory!D$9="YES",VLOOKUP(B73,'CIA MARKS'!C82:EC151,131,FALSE),"")</f>
        <v>0</v>
      </c>
      <c r="K73" s="319">
        <f>IF(Theory!D$9="YES",VLOOKUP(B73,'CIA MARKS'!C82:EG151,135,FALSE),"")</f>
        <v>0</v>
      </c>
      <c r="L73" s="319" t="e">
        <f>IF(Theory!D$9="YES",VLOOKUP(B73,'CIA MARKS'!C82:EJ151,138,FALSE),"")</f>
        <v>#N/A</v>
      </c>
      <c r="M73" s="316" t="e">
        <f t="shared" si="5"/>
        <v>#N/A</v>
      </c>
      <c r="N73" s="325"/>
      <c r="O73" s="326" t="str">
        <f>IF(Theory!D$8="YES",VLOOKUP(B73,'CIA MARKS'!C82:ES151,147,FALSE),"")</f>
        <v/>
      </c>
      <c r="P73" s="326" t="str">
        <f>IF(Theory!D$8="YES",VLOOKUP(B73,'CIA MARKS'!C82:EC151,131,FALSE),"")</f>
        <v/>
      </c>
      <c r="Q73" s="326" t="str">
        <f>IF(Theory!D$8="YES",VLOOKUP(B73,'CIA MARKS'!C82:EG151,135,FALSE),"")</f>
        <v/>
      </c>
      <c r="R73" s="170">
        <f t="shared" si="3"/>
        <v>0</v>
      </c>
      <c r="T73" s="164">
        <v>0</v>
      </c>
      <c r="U73" s="164">
        <v>0</v>
      </c>
      <c r="V73" s="164">
        <v>0</v>
      </c>
      <c r="W73" s="3">
        <v>0</v>
      </c>
      <c r="X73" s="164" t="str">
        <f>IF(Theory!D$7="YES",VLOOKUP(B73,'CIA MARKS'!C82:DT151,122,FALSE),"")</f>
        <v/>
      </c>
      <c r="Y73" s="164" t="str">
        <f>IF(Theory!D$7="YES",VLOOKUP(B73,'CIA MARKS'!C82:DW151,125,FALSE),"")</f>
        <v/>
      </c>
      <c r="Z73" s="334">
        <f t="shared" si="4"/>
        <v>0</v>
      </c>
    </row>
    <row r="74" spans="1:26">
      <c r="A74" s="164">
        <v>70</v>
      </c>
      <c r="B74" s="3">
        <f>Theory!B86</f>
        <v>0</v>
      </c>
      <c r="C74" s="318"/>
      <c r="D74" s="318"/>
      <c r="E74" s="318"/>
      <c r="F74" s="319" t="e">
        <f>IF(Theory!D$9="YES",VLOOKUP(B74,'CIA MARKS'!C83:ER152,146,FALSE),"")</f>
        <v>#N/A</v>
      </c>
      <c r="G74" s="319" t="e">
        <f>IF(Theory!D$9="YES",VLOOKUP(B74,'CIA MARKS'!C83:ES152,147,FALSE),"")</f>
        <v>#N/A</v>
      </c>
      <c r="H74" s="319" t="e">
        <f>IF(Theory!D$9="YES",VLOOKUP(B74,'CIA MARKS'!C83:DT152,122,FALSE),"")</f>
        <v>#N/A</v>
      </c>
      <c r="I74" s="319" t="e">
        <f>IF(Theory!D$9="YES",VLOOKUP(B74,'CIA MARKS'!C83:DW152,125,FALSE),"")</f>
        <v>#N/A</v>
      </c>
      <c r="J74" s="319">
        <f>IF(Theory!D$9="YES",VLOOKUP(B74,'CIA MARKS'!C83:EC152,131,FALSE),"")</f>
        <v>0</v>
      </c>
      <c r="K74" s="319">
        <f>IF(Theory!D$9="YES",VLOOKUP(B74,'CIA MARKS'!C83:EG152,135,FALSE),"")</f>
        <v>0</v>
      </c>
      <c r="L74" s="319" t="e">
        <f>IF(Theory!D$9="YES",VLOOKUP(B74,'CIA MARKS'!C83:EJ152,138,FALSE),"")</f>
        <v>#N/A</v>
      </c>
      <c r="M74" s="316" t="e">
        <f t="shared" si="5"/>
        <v>#N/A</v>
      </c>
      <c r="N74" s="325"/>
      <c r="O74" s="326" t="str">
        <f>IF(Theory!D$8="YES",VLOOKUP(B74,'CIA MARKS'!C83:ES152,147,FALSE),"")</f>
        <v/>
      </c>
      <c r="P74" s="326" t="str">
        <f>IF(Theory!D$8="YES",VLOOKUP(B74,'CIA MARKS'!C83:EC152,131,FALSE),"")</f>
        <v/>
      </c>
      <c r="Q74" s="326" t="str">
        <f>IF(Theory!D$8="YES",VLOOKUP(B74,'CIA MARKS'!C83:EG152,135,FALSE),"")</f>
        <v/>
      </c>
      <c r="R74" s="170">
        <f t="shared" si="3"/>
        <v>0</v>
      </c>
      <c r="T74" s="164">
        <v>0</v>
      </c>
      <c r="U74" s="164">
        <v>0</v>
      </c>
      <c r="V74" s="164">
        <v>0</v>
      </c>
      <c r="W74" s="3">
        <v>0</v>
      </c>
      <c r="X74" s="164" t="str">
        <f>IF(Theory!D$7="YES",VLOOKUP(B74,'CIA MARKS'!C83:DT152,122,FALSE),"")</f>
        <v/>
      </c>
      <c r="Y74" s="164" t="str">
        <f>IF(Theory!D$7="YES",VLOOKUP(B74,'CIA MARKS'!C83:DW152,125,FALSE),"")</f>
        <v/>
      </c>
      <c r="Z74" s="334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2" priority="3" operator="lessThan">
      <formula>11</formula>
    </cfRule>
  </conditionalFormatting>
  <conditionalFormatting sqref="I5:I74 K5:K74 Q5:Q74 Y5:Y74">
    <cfRule type="cellIs" dxfId="13" priority="5" operator="lessThan">
      <formula>8</formula>
    </cfRule>
  </conditionalFormatting>
  <conditionalFormatting sqref="J5:J74 P5:P74 X5:X74">
    <cfRule type="cellIs" dxfId="14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tabSelected="1" zoomScale="51" zoomScaleNormal="51" topLeftCell="A22" workbookViewId="0">
      <selection activeCell="I80" sqref="I80"/>
    </sheetView>
  </sheetViews>
  <sheetFormatPr defaultColWidth="9" defaultRowHeight="16.8"/>
  <cols>
    <col min="2" max="2" width="14.546875" customWidth="1"/>
    <col min="3" max="3" width="21.3671875" customWidth="1"/>
    <col min="258" max="258" width="18" customWidth="1"/>
    <col min="259" max="259" width="12.7265625" customWidth="1"/>
    <col min="514" max="514" width="18" customWidth="1"/>
    <col min="515" max="515" width="12.7265625" customWidth="1"/>
    <col min="770" max="770" width="18" customWidth="1"/>
    <col min="771" max="771" width="12.7265625" customWidth="1"/>
    <col min="1026" max="1026" width="18" customWidth="1"/>
    <col min="1027" max="1027" width="12.7265625" customWidth="1"/>
    <col min="1282" max="1282" width="18" customWidth="1"/>
    <col min="1283" max="1283" width="12.7265625" customWidth="1"/>
    <col min="1538" max="1538" width="18" customWidth="1"/>
    <col min="1539" max="1539" width="12.7265625" customWidth="1"/>
    <col min="1794" max="1794" width="18" customWidth="1"/>
    <col min="1795" max="1795" width="12.7265625" customWidth="1"/>
    <col min="2050" max="2050" width="18" customWidth="1"/>
    <col min="2051" max="2051" width="12.7265625" customWidth="1"/>
    <col min="2306" max="2306" width="18" customWidth="1"/>
    <col min="2307" max="2307" width="12.7265625" customWidth="1"/>
    <col min="2562" max="2562" width="18" customWidth="1"/>
    <col min="2563" max="2563" width="12.7265625" customWidth="1"/>
    <col min="2818" max="2818" width="18" customWidth="1"/>
    <col min="2819" max="2819" width="12.7265625" customWidth="1"/>
    <col min="3074" max="3074" width="18" customWidth="1"/>
    <col min="3075" max="3075" width="12.7265625" customWidth="1"/>
    <col min="3330" max="3330" width="18" customWidth="1"/>
    <col min="3331" max="3331" width="12.7265625" customWidth="1"/>
    <col min="3586" max="3586" width="18" customWidth="1"/>
    <col min="3587" max="3587" width="12.7265625" customWidth="1"/>
    <col min="3842" max="3842" width="18" customWidth="1"/>
    <col min="3843" max="3843" width="12.7265625" customWidth="1"/>
    <col min="4098" max="4098" width="18" customWidth="1"/>
    <col min="4099" max="4099" width="12.7265625" customWidth="1"/>
    <col min="4354" max="4354" width="18" customWidth="1"/>
    <col min="4355" max="4355" width="12.7265625" customWidth="1"/>
    <col min="4610" max="4610" width="18" customWidth="1"/>
    <col min="4611" max="4611" width="12.7265625" customWidth="1"/>
    <col min="4866" max="4866" width="18" customWidth="1"/>
    <col min="4867" max="4867" width="12.7265625" customWidth="1"/>
    <col min="5122" max="5122" width="18" customWidth="1"/>
    <col min="5123" max="5123" width="12.7265625" customWidth="1"/>
    <col min="5378" max="5378" width="18" customWidth="1"/>
    <col min="5379" max="5379" width="12.7265625" customWidth="1"/>
    <col min="5634" max="5634" width="18" customWidth="1"/>
    <col min="5635" max="5635" width="12.7265625" customWidth="1"/>
    <col min="5890" max="5890" width="18" customWidth="1"/>
    <col min="5891" max="5891" width="12.7265625" customWidth="1"/>
    <col min="6146" max="6146" width="18" customWidth="1"/>
    <col min="6147" max="6147" width="12.7265625" customWidth="1"/>
    <col min="6402" max="6402" width="18" customWidth="1"/>
    <col min="6403" max="6403" width="12.7265625" customWidth="1"/>
    <col min="6658" max="6658" width="18" customWidth="1"/>
    <col min="6659" max="6659" width="12.7265625" customWidth="1"/>
    <col min="6914" max="6914" width="18" customWidth="1"/>
    <col min="6915" max="6915" width="12.7265625" customWidth="1"/>
    <col min="7170" max="7170" width="18" customWidth="1"/>
    <col min="7171" max="7171" width="12.7265625" customWidth="1"/>
    <col min="7426" max="7426" width="18" customWidth="1"/>
    <col min="7427" max="7427" width="12.7265625" customWidth="1"/>
    <col min="7682" max="7682" width="18" customWidth="1"/>
    <col min="7683" max="7683" width="12.7265625" customWidth="1"/>
    <col min="7938" max="7938" width="18" customWidth="1"/>
    <col min="7939" max="7939" width="12.7265625" customWidth="1"/>
    <col min="8194" max="8194" width="18" customWidth="1"/>
    <col min="8195" max="8195" width="12.7265625" customWidth="1"/>
    <col min="8450" max="8450" width="18" customWidth="1"/>
    <col min="8451" max="8451" width="12.7265625" customWidth="1"/>
    <col min="8706" max="8706" width="18" customWidth="1"/>
    <col min="8707" max="8707" width="12.7265625" customWidth="1"/>
    <col min="8962" max="8962" width="18" customWidth="1"/>
    <col min="8963" max="8963" width="12.7265625" customWidth="1"/>
    <col min="9218" max="9218" width="18" customWidth="1"/>
    <col min="9219" max="9219" width="12.7265625" customWidth="1"/>
    <col min="9474" max="9474" width="18" customWidth="1"/>
    <col min="9475" max="9475" width="12.7265625" customWidth="1"/>
    <col min="9730" max="9730" width="18" customWidth="1"/>
    <col min="9731" max="9731" width="12.7265625" customWidth="1"/>
    <col min="9986" max="9986" width="18" customWidth="1"/>
    <col min="9987" max="9987" width="12.7265625" customWidth="1"/>
    <col min="10242" max="10242" width="18" customWidth="1"/>
    <col min="10243" max="10243" width="12.7265625" customWidth="1"/>
    <col min="10498" max="10498" width="18" customWidth="1"/>
    <col min="10499" max="10499" width="12.7265625" customWidth="1"/>
    <col min="10754" max="10754" width="18" customWidth="1"/>
    <col min="10755" max="10755" width="12.7265625" customWidth="1"/>
    <col min="11010" max="11010" width="18" customWidth="1"/>
    <col min="11011" max="11011" width="12.7265625" customWidth="1"/>
    <col min="11266" max="11266" width="18" customWidth="1"/>
    <col min="11267" max="11267" width="12.7265625" customWidth="1"/>
    <col min="11522" max="11522" width="18" customWidth="1"/>
    <col min="11523" max="11523" width="12.7265625" customWidth="1"/>
    <col min="11778" max="11778" width="18" customWidth="1"/>
    <col min="11779" max="11779" width="12.7265625" customWidth="1"/>
    <col min="12034" max="12034" width="18" customWidth="1"/>
    <col min="12035" max="12035" width="12.7265625" customWidth="1"/>
    <col min="12290" max="12290" width="18" customWidth="1"/>
    <col min="12291" max="12291" width="12.7265625" customWidth="1"/>
    <col min="12546" max="12546" width="18" customWidth="1"/>
    <col min="12547" max="12547" width="12.7265625" customWidth="1"/>
    <col min="12802" max="12802" width="18" customWidth="1"/>
    <col min="12803" max="12803" width="12.7265625" customWidth="1"/>
    <col min="13058" max="13058" width="18" customWidth="1"/>
    <col min="13059" max="13059" width="12.7265625" customWidth="1"/>
    <col min="13314" max="13314" width="18" customWidth="1"/>
    <col min="13315" max="13315" width="12.7265625" customWidth="1"/>
    <col min="13570" max="13570" width="18" customWidth="1"/>
    <col min="13571" max="13571" width="12.7265625" customWidth="1"/>
    <col min="13826" max="13826" width="18" customWidth="1"/>
    <col min="13827" max="13827" width="12.7265625" customWidth="1"/>
    <col min="14082" max="14082" width="18" customWidth="1"/>
    <col min="14083" max="14083" width="12.7265625" customWidth="1"/>
    <col min="14338" max="14338" width="18" customWidth="1"/>
    <col min="14339" max="14339" width="12.7265625" customWidth="1"/>
    <col min="14594" max="14594" width="18" customWidth="1"/>
    <col min="14595" max="14595" width="12.7265625" customWidth="1"/>
    <col min="14850" max="14850" width="18" customWidth="1"/>
    <col min="14851" max="14851" width="12.7265625" customWidth="1"/>
    <col min="15106" max="15106" width="18" customWidth="1"/>
    <col min="15107" max="15107" width="12.7265625" customWidth="1"/>
    <col min="15362" max="15362" width="18" customWidth="1"/>
    <col min="15363" max="15363" width="12.7265625" customWidth="1"/>
    <col min="15618" max="15618" width="18" customWidth="1"/>
    <col min="15619" max="15619" width="12.7265625" customWidth="1"/>
    <col min="15874" max="15874" width="18" customWidth="1"/>
    <col min="15875" max="15875" width="12.7265625" customWidth="1"/>
    <col min="16130" max="16130" width="18" customWidth="1"/>
    <col min="16131" max="16131" width="12.7265625" customWidth="1"/>
  </cols>
  <sheetData>
    <row r="1" spans="4:13">
      <c r="D1" s="164" t="s">
        <v>339</v>
      </c>
      <c r="E1" s="164"/>
      <c r="F1" s="164"/>
      <c r="G1" s="164" t="s">
        <v>340</v>
      </c>
      <c r="H1" s="164"/>
      <c r="I1" s="164" t="s">
        <v>341</v>
      </c>
      <c r="J1" s="164"/>
      <c r="K1" s="164" t="s">
        <v>342</v>
      </c>
      <c r="L1" s="164" t="s">
        <v>343</v>
      </c>
      <c r="M1" s="164" t="s">
        <v>344</v>
      </c>
    </row>
    <row r="2" spans="4:13">
      <c r="D2" s="280" t="s">
        <v>256</v>
      </c>
      <c r="E2" s="280" t="s">
        <v>256</v>
      </c>
      <c r="F2" s="280" t="s">
        <v>257</v>
      </c>
      <c r="G2" s="280" t="s">
        <v>257</v>
      </c>
      <c r="H2" s="280" t="s">
        <v>258</v>
      </c>
      <c r="I2" s="280" t="s">
        <v>258</v>
      </c>
      <c r="J2" s="280" t="s">
        <v>259</v>
      </c>
      <c r="K2" s="280" t="s">
        <v>259</v>
      </c>
      <c r="L2" s="280" t="s">
        <v>260</v>
      </c>
      <c r="M2" s="280" t="s">
        <v>261</v>
      </c>
    </row>
    <row r="3" ht="17.55" spans="1:13">
      <c r="A3" s="281">
        <v>1</v>
      </c>
      <c r="B3" s="282" t="s">
        <v>88</v>
      </c>
      <c r="C3" s="283" t="s">
        <v>89</v>
      </c>
      <c r="D3" s="284">
        <v>5</v>
      </c>
      <c r="G3" s="284">
        <v>5</v>
      </c>
      <c r="I3" s="284">
        <v>5</v>
      </c>
      <c r="J3" s="291"/>
      <c r="K3" s="284">
        <v>5</v>
      </c>
      <c r="L3" s="284">
        <v>5</v>
      </c>
      <c r="M3" s="284">
        <v>5</v>
      </c>
    </row>
    <row r="4" ht="17.55" spans="1:13">
      <c r="A4" s="285">
        <v>2</v>
      </c>
      <c r="B4" s="282" t="s">
        <v>91</v>
      </c>
      <c r="C4" s="283" t="s">
        <v>92</v>
      </c>
      <c r="D4" s="284">
        <v>5</v>
      </c>
      <c r="G4" s="284">
        <v>5</v>
      </c>
      <c r="I4" s="292">
        <v>5</v>
      </c>
      <c r="J4" s="291"/>
      <c r="K4" s="292">
        <v>5</v>
      </c>
      <c r="L4" s="292">
        <v>5</v>
      </c>
      <c r="M4" s="292">
        <v>5</v>
      </c>
    </row>
    <row r="5" ht="17.55" spans="1:13">
      <c r="A5" s="286">
        <v>3</v>
      </c>
      <c r="B5" s="282" t="s">
        <v>97</v>
      </c>
      <c r="C5" s="283" t="s">
        <v>98</v>
      </c>
      <c r="D5" s="284">
        <v>5</v>
      </c>
      <c r="G5" s="284">
        <v>5</v>
      </c>
      <c r="I5" s="292">
        <v>4</v>
      </c>
      <c r="J5" s="291"/>
      <c r="K5" s="292">
        <v>4</v>
      </c>
      <c r="L5" s="292">
        <v>4</v>
      </c>
      <c r="M5" s="292">
        <v>4</v>
      </c>
    </row>
    <row r="6" ht="17.55" spans="1:13">
      <c r="A6" s="285">
        <v>4</v>
      </c>
      <c r="B6" s="282" t="s">
        <v>99</v>
      </c>
      <c r="C6" s="283" t="s">
        <v>100</v>
      </c>
      <c r="D6" s="284">
        <v>5</v>
      </c>
      <c r="G6" s="284">
        <v>5</v>
      </c>
      <c r="I6" s="292">
        <v>5</v>
      </c>
      <c r="J6" s="291"/>
      <c r="K6" s="292">
        <v>5</v>
      </c>
      <c r="L6" s="292">
        <v>5</v>
      </c>
      <c r="M6" s="292">
        <v>5</v>
      </c>
    </row>
    <row r="7" ht="17.55" spans="1:13">
      <c r="A7" s="286">
        <v>5</v>
      </c>
      <c r="B7" s="282" t="s">
        <v>106</v>
      </c>
      <c r="C7" s="283" t="s">
        <v>107</v>
      </c>
      <c r="D7" s="284">
        <v>5</v>
      </c>
      <c r="G7" s="284">
        <v>5</v>
      </c>
      <c r="I7" s="292">
        <v>5</v>
      </c>
      <c r="J7" s="291"/>
      <c r="K7" s="292">
        <v>5</v>
      </c>
      <c r="L7" s="292">
        <v>5</v>
      </c>
      <c r="M7" s="292">
        <v>5</v>
      </c>
    </row>
    <row r="8" ht="17.55" spans="1:13">
      <c r="A8" s="285">
        <v>6</v>
      </c>
      <c r="B8" s="282" t="s">
        <v>108</v>
      </c>
      <c r="C8" s="283" t="s">
        <v>109</v>
      </c>
      <c r="D8" s="284">
        <v>5</v>
      </c>
      <c r="G8" s="284">
        <v>5</v>
      </c>
      <c r="I8" s="292">
        <v>3</v>
      </c>
      <c r="J8" s="291"/>
      <c r="K8" s="292">
        <v>3</v>
      </c>
      <c r="L8" s="292">
        <v>3</v>
      </c>
      <c r="M8" s="292">
        <v>3</v>
      </c>
    </row>
    <row r="9" ht="17.55" spans="1:13">
      <c r="A9" s="286">
        <v>7</v>
      </c>
      <c r="B9" s="282" t="s">
        <v>111</v>
      </c>
      <c r="C9" s="283" t="s">
        <v>112</v>
      </c>
      <c r="D9" s="284">
        <v>5</v>
      </c>
      <c r="G9" s="284">
        <v>5</v>
      </c>
      <c r="I9" s="292">
        <v>5</v>
      </c>
      <c r="J9" s="291"/>
      <c r="K9" s="292">
        <v>5</v>
      </c>
      <c r="L9" s="292">
        <v>5</v>
      </c>
      <c r="M9" s="292">
        <v>5</v>
      </c>
    </row>
    <row r="10" ht="17.55" spans="1:13">
      <c r="A10" s="285">
        <v>8</v>
      </c>
      <c r="B10" s="282" t="s">
        <v>115</v>
      </c>
      <c r="C10" s="283" t="s">
        <v>116</v>
      </c>
      <c r="D10" s="284">
        <v>5</v>
      </c>
      <c r="G10" s="284">
        <v>5</v>
      </c>
      <c r="I10" s="292">
        <v>5</v>
      </c>
      <c r="J10" s="291"/>
      <c r="K10" s="292">
        <v>5</v>
      </c>
      <c r="L10" s="292">
        <v>5</v>
      </c>
      <c r="M10" s="292">
        <v>5</v>
      </c>
    </row>
    <row r="11" ht="17.55" spans="1:13">
      <c r="A11" s="286">
        <v>9</v>
      </c>
      <c r="B11" s="282" t="s">
        <v>117</v>
      </c>
      <c r="C11" s="283" t="s">
        <v>118</v>
      </c>
      <c r="D11" s="284">
        <v>5</v>
      </c>
      <c r="G11" s="284">
        <v>5</v>
      </c>
      <c r="I11" s="292">
        <v>5</v>
      </c>
      <c r="J11" s="291"/>
      <c r="K11" s="292">
        <v>4</v>
      </c>
      <c r="L11" s="292">
        <v>3</v>
      </c>
      <c r="M11" s="292">
        <v>5</v>
      </c>
    </row>
    <row r="12" ht="17.55" spans="1:13">
      <c r="A12" s="285">
        <v>10</v>
      </c>
      <c r="B12" s="282" t="s">
        <v>119</v>
      </c>
      <c r="C12" s="283" t="s">
        <v>120</v>
      </c>
      <c r="D12" s="284">
        <v>5</v>
      </c>
      <c r="G12" s="284">
        <v>5</v>
      </c>
      <c r="I12" s="292">
        <v>5</v>
      </c>
      <c r="J12" s="291"/>
      <c r="K12" s="292">
        <v>5</v>
      </c>
      <c r="L12" s="292">
        <v>5</v>
      </c>
      <c r="M12" s="292">
        <v>5</v>
      </c>
    </row>
    <row r="13" ht="17.55" spans="1:13">
      <c r="A13" s="286">
        <v>11</v>
      </c>
      <c r="B13" s="282" t="s">
        <v>122</v>
      </c>
      <c r="C13" s="283" t="s">
        <v>123</v>
      </c>
      <c r="D13" s="284">
        <v>5</v>
      </c>
      <c r="G13" s="284">
        <v>5</v>
      </c>
      <c r="I13" s="292">
        <v>5</v>
      </c>
      <c r="J13" s="291"/>
      <c r="K13" s="292">
        <v>5</v>
      </c>
      <c r="L13" s="292">
        <v>4</v>
      </c>
      <c r="M13" s="292">
        <v>5</v>
      </c>
    </row>
    <row r="14" ht="17.55" spans="1:13">
      <c r="A14" s="285">
        <v>12</v>
      </c>
      <c r="B14" s="282" t="s">
        <v>124</v>
      </c>
      <c r="C14" s="283" t="s">
        <v>125</v>
      </c>
      <c r="D14" s="284">
        <v>5</v>
      </c>
      <c r="G14" s="284">
        <v>5</v>
      </c>
      <c r="I14" s="292">
        <v>5</v>
      </c>
      <c r="J14" s="291"/>
      <c r="K14" s="292">
        <v>5</v>
      </c>
      <c r="L14" s="292">
        <v>5</v>
      </c>
      <c r="M14" s="292">
        <v>5</v>
      </c>
    </row>
    <row r="15" ht="17.55" spans="1:13">
      <c r="A15" s="286">
        <v>13</v>
      </c>
      <c r="B15" s="282" t="s">
        <v>126</v>
      </c>
      <c r="C15" s="283" t="s">
        <v>127</v>
      </c>
      <c r="D15" s="284">
        <v>5</v>
      </c>
      <c r="G15" s="284">
        <v>5</v>
      </c>
      <c r="I15" s="292">
        <v>3</v>
      </c>
      <c r="J15" s="291"/>
      <c r="K15" s="292">
        <v>3</v>
      </c>
      <c r="L15" s="292">
        <v>3</v>
      </c>
      <c r="M15" s="292">
        <v>3</v>
      </c>
    </row>
    <row r="16" ht="17.55" spans="1:13">
      <c r="A16" s="285">
        <v>14</v>
      </c>
      <c r="B16" s="282" t="s">
        <v>128</v>
      </c>
      <c r="C16" s="283" t="s">
        <v>129</v>
      </c>
      <c r="D16" s="284">
        <v>5</v>
      </c>
      <c r="G16" s="284">
        <v>5</v>
      </c>
      <c r="I16" s="292">
        <v>5</v>
      </c>
      <c r="J16" s="291"/>
      <c r="K16" s="292">
        <v>4</v>
      </c>
      <c r="L16" s="292">
        <v>4</v>
      </c>
      <c r="M16" s="292">
        <v>4</v>
      </c>
    </row>
    <row r="17" ht="17.55" spans="1:13">
      <c r="A17" s="286">
        <v>15</v>
      </c>
      <c r="B17" s="282" t="s">
        <v>130</v>
      </c>
      <c r="C17" s="283" t="s">
        <v>131</v>
      </c>
      <c r="D17" s="284">
        <v>5</v>
      </c>
      <c r="G17" s="284">
        <v>5</v>
      </c>
      <c r="I17" s="292">
        <v>4</v>
      </c>
      <c r="J17" s="291"/>
      <c r="K17" s="292">
        <v>5</v>
      </c>
      <c r="L17" s="292">
        <v>5</v>
      </c>
      <c r="M17" s="292">
        <v>5</v>
      </c>
    </row>
    <row r="18" ht="17.55" spans="1:13">
      <c r="A18" s="285">
        <v>16</v>
      </c>
      <c r="B18" s="282" t="s">
        <v>134</v>
      </c>
      <c r="C18" s="283" t="s">
        <v>135</v>
      </c>
      <c r="D18" s="284">
        <v>5</v>
      </c>
      <c r="G18" s="284">
        <v>5</v>
      </c>
      <c r="I18" s="292">
        <v>5</v>
      </c>
      <c r="J18" s="291"/>
      <c r="K18" s="292">
        <v>5</v>
      </c>
      <c r="L18" s="292">
        <v>5</v>
      </c>
      <c r="M18" s="292">
        <v>5</v>
      </c>
    </row>
    <row r="19" ht="17.55" spans="1:13">
      <c r="A19" s="286">
        <v>17</v>
      </c>
      <c r="B19" s="282" t="s">
        <v>136</v>
      </c>
      <c r="C19" s="283" t="s">
        <v>137</v>
      </c>
      <c r="D19" s="284">
        <v>5</v>
      </c>
      <c r="G19" s="284">
        <v>5</v>
      </c>
      <c r="I19" s="292">
        <v>5</v>
      </c>
      <c r="J19" s="291"/>
      <c r="K19" s="292">
        <v>5</v>
      </c>
      <c r="L19" s="292">
        <v>5</v>
      </c>
      <c r="M19" s="292">
        <v>5</v>
      </c>
    </row>
    <row r="20" ht="17.55" spans="1:13">
      <c r="A20" s="285">
        <v>18</v>
      </c>
      <c r="B20" s="282" t="s">
        <v>138</v>
      </c>
      <c r="C20" s="283" t="s">
        <v>139</v>
      </c>
      <c r="D20" s="284">
        <v>5</v>
      </c>
      <c r="G20" s="284">
        <v>5</v>
      </c>
      <c r="I20" s="292">
        <v>5</v>
      </c>
      <c r="J20" s="291"/>
      <c r="K20" s="292">
        <v>5</v>
      </c>
      <c r="L20" s="292">
        <v>5</v>
      </c>
      <c r="M20" s="292">
        <v>5</v>
      </c>
    </row>
    <row r="21" ht="17.55" spans="1:13">
      <c r="A21" s="286">
        <v>19</v>
      </c>
      <c r="B21" s="282" t="s">
        <v>140</v>
      </c>
      <c r="C21" s="283" t="s">
        <v>141</v>
      </c>
      <c r="D21" s="284">
        <v>5</v>
      </c>
      <c r="G21" s="284">
        <v>5</v>
      </c>
      <c r="I21" s="292">
        <v>5</v>
      </c>
      <c r="J21" s="291"/>
      <c r="K21" s="292">
        <v>5</v>
      </c>
      <c r="L21" s="292">
        <v>5</v>
      </c>
      <c r="M21" s="292">
        <v>5</v>
      </c>
    </row>
    <row r="22" ht="29.75" spans="1:13">
      <c r="A22" s="285">
        <v>20</v>
      </c>
      <c r="B22" s="282" t="s">
        <v>142</v>
      </c>
      <c r="C22" s="283" t="s">
        <v>143</v>
      </c>
      <c r="D22" s="284">
        <v>5</v>
      </c>
      <c r="G22" s="284">
        <v>5</v>
      </c>
      <c r="I22" s="292">
        <v>4</v>
      </c>
      <c r="J22" s="291"/>
      <c r="K22" s="292">
        <v>4</v>
      </c>
      <c r="L22" s="292">
        <v>3</v>
      </c>
      <c r="M22" s="292">
        <v>4</v>
      </c>
    </row>
    <row r="23" ht="17.55" spans="1:13">
      <c r="A23" s="286">
        <v>21</v>
      </c>
      <c r="B23" s="282" t="s">
        <v>144</v>
      </c>
      <c r="C23" s="283" t="s">
        <v>145</v>
      </c>
      <c r="D23" s="284">
        <v>5</v>
      </c>
      <c r="G23" s="284">
        <v>5</v>
      </c>
      <c r="I23" s="292">
        <v>5</v>
      </c>
      <c r="J23" s="291"/>
      <c r="K23" s="292">
        <v>5</v>
      </c>
      <c r="L23" s="292">
        <v>5</v>
      </c>
      <c r="M23" s="292">
        <v>5</v>
      </c>
    </row>
    <row r="24" ht="17.55" spans="1:13">
      <c r="A24" s="285">
        <v>22</v>
      </c>
      <c r="B24" s="282" t="s">
        <v>148</v>
      </c>
      <c r="C24" s="283" t="s">
        <v>149</v>
      </c>
      <c r="D24" s="284">
        <v>5</v>
      </c>
      <c r="G24" s="284">
        <v>5</v>
      </c>
      <c r="I24" s="292">
        <v>5</v>
      </c>
      <c r="J24" s="291"/>
      <c r="K24" s="292">
        <v>5</v>
      </c>
      <c r="L24" s="292">
        <v>5</v>
      </c>
      <c r="M24" s="292">
        <v>5</v>
      </c>
    </row>
    <row r="25" ht="17.55" spans="1:13">
      <c r="A25" s="286">
        <v>23</v>
      </c>
      <c r="B25" s="282" t="s">
        <v>153</v>
      </c>
      <c r="C25" s="283" t="s">
        <v>154</v>
      </c>
      <c r="D25" s="284">
        <v>5</v>
      </c>
      <c r="G25" s="284">
        <v>5</v>
      </c>
      <c r="I25" s="292">
        <v>5</v>
      </c>
      <c r="J25" s="291"/>
      <c r="K25" s="292">
        <v>5</v>
      </c>
      <c r="L25" s="292">
        <v>5</v>
      </c>
      <c r="M25" s="292">
        <v>5</v>
      </c>
    </row>
    <row r="26" ht="29.75" spans="1:13">
      <c r="A26" s="285">
        <v>24</v>
      </c>
      <c r="B26" s="282" t="s">
        <v>157</v>
      </c>
      <c r="C26" s="283" t="s">
        <v>158</v>
      </c>
      <c r="D26" s="284">
        <v>5</v>
      </c>
      <c r="G26" s="284">
        <v>5</v>
      </c>
      <c r="I26" s="292">
        <v>5</v>
      </c>
      <c r="J26" s="291"/>
      <c r="K26" s="292">
        <v>5</v>
      </c>
      <c r="L26" s="292">
        <v>5</v>
      </c>
      <c r="M26" s="292">
        <v>5</v>
      </c>
    </row>
    <row r="27" ht="17.55" spans="1:13">
      <c r="A27" s="286">
        <v>25</v>
      </c>
      <c r="B27" s="282" t="s">
        <v>159</v>
      </c>
      <c r="C27" s="283" t="s">
        <v>160</v>
      </c>
      <c r="D27" s="284">
        <v>5</v>
      </c>
      <c r="G27" s="284">
        <v>5</v>
      </c>
      <c r="I27" s="292">
        <v>5</v>
      </c>
      <c r="J27" s="291"/>
      <c r="K27" s="292">
        <v>5</v>
      </c>
      <c r="L27" s="292">
        <v>5</v>
      </c>
      <c r="M27" s="292">
        <v>5</v>
      </c>
    </row>
    <row r="28" ht="17.55" spans="1:13">
      <c r="A28" s="285">
        <v>26</v>
      </c>
      <c r="B28" s="282" t="s">
        <v>161</v>
      </c>
      <c r="C28" s="283" t="s">
        <v>162</v>
      </c>
      <c r="D28" s="284">
        <v>5</v>
      </c>
      <c r="G28" s="284">
        <v>5</v>
      </c>
      <c r="I28" s="292">
        <v>5</v>
      </c>
      <c r="J28" s="291"/>
      <c r="K28" s="292">
        <v>5</v>
      </c>
      <c r="L28" s="292">
        <v>4</v>
      </c>
      <c r="M28" s="292">
        <v>4</v>
      </c>
    </row>
    <row r="29" ht="17.55" spans="1:13">
      <c r="A29" s="286">
        <v>27</v>
      </c>
      <c r="B29" s="282" t="s">
        <v>163</v>
      </c>
      <c r="C29" s="283" t="s">
        <v>164</v>
      </c>
      <c r="D29" s="284">
        <v>5</v>
      </c>
      <c r="G29" s="284">
        <v>5</v>
      </c>
      <c r="I29" s="292">
        <v>5</v>
      </c>
      <c r="J29" s="291"/>
      <c r="K29" s="292">
        <v>5</v>
      </c>
      <c r="L29" s="292">
        <v>5</v>
      </c>
      <c r="M29" s="292">
        <v>5</v>
      </c>
    </row>
    <row r="30" ht="17.55" spans="1:13">
      <c r="A30" s="285">
        <v>28</v>
      </c>
      <c r="B30" s="282" t="s">
        <v>167</v>
      </c>
      <c r="C30" s="283" t="s">
        <v>168</v>
      </c>
      <c r="D30" s="284">
        <v>5</v>
      </c>
      <c r="G30" s="284">
        <v>5</v>
      </c>
      <c r="I30" s="292">
        <v>3</v>
      </c>
      <c r="J30" s="291"/>
      <c r="K30" s="292">
        <v>3</v>
      </c>
      <c r="L30" s="292">
        <v>3</v>
      </c>
      <c r="M30" s="292">
        <v>4</v>
      </c>
    </row>
    <row r="31" ht="17.55" spans="1:13">
      <c r="A31" s="286">
        <v>29</v>
      </c>
      <c r="B31" s="282" t="s">
        <v>169</v>
      </c>
      <c r="C31" s="283" t="s">
        <v>170</v>
      </c>
      <c r="D31" s="284">
        <v>5</v>
      </c>
      <c r="G31" s="284">
        <v>5</v>
      </c>
      <c r="I31" s="292">
        <v>5</v>
      </c>
      <c r="J31" s="291"/>
      <c r="K31" s="292">
        <v>5</v>
      </c>
      <c r="L31" s="292">
        <v>5</v>
      </c>
      <c r="M31" s="292">
        <v>5</v>
      </c>
    </row>
    <row r="32" ht="17.55" spans="1:13">
      <c r="A32" s="285">
        <v>30</v>
      </c>
      <c r="B32" s="282" t="s">
        <v>174</v>
      </c>
      <c r="C32" s="283" t="s">
        <v>175</v>
      </c>
      <c r="D32" s="284">
        <v>5</v>
      </c>
      <c r="G32" s="284">
        <v>5</v>
      </c>
      <c r="I32" s="292">
        <v>5</v>
      </c>
      <c r="J32" s="291"/>
      <c r="K32" s="292">
        <v>5</v>
      </c>
      <c r="L32" s="292">
        <v>5</v>
      </c>
      <c r="M32" s="292">
        <v>5</v>
      </c>
    </row>
    <row r="33" ht="17.55" spans="1:13">
      <c r="A33" s="286">
        <v>31</v>
      </c>
      <c r="B33" s="282" t="s">
        <v>176</v>
      </c>
      <c r="C33" s="283" t="s">
        <v>177</v>
      </c>
      <c r="D33" s="284">
        <v>5</v>
      </c>
      <c r="G33" s="284">
        <v>5</v>
      </c>
      <c r="I33" s="292">
        <v>5</v>
      </c>
      <c r="J33" s="291"/>
      <c r="K33" s="292">
        <v>5</v>
      </c>
      <c r="L33" s="292">
        <v>5</v>
      </c>
      <c r="M33" s="292">
        <v>5</v>
      </c>
    </row>
    <row r="34" ht="17.55" spans="1:13">
      <c r="A34" s="285">
        <v>32</v>
      </c>
      <c r="B34" s="282" t="s">
        <v>178</v>
      </c>
      <c r="C34" s="283" t="s">
        <v>179</v>
      </c>
      <c r="D34" s="284">
        <v>5</v>
      </c>
      <c r="G34" s="284">
        <v>5</v>
      </c>
      <c r="I34" s="292">
        <v>3</v>
      </c>
      <c r="J34" s="291"/>
      <c r="K34" s="292">
        <v>3</v>
      </c>
      <c r="L34" s="292">
        <v>4</v>
      </c>
      <c r="M34" s="292">
        <v>4</v>
      </c>
    </row>
    <row r="35" ht="17.55" spans="1:13">
      <c r="A35" s="286">
        <v>33</v>
      </c>
      <c r="B35" s="282" t="s">
        <v>180</v>
      </c>
      <c r="C35" s="283" t="s">
        <v>181</v>
      </c>
      <c r="D35" s="284">
        <v>5</v>
      </c>
      <c r="G35" s="284">
        <v>5</v>
      </c>
      <c r="I35" s="292">
        <v>5</v>
      </c>
      <c r="J35" s="291"/>
      <c r="K35" s="292">
        <v>5</v>
      </c>
      <c r="L35" s="292">
        <v>5</v>
      </c>
      <c r="M35" s="292">
        <v>5</v>
      </c>
    </row>
    <row r="36" ht="17.55" spans="1:13">
      <c r="A36" s="285">
        <v>34</v>
      </c>
      <c r="B36" s="282" t="s">
        <v>182</v>
      </c>
      <c r="C36" s="283" t="s">
        <v>183</v>
      </c>
      <c r="D36" s="284">
        <v>5</v>
      </c>
      <c r="G36" s="284">
        <v>5</v>
      </c>
      <c r="I36" s="292">
        <v>5</v>
      </c>
      <c r="J36" s="291"/>
      <c r="K36" s="292">
        <v>5</v>
      </c>
      <c r="L36" s="292">
        <v>5</v>
      </c>
      <c r="M36" s="292">
        <v>5</v>
      </c>
    </row>
    <row r="37" ht="17.55" spans="1:13">
      <c r="A37" s="286">
        <v>35</v>
      </c>
      <c r="B37" s="282" t="s">
        <v>184</v>
      </c>
      <c r="C37" s="283" t="s">
        <v>185</v>
      </c>
      <c r="D37" s="284">
        <v>5</v>
      </c>
      <c r="G37" s="284">
        <v>5</v>
      </c>
      <c r="I37" s="292">
        <v>5</v>
      </c>
      <c r="J37" s="291"/>
      <c r="K37" s="292">
        <v>5</v>
      </c>
      <c r="L37" s="292">
        <v>5</v>
      </c>
      <c r="M37" s="292">
        <v>5</v>
      </c>
    </row>
    <row r="38" ht="17.55" spans="1:13">
      <c r="A38" s="285">
        <v>36</v>
      </c>
      <c r="B38" s="282" t="s">
        <v>186</v>
      </c>
      <c r="C38" s="283" t="s">
        <v>187</v>
      </c>
      <c r="D38" s="284">
        <v>5</v>
      </c>
      <c r="G38" s="284">
        <v>5</v>
      </c>
      <c r="I38" s="292">
        <v>4</v>
      </c>
      <c r="J38" s="291"/>
      <c r="K38" s="292">
        <v>4</v>
      </c>
      <c r="L38" s="292">
        <v>4</v>
      </c>
      <c r="M38" s="292">
        <v>5</v>
      </c>
    </row>
    <row r="39" ht="17.55" spans="1:13">
      <c r="A39" s="286">
        <v>37</v>
      </c>
      <c r="B39" s="282" t="s">
        <v>192</v>
      </c>
      <c r="C39" s="283" t="s">
        <v>193</v>
      </c>
      <c r="D39" s="284">
        <v>5</v>
      </c>
      <c r="G39" s="284">
        <v>5</v>
      </c>
      <c r="I39" s="292">
        <v>5</v>
      </c>
      <c r="J39" s="291"/>
      <c r="K39" s="292">
        <v>5</v>
      </c>
      <c r="L39" s="292">
        <v>5</v>
      </c>
      <c r="M39" s="292">
        <v>5</v>
      </c>
    </row>
    <row r="40" ht="17.55" spans="1:13">
      <c r="A40" s="285">
        <v>38</v>
      </c>
      <c r="B40" s="282" t="s">
        <v>194</v>
      </c>
      <c r="C40" s="283" t="s">
        <v>195</v>
      </c>
      <c r="D40" s="284">
        <v>5</v>
      </c>
      <c r="G40" s="284">
        <v>5</v>
      </c>
      <c r="I40" s="292">
        <v>5</v>
      </c>
      <c r="J40" s="291"/>
      <c r="K40" s="292">
        <v>5</v>
      </c>
      <c r="L40" s="292">
        <v>4</v>
      </c>
      <c r="M40" s="292">
        <v>4</v>
      </c>
    </row>
    <row r="41" ht="29.75" spans="1:13">
      <c r="A41" s="286">
        <v>39</v>
      </c>
      <c r="B41" s="282" t="s">
        <v>196</v>
      </c>
      <c r="C41" s="283" t="s">
        <v>197</v>
      </c>
      <c r="D41" s="284">
        <v>5</v>
      </c>
      <c r="G41" s="284">
        <v>5</v>
      </c>
      <c r="I41" s="292">
        <v>5</v>
      </c>
      <c r="J41" s="291"/>
      <c r="K41" s="292">
        <v>5</v>
      </c>
      <c r="L41" s="292">
        <v>5</v>
      </c>
      <c r="M41" s="292">
        <v>5</v>
      </c>
    </row>
    <row r="42" ht="17.55" spans="1:13">
      <c r="A42" s="285">
        <v>40</v>
      </c>
      <c r="B42" s="282" t="s">
        <v>198</v>
      </c>
      <c r="C42" s="283" t="s">
        <v>199</v>
      </c>
      <c r="D42" s="284">
        <v>5</v>
      </c>
      <c r="G42" s="284">
        <v>5</v>
      </c>
      <c r="I42" s="292">
        <v>5</v>
      </c>
      <c r="J42" s="291"/>
      <c r="K42" s="292">
        <v>5</v>
      </c>
      <c r="L42" s="292">
        <v>5</v>
      </c>
      <c r="M42" s="292">
        <v>5</v>
      </c>
    </row>
    <row r="43" ht="17.55" spans="1:13">
      <c r="A43" s="286">
        <v>41</v>
      </c>
      <c r="B43" s="282" t="s">
        <v>200</v>
      </c>
      <c r="C43" s="283" t="s">
        <v>201</v>
      </c>
      <c r="D43" s="284">
        <v>5</v>
      </c>
      <c r="G43" s="284">
        <v>5</v>
      </c>
      <c r="I43" s="292">
        <v>5</v>
      </c>
      <c r="J43" s="291"/>
      <c r="K43" s="292">
        <v>5</v>
      </c>
      <c r="L43" s="292">
        <v>5</v>
      </c>
      <c r="M43" s="292">
        <v>5</v>
      </c>
    </row>
    <row r="44" ht="17.55" spans="1:13">
      <c r="A44" s="285">
        <v>42</v>
      </c>
      <c r="B44" s="282" t="s">
        <v>202</v>
      </c>
      <c r="C44" s="283" t="s">
        <v>203</v>
      </c>
      <c r="D44" s="284">
        <v>5</v>
      </c>
      <c r="G44" s="284">
        <v>5</v>
      </c>
      <c r="I44" s="292">
        <v>3</v>
      </c>
      <c r="J44" s="291"/>
      <c r="K44" s="292">
        <v>3</v>
      </c>
      <c r="L44" s="292">
        <v>3</v>
      </c>
      <c r="M44" s="292">
        <v>3</v>
      </c>
    </row>
    <row r="45" ht="17.55" spans="1:13">
      <c r="A45" s="286">
        <v>43</v>
      </c>
      <c r="B45" s="282" t="s">
        <v>204</v>
      </c>
      <c r="C45" s="283" t="s">
        <v>205</v>
      </c>
      <c r="D45" s="284">
        <v>5</v>
      </c>
      <c r="G45" s="284">
        <v>5</v>
      </c>
      <c r="I45" s="292">
        <v>5</v>
      </c>
      <c r="J45" s="291"/>
      <c r="K45" s="292">
        <v>5</v>
      </c>
      <c r="L45" s="292">
        <v>5</v>
      </c>
      <c r="M45" s="292">
        <v>5</v>
      </c>
    </row>
    <row r="46" ht="17.55" spans="1:13">
      <c r="A46" s="285">
        <v>44</v>
      </c>
      <c r="B46" s="282" t="s">
        <v>206</v>
      </c>
      <c r="C46" s="283" t="s">
        <v>207</v>
      </c>
      <c r="D46" s="284">
        <v>5</v>
      </c>
      <c r="G46" s="284">
        <v>5</v>
      </c>
      <c r="I46" s="292">
        <v>5</v>
      </c>
      <c r="J46" s="291"/>
      <c r="K46" s="292">
        <v>5</v>
      </c>
      <c r="L46" s="292">
        <v>5</v>
      </c>
      <c r="M46" s="292">
        <v>5</v>
      </c>
    </row>
    <row r="47" ht="17.55" spans="1:13">
      <c r="A47" s="286">
        <v>45</v>
      </c>
      <c r="B47" s="282" t="s">
        <v>210</v>
      </c>
      <c r="C47" s="283" t="s">
        <v>211</v>
      </c>
      <c r="D47" s="284">
        <v>5</v>
      </c>
      <c r="G47" s="284">
        <v>5</v>
      </c>
      <c r="I47" s="292">
        <v>4</v>
      </c>
      <c r="J47" s="291"/>
      <c r="K47" s="292">
        <v>4</v>
      </c>
      <c r="L47" s="292">
        <v>4</v>
      </c>
      <c r="M47" s="292">
        <v>4</v>
      </c>
    </row>
    <row r="48" ht="17.55" spans="1:13">
      <c r="A48" s="285">
        <v>46</v>
      </c>
      <c r="B48" s="282" t="s">
        <v>212</v>
      </c>
      <c r="C48" s="283" t="s">
        <v>213</v>
      </c>
      <c r="D48" s="284">
        <v>5</v>
      </c>
      <c r="G48" s="284">
        <v>5</v>
      </c>
      <c r="I48" s="292">
        <v>5</v>
      </c>
      <c r="J48" s="291"/>
      <c r="K48" s="292">
        <v>5</v>
      </c>
      <c r="L48" s="292">
        <v>5</v>
      </c>
      <c r="M48" s="292">
        <v>5</v>
      </c>
    </row>
    <row r="49" ht="17.55" spans="1:13">
      <c r="A49" s="286">
        <v>47</v>
      </c>
      <c r="B49" s="282" t="s">
        <v>214</v>
      </c>
      <c r="C49" s="283" t="s">
        <v>215</v>
      </c>
      <c r="D49" s="284">
        <v>5</v>
      </c>
      <c r="G49" s="284">
        <v>5</v>
      </c>
      <c r="I49" s="292">
        <v>5</v>
      </c>
      <c r="J49" s="291"/>
      <c r="K49" s="292">
        <v>5</v>
      </c>
      <c r="L49" s="292">
        <v>5</v>
      </c>
      <c r="M49" s="292">
        <v>5</v>
      </c>
    </row>
    <row r="50" ht="29.75" spans="1:13">
      <c r="A50" s="285">
        <v>48</v>
      </c>
      <c r="B50" s="282" t="s">
        <v>216</v>
      </c>
      <c r="C50" s="283" t="s">
        <v>217</v>
      </c>
      <c r="D50" s="284">
        <v>5</v>
      </c>
      <c r="G50" s="284">
        <v>5</v>
      </c>
      <c r="I50" s="292">
        <v>3</v>
      </c>
      <c r="J50" s="291"/>
      <c r="K50" s="292">
        <v>3</v>
      </c>
      <c r="L50" s="292">
        <v>3</v>
      </c>
      <c r="M50" s="292">
        <v>3</v>
      </c>
    </row>
    <row r="51" ht="17.55" spans="1:13">
      <c r="A51" s="286">
        <v>49</v>
      </c>
      <c r="B51" s="282" t="s">
        <v>218</v>
      </c>
      <c r="C51" s="283" t="s">
        <v>219</v>
      </c>
      <c r="D51" s="284">
        <v>5</v>
      </c>
      <c r="G51" s="284">
        <v>5</v>
      </c>
      <c r="I51" s="292">
        <v>5</v>
      </c>
      <c r="J51" s="291"/>
      <c r="K51" s="292">
        <v>5</v>
      </c>
      <c r="L51" s="292">
        <v>5</v>
      </c>
      <c r="M51" s="292">
        <v>5</v>
      </c>
    </row>
    <row r="52" ht="17.55" spans="1:13">
      <c r="A52" s="285">
        <v>50</v>
      </c>
      <c r="B52" s="287" t="s">
        <v>220</v>
      </c>
      <c r="C52" s="288" t="s">
        <v>221</v>
      </c>
      <c r="D52" s="284">
        <v>5</v>
      </c>
      <c r="G52" s="284">
        <v>5</v>
      </c>
      <c r="I52" s="292">
        <v>5</v>
      </c>
      <c r="J52" s="291"/>
      <c r="K52" s="292">
        <v>5</v>
      </c>
      <c r="L52" s="292">
        <v>5</v>
      </c>
      <c r="M52" s="292">
        <v>5</v>
      </c>
    </row>
    <row r="53" ht="17.55" spans="1:13">
      <c r="A53" s="286">
        <v>51</v>
      </c>
      <c r="B53" s="287" t="s">
        <v>222</v>
      </c>
      <c r="C53" s="288" t="s">
        <v>223</v>
      </c>
      <c r="D53" s="284">
        <v>5</v>
      </c>
      <c r="G53" s="284">
        <v>5</v>
      </c>
      <c r="I53" s="292">
        <v>1</v>
      </c>
      <c r="J53" s="291"/>
      <c r="K53" s="292">
        <v>1</v>
      </c>
      <c r="L53" s="292">
        <v>2</v>
      </c>
      <c r="M53" s="292">
        <v>1</v>
      </c>
    </row>
    <row r="54" ht="17.55" spans="1:13">
      <c r="A54" s="285">
        <v>52</v>
      </c>
      <c r="B54" s="287" t="s">
        <v>226</v>
      </c>
      <c r="C54" s="288" t="s">
        <v>227</v>
      </c>
      <c r="D54" s="284">
        <v>5</v>
      </c>
      <c r="G54" s="284">
        <v>5</v>
      </c>
      <c r="I54" s="292">
        <v>5</v>
      </c>
      <c r="J54" s="291"/>
      <c r="K54" s="292">
        <v>5</v>
      </c>
      <c r="L54" s="292">
        <v>5</v>
      </c>
      <c r="M54" s="292">
        <v>5</v>
      </c>
    </row>
    <row r="55" ht="17.55" spans="1:13">
      <c r="A55" s="286">
        <v>53</v>
      </c>
      <c r="B55" s="287" t="s">
        <v>230</v>
      </c>
      <c r="C55" s="288" t="s">
        <v>231</v>
      </c>
      <c r="D55" s="284">
        <v>5</v>
      </c>
      <c r="G55" s="284">
        <v>5</v>
      </c>
      <c r="I55" s="292">
        <v>4</v>
      </c>
      <c r="J55" s="291"/>
      <c r="K55" s="292">
        <v>4</v>
      </c>
      <c r="L55" s="292">
        <v>3</v>
      </c>
      <c r="M55" s="292">
        <v>3</v>
      </c>
    </row>
    <row r="56" spans="1:13">
      <c r="A56" s="285">
        <v>54</v>
      </c>
      <c r="B56" s="289"/>
      <c r="C56" s="290"/>
      <c r="D56" s="291"/>
      <c r="E56" s="291"/>
      <c r="F56" s="291"/>
      <c r="G56" s="291"/>
      <c r="H56" s="291"/>
      <c r="I56" s="291"/>
      <c r="J56" s="291"/>
      <c r="K56" s="291"/>
      <c r="L56" s="291"/>
      <c r="M56" s="291"/>
    </row>
    <row r="57" spans="1:13">
      <c r="A57" s="286">
        <v>55</v>
      </c>
      <c r="B57" s="289"/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</row>
    <row r="58" spans="1:13">
      <c r="A58" s="285">
        <v>56</v>
      </c>
      <c r="B58" s="289"/>
      <c r="C58" s="290"/>
      <c r="D58" s="291"/>
      <c r="E58" s="291"/>
      <c r="F58" s="291"/>
      <c r="G58" s="291"/>
      <c r="H58" s="291"/>
      <c r="I58" s="291"/>
      <c r="J58" s="291"/>
      <c r="K58" s="291"/>
      <c r="L58" s="291"/>
      <c r="M58" s="291"/>
    </row>
    <row r="59" spans="1:13">
      <c r="A59" s="286">
        <v>57</v>
      </c>
      <c r="B59" s="289"/>
      <c r="C59" s="290"/>
      <c r="D59" s="291"/>
      <c r="E59" s="291"/>
      <c r="F59" s="291"/>
      <c r="G59" s="291"/>
      <c r="H59" s="291"/>
      <c r="I59" s="291"/>
      <c r="J59" s="291"/>
      <c r="K59" s="291"/>
      <c r="L59" s="291"/>
      <c r="M59" s="291"/>
    </row>
    <row r="60" spans="1:13">
      <c r="A60" s="285">
        <v>58</v>
      </c>
      <c r="B60" s="289"/>
      <c r="C60" s="290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spans="1:13">
      <c r="A61" s="286">
        <v>59</v>
      </c>
      <c r="B61" s="289"/>
      <c r="C61" s="290"/>
      <c r="D61" s="291"/>
      <c r="E61" s="291"/>
      <c r="F61" s="291"/>
      <c r="G61" s="291"/>
      <c r="H61" s="291"/>
      <c r="I61" s="291"/>
      <c r="J61" s="291"/>
      <c r="K61" s="291"/>
      <c r="L61" s="291"/>
      <c r="M61" s="291"/>
    </row>
    <row r="62" spans="1:13">
      <c r="A62" s="285">
        <v>60</v>
      </c>
      <c r="B62" s="289"/>
      <c r="C62" s="290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spans="1:13">
      <c r="A63" s="286">
        <v>61</v>
      </c>
      <c r="B63" s="289"/>
      <c r="C63" s="290"/>
      <c r="D63" s="291"/>
      <c r="E63" s="291"/>
      <c r="F63" s="291"/>
      <c r="G63" s="291"/>
      <c r="H63" s="291"/>
      <c r="I63" s="291"/>
      <c r="J63" s="291"/>
      <c r="K63" s="291"/>
      <c r="L63" s="291"/>
      <c r="M63" s="291"/>
    </row>
    <row r="64" spans="1:13">
      <c r="A64" s="285">
        <v>62</v>
      </c>
      <c r="B64" s="289"/>
      <c r="C64" s="290"/>
      <c r="D64" s="291"/>
      <c r="E64" s="291"/>
      <c r="F64" s="291"/>
      <c r="G64" s="291"/>
      <c r="H64" s="291"/>
      <c r="I64" s="291"/>
      <c r="J64" s="291"/>
      <c r="K64" s="291"/>
      <c r="L64" s="291"/>
      <c r="M64" s="291"/>
    </row>
    <row r="65" spans="1:13">
      <c r="A65" s="286">
        <v>63</v>
      </c>
      <c r="B65" s="289"/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</row>
    <row r="66" spans="1:13">
      <c r="A66" s="285">
        <v>64</v>
      </c>
      <c r="B66" s="289"/>
      <c r="C66" s="290"/>
      <c r="D66" s="291"/>
      <c r="E66" s="291"/>
      <c r="F66" s="291"/>
      <c r="G66" s="291"/>
      <c r="H66" s="291"/>
      <c r="I66" s="291"/>
      <c r="J66" s="291"/>
      <c r="K66" s="291"/>
      <c r="L66" s="291"/>
      <c r="M66" s="291"/>
    </row>
    <row r="67" spans="1:13">
      <c r="A67" s="286">
        <v>65</v>
      </c>
      <c r="B67" s="289"/>
      <c r="C67" s="290"/>
      <c r="D67" s="291"/>
      <c r="E67" s="291"/>
      <c r="F67" s="291"/>
      <c r="G67" s="291"/>
      <c r="H67" s="291"/>
      <c r="I67" s="291"/>
      <c r="J67" s="291"/>
      <c r="K67" s="291"/>
      <c r="L67" s="291"/>
      <c r="M67" s="291"/>
    </row>
    <row r="68" spans="1:13">
      <c r="A68" s="285">
        <v>66</v>
      </c>
      <c r="B68" s="289"/>
      <c r="C68" s="290"/>
      <c r="D68" s="291"/>
      <c r="E68" s="291"/>
      <c r="F68" s="291"/>
      <c r="G68" s="291"/>
      <c r="H68" s="291"/>
      <c r="I68" s="291"/>
      <c r="J68" s="291"/>
      <c r="K68" s="291"/>
      <c r="L68" s="291"/>
      <c r="M68" s="291"/>
    </row>
    <row r="69" spans="1:13">
      <c r="A69" s="286">
        <v>67</v>
      </c>
      <c r="B69" s="289"/>
      <c r="C69" s="290"/>
      <c r="D69" s="291"/>
      <c r="E69" s="291"/>
      <c r="F69" s="291"/>
      <c r="G69" s="291"/>
      <c r="H69" s="291"/>
      <c r="I69" s="291"/>
      <c r="J69" s="291"/>
      <c r="K69" s="291"/>
      <c r="L69" s="291"/>
      <c r="M69" s="291"/>
    </row>
    <row r="70" spans="1:13">
      <c r="A70" s="285">
        <v>68</v>
      </c>
      <c r="B70" s="289"/>
      <c r="C70" s="290"/>
      <c r="D70" s="291"/>
      <c r="E70" s="291"/>
      <c r="F70" s="291"/>
      <c r="G70" s="291"/>
      <c r="H70" s="291"/>
      <c r="I70" s="291"/>
      <c r="J70" s="291"/>
      <c r="K70" s="291"/>
      <c r="L70" s="291"/>
      <c r="M70" s="291"/>
    </row>
    <row r="71" spans="1:13">
      <c r="A71" s="286">
        <v>69</v>
      </c>
      <c r="B71" s="289"/>
      <c r="C71" s="290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ht="23.25" customHeight="1" spans="4:13">
      <c r="D72" s="293">
        <f t="shared" ref="D72:M72" si="0">AVERAGE(D3:D71)</f>
        <v>5</v>
      </c>
      <c r="E72" s="299"/>
      <c r="F72" s="300" t="e">
        <f t="shared" si="0"/>
        <v>#DIV/0!</v>
      </c>
      <c r="G72" s="300">
        <f t="shared" si="0"/>
        <v>5</v>
      </c>
      <c r="H72" s="300" t="e">
        <f t="shared" si="0"/>
        <v>#DIV/0!</v>
      </c>
      <c r="I72" s="300">
        <f t="shared" si="0"/>
        <v>4.58490566037736</v>
      </c>
      <c r="J72" s="300" t="e">
        <f t="shared" si="0"/>
        <v>#DIV/0!</v>
      </c>
      <c r="K72" s="300">
        <f t="shared" si="0"/>
        <v>4.56603773584906</v>
      </c>
      <c r="L72" s="300">
        <f t="shared" si="0"/>
        <v>4.49056603773585</v>
      </c>
      <c r="M72" s="300">
        <f t="shared" si="0"/>
        <v>4.58490566037736</v>
      </c>
    </row>
    <row r="73" ht="22.5" customHeight="1" spans="4:13">
      <c r="D73" s="294">
        <f>D72/5</f>
        <v>1</v>
      </c>
      <c r="E73" s="294">
        <f t="shared" ref="E73:M73" si="1">E72/5</f>
        <v>0</v>
      </c>
      <c r="F73" s="294" t="e">
        <f t="shared" si="1"/>
        <v>#DIV/0!</v>
      </c>
      <c r="G73" s="294">
        <f t="shared" si="1"/>
        <v>1</v>
      </c>
      <c r="H73" s="294" t="e">
        <f t="shared" si="1"/>
        <v>#DIV/0!</v>
      </c>
      <c r="I73" s="294">
        <f t="shared" si="1"/>
        <v>0.916981132075472</v>
      </c>
      <c r="J73" s="294" t="e">
        <f t="shared" si="1"/>
        <v>#DIV/0!</v>
      </c>
      <c r="K73" s="294">
        <f t="shared" si="1"/>
        <v>0.913207547169811</v>
      </c>
      <c r="L73" s="294">
        <f t="shared" si="1"/>
        <v>0.89811320754717</v>
      </c>
      <c r="M73" s="294">
        <f t="shared" si="1"/>
        <v>0.916981132075472</v>
      </c>
    </row>
    <row r="74" spans="4:13">
      <c r="D74" s="295" t="s">
        <v>256</v>
      </c>
      <c r="E74" s="295"/>
      <c r="F74" s="295" t="s">
        <v>257</v>
      </c>
      <c r="G74" s="295"/>
      <c r="H74" s="295" t="s">
        <v>258</v>
      </c>
      <c r="I74" s="295"/>
      <c r="J74" s="302" t="s">
        <v>259</v>
      </c>
      <c r="K74" s="302"/>
      <c r="L74" s="302" t="s">
        <v>260</v>
      </c>
      <c r="M74" s="302" t="s">
        <v>261</v>
      </c>
    </row>
    <row r="75" spans="4:13">
      <c r="D75" s="296">
        <f>AVERAGE(D73)</f>
        <v>1</v>
      </c>
      <c r="E75" s="301"/>
      <c r="F75" s="296">
        <f>AVERAGE(G73)</f>
        <v>1</v>
      </c>
      <c r="G75" s="301"/>
      <c r="H75" s="296">
        <f>AVERAGE(I73)</f>
        <v>0.916981132075472</v>
      </c>
      <c r="I75" s="301"/>
      <c r="J75" s="296">
        <f>AVERAGE(K73)</f>
        <v>0.913207547169811</v>
      </c>
      <c r="K75" s="301"/>
      <c r="L75" s="303">
        <f>L73</f>
        <v>0.89811320754717</v>
      </c>
      <c r="M75" s="303">
        <f>M73</f>
        <v>0.916981132075472</v>
      </c>
    </row>
    <row r="77" ht="20.4" spans="4:10">
      <c r="D77" s="297">
        <v>5</v>
      </c>
      <c r="E77" s="297">
        <v>4</v>
      </c>
      <c r="F77" s="297">
        <v>3</v>
      </c>
      <c r="G77" s="297">
        <v>2</v>
      </c>
      <c r="H77" s="297">
        <v>1</v>
      </c>
      <c r="I77" s="304" t="s">
        <v>345</v>
      </c>
      <c r="J77" s="305" t="s">
        <v>346</v>
      </c>
    </row>
    <row r="78" ht="20.4" spans="3:11">
      <c r="C78" s="298" t="s">
        <v>256</v>
      </c>
      <c r="D78" s="164">
        <f>ROUND(AVERAGE(COUNTIF(D3:D71,5)),0)</f>
        <v>53</v>
      </c>
      <c r="E78" s="164">
        <f>ROUND(AVERAGE(COUNTIF(D3:D71,4)),0)</f>
        <v>0</v>
      </c>
      <c r="F78" s="164">
        <f>ROUND(AVERAGE(COUNTIF(D3:D71,3)),0)</f>
        <v>0</v>
      </c>
      <c r="G78" s="164">
        <f>ROUND(AVERAGE(COUNTIF(D3:D71,2)),0)</f>
        <v>0</v>
      </c>
      <c r="H78" s="164">
        <f>ROUND(AVERAGE(COUNTIF(D3:D71,1)),0)</f>
        <v>0</v>
      </c>
      <c r="I78" s="164">
        <f t="shared" ref="I78:I83" si="2">ROUND((((D78*D$77)+(E78*E$77)+(F78*F$77)+(G78*G$77)+(H78*H$77))/SUM(D78:H78)),0)</f>
        <v>5</v>
      </c>
      <c r="J78" s="306">
        <f t="shared" ref="J78:J83" si="3">I78*3/5</f>
        <v>3</v>
      </c>
      <c r="K78" s="307">
        <f t="shared" ref="K78:K83" si="4">J78/3</f>
        <v>1</v>
      </c>
    </row>
    <row r="79" ht="20.4" spans="3:11">
      <c r="C79" s="298" t="s">
        <v>257</v>
      </c>
      <c r="D79" s="164">
        <f>ROUND(AVERAGE(COUNTIF(G3:G71,5)),0)</f>
        <v>53</v>
      </c>
      <c r="E79" s="164">
        <f>ROUND(AVERAGE(COUNTIF(G3:G71,4)),0)</f>
        <v>0</v>
      </c>
      <c r="F79" s="164">
        <f>ROUND(AVERAGE(COUNTIF(G3:G71,3)),0)</f>
        <v>0</v>
      </c>
      <c r="G79" s="164">
        <f>ROUND(AVERAGE(COUNTIF(G3:G71,2)),0)</f>
        <v>0</v>
      </c>
      <c r="H79" s="164">
        <f>ROUND(AVERAGE(COUNTIF(G3:G71,1)),0)</f>
        <v>0</v>
      </c>
      <c r="I79" s="164">
        <f t="shared" si="2"/>
        <v>5</v>
      </c>
      <c r="J79" s="306">
        <f t="shared" si="3"/>
        <v>3</v>
      </c>
      <c r="K79" s="307">
        <f t="shared" si="4"/>
        <v>1</v>
      </c>
    </row>
    <row r="80" ht="20.4" spans="3:11">
      <c r="C80" s="298" t="s">
        <v>258</v>
      </c>
      <c r="D80" s="164">
        <f>ROUND(AVERAGE(COUNTIF(I3:I71,5)),0)</f>
        <v>40</v>
      </c>
      <c r="E80" s="164">
        <f>ROUND(AVERAGE(COUNTIF(I3:I71,4)),0)</f>
        <v>6</v>
      </c>
      <c r="F80" s="164">
        <f>ROUND(AVERAGE(COUNTIF(I3:I71,3)),0)</f>
        <v>6</v>
      </c>
      <c r="G80" s="164">
        <f>ROUND(AVERAGE(COUNTIF(I3:I71,2)),0)</f>
        <v>0</v>
      </c>
      <c r="H80" s="164">
        <f>ROUND(AVERAGE(COUNTIF(I3:I71,1)),0)</f>
        <v>1</v>
      </c>
      <c r="I80" s="164">
        <f t="shared" si="2"/>
        <v>5</v>
      </c>
      <c r="J80" s="306">
        <f t="shared" si="3"/>
        <v>3</v>
      </c>
      <c r="K80" s="307">
        <f t="shared" si="4"/>
        <v>1</v>
      </c>
    </row>
    <row r="81" ht="20.4" spans="3:11">
      <c r="C81" s="298" t="s">
        <v>259</v>
      </c>
      <c r="D81" s="164">
        <f>ROUND(AVERAGE(COUNTIF(K3:K71,5)),0)</f>
        <v>39</v>
      </c>
      <c r="E81" s="164">
        <f>ROUND(AVERAGE(COUNTIF(K3:K71,4)),0)</f>
        <v>7</v>
      </c>
      <c r="F81" s="164">
        <f>ROUND(AVERAGE(COUNTIF(K3:K71,3)),0)</f>
        <v>6</v>
      </c>
      <c r="G81" s="164">
        <f>ROUND(AVERAGE(COUNTIF(K3:K71,2)),0)</f>
        <v>0</v>
      </c>
      <c r="H81" s="164">
        <f>ROUND(AVERAGE(COUNTIF(K3:K71,1)),0)</f>
        <v>1</v>
      </c>
      <c r="I81" s="164">
        <f t="shared" si="2"/>
        <v>5</v>
      </c>
      <c r="J81" s="306">
        <f t="shared" si="3"/>
        <v>3</v>
      </c>
      <c r="K81" s="307">
        <f t="shared" si="4"/>
        <v>1</v>
      </c>
    </row>
    <row r="82" ht="20.4" spans="3:11">
      <c r="C82" s="298" t="s">
        <v>260</v>
      </c>
      <c r="D82" s="164">
        <f>COUNTIF(L3:L71,5)</f>
        <v>36</v>
      </c>
      <c r="E82" s="164">
        <f>COUNTIF(L3:L71,4)</f>
        <v>8</v>
      </c>
      <c r="F82" s="164">
        <f>COUNTIF(L3:L71,3)</f>
        <v>8</v>
      </c>
      <c r="G82" s="164">
        <f>COUNTIF(L3:L71,2)</f>
        <v>1</v>
      </c>
      <c r="H82" s="164">
        <f>COUNTIF(L3:L71,1)</f>
        <v>0</v>
      </c>
      <c r="I82" s="164">
        <f t="shared" si="2"/>
        <v>4</v>
      </c>
      <c r="J82" s="306">
        <f t="shared" si="3"/>
        <v>2.4</v>
      </c>
      <c r="K82" s="307">
        <f t="shared" si="4"/>
        <v>0.8</v>
      </c>
    </row>
    <row r="83" ht="20.4" spans="3:11">
      <c r="C83" s="298" t="s">
        <v>261</v>
      </c>
      <c r="D83" s="164">
        <f>COUNTIF(M3:M71,5)</f>
        <v>39</v>
      </c>
      <c r="E83" s="164">
        <f>COUNTIF(M3:M71,4)</f>
        <v>8</v>
      </c>
      <c r="F83" s="164">
        <f>COUNTIF(M3:M71,3)</f>
        <v>5</v>
      </c>
      <c r="G83" s="164">
        <f>COUNTIF(M3:M71,2)</f>
        <v>0</v>
      </c>
      <c r="H83" s="164">
        <f>COUNTIF(M3:M71,1)</f>
        <v>1</v>
      </c>
      <c r="I83" s="164">
        <f t="shared" si="2"/>
        <v>5</v>
      </c>
      <c r="J83" s="306">
        <f t="shared" si="3"/>
        <v>3</v>
      </c>
      <c r="K83" s="307">
        <f t="shared" si="4"/>
        <v>1</v>
      </c>
    </row>
  </sheetData>
  <mergeCells count="9">
    <mergeCell ref="D72:E72"/>
    <mergeCell ref="D74:E74"/>
    <mergeCell ref="F74:G74"/>
    <mergeCell ref="H74:I74"/>
    <mergeCell ref="J74:K74"/>
    <mergeCell ref="D75:E75"/>
    <mergeCell ref="F75:G75"/>
    <mergeCell ref="H75:I75"/>
    <mergeCell ref="J75:K7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5" width="4.2734375" customWidth="1"/>
    <col min="6" max="6" width="4.7265625" customWidth="1"/>
    <col min="7" max="7" width="4.546875" customWidth="1"/>
    <col min="8" max="8" width="4.8203125" customWidth="1"/>
    <col min="9" max="83" width="3.8203125" customWidth="1"/>
    <col min="257" max="257" width="6.7265625" customWidth="1"/>
    <col min="258" max="258" width="12.2734375" customWidth="1"/>
    <col min="259" max="259" width="29.2734375" customWidth="1"/>
    <col min="260" max="261" width="4.2734375" customWidth="1"/>
    <col min="262" max="262" width="4.7265625" customWidth="1"/>
    <col min="263" max="263" width="4.546875" customWidth="1"/>
    <col min="264" max="264" width="4.8203125" customWidth="1"/>
    <col min="265" max="339" width="3.8203125" customWidth="1"/>
    <col min="513" max="513" width="6.7265625" customWidth="1"/>
    <col min="514" max="514" width="12.2734375" customWidth="1"/>
    <col min="515" max="515" width="29.2734375" customWidth="1"/>
    <col min="516" max="517" width="4.2734375" customWidth="1"/>
    <col min="518" max="518" width="4.7265625" customWidth="1"/>
    <col min="519" max="519" width="4.546875" customWidth="1"/>
    <col min="520" max="520" width="4.8203125" customWidth="1"/>
    <col min="521" max="595" width="3.8203125" customWidth="1"/>
    <col min="769" max="769" width="6.7265625" customWidth="1"/>
    <col min="770" max="770" width="12.2734375" customWidth="1"/>
    <col min="771" max="771" width="29.2734375" customWidth="1"/>
    <col min="772" max="773" width="4.2734375" customWidth="1"/>
    <col min="774" max="774" width="4.7265625" customWidth="1"/>
    <col min="775" max="775" width="4.546875" customWidth="1"/>
    <col min="776" max="776" width="4.8203125" customWidth="1"/>
    <col min="777" max="851" width="3.8203125" customWidth="1"/>
    <col min="1025" max="1025" width="6.7265625" customWidth="1"/>
    <col min="1026" max="1026" width="12.2734375" customWidth="1"/>
    <col min="1027" max="1027" width="29.2734375" customWidth="1"/>
    <col min="1028" max="1029" width="4.2734375" customWidth="1"/>
    <col min="1030" max="1030" width="4.7265625" customWidth="1"/>
    <col min="1031" max="1031" width="4.546875" customWidth="1"/>
    <col min="1032" max="1032" width="4.8203125" customWidth="1"/>
    <col min="1033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5" width="4.2734375" customWidth="1"/>
    <col min="1286" max="1286" width="4.7265625" customWidth="1"/>
    <col min="1287" max="1287" width="4.546875" customWidth="1"/>
    <col min="1288" max="1288" width="4.8203125" customWidth="1"/>
    <col min="1289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1" width="4.2734375" customWidth="1"/>
    <col min="1542" max="1542" width="4.7265625" customWidth="1"/>
    <col min="1543" max="1543" width="4.546875" customWidth="1"/>
    <col min="1544" max="1544" width="4.8203125" customWidth="1"/>
    <col min="1545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7" width="4.2734375" customWidth="1"/>
    <col min="1798" max="1798" width="4.7265625" customWidth="1"/>
    <col min="1799" max="1799" width="4.546875" customWidth="1"/>
    <col min="1800" max="1800" width="4.8203125" customWidth="1"/>
    <col min="1801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3" width="4.2734375" customWidth="1"/>
    <col min="2054" max="2054" width="4.7265625" customWidth="1"/>
    <col min="2055" max="2055" width="4.546875" customWidth="1"/>
    <col min="2056" max="2056" width="4.8203125" customWidth="1"/>
    <col min="2057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9" width="4.2734375" customWidth="1"/>
    <col min="2310" max="2310" width="4.7265625" customWidth="1"/>
    <col min="2311" max="2311" width="4.546875" customWidth="1"/>
    <col min="2312" max="2312" width="4.8203125" customWidth="1"/>
    <col min="2313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5" width="4.2734375" customWidth="1"/>
    <col min="2566" max="2566" width="4.7265625" customWidth="1"/>
    <col min="2567" max="2567" width="4.546875" customWidth="1"/>
    <col min="2568" max="2568" width="4.8203125" customWidth="1"/>
    <col min="2569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1" width="4.2734375" customWidth="1"/>
    <col min="2822" max="2822" width="4.7265625" customWidth="1"/>
    <col min="2823" max="2823" width="4.546875" customWidth="1"/>
    <col min="2824" max="2824" width="4.8203125" customWidth="1"/>
    <col min="2825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7" width="4.2734375" customWidth="1"/>
    <col min="3078" max="3078" width="4.7265625" customWidth="1"/>
    <col min="3079" max="3079" width="4.546875" customWidth="1"/>
    <col min="3080" max="3080" width="4.8203125" customWidth="1"/>
    <col min="3081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3" width="4.2734375" customWidth="1"/>
    <col min="3334" max="3334" width="4.7265625" customWidth="1"/>
    <col min="3335" max="3335" width="4.546875" customWidth="1"/>
    <col min="3336" max="3336" width="4.8203125" customWidth="1"/>
    <col min="3337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9" width="4.2734375" customWidth="1"/>
    <col min="3590" max="3590" width="4.7265625" customWidth="1"/>
    <col min="3591" max="3591" width="4.546875" customWidth="1"/>
    <col min="3592" max="3592" width="4.8203125" customWidth="1"/>
    <col min="3593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5" width="4.2734375" customWidth="1"/>
    <col min="3846" max="3846" width="4.7265625" customWidth="1"/>
    <col min="3847" max="3847" width="4.546875" customWidth="1"/>
    <col min="3848" max="3848" width="4.8203125" customWidth="1"/>
    <col min="3849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1" width="4.2734375" customWidth="1"/>
    <col min="4102" max="4102" width="4.7265625" customWidth="1"/>
    <col min="4103" max="4103" width="4.546875" customWidth="1"/>
    <col min="4104" max="4104" width="4.8203125" customWidth="1"/>
    <col min="4105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7" width="4.2734375" customWidth="1"/>
    <col min="4358" max="4358" width="4.7265625" customWidth="1"/>
    <col min="4359" max="4359" width="4.546875" customWidth="1"/>
    <col min="4360" max="4360" width="4.8203125" customWidth="1"/>
    <col min="4361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3" width="4.2734375" customWidth="1"/>
    <col min="4614" max="4614" width="4.7265625" customWidth="1"/>
    <col min="4615" max="4615" width="4.546875" customWidth="1"/>
    <col min="4616" max="4616" width="4.8203125" customWidth="1"/>
    <col min="4617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9" width="4.2734375" customWidth="1"/>
    <col min="4870" max="4870" width="4.7265625" customWidth="1"/>
    <col min="4871" max="4871" width="4.546875" customWidth="1"/>
    <col min="4872" max="4872" width="4.8203125" customWidth="1"/>
    <col min="4873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5" width="4.2734375" customWidth="1"/>
    <col min="5126" max="5126" width="4.7265625" customWidth="1"/>
    <col min="5127" max="5127" width="4.546875" customWidth="1"/>
    <col min="5128" max="5128" width="4.8203125" customWidth="1"/>
    <col min="5129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1" width="4.2734375" customWidth="1"/>
    <col min="5382" max="5382" width="4.7265625" customWidth="1"/>
    <col min="5383" max="5383" width="4.546875" customWidth="1"/>
    <col min="5384" max="5384" width="4.8203125" customWidth="1"/>
    <col min="5385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7" width="4.2734375" customWidth="1"/>
    <col min="5638" max="5638" width="4.7265625" customWidth="1"/>
    <col min="5639" max="5639" width="4.546875" customWidth="1"/>
    <col min="5640" max="5640" width="4.8203125" customWidth="1"/>
    <col min="5641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3" width="4.2734375" customWidth="1"/>
    <col min="5894" max="5894" width="4.7265625" customWidth="1"/>
    <col min="5895" max="5895" width="4.546875" customWidth="1"/>
    <col min="5896" max="5896" width="4.8203125" customWidth="1"/>
    <col min="5897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9" width="4.2734375" customWidth="1"/>
    <col min="6150" max="6150" width="4.7265625" customWidth="1"/>
    <col min="6151" max="6151" width="4.546875" customWidth="1"/>
    <col min="6152" max="6152" width="4.8203125" customWidth="1"/>
    <col min="6153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5" width="4.2734375" customWidth="1"/>
    <col min="6406" max="6406" width="4.7265625" customWidth="1"/>
    <col min="6407" max="6407" width="4.546875" customWidth="1"/>
    <col min="6408" max="6408" width="4.8203125" customWidth="1"/>
    <col min="6409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1" width="4.2734375" customWidth="1"/>
    <col min="6662" max="6662" width="4.7265625" customWidth="1"/>
    <col min="6663" max="6663" width="4.546875" customWidth="1"/>
    <col min="6664" max="6664" width="4.8203125" customWidth="1"/>
    <col min="6665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7" width="4.2734375" customWidth="1"/>
    <col min="6918" max="6918" width="4.7265625" customWidth="1"/>
    <col min="6919" max="6919" width="4.546875" customWidth="1"/>
    <col min="6920" max="6920" width="4.8203125" customWidth="1"/>
    <col min="6921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3" width="4.2734375" customWidth="1"/>
    <col min="7174" max="7174" width="4.7265625" customWidth="1"/>
    <col min="7175" max="7175" width="4.546875" customWidth="1"/>
    <col min="7176" max="7176" width="4.8203125" customWidth="1"/>
    <col min="7177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9" width="4.2734375" customWidth="1"/>
    <col min="7430" max="7430" width="4.7265625" customWidth="1"/>
    <col min="7431" max="7431" width="4.546875" customWidth="1"/>
    <col min="7432" max="7432" width="4.8203125" customWidth="1"/>
    <col min="7433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5" width="4.2734375" customWidth="1"/>
    <col min="7686" max="7686" width="4.7265625" customWidth="1"/>
    <col min="7687" max="7687" width="4.546875" customWidth="1"/>
    <col min="7688" max="7688" width="4.8203125" customWidth="1"/>
    <col min="7689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1" width="4.2734375" customWidth="1"/>
    <col min="7942" max="7942" width="4.7265625" customWidth="1"/>
    <col min="7943" max="7943" width="4.546875" customWidth="1"/>
    <col min="7944" max="7944" width="4.8203125" customWidth="1"/>
    <col min="7945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7" width="4.2734375" customWidth="1"/>
    <col min="8198" max="8198" width="4.7265625" customWidth="1"/>
    <col min="8199" max="8199" width="4.546875" customWidth="1"/>
    <col min="8200" max="8200" width="4.8203125" customWidth="1"/>
    <col min="8201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3" width="4.2734375" customWidth="1"/>
    <col min="8454" max="8454" width="4.7265625" customWidth="1"/>
    <col min="8455" max="8455" width="4.546875" customWidth="1"/>
    <col min="8456" max="8456" width="4.8203125" customWidth="1"/>
    <col min="8457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9" width="4.2734375" customWidth="1"/>
    <col min="8710" max="8710" width="4.7265625" customWidth="1"/>
    <col min="8711" max="8711" width="4.546875" customWidth="1"/>
    <col min="8712" max="8712" width="4.8203125" customWidth="1"/>
    <col min="8713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5" width="4.2734375" customWidth="1"/>
    <col min="8966" max="8966" width="4.7265625" customWidth="1"/>
    <col min="8967" max="8967" width="4.546875" customWidth="1"/>
    <col min="8968" max="8968" width="4.8203125" customWidth="1"/>
    <col min="8969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1" width="4.2734375" customWidth="1"/>
    <col min="9222" max="9222" width="4.7265625" customWidth="1"/>
    <col min="9223" max="9223" width="4.546875" customWidth="1"/>
    <col min="9224" max="9224" width="4.8203125" customWidth="1"/>
    <col min="9225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7" width="4.2734375" customWidth="1"/>
    <col min="9478" max="9478" width="4.7265625" customWidth="1"/>
    <col min="9479" max="9479" width="4.546875" customWidth="1"/>
    <col min="9480" max="9480" width="4.8203125" customWidth="1"/>
    <col min="9481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3" width="4.2734375" customWidth="1"/>
    <col min="9734" max="9734" width="4.7265625" customWidth="1"/>
    <col min="9735" max="9735" width="4.546875" customWidth="1"/>
    <col min="9736" max="9736" width="4.8203125" customWidth="1"/>
    <col min="9737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9" width="4.2734375" customWidth="1"/>
    <col min="9990" max="9990" width="4.7265625" customWidth="1"/>
    <col min="9991" max="9991" width="4.546875" customWidth="1"/>
    <col min="9992" max="9992" width="4.8203125" customWidth="1"/>
    <col min="9993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5" width="4.2734375" customWidth="1"/>
    <col min="10246" max="10246" width="4.7265625" customWidth="1"/>
    <col min="10247" max="10247" width="4.546875" customWidth="1"/>
    <col min="10248" max="10248" width="4.8203125" customWidth="1"/>
    <col min="10249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1" width="4.2734375" customWidth="1"/>
    <col min="10502" max="10502" width="4.7265625" customWidth="1"/>
    <col min="10503" max="10503" width="4.546875" customWidth="1"/>
    <col min="10504" max="10504" width="4.8203125" customWidth="1"/>
    <col min="10505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7" width="4.2734375" customWidth="1"/>
    <col min="10758" max="10758" width="4.7265625" customWidth="1"/>
    <col min="10759" max="10759" width="4.546875" customWidth="1"/>
    <col min="10760" max="10760" width="4.8203125" customWidth="1"/>
    <col min="10761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3" width="4.2734375" customWidth="1"/>
    <col min="11014" max="11014" width="4.7265625" customWidth="1"/>
    <col min="11015" max="11015" width="4.546875" customWidth="1"/>
    <col min="11016" max="11016" width="4.8203125" customWidth="1"/>
    <col min="11017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9" width="4.2734375" customWidth="1"/>
    <col min="11270" max="11270" width="4.7265625" customWidth="1"/>
    <col min="11271" max="11271" width="4.546875" customWidth="1"/>
    <col min="11272" max="11272" width="4.8203125" customWidth="1"/>
    <col min="11273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5" width="4.2734375" customWidth="1"/>
    <col min="11526" max="11526" width="4.7265625" customWidth="1"/>
    <col min="11527" max="11527" width="4.546875" customWidth="1"/>
    <col min="11528" max="11528" width="4.8203125" customWidth="1"/>
    <col min="11529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1" width="4.2734375" customWidth="1"/>
    <col min="11782" max="11782" width="4.7265625" customWidth="1"/>
    <col min="11783" max="11783" width="4.546875" customWidth="1"/>
    <col min="11784" max="11784" width="4.8203125" customWidth="1"/>
    <col min="11785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7" width="4.2734375" customWidth="1"/>
    <col min="12038" max="12038" width="4.7265625" customWidth="1"/>
    <col min="12039" max="12039" width="4.546875" customWidth="1"/>
    <col min="12040" max="12040" width="4.8203125" customWidth="1"/>
    <col min="12041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3" width="4.2734375" customWidth="1"/>
    <col min="12294" max="12294" width="4.7265625" customWidth="1"/>
    <col min="12295" max="12295" width="4.546875" customWidth="1"/>
    <col min="12296" max="12296" width="4.8203125" customWidth="1"/>
    <col min="12297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9" width="4.2734375" customWidth="1"/>
    <col min="12550" max="12550" width="4.7265625" customWidth="1"/>
    <col min="12551" max="12551" width="4.546875" customWidth="1"/>
    <col min="12552" max="12552" width="4.8203125" customWidth="1"/>
    <col min="12553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5" width="4.2734375" customWidth="1"/>
    <col min="12806" max="12806" width="4.7265625" customWidth="1"/>
    <col min="12807" max="12807" width="4.546875" customWidth="1"/>
    <col min="12808" max="12808" width="4.8203125" customWidth="1"/>
    <col min="12809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1" width="4.2734375" customWidth="1"/>
    <col min="13062" max="13062" width="4.7265625" customWidth="1"/>
    <col min="13063" max="13063" width="4.546875" customWidth="1"/>
    <col min="13064" max="13064" width="4.8203125" customWidth="1"/>
    <col min="13065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7" width="4.2734375" customWidth="1"/>
    <col min="13318" max="13318" width="4.7265625" customWidth="1"/>
    <col min="13319" max="13319" width="4.546875" customWidth="1"/>
    <col min="13320" max="13320" width="4.8203125" customWidth="1"/>
    <col min="13321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3" width="4.2734375" customWidth="1"/>
    <col min="13574" max="13574" width="4.7265625" customWidth="1"/>
    <col min="13575" max="13575" width="4.546875" customWidth="1"/>
    <col min="13576" max="13576" width="4.8203125" customWidth="1"/>
    <col min="13577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9" width="4.2734375" customWidth="1"/>
    <col min="13830" max="13830" width="4.7265625" customWidth="1"/>
    <col min="13831" max="13831" width="4.546875" customWidth="1"/>
    <col min="13832" max="13832" width="4.8203125" customWidth="1"/>
    <col min="13833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5" width="4.2734375" customWidth="1"/>
    <col min="14086" max="14086" width="4.7265625" customWidth="1"/>
    <col min="14087" max="14087" width="4.546875" customWidth="1"/>
    <col min="14088" max="14088" width="4.8203125" customWidth="1"/>
    <col min="14089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1" width="4.2734375" customWidth="1"/>
    <col min="14342" max="14342" width="4.7265625" customWidth="1"/>
    <col min="14343" max="14343" width="4.546875" customWidth="1"/>
    <col min="14344" max="14344" width="4.8203125" customWidth="1"/>
    <col min="14345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7" width="4.2734375" customWidth="1"/>
    <col min="14598" max="14598" width="4.7265625" customWidth="1"/>
    <col min="14599" max="14599" width="4.546875" customWidth="1"/>
    <col min="14600" max="14600" width="4.8203125" customWidth="1"/>
    <col min="14601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3" width="4.2734375" customWidth="1"/>
    <col min="14854" max="14854" width="4.7265625" customWidth="1"/>
    <col min="14855" max="14855" width="4.546875" customWidth="1"/>
    <col min="14856" max="14856" width="4.8203125" customWidth="1"/>
    <col min="14857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9" width="4.2734375" customWidth="1"/>
    <col min="15110" max="15110" width="4.7265625" customWidth="1"/>
    <col min="15111" max="15111" width="4.546875" customWidth="1"/>
    <col min="15112" max="15112" width="4.8203125" customWidth="1"/>
    <col min="15113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5" width="4.2734375" customWidth="1"/>
    <col min="15366" max="15366" width="4.7265625" customWidth="1"/>
    <col min="15367" max="15367" width="4.546875" customWidth="1"/>
    <col min="15368" max="15368" width="4.8203125" customWidth="1"/>
    <col min="15369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1" width="4.2734375" customWidth="1"/>
    <col min="15622" max="15622" width="4.7265625" customWidth="1"/>
    <col min="15623" max="15623" width="4.546875" customWidth="1"/>
    <col min="15624" max="15624" width="4.8203125" customWidth="1"/>
    <col min="15625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7" width="4.2734375" customWidth="1"/>
    <col min="15878" max="15878" width="4.7265625" customWidth="1"/>
    <col min="15879" max="15879" width="4.546875" customWidth="1"/>
    <col min="15880" max="15880" width="4.8203125" customWidth="1"/>
    <col min="15881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3" width="4.2734375" customWidth="1"/>
    <col min="16134" max="16134" width="4.7265625" customWidth="1"/>
    <col min="16135" max="16135" width="4.546875" customWidth="1"/>
    <col min="16136" max="16136" width="4.8203125" customWidth="1"/>
    <col min="16137" max="16211" width="3.8203125" customWidth="1"/>
  </cols>
  <sheetData>
    <row r="1" ht="26" spans="16:16">
      <c r="P1" s="264" t="s">
        <v>347</v>
      </c>
    </row>
    <row r="4" ht="18" spans="3:83">
      <c r="C4" s="247" t="s">
        <v>348</v>
      </c>
      <c r="D4" s="3" t="s">
        <v>15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18</v>
      </c>
      <c r="L4" s="3" t="s">
        <v>18</v>
      </c>
      <c r="M4" s="3" t="s">
        <v>15</v>
      </c>
      <c r="N4" s="3" t="s">
        <v>18</v>
      </c>
      <c r="O4" s="3" t="s">
        <v>15</v>
      </c>
      <c r="P4" s="3" t="s">
        <v>18</v>
      </c>
      <c r="Q4" s="3" t="s">
        <v>18</v>
      </c>
      <c r="R4" s="3" t="s">
        <v>18</v>
      </c>
      <c r="S4" s="3" t="s">
        <v>15</v>
      </c>
      <c r="T4" s="3" t="s">
        <v>18</v>
      </c>
      <c r="U4" s="3" t="s">
        <v>15</v>
      </c>
      <c r="V4" s="3" t="s">
        <v>18</v>
      </c>
      <c r="W4" s="3" t="s">
        <v>18</v>
      </c>
      <c r="X4" s="3" t="s">
        <v>18</v>
      </c>
      <c r="Y4" s="3" t="s">
        <v>15</v>
      </c>
      <c r="Z4" s="3" t="s">
        <v>18</v>
      </c>
      <c r="AA4" s="3" t="s">
        <v>18</v>
      </c>
      <c r="AB4" s="3" t="s">
        <v>15</v>
      </c>
      <c r="AC4" s="3" t="s">
        <v>18</v>
      </c>
      <c r="AD4" s="3" t="s">
        <v>18</v>
      </c>
      <c r="AE4" s="3" t="s">
        <v>18</v>
      </c>
      <c r="AF4" s="3" t="s">
        <v>15</v>
      </c>
      <c r="AG4" s="3" t="s">
        <v>18</v>
      </c>
      <c r="AH4" s="3" t="s">
        <v>15</v>
      </c>
      <c r="AI4" s="3" t="s">
        <v>15</v>
      </c>
      <c r="AJ4" s="3" t="s">
        <v>18</v>
      </c>
      <c r="AK4" s="3" t="s">
        <v>15</v>
      </c>
      <c r="AL4" s="3" t="s">
        <v>15</v>
      </c>
      <c r="AM4" s="3" t="s">
        <v>15</v>
      </c>
      <c r="AN4" s="3" t="s">
        <v>15</v>
      </c>
      <c r="AO4" s="3" t="s">
        <v>15</v>
      </c>
      <c r="AP4" s="3" t="s">
        <v>18</v>
      </c>
      <c r="AQ4" s="3" t="s">
        <v>18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3</v>
      </c>
      <c r="K5" s="3">
        <v>3</v>
      </c>
      <c r="L5" s="3">
        <v>1</v>
      </c>
      <c r="M5" s="3">
        <v>3</v>
      </c>
      <c r="N5" s="3">
        <v>1</v>
      </c>
      <c r="O5" s="3">
        <v>3</v>
      </c>
      <c r="P5" s="3">
        <v>3</v>
      </c>
      <c r="Q5" s="3">
        <v>3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>
        <v>1</v>
      </c>
      <c r="X5" s="3">
        <v>1</v>
      </c>
      <c r="Y5" s="3">
        <v>2</v>
      </c>
      <c r="Z5" s="3">
        <v>1</v>
      </c>
      <c r="AA5" s="3">
        <v>1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1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ht="20.4" spans="1:83">
      <c r="A9" s="254">
        <v>1</v>
      </c>
      <c r="B9" s="276"/>
      <c r="C9" s="2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ht="20.4" spans="1:83">
      <c r="A10" s="254">
        <v>2</v>
      </c>
      <c r="B10" s="276"/>
      <c r="C10" s="2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20.4" spans="1:83">
      <c r="A11" s="254">
        <v>3</v>
      </c>
      <c r="B11" s="276"/>
      <c r="C11" s="2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20.4" spans="1:83">
      <c r="A12" s="254">
        <v>4</v>
      </c>
      <c r="B12" s="276"/>
      <c r="C12" s="27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20.4" spans="1:83">
      <c r="A13" s="254">
        <v>5</v>
      </c>
      <c r="B13" s="276"/>
      <c r="C13" s="2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20.4" spans="1:83">
      <c r="A14" s="254">
        <v>6</v>
      </c>
      <c r="B14" s="276"/>
      <c r="C14" s="2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20.4" spans="1:83">
      <c r="A15" s="254">
        <v>7</v>
      </c>
      <c r="B15" s="276"/>
      <c r="C15" s="2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20.4" spans="1:83">
      <c r="A16" s="254">
        <v>8</v>
      </c>
      <c r="B16" s="276"/>
      <c r="C16" s="2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20.4" spans="1:83">
      <c r="A17" s="254">
        <v>9</v>
      </c>
      <c r="B17" s="276"/>
      <c r="C17" s="2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20.4" spans="1:83">
      <c r="A18" s="254">
        <v>10</v>
      </c>
      <c r="B18" s="276"/>
      <c r="C18" s="2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20.4" spans="1:83">
      <c r="A19" s="254">
        <v>11</v>
      </c>
      <c r="B19" s="276"/>
      <c r="C19" s="2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20.4" spans="1:83">
      <c r="A20" s="254">
        <v>12</v>
      </c>
      <c r="B20" s="276"/>
      <c r="C20" s="2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20.4" spans="1:83">
      <c r="A21" s="254">
        <v>13</v>
      </c>
      <c r="B21" s="276"/>
      <c r="C21" s="2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20.4" spans="1:83">
      <c r="A22" s="254">
        <v>14</v>
      </c>
      <c r="B22" s="276"/>
      <c r="C22" s="27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20.4" spans="1:83">
      <c r="A23" s="254">
        <v>15</v>
      </c>
      <c r="B23" s="276"/>
      <c r="C23" s="2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20.4" spans="1:83">
      <c r="A24" s="254">
        <v>16</v>
      </c>
      <c r="B24" s="276"/>
      <c r="C24" s="2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20.4" spans="1:83">
      <c r="A25" s="254">
        <v>17</v>
      </c>
      <c r="B25" s="276"/>
      <c r="C25" s="2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20.4" spans="1:83">
      <c r="A26" s="254">
        <v>18</v>
      </c>
      <c r="B26" s="276"/>
      <c r="C26" s="2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20.4" spans="1:83">
      <c r="A27" s="254">
        <v>19</v>
      </c>
      <c r="B27" s="276"/>
      <c r="C27" s="2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20.4" spans="1:83">
      <c r="A28" s="254">
        <v>20</v>
      </c>
      <c r="B28" s="276"/>
      <c r="C28" s="2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20.4" spans="1:83">
      <c r="A29" s="254">
        <v>21</v>
      </c>
      <c r="B29" s="276"/>
      <c r="C29" s="2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20.4" spans="1:83">
      <c r="A30" s="254">
        <v>22</v>
      </c>
      <c r="B30" s="276"/>
      <c r="C30" s="2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20.4" spans="1:83">
      <c r="A31" s="254">
        <v>23</v>
      </c>
      <c r="B31" s="276"/>
      <c r="C31" s="2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20.4" spans="1:83">
      <c r="A32" s="254">
        <v>24</v>
      </c>
      <c r="B32" s="276"/>
      <c r="C32" s="2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20.4" spans="1:83">
      <c r="A33" s="254">
        <v>25</v>
      </c>
      <c r="B33" s="276"/>
      <c r="C33" s="2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20.4" spans="1:83">
      <c r="A34" s="254">
        <v>26</v>
      </c>
      <c r="B34" s="276"/>
      <c r="C34" s="2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20.4" spans="1:83">
      <c r="A35" s="254">
        <v>27</v>
      </c>
      <c r="B35" s="276"/>
      <c r="C35" s="2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20.4" spans="1:83">
      <c r="A36" s="254">
        <v>28</v>
      </c>
      <c r="B36" s="276"/>
      <c r="C36" s="2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20.4" spans="1:83">
      <c r="A37" s="254">
        <v>29</v>
      </c>
      <c r="B37" s="276"/>
      <c r="C37" s="2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20.4" spans="1:83">
      <c r="A38" s="254">
        <v>30</v>
      </c>
      <c r="B38" s="276"/>
      <c r="C38" s="2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20.4" spans="1:83">
      <c r="A39" s="254">
        <v>31</v>
      </c>
      <c r="B39" s="276"/>
      <c r="C39" s="2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20.4" spans="1:83">
      <c r="A40" s="254">
        <v>32</v>
      </c>
      <c r="B40" s="276"/>
      <c r="C40" s="2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20.4" spans="1:83">
      <c r="A41" s="254">
        <v>33</v>
      </c>
      <c r="B41" s="276"/>
      <c r="C41" s="2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20.4" spans="1:83">
      <c r="A42" s="254">
        <v>34</v>
      </c>
      <c r="B42" s="276"/>
      <c r="C42" s="2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20.4" spans="1:83">
      <c r="A43" s="254">
        <v>35</v>
      </c>
      <c r="B43" s="276"/>
      <c r="C43" s="2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20.4" spans="1:83">
      <c r="A44" s="254">
        <v>36</v>
      </c>
      <c r="B44" s="276"/>
      <c r="C44" s="2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20.4" spans="1:83">
      <c r="A45" s="254">
        <v>37</v>
      </c>
      <c r="B45" s="276"/>
      <c r="C45" s="2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20.4" spans="1:83">
      <c r="A46" s="254">
        <v>38</v>
      </c>
      <c r="B46" s="276"/>
      <c r="C46" s="2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20.4" spans="1:83">
      <c r="A47" s="254">
        <v>39</v>
      </c>
      <c r="B47" s="276"/>
      <c r="C47" s="2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20.4" spans="1:83">
      <c r="A48" s="254">
        <v>40</v>
      </c>
      <c r="B48" s="276"/>
      <c r="C48" s="2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20.4" spans="1:83">
      <c r="A49" s="254">
        <v>41</v>
      </c>
      <c r="B49" s="276"/>
      <c r="C49" s="2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20.4" spans="1:83">
      <c r="A50" s="254">
        <v>42</v>
      </c>
      <c r="B50" s="276"/>
      <c r="C50" s="2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20.4" spans="1:83">
      <c r="A51" s="254">
        <v>43</v>
      </c>
      <c r="B51" s="276"/>
      <c r="C51" s="2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20.4" spans="1:83">
      <c r="A52" s="254">
        <v>44</v>
      </c>
      <c r="B52" s="276"/>
      <c r="C52" s="2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20.4" spans="1:83">
      <c r="A53" s="254">
        <v>45</v>
      </c>
      <c r="B53" s="276"/>
      <c r="C53" s="2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20.4" spans="1:83">
      <c r="A54" s="254">
        <v>46</v>
      </c>
      <c r="B54" s="276"/>
      <c r="C54" s="2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20.4" spans="1:83">
      <c r="A55" s="254">
        <v>47</v>
      </c>
      <c r="B55" s="276"/>
      <c r="C55" s="2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20.4" spans="1:83">
      <c r="A56" s="254">
        <v>48</v>
      </c>
      <c r="B56" s="276"/>
      <c r="C56" s="2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20.4" spans="1:83">
      <c r="A57" s="254">
        <v>49</v>
      </c>
      <c r="B57" s="276"/>
      <c r="C57" s="2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20.4" spans="1:83">
      <c r="A58" s="254">
        <v>50</v>
      </c>
      <c r="B58" s="276"/>
      <c r="C58" s="2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20.4" spans="1:83">
      <c r="A59" s="254">
        <v>51</v>
      </c>
      <c r="B59" s="276"/>
      <c r="C59" s="2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20.4" spans="1:83">
      <c r="A60" s="254">
        <v>52</v>
      </c>
      <c r="B60" s="276"/>
      <c r="C60" s="27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20.4" spans="1:83">
      <c r="A61" s="254">
        <v>53</v>
      </c>
      <c r="B61" s="276"/>
      <c r="C61" s="27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20.4" spans="1:83">
      <c r="A62" s="254">
        <v>54</v>
      </c>
      <c r="B62" s="276"/>
      <c r="C62" s="2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20.4" spans="1:83">
      <c r="A63" s="254">
        <v>55</v>
      </c>
      <c r="B63" s="276"/>
      <c r="C63" s="2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20.4" spans="1:83">
      <c r="A64" s="254">
        <v>56</v>
      </c>
      <c r="B64" s="276"/>
      <c r="C64" s="2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20.4" spans="1:83">
      <c r="A65" s="254">
        <v>57</v>
      </c>
      <c r="B65" s="276"/>
      <c r="C65" s="2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79"/>
      <c r="C66" s="27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79"/>
      <c r="C67" s="27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79"/>
      <c r="C68" s="27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79"/>
      <c r="C69" s="27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79"/>
      <c r="C70" s="27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79"/>
      <c r="C71" s="27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79"/>
      <c r="C72" s="27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79"/>
      <c r="C73" s="27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5" priority="1"/>
  </conditionalFormatting>
  <conditionalFormatting sqref="B59:B65">
    <cfRule type="duplicateValues" dxfId="5" priority="2"/>
  </conditionalFormatting>
  <conditionalFormatting sqref="B9:C58 C59 C62:C65">
    <cfRule type="duplicateValues" dxfId="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4" width="3.8203125" customWidth="1"/>
    <col min="5" max="5" width="4.2734375" customWidth="1"/>
    <col min="6" max="6" width="4.7265625" customWidth="1"/>
    <col min="7" max="83" width="3.8203125" customWidth="1"/>
    <col min="257" max="257" width="6.7265625" customWidth="1"/>
    <col min="258" max="258" width="12.2734375" customWidth="1"/>
    <col min="259" max="259" width="29.2734375" customWidth="1"/>
    <col min="260" max="260" width="3.8203125" customWidth="1"/>
    <col min="261" max="261" width="4.2734375" customWidth="1"/>
    <col min="262" max="262" width="4.7265625" customWidth="1"/>
    <col min="263" max="339" width="3.8203125" customWidth="1"/>
    <col min="513" max="513" width="6.7265625" customWidth="1"/>
    <col min="514" max="514" width="12.2734375" customWidth="1"/>
    <col min="515" max="515" width="29.2734375" customWidth="1"/>
    <col min="516" max="516" width="3.8203125" customWidth="1"/>
    <col min="517" max="517" width="4.2734375" customWidth="1"/>
    <col min="518" max="518" width="4.7265625" customWidth="1"/>
    <col min="519" max="595" width="3.8203125" customWidth="1"/>
    <col min="769" max="769" width="6.7265625" customWidth="1"/>
    <col min="770" max="770" width="12.2734375" customWidth="1"/>
    <col min="771" max="771" width="29.2734375" customWidth="1"/>
    <col min="772" max="772" width="3.8203125" customWidth="1"/>
    <col min="773" max="773" width="4.2734375" customWidth="1"/>
    <col min="774" max="774" width="4.7265625" customWidth="1"/>
    <col min="775" max="851" width="3.8203125" customWidth="1"/>
    <col min="1025" max="1025" width="6.7265625" customWidth="1"/>
    <col min="1026" max="1026" width="12.2734375" customWidth="1"/>
    <col min="1027" max="1027" width="29.2734375" customWidth="1"/>
    <col min="1028" max="1028" width="3.8203125" customWidth="1"/>
    <col min="1029" max="1029" width="4.2734375" customWidth="1"/>
    <col min="1030" max="1030" width="4.7265625" customWidth="1"/>
    <col min="1031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4" width="3.8203125" customWidth="1"/>
    <col min="1285" max="1285" width="4.2734375" customWidth="1"/>
    <col min="1286" max="1286" width="4.7265625" customWidth="1"/>
    <col min="1287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0" width="3.8203125" customWidth="1"/>
    <col min="1541" max="1541" width="4.2734375" customWidth="1"/>
    <col min="1542" max="1542" width="4.7265625" customWidth="1"/>
    <col min="1543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6" width="3.8203125" customWidth="1"/>
    <col min="1797" max="1797" width="4.2734375" customWidth="1"/>
    <col min="1798" max="1798" width="4.7265625" customWidth="1"/>
    <col min="1799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2" width="3.8203125" customWidth="1"/>
    <col min="2053" max="2053" width="4.2734375" customWidth="1"/>
    <col min="2054" max="2054" width="4.7265625" customWidth="1"/>
    <col min="2055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8" width="3.8203125" customWidth="1"/>
    <col min="2309" max="2309" width="4.2734375" customWidth="1"/>
    <col min="2310" max="2310" width="4.7265625" customWidth="1"/>
    <col min="2311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4" width="3.8203125" customWidth="1"/>
    <col min="2565" max="2565" width="4.2734375" customWidth="1"/>
    <col min="2566" max="2566" width="4.7265625" customWidth="1"/>
    <col min="2567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0" width="3.8203125" customWidth="1"/>
    <col min="2821" max="2821" width="4.2734375" customWidth="1"/>
    <col min="2822" max="2822" width="4.7265625" customWidth="1"/>
    <col min="2823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6" width="3.8203125" customWidth="1"/>
    <col min="3077" max="3077" width="4.2734375" customWidth="1"/>
    <col min="3078" max="3078" width="4.7265625" customWidth="1"/>
    <col min="3079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2" width="3.8203125" customWidth="1"/>
    <col min="3333" max="3333" width="4.2734375" customWidth="1"/>
    <col min="3334" max="3334" width="4.7265625" customWidth="1"/>
    <col min="3335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8" width="3.8203125" customWidth="1"/>
    <col min="3589" max="3589" width="4.2734375" customWidth="1"/>
    <col min="3590" max="3590" width="4.7265625" customWidth="1"/>
    <col min="3591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4" width="3.8203125" customWidth="1"/>
    <col min="3845" max="3845" width="4.2734375" customWidth="1"/>
    <col min="3846" max="3846" width="4.7265625" customWidth="1"/>
    <col min="3847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0" width="3.8203125" customWidth="1"/>
    <col min="4101" max="4101" width="4.2734375" customWidth="1"/>
    <col min="4102" max="4102" width="4.7265625" customWidth="1"/>
    <col min="4103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6" width="3.8203125" customWidth="1"/>
    <col min="4357" max="4357" width="4.2734375" customWidth="1"/>
    <col min="4358" max="4358" width="4.7265625" customWidth="1"/>
    <col min="4359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2" width="3.8203125" customWidth="1"/>
    <col min="4613" max="4613" width="4.2734375" customWidth="1"/>
    <col min="4614" max="4614" width="4.7265625" customWidth="1"/>
    <col min="4615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8" width="3.8203125" customWidth="1"/>
    <col min="4869" max="4869" width="4.2734375" customWidth="1"/>
    <col min="4870" max="4870" width="4.7265625" customWidth="1"/>
    <col min="4871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4" width="3.8203125" customWidth="1"/>
    <col min="5125" max="5125" width="4.2734375" customWidth="1"/>
    <col min="5126" max="5126" width="4.7265625" customWidth="1"/>
    <col min="5127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0" width="3.8203125" customWidth="1"/>
    <col min="5381" max="5381" width="4.2734375" customWidth="1"/>
    <col min="5382" max="5382" width="4.7265625" customWidth="1"/>
    <col min="5383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6" width="3.8203125" customWidth="1"/>
    <col min="5637" max="5637" width="4.2734375" customWidth="1"/>
    <col min="5638" max="5638" width="4.7265625" customWidth="1"/>
    <col min="5639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2" width="3.8203125" customWidth="1"/>
    <col min="5893" max="5893" width="4.2734375" customWidth="1"/>
    <col min="5894" max="5894" width="4.7265625" customWidth="1"/>
    <col min="5895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8" width="3.8203125" customWidth="1"/>
    <col min="6149" max="6149" width="4.2734375" customWidth="1"/>
    <col min="6150" max="6150" width="4.7265625" customWidth="1"/>
    <col min="6151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4" width="3.8203125" customWidth="1"/>
    <col min="6405" max="6405" width="4.2734375" customWidth="1"/>
    <col min="6406" max="6406" width="4.7265625" customWidth="1"/>
    <col min="6407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0" width="3.8203125" customWidth="1"/>
    <col min="6661" max="6661" width="4.2734375" customWidth="1"/>
    <col min="6662" max="6662" width="4.7265625" customWidth="1"/>
    <col min="6663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6" width="3.8203125" customWidth="1"/>
    <col min="6917" max="6917" width="4.2734375" customWidth="1"/>
    <col min="6918" max="6918" width="4.7265625" customWidth="1"/>
    <col min="6919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2" width="3.8203125" customWidth="1"/>
    <col min="7173" max="7173" width="4.2734375" customWidth="1"/>
    <col min="7174" max="7174" width="4.7265625" customWidth="1"/>
    <col min="7175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8" width="3.8203125" customWidth="1"/>
    <col min="7429" max="7429" width="4.2734375" customWidth="1"/>
    <col min="7430" max="7430" width="4.7265625" customWidth="1"/>
    <col min="7431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4" width="3.8203125" customWidth="1"/>
    <col min="7685" max="7685" width="4.2734375" customWidth="1"/>
    <col min="7686" max="7686" width="4.7265625" customWidth="1"/>
    <col min="7687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0" width="3.8203125" customWidth="1"/>
    <col min="7941" max="7941" width="4.2734375" customWidth="1"/>
    <col min="7942" max="7942" width="4.7265625" customWidth="1"/>
    <col min="7943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6" width="3.8203125" customWidth="1"/>
    <col min="8197" max="8197" width="4.2734375" customWidth="1"/>
    <col min="8198" max="8198" width="4.7265625" customWidth="1"/>
    <col min="8199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2" width="3.8203125" customWidth="1"/>
    <col min="8453" max="8453" width="4.2734375" customWidth="1"/>
    <col min="8454" max="8454" width="4.7265625" customWidth="1"/>
    <col min="8455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8" width="3.8203125" customWidth="1"/>
    <col min="8709" max="8709" width="4.2734375" customWidth="1"/>
    <col min="8710" max="8710" width="4.7265625" customWidth="1"/>
    <col min="8711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4" width="3.8203125" customWidth="1"/>
    <col min="8965" max="8965" width="4.2734375" customWidth="1"/>
    <col min="8966" max="8966" width="4.7265625" customWidth="1"/>
    <col min="8967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0" width="3.8203125" customWidth="1"/>
    <col min="9221" max="9221" width="4.2734375" customWidth="1"/>
    <col min="9222" max="9222" width="4.7265625" customWidth="1"/>
    <col min="9223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6" width="3.8203125" customWidth="1"/>
    <col min="9477" max="9477" width="4.2734375" customWidth="1"/>
    <col min="9478" max="9478" width="4.7265625" customWidth="1"/>
    <col min="9479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2" width="3.8203125" customWidth="1"/>
    <col min="9733" max="9733" width="4.2734375" customWidth="1"/>
    <col min="9734" max="9734" width="4.7265625" customWidth="1"/>
    <col min="9735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8" width="3.8203125" customWidth="1"/>
    <col min="9989" max="9989" width="4.2734375" customWidth="1"/>
    <col min="9990" max="9990" width="4.7265625" customWidth="1"/>
    <col min="9991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4" width="3.8203125" customWidth="1"/>
    <col min="10245" max="10245" width="4.2734375" customWidth="1"/>
    <col min="10246" max="10246" width="4.7265625" customWidth="1"/>
    <col min="10247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0" width="3.8203125" customWidth="1"/>
    <col min="10501" max="10501" width="4.2734375" customWidth="1"/>
    <col min="10502" max="10502" width="4.7265625" customWidth="1"/>
    <col min="10503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6" width="3.8203125" customWidth="1"/>
    <col min="10757" max="10757" width="4.2734375" customWidth="1"/>
    <col min="10758" max="10758" width="4.7265625" customWidth="1"/>
    <col min="10759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2" width="3.8203125" customWidth="1"/>
    <col min="11013" max="11013" width="4.2734375" customWidth="1"/>
    <col min="11014" max="11014" width="4.7265625" customWidth="1"/>
    <col min="11015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8" width="3.8203125" customWidth="1"/>
    <col min="11269" max="11269" width="4.2734375" customWidth="1"/>
    <col min="11270" max="11270" width="4.7265625" customWidth="1"/>
    <col min="11271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4" width="3.8203125" customWidth="1"/>
    <col min="11525" max="11525" width="4.2734375" customWidth="1"/>
    <col min="11526" max="11526" width="4.7265625" customWidth="1"/>
    <col min="11527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0" width="3.8203125" customWidth="1"/>
    <col min="11781" max="11781" width="4.2734375" customWidth="1"/>
    <col min="11782" max="11782" width="4.7265625" customWidth="1"/>
    <col min="11783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6" width="3.8203125" customWidth="1"/>
    <col min="12037" max="12037" width="4.2734375" customWidth="1"/>
    <col min="12038" max="12038" width="4.7265625" customWidth="1"/>
    <col min="12039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2" width="3.8203125" customWidth="1"/>
    <col min="12293" max="12293" width="4.2734375" customWidth="1"/>
    <col min="12294" max="12294" width="4.7265625" customWidth="1"/>
    <col min="12295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8" width="3.8203125" customWidth="1"/>
    <col min="12549" max="12549" width="4.2734375" customWidth="1"/>
    <col min="12550" max="12550" width="4.7265625" customWidth="1"/>
    <col min="12551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4" width="3.8203125" customWidth="1"/>
    <col min="12805" max="12805" width="4.2734375" customWidth="1"/>
    <col min="12806" max="12806" width="4.7265625" customWidth="1"/>
    <col min="12807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0" width="3.8203125" customWidth="1"/>
    <col min="13061" max="13061" width="4.2734375" customWidth="1"/>
    <col min="13062" max="13062" width="4.7265625" customWidth="1"/>
    <col min="13063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6" width="3.8203125" customWidth="1"/>
    <col min="13317" max="13317" width="4.2734375" customWidth="1"/>
    <col min="13318" max="13318" width="4.7265625" customWidth="1"/>
    <col min="13319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2" width="3.8203125" customWidth="1"/>
    <col min="13573" max="13573" width="4.2734375" customWidth="1"/>
    <col min="13574" max="13574" width="4.7265625" customWidth="1"/>
    <col min="13575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8" width="3.8203125" customWidth="1"/>
    <col min="13829" max="13829" width="4.2734375" customWidth="1"/>
    <col min="13830" max="13830" width="4.7265625" customWidth="1"/>
    <col min="13831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4" width="3.8203125" customWidth="1"/>
    <col min="14085" max="14085" width="4.2734375" customWidth="1"/>
    <col min="14086" max="14086" width="4.7265625" customWidth="1"/>
    <col min="14087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0" width="3.8203125" customWidth="1"/>
    <col min="14341" max="14341" width="4.2734375" customWidth="1"/>
    <col min="14342" max="14342" width="4.7265625" customWidth="1"/>
    <col min="14343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6" width="3.8203125" customWidth="1"/>
    <col min="14597" max="14597" width="4.2734375" customWidth="1"/>
    <col min="14598" max="14598" width="4.7265625" customWidth="1"/>
    <col min="14599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2" width="3.8203125" customWidth="1"/>
    <col min="14853" max="14853" width="4.2734375" customWidth="1"/>
    <col min="14854" max="14854" width="4.7265625" customWidth="1"/>
    <col min="14855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8" width="3.8203125" customWidth="1"/>
    <col min="15109" max="15109" width="4.2734375" customWidth="1"/>
    <col min="15110" max="15110" width="4.7265625" customWidth="1"/>
    <col min="15111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4" width="3.8203125" customWidth="1"/>
    <col min="15365" max="15365" width="4.2734375" customWidth="1"/>
    <col min="15366" max="15366" width="4.7265625" customWidth="1"/>
    <col min="15367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0" width="3.8203125" customWidth="1"/>
    <col min="15621" max="15621" width="4.2734375" customWidth="1"/>
    <col min="15622" max="15622" width="4.7265625" customWidth="1"/>
    <col min="15623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6" width="3.8203125" customWidth="1"/>
    <col min="15877" max="15877" width="4.2734375" customWidth="1"/>
    <col min="15878" max="15878" width="4.7265625" customWidth="1"/>
    <col min="15879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2" width="3.8203125" customWidth="1"/>
    <col min="16133" max="16133" width="4.2734375" customWidth="1"/>
    <col min="16134" max="16134" width="4.7265625" customWidth="1"/>
    <col min="16135" max="16211" width="3.8203125" customWidth="1"/>
  </cols>
  <sheetData>
    <row r="1" ht="26" spans="16:16">
      <c r="P1" s="264" t="s">
        <v>355</v>
      </c>
    </row>
    <row r="4" ht="18" spans="3:83">
      <c r="C4" s="247" t="s">
        <v>348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1</v>
      </c>
      <c r="E5" s="3">
        <v>2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1</v>
      </c>
      <c r="L5" s="3">
        <v>2</v>
      </c>
      <c r="M5" s="3">
        <v>3</v>
      </c>
      <c r="N5" s="3">
        <v>4</v>
      </c>
      <c r="O5" s="3">
        <v>5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1</v>
      </c>
      <c r="V5" s="3">
        <v>2</v>
      </c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spans="1:83">
      <c r="A9" s="254">
        <v>1</v>
      </c>
      <c r="B9" s="255"/>
      <c r="C9" s="25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spans="1:83">
      <c r="A10" s="254">
        <v>2</v>
      </c>
      <c r="B10" s="255"/>
      <c r="C10" s="25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spans="1:83">
      <c r="A11" s="254">
        <v>3</v>
      </c>
      <c r="B11" s="255"/>
      <c r="C11" s="25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spans="1:83">
      <c r="A12" s="254">
        <v>4</v>
      </c>
      <c r="B12" s="255"/>
      <c r="C12" s="25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spans="1:83">
      <c r="A13" s="254">
        <v>5</v>
      </c>
      <c r="B13" s="255"/>
      <c r="C13" s="25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spans="1:83">
      <c r="A14" s="254">
        <v>6</v>
      </c>
      <c r="B14" s="255"/>
      <c r="C14" s="25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spans="1:83">
      <c r="A15" s="254">
        <v>7</v>
      </c>
      <c r="B15" s="255"/>
      <c r="C15" s="25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spans="1:83">
      <c r="A16" s="254">
        <v>8</v>
      </c>
      <c r="B16" s="255"/>
      <c r="C16" s="25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spans="1:83">
      <c r="A17" s="254">
        <v>9</v>
      </c>
      <c r="B17" s="255"/>
      <c r="C17" s="25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spans="1:83">
      <c r="A18" s="254">
        <v>10</v>
      </c>
      <c r="B18" s="255"/>
      <c r="C18" s="25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spans="1:83">
      <c r="A19" s="254">
        <v>11</v>
      </c>
      <c r="B19" s="255"/>
      <c r="C19" s="25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spans="1:83">
      <c r="A20" s="254">
        <v>12</v>
      </c>
      <c r="B20" s="255"/>
      <c r="C20" s="25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spans="1:83">
      <c r="A21" s="254">
        <v>13</v>
      </c>
      <c r="B21" s="255"/>
      <c r="C21" s="25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spans="1:83">
      <c r="A22" s="254">
        <v>14</v>
      </c>
      <c r="B22" s="255"/>
      <c r="C22" s="25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spans="1:83">
      <c r="A23" s="254">
        <v>15</v>
      </c>
      <c r="B23" s="255"/>
      <c r="C23" s="25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spans="1:83">
      <c r="A24" s="254">
        <v>16</v>
      </c>
      <c r="B24" s="255"/>
      <c r="C24" s="25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spans="1:83">
      <c r="A25" s="254">
        <v>17</v>
      </c>
      <c r="B25" s="255"/>
      <c r="C25" s="25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spans="1:83">
      <c r="A26" s="254">
        <v>18</v>
      </c>
      <c r="B26" s="255"/>
      <c r="C26" s="25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spans="1:83">
      <c r="A27" s="254">
        <v>19</v>
      </c>
      <c r="B27" s="255"/>
      <c r="C27" s="2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3">
      <c r="A28" s="254">
        <v>20</v>
      </c>
      <c r="B28" s="255"/>
      <c r="C28" s="25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3">
      <c r="A29" s="254">
        <v>21</v>
      </c>
      <c r="B29" s="255"/>
      <c r="C29" s="25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spans="1:83">
      <c r="A30" s="254">
        <v>22</v>
      </c>
      <c r="B30" s="255"/>
      <c r="C30" s="2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spans="1:83">
      <c r="A31" s="254">
        <v>23</v>
      </c>
      <c r="B31" s="255"/>
      <c r="C31" s="25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spans="1:83">
      <c r="A32" s="254">
        <v>24</v>
      </c>
      <c r="B32" s="255"/>
      <c r="C32" s="25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254">
        <v>25</v>
      </c>
      <c r="B33" s="255"/>
      <c r="C33" s="25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254">
        <v>26</v>
      </c>
      <c r="B34" s="255"/>
      <c r="C34" s="25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254">
        <v>27</v>
      </c>
      <c r="B35" s="255"/>
      <c r="C35" s="2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254">
        <v>28</v>
      </c>
      <c r="B36" s="255"/>
      <c r="C36" s="25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254">
        <v>29</v>
      </c>
      <c r="B37" s="255"/>
      <c r="C37" s="25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254">
        <v>30</v>
      </c>
      <c r="B38" s="255"/>
      <c r="C38" s="25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254">
        <v>31</v>
      </c>
      <c r="B39" s="255"/>
      <c r="C39" s="25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254">
        <v>32</v>
      </c>
      <c r="B40" s="255"/>
      <c r="C40" s="25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254">
        <v>33</v>
      </c>
      <c r="B41" s="255"/>
      <c r="C41" s="25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254">
        <v>34</v>
      </c>
      <c r="B42" s="255"/>
      <c r="C42" s="25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254">
        <v>35</v>
      </c>
      <c r="B43" s="255"/>
      <c r="C43" s="25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254">
        <v>36</v>
      </c>
      <c r="B44" s="255"/>
      <c r="C44" s="25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254">
        <v>37</v>
      </c>
      <c r="B45" s="255"/>
      <c r="C45" s="25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254">
        <v>38</v>
      </c>
      <c r="B46" s="255"/>
      <c r="C46" s="25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254">
        <v>39</v>
      </c>
      <c r="B47" s="255"/>
      <c r="C47" s="25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254">
        <v>40</v>
      </c>
      <c r="B48" s="255"/>
      <c r="C48" s="25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254">
        <v>41</v>
      </c>
      <c r="B49" s="255"/>
      <c r="C49" s="25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254">
        <v>42</v>
      </c>
      <c r="B50" s="255"/>
      <c r="C50" s="25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254">
        <v>43</v>
      </c>
      <c r="B51" s="255"/>
      <c r="C51" s="25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254">
        <v>44</v>
      </c>
      <c r="B52" s="255"/>
      <c r="C52" s="25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254">
        <v>45</v>
      </c>
      <c r="B53" s="255"/>
      <c r="C53" s="25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254">
        <v>46</v>
      </c>
      <c r="B54" s="255"/>
      <c r="C54" s="25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254">
        <v>47</v>
      </c>
      <c r="B55" s="255"/>
      <c r="C55" s="25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254">
        <v>48</v>
      </c>
      <c r="B56" s="255"/>
      <c r="C56" s="25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254">
        <v>49</v>
      </c>
      <c r="B57" s="255"/>
      <c r="C57" s="25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254">
        <v>50</v>
      </c>
      <c r="B58" s="255"/>
      <c r="C58" s="25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254">
        <v>51</v>
      </c>
      <c r="B59" s="255"/>
      <c r="C59" s="25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254">
        <v>52</v>
      </c>
      <c r="B60" s="255"/>
      <c r="C60" s="25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254">
        <v>53</v>
      </c>
      <c r="B61" s="255"/>
      <c r="C61" s="25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254">
        <v>54</v>
      </c>
      <c r="B62" s="255"/>
      <c r="C62" s="25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254">
        <v>55</v>
      </c>
      <c r="B63" s="260"/>
      <c r="C63" s="26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254">
        <v>56</v>
      </c>
      <c r="B64" s="262"/>
      <c r="C64" s="26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254">
        <v>57</v>
      </c>
      <c r="B65" s="262"/>
      <c r="C65" s="26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62"/>
      <c r="C66" s="26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62"/>
      <c r="C67" s="26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62"/>
      <c r="C68" s="26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62"/>
      <c r="C69" s="26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62"/>
      <c r="C70" s="26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62"/>
      <c r="C71" s="26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62"/>
      <c r="C72" s="26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62"/>
      <c r="C73" s="26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53" zoomScaleNormal="53" workbookViewId="0">
      <selection activeCell="U14" sqref="U14"/>
    </sheetView>
  </sheetViews>
  <sheetFormatPr defaultColWidth="9.2734375" defaultRowHeight="16.8"/>
  <cols>
    <col min="1" max="1" width="43.3671875" customWidth="1"/>
    <col min="2" max="2" width="10.7265625" style="149" customWidth="1"/>
    <col min="3" max="3" width="8.2734375" customWidth="1"/>
    <col min="4" max="4" width="12" customWidth="1"/>
    <col min="5" max="5" width="9.1796875" customWidth="1"/>
    <col min="6" max="6" width="8.2734375" customWidth="1"/>
    <col min="7" max="7" width="4.546875" customWidth="1"/>
    <col min="8" max="8" width="10.8203125" customWidth="1"/>
    <col min="9" max="11" width="4.546875" customWidth="1"/>
    <col min="12" max="17" width="5.546875" customWidth="1"/>
    <col min="18" max="18" width="9.7265625" customWidth="1"/>
    <col min="19" max="19" width="11.8203125" customWidth="1"/>
    <col min="20" max="20" width="6.8203125" style="150" customWidth="1"/>
    <col min="21" max="21" width="6.8203125" customWidth="1"/>
    <col min="22" max="22" width="13.3671875" customWidth="1"/>
    <col min="23" max="23" width="15.546875" customWidth="1"/>
    <col min="24" max="24" width="7.2734375" customWidth="1"/>
    <col min="25" max="25" width="6.546875" customWidth="1"/>
    <col min="26" max="26" width="3.546875" customWidth="1"/>
    <col min="29" max="29" width="8.1796875" customWidth="1"/>
    <col min="30" max="30" width="6.546875" customWidth="1"/>
    <col min="31" max="31" width="6.2734375" customWidth="1"/>
    <col min="32" max="32" width="7.2734375" customWidth="1"/>
    <col min="33" max="33" width="6.8203125" style="149" customWidth="1"/>
    <col min="257" max="257" width="36.1796875" customWidth="1"/>
    <col min="258" max="259" width="8.2734375" customWidth="1"/>
    <col min="260" max="260" width="12" customWidth="1"/>
    <col min="261" max="261" width="9.1796875" customWidth="1"/>
    <col min="262" max="262" width="8.2734375" customWidth="1"/>
    <col min="263" max="263" width="4.546875" customWidth="1"/>
    <col min="264" max="264" width="10.8203125" customWidth="1"/>
    <col min="265" max="267" width="4.546875" customWidth="1"/>
    <col min="268" max="273" width="5.546875" customWidth="1"/>
    <col min="274" max="274" width="9.7265625" customWidth="1"/>
    <col min="275" max="275" width="11.8203125" customWidth="1"/>
    <col min="276" max="277" width="6.8203125" customWidth="1"/>
    <col min="278" max="278" width="10" customWidth="1"/>
    <col min="279" max="279" width="15.546875" customWidth="1"/>
    <col min="280" max="280" width="7.2734375" customWidth="1"/>
    <col min="281" max="281" width="6.546875" customWidth="1"/>
    <col min="282" max="282" width="3.546875" customWidth="1"/>
    <col min="285" max="285" width="8.1796875" customWidth="1"/>
    <col min="286" max="286" width="6.546875" customWidth="1"/>
    <col min="287" max="287" width="6.2734375" customWidth="1"/>
    <col min="288" max="288" width="7.2734375" customWidth="1"/>
    <col min="289" max="289" width="6.8203125" customWidth="1"/>
    <col min="513" max="513" width="36.1796875" customWidth="1"/>
    <col min="514" max="515" width="8.2734375" customWidth="1"/>
    <col min="516" max="516" width="12" customWidth="1"/>
    <col min="517" max="517" width="9.1796875" customWidth="1"/>
    <col min="518" max="518" width="8.2734375" customWidth="1"/>
    <col min="519" max="519" width="4.546875" customWidth="1"/>
    <col min="520" max="520" width="10.8203125" customWidth="1"/>
    <col min="521" max="523" width="4.546875" customWidth="1"/>
    <col min="524" max="529" width="5.546875" customWidth="1"/>
    <col min="530" max="530" width="9.7265625" customWidth="1"/>
    <col min="531" max="531" width="11.8203125" customWidth="1"/>
    <col min="532" max="533" width="6.8203125" customWidth="1"/>
    <col min="534" max="534" width="10" customWidth="1"/>
    <col min="535" max="535" width="15.546875" customWidth="1"/>
    <col min="536" max="536" width="7.2734375" customWidth="1"/>
    <col min="537" max="537" width="6.546875" customWidth="1"/>
    <col min="538" max="538" width="3.546875" customWidth="1"/>
    <col min="541" max="541" width="8.1796875" customWidth="1"/>
    <col min="542" max="542" width="6.546875" customWidth="1"/>
    <col min="543" max="543" width="6.2734375" customWidth="1"/>
    <col min="544" max="544" width="7.2734375" customWidth="1"/>
    <col min="545" max="545" width="6.8203125" customWidth="1"/>
    <col min="769" max="769" width="36.1796875" customWidth="1"/>
    <col min="770" max="771" width="8.2734375" customWidth="1"/>
    <col min="772" max="772" width="12" customWidth="1"/>
    <col min="773" max="773" width="9.1796875" customWidth="1"/>
    <col min="774" max="774" width="8.2734375" customWidth="1"/>
    <col min="775" max="775" width="4.546875" customWidth="1"/>
    <col min="776" max="776" width="10.8203125" customWidth="1"/>
    <col min="777" max="779" width="4.546875" customWidth="1"/>
    <col min="780" max="785" width="5.546875" customWidth="1"/>
    <col min="786" max="786" width="9.7265625" customWidth="1"/>
    <col min="787" max="787" width="11.8203125" customWidth="1"/>
    <col min="788" max="789" width="6.8203125" customWidth="1"/>
    <col min="790" max="790" width="10" customWidth="1"/>
    <col min="791" max="791" width="15.546875" customWidth="1"/>
    <col min="792" max="792" width="7.2734375" customWidth="1"/>
    <col min="793" max="793" width="6.546875" customWidth="1"/>
    <col min="794" max="794" width="3.546875" customWidth="1"/>
    <col min="797" max="797" width="8.1796875" customWidth="1"/>
    <col min="798" max="798" width="6.546875" customWidth="1"/>
    <col min="799" max="799" width="6.2734375" customWidth="1"/>
    <col min="800" max="800" width="7.2734375" customWidth="1"/>
    <col min="801" max="801" width="6.8203125" customWidth="1"/>
    <col min="1025" max="1025" width="36.1796875" customWidth="1"/>
    <col min="1026" max="1027" width="8.2734375" customWidth="1"/>
    <col min="1028" max="1028" width="12" customWidth="1"/>
    <col min="1029" max="1029" width="9.1796875" customWidth="1"/>
    <col min="1030" max="1030" width="8.2734375" customWidth="1"/>
    <col min="1031" max="1031" width="4.546875" customWidth="1"/>
    <col min="1032" max="1032" width="10.8203125" customWidth="1"/>
    <col min="1033" max="1035" width="4.546875" customWidth="1"/>
    <col min="1036" max="1041" width="5.546875" customWidth="1"/>
    <col min="1042" max="1042" width="9.7265625" customWidth="1"/>
    <col min="1043" max="1043" width="11.8203125" customWidth="1"/>
    <col min="1044" max="1045" width="6.8203125" customWidth="1"/>
    <col min="1046" max="1046" width="10" customWidth="1"/>
    <col min="1047" max="1047" width="15.546875" customWidth="1"/>
    <col min="1048" max="1048" width="7.2734375" customWidth="1"/>
    <col min="1049" max="1049" width="6.546875" customWidth="1"/>
    <col min="1050" max="1050" width="3.546875" customWidth="1"/>
    <col min="1053" max="1053" width="8.1796875" customWidth="1"/>
    <col min="1054" max="1054" width="6.546875" customWidth="1"/>
    <col min="1055" max="1055" width="6.2734375" customWidth="1"/>
    <col min="1056" max="1056" width="7.2734375" customWidth="1"/>
    <col min="1057" max="1057" width="6.8203125" customWidth="1"/>
    <col min="1281" max="1281" width="36.1796875" customWidth="1"/>
    <col min="1282" max="1283" width="8.2734375" customWidth="1"/>
    <col min="1284" max="1284" width="12" customWidth="1"/>
    <col min="1285" max="1285" width="9.1796875" customWidth="1"/>
    <col min="1286" max="1286" width="8.2734375" customWidth="1"/>
    <col min="1287" max="1287" width="4.546875" customWidth="1"/>
    <col min="1288" max="1288" width="10.8203125" customWidth="1"/>
    <col min="1289" max="1291" width="4.546875" customWidth="1"/>
    <col min="1292" max="1297" width="5.546875" customWidth="1"/>
    <col min="1298" max="1298" width="9.7265625" customWidth="1"/>
    <col min="1299" max="1299" width="11.8203125" customWidth="1"/>
    <col min="1300" max="1301" width="6.8203125" customWidth="1"/>
    <col min="1302" max="1302" width="10" customWidth="1"/>
    <col min="1303" max="1303" width="15.546875" customWidth="1"/>
    <col min="1304" max="1304" width="7.2734375" customWidth="1"/>
    <col min="1305" max="1305" width="6.546875" customWidth="1"/>
    <col min="1306" max="1306" width="3.546875" customWidth="1"/>
    <col min="1309" max="1309" width="8.1796875" customWidth="1"/>
    <col min="1310" max="1310" width="6.546875" customWidth="1"/>
    <col min="1311" max="1311" width="6.2734375" customWidth="1"/>
    <col min="1312" max="1312" width="7.2734375" customWidth="1"/>
    <col min="1313" max="1313" width="6.8203125" customWidth="1"/>
    <col min="1537" max="1537" width="36.1796875" customWidth="1"/>
    <col min="1538" max="1539" width="8.2734375" customWidth="1"/>
    <col min="1540" max="1540" width="12" customWidth="1"/>
    <col min="1541" max="1541" width="9.1796875" customWidth="1"/>
    <col min="1542" max="1542" width="8.2734375" customWidth="1"/>
    <col min="1543" max="1543" width="4.546875" customWidth="1"/>
    <col min="1544" max="1544" width="10.8203125" customWidth="1"/>
    <col min="1545" max="1547" width="4.546875" customWidth="1"/>
    <col min="1548" max="1553" width="5.546875" customWidth="1"/>
    <col min="1554" max="1554" width="9.7265625" customWidth="1"/>
    <col min="1555" max="1555" width="11.8203125" customWidth="1"/>
    <col min="1556" max="1557" width="6.8203125" customWidth="1"/>
    <col min="1558" max="1558" width="10" customWidth="1"/>
    <col min="1559" max="1559" width="15.546875" customWidth="1"/>
    <col min="1560" max="1560" width="7.2734375" customWidth="1"/>
    <col min="1561" max="1561" width="6.546875" customWidth="1"/>
    <col min="1562" max="1562" width="3.546875" customWidth="1"/>
    <col min="1565" max="1565" width="8.1796875" customWidth="1"/>
    <col min="1566" max="1566" width="6.546875" customWidth="1"/>
    <col min="1567" max="1567" width="6.2734375" customWidth="1"/>
    <col min="1568" max="1568" width="7.2734375" customWidth="1"/>
    <col min="1569" max="1569" width="6.8203125" customWidth="1"/>
    <col min="1793" max="1793" width="36.1796875" customWidth="1"/>
    <col min="1794" max="1795" width="8.2734375" customWidth="1"/>
    <col min="1796" max="1796" width="12" customWidth="1"/>
    <col min="1797" max="1797" width="9.1796875" customWidth="1"/>
    <col min="1798" max="1798" width="8.2734375" customWidth="1"/>
    <col min="1799" max="1799" width="4.546875" customWidth="1"/>
    <col min="1800" max="1800" width="10.8203125" customWidth="1"/>
    <col min="1801" max="1803" width="4.546875" customWidth="1"/>
    <col min="1804" max="1809" width="5.546875" customWidth="1"/>
    <col min="1810" max="1810" width="9.7265625" customWidth="1"/>
    <col min="1811" max="1811" width="11.8203125" customWidth="1"/>
    <col min="1812" max="1813" width="6.8203125" customWidth="1"/>
    <col min="1814" max="1814" width="10" customWidth="1"/>
    <col min="1815" max="1815" width="15.546875" customWidth="1"/>
    <col min="1816" max="1816" width="7.2734375" customWidth="1"/>
    <col min="1817" max="1817" width="6.546875" customWidth="1"/>
    <col min="1818" max="1818" width="3.546875" customWidth="1"/>
    <col min="1821" max="1821" width="8.1796875" customWidth="1"/>
    <col min="1822" max="1822" width="6.546875" customWidth="1"/>
    <col min="1823" max="1823" width="6.2734375" customWidth="1"/>
    <col min="1824" max="1824" width="7.2734375" customWidth="1"/>
    <col min="1825" max="1825" width="6.8203125" customWidth="1"/>
    <col min="2049" max="2049" width="36.1796875" customWidth="1"/>
    <col min="2050" max="2051" width="8.2734375" customWidth="1"/>
    <col min="2052" max="2052" width="12" customWidth="1"/>
    <col min="2053" max="2053" width="9.1796875" customWidth="1"/>
    <col min="2054" max="2054" width="8.2734375" customWidth="1"/>
    <col min="2055" max="2055" width="4.546875" customWidth="1"/>
    <col min="2056" max="2056" width="10.8203125" customWidth="1"/>
    <col min="2057" max="2059" width="4.546875" customWidth="1"/>
    <col min="2060" max="2065" width="5.546875" customWidth="1"/>
    <col min="2066" max="2066" width="9.7265625" customWidth="1"/>
    <col min="2067" max="2067" width="11.8203125" customWidth="1"/>
    <col min="2068" max="2069" width="6.8203125" customWidth="1"/>
    <col min="2070" max="2070" width="10" customWidth="1"/>
    <col min="2071" max="2071" width="15.546875" customWidth="1"/>
    <col min="2072" max="2072" width="7.2734375" customWidth="1"/>
    <col min="2073" max="2073" width="6.546875" customWidth="1"/>
    <col min="2074" max="2074" width="3.546875" customWidth="1"/>
    <col min="2077" max="2077" width="8.1796875" customWidth="1"/>
    <col min="2078" max="2078" width="6.546875" customWidth="1"/>
    <col min="2079" max="2079" width="6.2734375" customWidth="1"/>
    <col min="2080" max="2080" width="7.2734375" customWidth="1"/>
    <col min="2081" max="2081" width="6.8203125" customWidth="1"/>
    <col min="2305" max="2305" width="36.1796875" customWidth="1"/>
    <col min="2306" max="2307" width="8.2734375" customWidth="1"/>
    <col min="2308" max="2308" width="12" customWidth="1"/>
    <col min="2309" max="2309" width="9.1796875" customWidth="1"/>
    <col min="2310" max="2310" width="8.2734375" customWidth="1"/>
    <col min="2311" max="2311" width="4.546875" customWidth="1"/>
    <col min="2312" max="2312" width="10.8203125" customWidth="1"/>
    <col min="2313" max="2315" width="4.546875" customWidth="1"/>
    <col min="2316" max="2321" width="5.546875" customWidth="1"/>
    <col min="2322" max="2322" width="9.7265625" customWidth="1"/>
    <col min="2323" max="2323" width="11.8203125" customWidth="1"/>
    <col min="2324" max="2325" width="6.8203125" customWidth="1"/>
    <col min="2326" max="2326" width="10" customWidth="1"/>
    <col min="2327" max="2327" width="15.546875" customWidth="1"/>
    <col min="2328" max="2328" width="7.2734375" customWidth="1"/>
    <col min="2329" max="2329" width="6.546875" customWidth="1"/>
    <col min="2330" max="2330" width="3.546875" customWidth="1"/>
    <col min="2333" max="2333" width="8.1796875" customWidth="1"/>
    <col min="2334" max="2334" width="6.546875" customWidth="1"/>
    <col min="2335" max="2335" width="6.2734375" customWidth="1"/>
    <col min="2336" max="2336" width="7.2734375" customWidth="1"/>
    <col min="2337" max="2337" width="6.8203125" customWidth="1"/>
    <col min="2561" max="2561" width="36.1796875" customWidth="1"/>
    <col min="2562" max="2563" width="8.2734375" customWidth="1"/>
    <col min="2564" max="2564" width="12" customWidth="1"/>
    <col min="2565" max="2565" width="9.1796875" customWidth="1"/>
    <col min="2566" max="2566" width="8.2734375" customWidth="1"/>
    <col min="2567" max="2567" width="4.546875" customWidth="1"/>
    <col min="2568" max="2568" width="10.8203125" customWidth="1"/>
    <col min="2569" max="2571" width="4.546875" customWidth="1"/>
    <col min="2572" max="2577" width="5.546875" customWidth="1"/>
    <col min="2578" max="2578" width="9.7265625" customWidth="1"/>
    <col min="2579" max="2579" width="11.8203125" customWidth="1"/>
    <col min="2580" max="2581" width="6.8203125" customWidth="1"/>
    <col min="2582" max="2582" width="10" customWidth="1"/>
    <col min="2583" max="2583" width="15.546875" customWidth="1"/>
    <col min="2584" max="2584" width="7.2734375" customWidth="1"/>
    <col min="2585" max="2585" width="6.546875" customWidth="1"/>
    <col min="2586" max="2586" width="3.546875" customWidth="1"/>
    <col min="2589" max="2589" width="8.1796875" customWidth="1"/>
    <col min="2590" max="2590" width="6.546875" customWidth="1"/>
    <col min="2591" max="2591" width="6.2734375" customWidth="1"/>
    <col min="2592" max="2592" width="7.2734375" customWidth="1"/>
    <col min="2593" max="2593" width="6.8203125" customWidth="1"/>
    <col min="2817" max="2817" width="36.1796875" customWidth="1"/>
    <col min="2818" max="2819" width="8.2734375" customWidth="1"/>
    <col min="2820" max="2820" width="12" customWidth="1"/>
    <col min="2821" max="2821" width="9.1796875" customWidth="1"/>
    <col min="2822" max="2822" width="8.2734375" customWidth="1"/>
    <col min="2823" max="2823" width="4.546875" customWidth="1"/>
    <col min="2824" max="2824" width="10.8203125" customWidth="1"/>
    <col min="2825" max="2827" width="4.546875" customWidth="1"/>
    <col min="2828" max="2833" width="5.546875" customWidth="1"/>
    <col min="2834" max="2834" width="9.7265625" customWidth="1"/>
    <col min="2835" max="2835" width="11.8203125" customWidth="1"/>
    <col min="2836" max="2837" width="6.8203125" customWidth="1"/>
    <col min="2838" max="2838" width="10" customWidth="1"/>
    <col min="2839" max="2839" width="15.546875" customWidth="1"/>
    <col min="2840" max="2840" width="7.2734375" customWidth="1"/>
    <col min="2841" max="2841" width="6.546875" customWidth="1"/>
    <col min="2842" max="2842" width="3.546875" customWidth="1"/>
    <col min="2845" max="2845" width="8.1796875" customWidth="1"/>
    <col min="2846" max="2846" width="6.546875" customWidth="1"/>
    <col min="2847" max="2847" width="6.2734375" customWidth="1"/>
    <col min="2848" max="2848" width="7.2734375" customWidth="1"/>
    <col min="2849" max="2849" width="6.8203125" customWidth="1"/>
    <col min="3073" max="3073" width="36.1796875" customWidth="1"/>
    <col min="3074" max="3075" width="8.2734375" customWidth="1"/>
    <col min="3076" max="3076" width="12" customWidth="1"/>
    <col min="3077" max="3077" width="9.1796875" customWidth="1"/>
    <col min="3078" max="3078" width="8.2734375" customWidth="1"/>
    <col min="3079" max="3079" width="4.546875" customWidth="1"/>
    <col min="3080" max="3080" width="10.8203125" customWidth="1"/>
    <col min="3081" max="3083" width="4.546875" customWidth="1"/>
    <col min="3084" max="3089" width="5.546875" customWidth="1"/>
    <col min="3090" max="3090" width="9.7265625" customWidth="1"/>
    <col min="3091" max="3091" width="11.8203125" customWidth="1"/>
    <col min="3092" max="3093" width="6.8203125" customWidth="1"/>
    <col min="3094" max="3094" width="10" customWidth="1"/>
    <col min="3095" max="3095" width="15.546875" customWidth="1"/>
    <col min="3096" max="3096" width="7.2734375" customWidth="1"/>
    <col min="3097" max="3097" width="6.546875" customWidth="1"/>
    <col min="3098" max="3098" width="3.546875" customWidth="1"/>
    <col min="3101" max="3101" width="8.1796875" customWidth="1"/>
    <col min="3102" max="3102" width="6.546875" customWidth="1"/>
    <col min="3103" max="3103" width="6.2734375" customWidth="1"/>
    <col min="3104" max="3104" width="7.2734375" customWidth="1"/>
    <col min="3105" max="3105" width="6.8203125" customWidth="1"/>
    <col min="3329" max="3329" width="36.1796875" customWidth="1"/>
    <col min="3330" max="3331" width="8.2734375" customWidth="1"/>
    <col min="3332" max="3332" width="12" customWidth="1"/>
    <col min="3333" max="3333" width="9.1796875" customWidth="1"/>
    <col min="3334" max="3334" width="8.2734375" customWidth="1"/>
    <col min="3335" max="3335" width="4.546875" customWidth="1"/>
    <col min="3336" max="3336" width="10.8203125" customWidth="1"/>
    <col min="3337" max="3339" width="4.546875" customWidth="1"/>
    <col min="3340" max="3345" width="5.546875" customWidth="1"/>
    <col min="3346" max="3346" width="9.7265625" customWidth="1"/>
    <col min="3347" max="3347" width="11.8203125" customWidth="1"/>
    <col min="3348" max="3349" width="6.8203125" customWidth="1"/>
    <col min="3350" max="3350" width="10" customWidth="1"/>
    <col min="3351" max="3351" width="15.546875" customWidth="1"/>
    <col min="3352" max="3352" width="7.2734375" customWidth="1"/>
    <col min="3353" max="3353" width="6.546875" customWidth="1"/>
    <col min="3354" max="3354" width="3.546875" customWidth="1"/>
    <col min="3357" max="3357" width="8.1796875" customWidth="1"/>
    <col min="3358" max="3358" width="6.546875" customWidth="1"/>
    <col min="3359" max="3359" width="6.2734375" customWidth="1"/>
    <col min="3360" max="3360" width="7.2734375" customWidth="1"/>
    <col min="3361" max="3361" width="6.8203125" customWidth="1"/>
    <col min="3585" max="3585" width="36.1796875" customWidth="1"/>
    <col min="3586" max="3587" width="8.2734375" customWidth="1"/>
    <col min="3588" max="3588" width="12" customWidth="1"/>
    <col min="3589" max="3589" width="9.1796875" customWidth="1"/>
    <col min="3590" max="3590" width="8.2734375" customWidth="1"/>
    <col min="3591" max="3591" width="4.546875" customWidth="1"/>
    <col min="3592" max="3592" width="10.8203125" customWidth="1"/>
    <col min="3593" max="3595" width="4.546875" customWidth="1"/>
    <col min="3596" max="3601" width="5.546875" customWidth="1"/>
    <col min="3602" max="3602" width="9.7265625" customWidth="1"/>
    <col min="3603" max="3603" width="11.8203125" customWidth="1"/>
    <col min="3604" max="3605" width="6.8203125" customWidth="1"/>
    <col min="3606" max="3606" width="10" customWidth="1"/>
    <col min="3607" max="3607" width="15.546875" customWidth="1"/>
    <col min="3608" max="3608" width="7.2734375" customWidth="1"/>
    <col min="3609" max="3609" width="6.546875" customWidth="1"/>
    <col min="3610" max="3610" width="3.546875" customWidth="1"/>
    <col min="3613" max="3613" width="8.1796875" customWidth="1"/>
    <col min="3614" max="3614" width="6.546875" customWidth="1"/>
    <col min="3615" max="3615" width="6.2734375" customWidth="1"/>
    <col min="3616" max="3616" width="7.2734375" customWidth="1"/>
    <col min="3617" max="3617" width="6.8203125" customWidth="1"/>
    <col min="3841" max="3841" width="36.1796875" customWidth="1"/>
    <col min="3842" max="3843" width="8.2734375" customWidth="1"/>
    <col min="3844" max="3844" width="12" customWidth="1"/>
    <col min="3845" max="3845" width="9.1796875" customWidth="1"/>
    <col min="3846" max="3846" width="8.2734375" customWidth="1"/>
    <col min="3847" max="3847" width="4.546875" customWidth="1"/>
    <col min="3848" max="3848" width="10.8203125" customWidth="1"/>
    <col min="3849" max="3851" width="4.546875" customWidth="1"/>
    <col min="3852" max="3857" width="5.546875" customWidth="1"/>
    <col min="3858" max="3858" width="9.7265625" customWidth="1"/>
    <col min="3859" max="3859" width="11.8203125" customWidth="1"/>
    <col min="3860" max="3861" width="6.8203125" customWidth="1"/>
    <col min="3862" max="3862" width="10" customWidth="1"/>
    <col min="3863" max="3863" width="15.546875" customWidth="1"/>
    <col min="3864" max="3864" width="7.2734375" customWidth="1"/>
    <col min="3865" max="3865" width="6.546875" customWidth="1"/>
    <col min="3866" max="3866" width="3.546875" customWidth="1"/>
    <col min="3869" max="3869" width="8.1796875" customWidth="1"/>
    <col min="3870" max="3870" width="6.546875" customWidth="1"/>
    <col min="3871" max="3871" width="6.2734375" customWidth="1"/>
    <col min="3872" max="3872" width="7.2734375" customWidth="1"/>
    <col min="3873" max="3873" width="6.8203125" customWidth="1"/>
    <col min="4097" max="4097" width="36.1796875" customWidth="1"/>
    <col min="4098" max="4099" width="8.2734375" customWidth="1"/>
    <col min="4100" max="4100" width="12" customWidth="1"/>
    <col min="4101" max="4101" width="9.1796875" customWidth="1"/>
    <col min="4102" max="4102" width="8.2734375" customWidth="1"/>
    <col min="4103" max="4103" width="4.546875" customWidth="1"/>
    <col min="4104" max="4104" width="10.8203125" customWidth="1"/>
    <col min="4105" max="4107" width="4.546875" customWidth="1"/>
    <col min="4108" max="4113" width="5.546875" customWidth="1"/>
    <col min="4114" max="4114" width="9.7265625" customWidth="1"/>
    <col min="4115" max="4115" width="11.8203125" customWidth="1"/>
    <col min="4116" max="4117" width="6.8203125" customWidth="1"/>
    <col min="4118" max="4118" width="10" customWidth="1"/>
    <col min="4119" max="4119" width="15.546875" customWidth="1"/>
    <col min="4120" max="4120" width="7.2734375" customWidth="1"/>
    <col min="4121" max="4121" width="6.546875" customWidth="1"/>
    <col min="4122" max="4122" width="3.546875" customWidth="1"/>
    <col min="4125" max="4125" width="8.1796875" customWidth="1"/>
    <col min="4126" max="4126" width="6.546875" customWidth="1"/>
    <col min="4127" max="4127" width="6.2734375" customWidth="1"/>
    <col min="4128" max="4128" width="7.2734375" customWidth="1"/>
    <col min="4129" max="4129" width="6.8203125" customWidth="1"/>
    <col min="4353" max="4353" width="36.1796875" customWidth="1"/>
    <col min="4354" max="4355" width="8.2734375" customWidth="1"/>
    <col min="4356" max="4356" width="12" customWidth="1"/>
    <col min="4357" max="4357" width="9.1796875" customWidth="1"/>
    <col min="4358" max="4358" width="8.2734375" customWidth="1"/>
    <col min="4359" max="4359" width="4.546875" customWidth="1"/>
    <col min="4360" max="4360" width="10.8203125" customWidth="1"/>
    <col min="4361" max="4363" width="4.546875" customWidth="1"/>
    <col min="4364" max="4369" width="5.546875" customWidth="1"/>
    <col min="4370" max="4370" width="9.7265625" customWidth="1"/>
    <col min="4371" max="4371" width="11.8203125" customWidth="1"/>
    <col min="4372" max="4373" width="6.8203125" customWidth="1"/>
    <col min="4374" max="4374" width="10" customWidth="1"/>
    <col min="4375" max="4375" width="15.546875" customWidth="1"/>
    <col min="4376" max="4376" width="7.2734375" customWidth="1"/>
    <col min="4377" max="4377" width="6.546875" customWidth="1"/>
    <col min="4378" max="4378" width="3.546875" customWidth="1"/>
    <col min="4381" max="4381" width="8.1796875" customWidth="1"/>
    <col min="4382" max="4382" width="6.546875" customWidth="1"/>
    <col min="4383" max="4383" width="6.2734375" customWidth="1"/>
    <col min="4384" max="4384" width="7.2734375" customWidth="1"/>
    <col min="4385" max="4385" width="6.8203125" customWidth="1"/>
    <col min="4609" max="4609" width="36.1796875" customWidth="1"/>
    <col min="4610" max="4611" width="8.2734375" customWidth="1"/>
    <col min="4612" max="4612" width="12" customWidth="1"/>
    <col min="4613" max="4613" width="9.1796875" customWidth="1"/>
    <col min="4614" max="4614" width="8.2734375" customWidth="1"/>
    <col min="4615" max="4615" width="4.546875" customWidth="1"/>
    <col min="4616" max="4616" width="10.8203125" customWidth="1"/>
    <col min="4617" max="4619" width="4.546875" customWidth="1"/>
    <col min="4620" max="4625" width="5.546875" customWidth="1"/>
    <col min="4626" max="4626" width="9.7265625" customWidth="1"/>
    <col min="4627" max="4627" width="11.8203125" customWidth="1"/>
    <col min="4628" max="4629" width="6.8203125" customWidth="1"/>
    <col min="4630" max="4630" width="10" customWidth="1"/>
    <col min="4631" max="4631" width="15.546875" customWidth="1"/>
    <col min="4632" max="4632" width="7.2734375" customWidth="1"/>
    <col min="4633" max="4633" width="6.546875" customWidth="1"/>
    <col min="4634" max="4634" width="3.546875" customWidth="1"/>
    <col min="4637" max="4637" width="8.1796875" customWidth="1"/>
    <col min="4638" max="4638" width="6.546875" customWidth="1"/>
    <col min="4639" max="4639" width="6.2734375" customWidth="1"/>
    <col min="4640" max="4640" width="7.2734375" customWidth="1"/>
    <col min="4641" max="4641" width="6.8203125" customWidth="1"/>
    <col min="4865" max="4865" width="36.1796875" customWidth="1"/>
    <col min="4866" max="4867" width="8.2734375" customWidth="1"/>
    <col min="4868" max="4868" width="12" customWidth="1"/>
    <col min="4869" max="4869" width="9.1796875" customWidth="1"/>
    <col min="4870" max="4870" width="8.2734375" customWidth="1"/>
    <col min="4871" max="4871" width="4.546875" customWidth="1"/>
    <col min="4872" max="4872" width="10.8203125" customWidth="1"/>
    <col min="4873" max="4875" width="4.546875" customWidth="1"/>
    <col min="4876" max="4881" width="5.546875" customWidth="1"/>
    <col min="4882" max="4882" width="9.7265625" customWidth="1"/>
    <col min="4883" max="4883" width="11.8203125" customWidth="1"/>
    <col min="4884" max="4885" width="6.8203125" customWidth="1"/>
    <col min="4886" max="4886" width="10" customWidth="1"/>
    <col min="4887" max="4887" width="15.546875" customWidth="1"/>
    <col min="4888" max="4888" width="7.2734375" customWidth="1"/>
    <col min="4889" max="4889" width="6.546875" customWidth="1"/>
    <col min="4890" max="4890" width="3.546875" customWidth="1"/>
    <col min="4893" max="4893" width="8.1796875" customWidth="1"/>
    <col min="4894" max="4894" width="6.546875" customWidth="1"/>
    <col min="4895" max="4895" width="6.2734375" customWidth="1"/>
    <col min="4896" max="4896" width="7.2734375" customWidth="1"/>
    <col min="4897" max="4897" width="6.8203125" customWidth="1"/>
    <col min="5121" max="5121" width="36.1796875" customWidth="1"/>
    <col min="5122" max="5123" width="8.2734375" customWidth="1"/>
    <col min="5124" max="5124" width="12" customWidth="1"/>
    <col min="5125" max="5125" width="9.1796875" customWidth="1"/>
    <col min="5126" max="5126" width="8.2734375" customWidth="1"/>
    <col min="5127" max="5127" width="4.546875" customWidth="1"/>
    <col min="5128" max="5128" width="10.8203125" customWidth="1"/>
    <col min="5129" max="5131" width="4.546875" customWidth="1"/>
    <col min="5132" max="5137" width="5.546875" customWidth="1"/>
    <col min="5138" max="5138" width="9.7265625" customWidth="1"/>
    <col min="5139" max="5139" width="11.8203125" customWidth="1"/>
    <col min="5140" max="5141" width="6.8203125" customWidth="1"/>
    <col min="5142" max="5142" width="10" customWidth="1"/>
    <col min="5143" max="5143" width="15.546875" customWidth="1"/>
    <col min="5144" max="5144" width="7.2734375" customWidth="1"/>
    <col min="5145" max="5145" width="6.546875" customWidth="1"/>
    <col min="5146" max="5146" width="3.546875" customWidth="1"/>
    <col min="5149" max="5149" width="8.1796875" customWidth="1"/>
    <col min="5150" max="5150" width="6.546875" customWidth="1"/>
    <col min="5151" max="5151" width="6.2734375" customWidth="1"/>
    <col min="5152" max="5152" width="7.2734375" customWidth="1"/>
    <col min="5153" max="5153" width="6.8203125" customWidth="1"/>
    <col min="5377" max="5377" width="36.1796875" customWidth="1"/>
    <col min="5378" max="5379" width="8.2734375" customWidth="1"/>
    <col min="5380" max="5380" width="12" customWidth="1"/>
    <col min="5381" max="5381" width="9.1796875" customWidth="1"/>
    <col min="5382" max="5382" width="8.2734375" customWidth="1"/>
    <col min="5383" max="5383" width="4.546875" customWidth="1"/>
    <col min="5384" max="5384" width="10.8203125" customWidth="1"/>
    <col min="5385" max="5387" width="4.546875" customWidth="1"/>
    <col min="5388" max="5393" width="5.546875" customWidth="1"/>
    <col min="5394" max="5394" width="9.7265625" customWidth="1"/>
    <col min="5395" max="5395" width="11.8203125" customWidth="1"/>
    <col min="5396" max="5397" width="6.8203125" customWidth="1"/>
    <col min="5398" max="5398" width="10" customWidth="1"/>
    <col min="5399" max="5399" width="15.546875" customWidth="1"/>
    <col min="5400" max="5400" width="7.2734375" customWidth="1"/>
    <col min="5401" max="5401" width="6.546875" customWidth="1"/>
    <col min="5402" max="5402" width="3.546875" customWidth="1"/>
    <col min="5405" max="5405" width="8.1796875" customWidth="1"/>
    <col min="5406" max="5406" width="6.546875" customWidth="1"/>
    <col min="5407" max="5407" width="6.2734375" customWidth="1"/>
    <col min="5408" max="5408" width="7.2734375" customWidth="1"/>
    <col min="5409" max="5409" width="6.8203125" customWidth="1"/>
    <col min="5633" max="5633" width="36.1796875" customWidth="1"/>
    <col min="5634" max="5635" width="8.2734375" customWidth="1"/>
    <col min="5636" max="5636" width="12" customWidth="1"/>
    <col min="5637" max="5637" width="9.1796875" customWidth="1"/>
    <col min="5638" max="5638" width="8.2734375" customWidth="1"/>
    <col min="5639" max="5639" width="4.546875" customWidth="1"/>
    <col min="5640" max="5640" width="10.8203125" customWidth="1"/>
    <col min="5641" max="5643" width="4.546875" customWidth="1"/>
    <col min="5644" max="5649" width="5.546875" customWidth="1"/>
    <col min="5650" max="5650" width="9.7265625" customWidth="1"/>
    <col min="5651" max="5651" width="11.8203125" customWidth="1"/>
    <col min="5652" max="5653" width="6.8203125" customWidth="1"/>
    <col min="5654" max="5654" width="10" customWidth="1"/>
    <col min="5655" max="5655" width="15.546875" customWidth="1"/>
    <col min="5656" max="5656" width="7.2734375" customWidth="1"/>
    <col min="5657" max="5657" width="6.546875" customWidth="1"/>
    <col min="5658" max="5658" width="3.546875" customWidth="1"/>
    <col min="5661" max="5661" width="8.1796875" customWidth="1"/>
    <col min="5662" max="5662" width="6.546875" customWidth="1"/>
    <col min="5663" max="5663" width="6.2734375" customWidth="1"/>
    <col min="5664" max="5664" width="7.2734375" customWidth="1"/>
    <col min="5665" max="5665" width="6.8203125" customWidth="1"/>
    <col min="5889" max="5889" width="36.1796875" customWidth="1"/>
    <col min="5890" max="5891" width="8.2734375" customWidth="1"/>
    <col min="5892" max="5892" width="12" customWidth="1"/>
    <col min="5893" max="5893" width="9.1796875" customWidth="1"/>
    <col min="5894" max="5894" width="8.2734375" customWidth="1"/>
    <col min="5895" max="5895" width="4.546875" customWidth="1"/>
    <col min="5896" max="5896" width="10.8203125" customWidth="1"/>
    <col min="5897" max="5899" width="4.546875" customWidth="1"/>
    <col min="5900" max="5905" width="5.546875" customWidth="1"/>
    <col min="5906" max="5906" width="9.7265625" customWidth="1"/>
    <col min="5907" max="5907" width="11.8203125" customWidth="1"/>
    <col min="5908" max="5909" width="6.8203125" customWidth="1"/>
    <col min="5910" max="5910" width="10" customWidth="1"/>
    <col min="5911" max="5911" width="15.546875" customWidth="1"/>
    <col min="5912" max="5912" width="7.2734375" customWidth="1"/>
    <col min="5913" max="5913" width="6.546875" customWidth="1"/>
    <col min="5914" max="5914" width="3.546875" customWidth="1"/>
    <col min="5917" max="5917" width="8.1796875" customWidth="1"/>
    <col min="5918" max="5918" width="6.546875" customWidth="1"/>
    <col min="5919" max="5919" width="6.2734375" customWidth="1"/>
    <col min="5920" max="5920" width="7.2734375" customWidth="1"/>
    <col min="5921" max="5921" width="6.8203125" customWidth="1"/>
    <col min="6145" max="6145" width="36.1796875" customWidth="1"/>
    <col min="6146" max="6147" width="8.2734375" customWidth="1"/>
    <col min="6148" max="6148" width="12" customWidth="1"/>
    <col min="6149" max="6149" width="9.1796875" customWidth="1"/>
    <col min="6150" max="6150" width="8.2734375" customWidth="1"/>
    <col min="6151" max="6151" width="4.546875" customWidth="1"/>
    <col min="6152" max="6152" width="10.8203125" customWidth="1"/>
    <col min="6153" max="6155" width="4.546875" customWidth="1"/>
    <col min="6156" max="6161" width="5.546875" customWidth="1"/>
    <col min="6162" max="6162" width="9.7265625" customWidth="1"/>
    <col min="6163" max="6163" width="11.8203125" customWidth="1"/>
    <col min="6164" max="6165" width="6.8203125" customWidth="1"/>
    <col min="6166" max="6166" width="10" customWidth="1"/>
    <col min="6167" max="6167" width="15.546875" customWidth="1"/>
    <col min="6168" max="6168" width="7.2734375" customWidth="1"/>
    <col min="6169" max="6169" width="6.546875" customWidth="1"/>
    <col min="6170" max="6170" width="3.546875" customWidth="1"/>
    <col min="6173" max="6173" width="8.1796875" customWidth="1"/>
    <col min="6174" max="6174" width="6.546875" customWidth="1"/>
    <col min="6175" max="6175" width="6.2734375" customWidth="1"/>
    <col min="6176" max="6176" width="7.2734375" customWidth="1"/>
    <col min="6177" max="6177" width="6.8203125" customWidth="1"/>
    <col min="6401" max="6401" width="36.1796875" customWidth="1"/>
    <col min="6402" max="6403" width="8.2734375" customWidth="1"/>
    <col min="6404" max="6404" width="12" customWidth="1"/>
    <col min="6405" max="6405" width="9.1796875" customWidth="1"/>
    <col min="6406" max="6406" width="8.2734375" customWidth="1"/>
    <col min="6407" max="6407" width="4.546875" customWidth="1"/>
    <col min="6408" max="6408" width="10.8203125" customWidth="1"/>
    <col min="6409" max="6411" width="4.546875" customWidth="1"/>
    <col min="6412" max="6417" width="5.546875" customWidth="1"/>
    <col min="6418" max="6418" width="9.7265625" customWidth="1"/>
    <col min="6419" max="6419" width="11.8203125" customWidth="1"/>
    <col min="6420" max="6421" width="6.8203125" customWidth="1"/>
    <col min="6422" max="6422" width="10" customWidth="1"/>
    <col min="6423" max="6423" width="15.546875" customWidth="1"/>
    <col min="6424" max="6424" width="7.2734375" customWidth="1"/>
    <col min="6425" max="6425" width="6.546875" customWidth="1"/>
    <col min="6426" max="6426" width="3.546875" customWidth="1"/>
    <col min="6429" max="6429" width="8.1796875" customWidth="1"/>
    <col min="6430" max="6430" width="6.546875" customWidth="1"/>
    <col min="6431" max="6431" width="6.2734375" customWidth="1"/>
    <col min="6432" max="6432" width="7.2734375" customWidth="1"/>
    <col min="6433" max="6433" width="6.8203125" customWidth="1"/>
    <col min="6657" max="6657" width="36.1796875" customWidth="1"/>
    <col min="6658" max="6659" width="8.2734375" customWidth="1"/>
    <col min="6660" max="6660" width="12" customWidth="1"/>
    <col min="6661" max="6661" width="9.1796875" customWidth="1"/>
    <col min="6662" max="6662" width="8.2734375" customWidth="1"/>
    <col min="6663" max="6663" width="4.546875" customWidth="1"/>
    <col min="6664" max="6664" width="10.8203125" customWidth="1"/>
    <col min="6665" max="6667" width="4.546875" customWidth="1"/>
    <col min="6668" max="6673" width="5.546875" customWidth="1"/>
    <col min="6674" max="6674" width="9.7265625" customWidth="1"/>
    <col min="6675" max="6675" width="11.8203125" customWidth="1"/>
    <col min="6676" max="6677" width="6.8203125" customWidth="1"/>
    <col min="6678" max="6678" width="10" customWidth="1"/>
    <col min="6679" max="6679" width="15.546875" customWidth="1"/>
    <col min="6680" max="6680" width="7.2734375" customWidth="1"/>
    <col min="6681" max="6681" width="6.546875" customWidth="1"/>
    <col min="6682" max="6682" width="3.546875" customWidth="1"/>
    <col min="6685" max="6685" width="8.1796875" customWidth="1"/>
    <col min="6686" max="6686" width="6.546875" customWidth="1"/>
    <col min="6687" max="6687" width="6.2734375" customWidth="1"/>
    <col min="6688" max="6688" width="7.2734375" customWidth="1"/>
    <col min="6689" max="6689" width="6.8203125" customWidth="1"/>
    <col min="6913" max="6913" width="36.1796875" customWidth="1"/>
    <col min="6914" max="6915" width="8.2734375" customWidth="1"/>
    <col min="6916" max="6916" width="12" customWidth="1"/>
    <col min="6917" max="6917" width="9.1796875" customWidth="1"/>
    <col min="6918" max="6918" width="8.2734375" customWidth="1"/>
    <col min="6919" max="6919" width="4.546875" customWidth="1"/>
    <col min="6920" max="6920" width="10.8203125" customWidth="1"/>
    <col min="6921" max="6923" width="4.546875" customWidth="1"/>
    <col min="6924" max="6929" width="5.546875" customWidth="1"/>
    <col min="6930" max="6930" width="9.7265625" customWidth="1"/>
    <col min="6931" max="6931" width="11.8203125" customWidth="1"/>
    <col min="6932" max="6933" width="6.8203125" customWidth="1"/>
    <col min="6934" max="6934" width="10" customWidth="1"/>
    <col min="6935" max="6935" width="15.546875" customWidth="1"/>
    <col min="6936" max="6936" width="7.2734375" customWidth="1"/>
    <col min="6937" max="6937" width="6.546875" customWidth="1"/>
    <col min="6938" max="6938" width="3.546875" customWidth="1"/>
    <col min="6941" max="6941" width="8.1796875" customWidth="1"/>
    <col min="6942" max="6942" width="6.546875" customWidth="1"/>
    <col min="6943" max="6943" width="6.2734375" customWidth="1"/>
    <col min="6944" max="6944" width="7.2734375" customWidth="1"/>
    <col min="6945" max="6945" width="6.8203125" customWidth="1"/>
    <col min="7169" max="7169" width="36.1796875" customWidth="1"/>
    <col min="7170" max="7171" width="8.2734375" customWidth="1"/>
    <col min="7172" max="7172" width="12" customWidth="1"/>
    <col min="7173" max="7173" width="9.1796875" customWidth="1"/>
    <col min="7174" max="7174" width="8.2734375" customWidth="1"/>
    <col min="7175" max="7175" width="4.546875" customWidth="1"/>
    <col min="7176" max="7176" width="10.8203125" customWidth="1"/>
    <col min="7177" max="7179" width="4.546875" customWidth="1"/>
    <col min="7180" max="7185" width="5.546875" customWidth="1"/>
    <col min="7186" max="7186" width="9.7265625" customWidth="1"/>
    <col min="7187" max="7187" width="11.8203125" customWidth="1"/>
    <col min="7188" max="7189" width="6.8203125" customWidth="1"/>
    <col min="7190" max="7190" width="10" customWidth="1"/>
    <col min="7191" max="7191" width="15.546875" customWidth="1"/>
    <col min="7192" max="7192" width="7.2734375" customWidth="1"/>
    <col min="7193" max="7193" width="6.546875" customWidth="1"/>
    <col min="7194" max="7194" width="3.546875" customWidth="1"/>
    <col min="7197" max="7197" width="8.1796875" customWidth="1"/>
    <col min="7198" max="7198" width="6.546875" customWidth="1"/>
    <col min="7199" max="7199" width="6.2734375" customWidth="1"/>
    <col min="7200" max="7200" width="7.2734375" customWidth="1"/>
    <col min="7201" max="7201" width="6.8203125" customWidth="1"/>
    <col min="7425" max="7425" width="36.1796875" customWidth="1"/>
    <col min="7426" max="7427" width="8.2734375" customWidth="1"/>
    <col min="7428" max="7428" width="12" customWidth="1"/>
    <col min="7429" max="7429" width="9.1796875" customWidth="1"/>
    <col min="7430" max="7430" width="8.2734375" customWidth="1"/>
    <col min="7431" max="7431" width="4.546875" customWidth="1"/>
    <col min="7432" max="7432" width="10.8203125" customWidth="1"/>
    <col min="7433" max="7435" width="4.546875" customWidth="1"/>
    <col min="7436" max="7441" width="5.546875" customWidth="1"/>
    <col min="7442" max="7442" width="9.7265625" customWidth="1"/>
    <col min="7443" max="7443" width="11.8203125" customWidth="1"/>
    <col min="7444" max="7445" width="6.8203125" customWidth="1"/>
    <col min="7446" max="7446" width="10" customWidth="1"/>
    <col min="7447" max="7447" width="15.546875" customWidth="1"/>
    <col min="7448" max="7448" width="7.2734375" customWidth="1"/>
    <col min="7449" max="7449" width="6.546875" customWidth="1"/>
    <col min="7450" max="7450" width="3.546875" customWidth="1"/>
    <col min="7453" max="7453" width="8.1796875" customWidth="1"/>
    <col min="7454" max="7454" width="6.546875" customWidth="1"/>
    <col min="7455" max="7455" width="6.2734375" customWidth="1"/>
    <col min="7456" max="7456" width="7.2734375" customWidth="1"/>
    <col min="7457" max="7457" width="6.8203125" customWidth="1"/>
    <col min="7681" max="7681" width="36.1796875" customWidth="1"/>
    <col min="7682" max="7683" width="8.2734375" customWidth="1"/>
    <col min="7684" max="7684" width="12" customWidth="1"/>
    <col min="7685" max="7685" width="9.1796875" customWidth="1"/>
    <col min="7686" max="7686" width="8.2734375" customWidth="1"/>
    <col min="7687" max="7687" width="4.546875" customWidth="1"/>
    <col min="7688" max="7688" width="10.8203125" customWidth="1"/>
    <col min="7689" max="7691" width="4.546875" customWidth="1"/>
    <col min="7692" max="7697" width="5.546875" customWidth="1"/>
    <col min="7698" max="7698" width="9.7265625" customWidth="1"/>
    <col min="7699" max="7699" width="11.8203125" customWidth="1"/>
    <col min="7700" max="7701" width="6.8203125" customWidth="1"/>
    <col min="7702" max="7702" width="10" customWidth="1"/>
    <col min="7703" max="7703" width="15.546875" customWidth="1"/>
    <col min="7704" max="7704" width="7.2734375" customWidth="1"/>
    <col min="7705" max="7705" width="6.546875" customWidth="1"/>
    <col min="7706" max="7706" width="3.546875" customWidth="1"/>
    <col min="7709" max="7709" width="8.1796875" customWidth="1"/>
    <col min="7710" max="7710" width="6.546875" customWidth="1"/>
    <col min="7711" max="7711" width="6.2734375" customWidth="1"/>
    <col min="7712" max="7712" width="7.2734375" customWidth="1"/>
    <col min="7713" max="7713" width="6.8203125" customWidth="1"/>
    <col min="7937" max="7937" width="36.1796875" customWidth="1"/>
    <col min="7938" max="7939" width="8.2734375" customWidth="1"/>
    <col min="7940" max="7940" width="12" customWidth="1"/>
    <col min="7941" max="7941" width="9.1796875" customWidth="1"/>
    <col min="7942" max="7942" width="8.2734375" customWidth="1"/>
    <col min="7943" max="7943" width="4.546875" customWidth="1"/>
    <col min="7944" max="7944" width="10.8203125" customWidth="1"/>
    <col min="7945" max="7947" width="4.546875" customWidth="1"/>
    <col min="7948" max="7953" width="5.546875" customWidth="1"/>
    <col min="7954" max="7954" width="9.7265625" customWidth="1"/>
    <col min="7955" max="7955" width="11.8203125" customWidth="1"/>
    <col min="7956" max="7957" width="6.8203125" customWidth="1"/>
    <col min="7958" max="7958" width="10" customWidth="1"/>
    <col min="7959" max="7959" width="15.546875" customWidth="1"/>
    <col min="7960" max="7960" width="7.2734375" customWidth="1"/>
    <col min="7961" max="7961" width="6.546875" customWidth="1"/>
    <col min="7962" max="7962" width="3.546875" customWidth="1"/>
    <col min="7965" max="7965" width="8.1796875" customWidth="1"/>
    <col min="7966" max="7966" width="6.546875" customWidth="1"/>
    <col min="7967" max="7967" width="6.2734375" customWidth="1"/>
    <col min="7968" max="7968" width="7.2734375" customWidth="1"/>
    <col min="7969" max="7969" width="6.8203125" customWidth="1"/>
    <col min="8193" max="8193" width="36.1796875" customWidth="1"/>
    <col min="8194" max="8195" width="8.2734375" customWidth="1"/>
    <col min="8196" max="8196" width="12" customWidth="1"/>
    <col min="8197" max="8197" width="9.1796875" customWidth="1"/>
    <col min="8198" max="8198" width="8.2734375" customWidth="1"/>
    <col min="8199" max="8199" width="4.546875" customWidth="1"/>
    <col min="8200" max="8200" width="10.8203125" customWidth="1"/>
    <col min="8201" max="8203" width="4.546875" customWidth="1"/>
    <col min="8204" max="8209" width="5.546875" customWidth="1"/>
    <col min="8210" max="8210" width="9.7265625" customWidth="1"/>
    <col min="8211" max="8211" width="11.8203125" customWidth="1"/>
    <col min="8212" max="8213" width="6.8203125" customWidth="1"/>
    <col min="8214" max="8214" width="10" customWidth="1"/>
    <col min="8215" max="8215" width="15.546875" customWidth="1"/>
    <col min="8216" max="8216" width="7.2734375" customWidth="1"/>
    <col min="8217" max="8217" width="6.546875" customWidth="1"/>
    <col min="8218" max="8218" width="3.546875" customWidth="1"/>
    <col min="8221" max="8221" width="8.1796875" customWidth="1"/>
    <col min="8222" max="8222" width="6.546875" customWidth="1"/>
    <col min="8223" max="8223" width="6.2734375" customWidth="1"/>
    <col min="8224" max="8224" width="7.2734375" customWidth="1"/>
    <col min="8225" max="8225" width="6.8203125" customWidth="1"/>
    <col min="8449" max="8449" width="36.1796875" customWidth="1"/>
    <col min="8450" max="8451" width="8.2734375" customWidth="1"/>
    <col min="8452" max="8452" width="12" customWidth="1"/>
    <col min="8453" max="8453" width="9.1796875" customWidth="1"/>
    <col min="8454" max="8454" width="8.2734375" customWidth="1"/>
    <col min="8455" max="8455" width="4.546875" customWidth="1"/>
    <col min="8456" max="8456" width="10.8203125" customWidth="1"/>
    <col min="8457" max="8459" width="4.546875" customWidth="1"/>
    <col min="8460" max="8465" width="5.546875" customWidth="1"/>
    <col min="8466" max="8466" width="9.7265625" customWidth="1"/>
    <col min="8467" max="8467" width="11.8203125" customWidth="1"/>
    <col min="8468" max="8469" width="6.8203125" customWidth="1"/>
    <col min="8470" max="8470" width="10" customWidth="1"/>
    <col min="8471" max="8471" width="15.546875" customWidth="1"/>
    <col min="8472" max="8472" width="7.2734375" customWidth="1"/>
    <col min="8473" max="8473" width="6.546875" customWidth="1"/>
    <col min="8474" max="8474" width="3.546875" customWidth="1"/>
    <col min="8477" max="8477" width="8.1796875" customWidth="1"/>
    <col min="8478" max="8478" width="6.546875" customWidth="1"/>
    <col min="8479" max="8479" width="6.2734375" customWidth="1"/>
    <col min="8480" max="8480" width="7.2734375" customWidth="1"/>
    <col min="8481" max="8481" width="6.8203125" customWidth="1"/>
    <col min="8705" max="8705" width="36.1796875" customWidth="1"/>
    <col min="8706" max="8707" width="8.2734375" customWidth="1"/>
    <col min="8708" max="8708" width="12" customWidth="1"/>
    <col min="8709" max="8709" width="9.1796875" customWidth="1"/>
    <col min="8710" max="8710" width="8.2734375" customWidth="1"/>
    <col min="8711" max="8711" width="4.546875" customWidth="1"/>
    <col min="8712" max="8712" width="10.8203125" customWidth="1"/>
    <col min="8713" max="8715" width="4.546875" customWidth="1"/>
    <col min="8716" max="8721" width="5.546875" customWidth="1"/>
    <col min="8722" max="8722" width="9.7265625" customWidth="1"/>
    <col min="8723" max="8723" width="11.8203125" customWidth="1"/>
    <col min="8724" max="8725" width="6.8203125" customWidth="1"/>
    <col min="8726" max="8726" width="10" customWidth="1"/>
    <col min="8727" max="8727" width="15.546875" customWidth="1"/>
    <col min="8728" max="8728" width="7.2734375" customWidth="1"/>
    <col min="8729" max="8729" width="6.546875" customWidth="1"/>
    <col min="8730" max="8730" width="3.546875" customWidth="1"/>
    <col min="8733" max="8733" width="8.1796875" customWidth="1"/>
    <col min="8734" max="8734" width="6.546875" customWidth="1"/>
    <col min="8735" max="8735" width="6.2734375" customWidth="1"/>
    <col min="8736" max="8736" width="7.2734375" customWidth="1"/>
    <col min="8737" max="8737" width="6.8203125" customWidth="1"/>
    <col min="8961" max="8961" width="36.1796875" customWidth="1"/>
    <col min="8962" max="8963" width="8.2734375" customWidth="1"/>
    <col min="8964" max="8964" width="12" customWidth="1"/>
    <col min="8965" max="8965" width="9.1796875" customWidth="1"/>
    <col min="8966" max="8966" width="8.2734375" customWidth="1"/>
    <col min="8967" max="8967" width="4.546875" customWidth="1"/>
    <col min="8968" max="8968" width="10.8203125" customWidth="1"/>
    <col min="8969" max="8971" width="4.546875" customWidth="1"/>
    <col min="8972" max="8977" width="5.546875" customWidth="1"/>
    <col min="8978" max="8978" width="9.7265625" customWidth="1"/>
    <col min="8979" max="8979" width="11.8203125" customWidth="1"/>
    <col min="8980" max="8981" width="6.8203125" customWidth="1"/>
    <col min="8982" max="8982" width="10" customWidth="1"/>
    <col min="8983" max="8983" width="15.546875" customWidth="1"/>
    <col min="8984" max="8984" width="7.2734375" customWidth="1"/>
    <col min="8985" max="8985" width="6.546875" customWidth="1"/>
    <col min="8986" max="8986" width="3.546875" customWidth="1"/>
    <col min="8989" max="8989" width="8.1796875" customWidth="1"/>
    <col min="8990" max="8990" width="6.546875" customWidth="1"/>
    <col min="8991" max="8991" width="6.2734375" customWidth="1"/>
    <col min="8992" max="8992" width="7.2734375" customWidth="1"/>
    <col min="8993" max="8993" width="6.8203125" customWidth="1"/>
    <col min="9217" max="9217" width="36.1796875" customWidth="1"/>
    <col min="9218" max="9219" width="8.2734375" customWidth="1"/>
    <col min="9220" max="9220" width="12" customWidth="1"/>
    <col min="9221" max="9221" width="9.1796875" customWidth="1"/>
    <col min="9222" max="9222" width="8.2734375" customWidth="1"/>
    <col min="9223" max="9223" width="4.546875" customWidth="1"/>
    <col min="9224" max="9224" width="10.8203125" customWidth="1"/>
    <col min="9225" max="9227" width="4.546875" customWidth="1"/>
    <col min="9228" max="9233" width="5.546875" customWidth="1"/>
    <col min="9234" max="9234" width="9.7265625" customWidth="1"/>
    <col min="9235" max="9235" width="11.8203125" customWidth="1"/>
    <col min="9236" max="9237" width="6.8203125" customWidth="1"/>
    <col min="9238" max="9238" width="10" customWidth="1"/>
    <col min="9239" max="9239" width="15.546875" customWidth="1"/>
    <col min="9240" max="9240" width="7.2734375" customWidth="1"/>
    <col min="9241" max="9241" width="6.546875" customWidth="1"/>
    <col min="9242" max="9242" width="3.546875" customWidth="1"/>
    <col min="9245" max="9245" width="8.1796875" customWidth="1"/>
    <col min="9246" max="9246" width="6.546875" customWidth="1"/>
    <col min="9247" max="9247" width="6.2734375" customWidth="1"/>
    <col min="9248" max="9248" width="7.2734375" customWidth="1"/>
    <col min="9249" max="9249" width="6.8203125" customWidth="1"/>
    <col min="9473" max="9473" width="36.1796875" customWidth="1"/>
    <col min="9474" max="9475" width="8.2734375" customWidth="1"/>
    <col min="9476" max="9476" width="12" customWidth="1"/>
    <col min="9477" max="9477" width="9.1796875" customWidth="1"/>
    <col min="9478" max="9478" width="8.2734375" customWidth="1"/>
    <col min="9479" max="9479" width="4.546875" customWidth="1"/>
    <col min="9480" max="9480" width="10.8203125" customWidth="1"/>
    <col min="9481" max="9483" width="4.546875" customWidth="1"/>
    <col min="9484" max="9489" width="5.546875" customWidth="1"/>
    <col min="9490" max="9490" width="9.7265625" customWidth="1"/>
    <col min="9491" max="9491" width="11.8203125" customWidth="1"/>
    <col min="9492" max="9493" width="6.8203125" customWidth="1"/>
    <col min="9494" max="9494" width="10" customWidth="1"/>
    <col min="9495" max="9495" width="15.546875" customWidth="1"/>
    <col min="9496" max="9496" width="7.2734375" customWidth="1"/>
    <col min="9497" max="9497" width="6.546875" customWidth="1"/>
    <col min="9498" max="9498" width="3.546875" customWidth="1"/>
    <col min="9501" max="9501" width="8.1796875" customWidth="1"/>
    <col min="9502" max="9502" width="6.546875" customWidth="1"/>
    <col min="9503" max="9503" width="6.2734375" customWidth="1"/>
    <col min="9504" max="9504" width="7.2734375" customWidth="1"/>
    <col min="9505" max="9505" width="6.8203125" customWidth="1"/>
    <col min="9729" max="9729" width="36.1796875" customWidth="1"/>
    <col min="9730" max="9731" width="8.2734375" customWidth="1"/>
    <col min="9732" max="9732" width="12" customWidth="1"/>
    <col min="9733" max="9733" width="9.1796875" customWidth="1"/>
    <col min="9734" max="9734" width="8.2734375" customWidth="1"/>
    <col min="9735" max="9735" width="4.546875" customWidth="1"/>
    <col min="9736" max="9736" width="10.8203125" customWidth="1"/>
    <col min="9737" max="9739" width="4.546875" customWidth="1"/>
    <col min="9740" max="9745" width="5.546875" customWidth="1"/>
    <col min="9746" max="9746" width="9.7265625" customWidth="1"/>
    <col min="9747" max="9747" width="11.8203125" customWidth="1"/>
    <col min="9748" max="9749" width="6.8203125" customWidth="1"/>
    <col min="9750" max="9750" width="10" customWidth="1"/>
    <col min="9751" max="9751" width="15.546875" customWidth="1"/>
    <col min="9752" max="9752" width="7.2734375" customWidth="1"/>
    <col min="9753" max="9753" width="6.546875" customWidth="1"/>
    <col min="9754" max="9754" width="3.546875" customWidth="1"/>
    <col min="9757" max="9757" width="8.1796875" customWidth="1"/>
    <col min="9758" max="9758" width="6.546875" customWidth="1"/>
    <col min="9759" max="9759" width="6.2734375" customWidth="1"/>
    <col min="9760" max="9760" width="7.2734375" customWidth="1"/>
    <col min="9761" max="9761" width="6.8203125" customWidth="1"/>
    <col min="9985" max="9985" width="36.1796875" customWidth="1"/>
    <col min="9986" max="9987" width="8.2734375" customWidth="1"/>
    <col min="9988" max="9988" width="12" customWidth="1"/>
    <col min="9989" max="9989" width="9.1796875" customWidth="1"/>
    <col min="9990" max="9990" width="8.2734375" customWidth="1"/>
    <col min="9991" max="9991" width="4.546875" customWidth="1"/>
    <col min="9992" max="9992" width="10.8203125" customWidth="1"/>
    <col min="9993" max="9995" width="4.546875" customWidth="1"/>
    <col min="9996" max="10001" width="5.546875" customWidth="1"/>
    <col min="10002" max="10002" width="9.7265625" customWidth="1"/>
    <col min="10003" max="10003" width="11.8203125" customWidth="1"/>
    <col min="10004" max="10005" width="6.8203125" customWidth="1"/>
    <col min="10006" max="10006" width="10" customWidth="1"/>
    <col min="10007" max="10007" width="15.546875" customWidth="1"/>
    <col min="10008" max="10008" width="7.2734375" customWidth="1"/>
    <col min="10009" max="10009" width="6.546875" customWidth="1"/>
    <col min="10010" max="10010" width="3.546875" customWidth="1"/>
    <col min="10013" max="10013" width="8.1796875" customWidth="1"/>
    <col min="10014" max="10014" width="6.546875" customWidth="1"/>
    <col min="10015" max="10015" width="6.2734375" customWidth="1"/>
    <col min="10016" max="10016" width="7.2734375" customWidth="1"/>
    <col min="10017" max="10017" width="6.8203125" customWidth="1"/>
    <col min="10241" max="10241" width="36.1796875" customWidth="1"/>
    <col min="10242" max="10243" width="8.2734375" customWidth="1"/>
    <col min="10244" max="10244" width="12" customWidth="1"/>
    <col min="10245" max="10245" width="9.1796875" customWidth="1"/>
    <col min="10246" max="10246" width="8.2734375" customWidth="1"/>
    <col min="10247" max="10247" width="4.546875" customWidth="1"/>
    <col min="10248" max="10248" width="10.8203125" customWidth="1"/>
    <col min="10249" max="10251" width="4.546875" customWidth="1"/>
    <col min="10252" max="10257" width="5.546875" customWidth="1"/>
    <col min="10258" max="10258" width="9.7265625" customWidth="1"/>
    <col min="10259" max="10259" width="11.8203125" customWidth="1"/>
    <col min="10260" max="10261" width="6.8203125" customWidth="1"/>
    <col min="10262" max="10262" width="10" customWidth="1"/>
    <col min="10263" max="10263" width="15.546875" customWidth="1"/>
    <col min="10264" max="10264" width="7.2734375" customWidth="1"/>
    <col min="10265" max="10265" width="6.546875" customWidth="1"/>
    <col min="10266" max="10266" width="3.546875" customWidth="1"/>
    <col min="10269" max="10269" width="8.1796875" customWidth="1"/>
    <col min="10270" max="10270" width="6.546875" customWidth="1"/>
    <col min="10271" max="10271" width="6.2734375" customWidth="1"/>
    <col min="10272" max="10272" width="7.2734375" customWidth="1"/>
    <col min="10273" max="10273" width="6.8203125" customWidth="1"/>
    <col min="10497" max="10497" width="36.1796875" customWidth="1"/>
    <col min="10498" max="10499" width="8.2734375" customWidth="1"/>
    <col min="10500" max="10500" width="12" customWidth="1"/>
    <col min="10501" max="10501" width="9.1796875" customWidth="1"/>
    <col min="10502" max="10502" width="8.2734375" customWidth="1"/>
    <col min="10503" max="10503" width="4.546875" customWidth="1"/>
    <col min="10504" max="10504" width="10.8203125" customWidth="1"/>
    <col min="10505" max="10507" width="4.546875" customWidth="1"/>
    <col min="10508" max="10513" width="5.546875" customWidth="1"/>
    <col min="10514" max="10514" width="9.7265625" customWidth="1"/>
    <col min="10515" max="10515" width="11.8203125" customWidth="1"/>
    <col min="10516" max="10517" width="6.8203125" customWidth="1"/>
    <col min="10518" max="10518" width="10" customWidth="1"/>
    <col min="10519" max="10519" width="15.546875" customWidth="1"/>
    <col min="10520" max="10520" width="7.2734375" customWidth="1"/>
    <col min="10521" max="10521" width="6.546875" customWidth="1"/>
    <col min="10522" max="10522" width="3.546875" customWidth="1"/>
    <col min="10525" max="10525" width="8.1796875" customWidth="1"/>
    <col min="10526" max="10526" width="6.546875" customWidth="1"/>
    <col min="10527" max="10527" width="6.2734375" customWidth="1"/>
    <col min="10528" max="10528" width="7.2734375" customWidth="1"/>
    <col min="10529" max="10529" width="6.8203125" customWidth="1"/>
    <col min="10753" max="10753" width="36.1796875" customWidth="1"/>
    <col min="10754" max="10755" width="8.2734375" customWidth="1"/>
    <col min="10756" max="10756" width="12" customWidth="1"/>
    <col min="10757" max="10757" width="9.1796875" customWidth="1"/>
    <col min="10758" max="10758" width="8.2734375" customWidth="1"/>
    <col min="10759" max="10759" width="4.546875" customWidth="1"/>
    <col min="10760" max="10760" width="10.8203125" customWidth="1"/>
    <col min="10761" max="10763" width="4.546875" customWidth="1"/>
    <col min="10764" max="10769" width="5.546875" customWidth="1"/>
    <col min="10770" max="10770" width="9.7265625" customWidth="1"/>
    <col min="10771" max="10771" width="11.8203125" customWidth="1"/>
    <col min="10772" max="10773" width="6.8203125" customWidth="1"/>
    <col min="10774" max="10774" width="10" customWidth="1"/>
    <col min="10775" max="10775" width="15.546875" customWidth="1"/>
    <col min="10776" max="10776" width="7.2734375" customWidth="1"/>
    <col min="10777" max="10777" width="6.546875" customWidth="1"/>
    <col min="10778" max="10778" width="3.546875" customWidth="1"/>
    <col min="10781" max="10781" width="8.1796875" customWidth="1"/>
    <col min="10782" max="10782" width="6.546875" customWidth="1"/>
    <col min="10783" max="10783" width="6.2734375" customWidth="1"/>
    <col min="10784" max="10784" width="7.2734375" customWidth="1"/>
    <col min="10785" max="10785" width="6.8203125" customWidth="1"/>
    <col min="11009" max="11009" width="36.1796875" customWidth="1"/>
    <col min="11010" max="11011" width="8.2734375" customWidth="1"/>
    <col min="11012" max="11012" width="12" customWidth="1"/>
    <col min="11013" max="11013" width="9.1796875" customWidth="1"/>
    <col min="11014" max="11014" width="8.2734375" customWidth="1"/>
    <col min="11015" max="11015" width="4.546875" customWidth="1"/>
    <col min="11016" max="11016" width="10.8203125" customWidth="1"/>
    <col min="11017" max="11019" width="4.546875" customWidth="1"/>
    <col min="11020" max="11025" width="5.546875" customWidth="1"/>
    <col min="11026" max="11026" width="9.7265625" customWidth="1"/>
    <col min="11027" max="11027" width="11.8203125" customWidth="1"/>
    <col min="11028" max="11029" width="6.8203125" customWidth="1"/>
    <col min="11030" max="11030" width="10" customWidth="1"/>
    <col min="11031" max="11031" width="15.546875" customWidth="1"/>
    <col min="11032" max="11032" width="7.2734375" customWidth="1"/>
    <col min="11033" max="11033" width="6.546875" customWidth="1"/>
    <col min="11034" max="11034" width="3.546875" customWidth="1"/>
    <col min="11037" max="11037" width="8.1796875" customWidth="1"/>
    <col min="11038" max="11038" width="6.546875" customWidth="1"/>
    <col min="11039" max="11039" width="6.2734375" customWidth="1"/>
    <col min="11040" max="11040" width="7.2734375" customWidth="1"/>
    <col min="11041" max="11041" width="6.8203125" customWidth="1"/>
    <col min="11265" max="11265" width="36.1796875" customWidth="1"/>
    <col min="11266" max="11267" width="8.2734375" customWidth="1"/>
    <col min="11268" max="11268" width="12" customWidth="1"/>
    <col min="11269" max="11269" width="9.1796875" customWidth="1"/>
    <col min="11270" max="11270" width="8.2734375" customWidth="1"/>
    <col min="11271" max="11271" width="4.546875" customWidth="1"/>
    <col min="11272" max="11272" width="10.8203125" customWidth="1"/>
    <col min="11273" max="11275" width="4.546875" customWidth="1"/>
    <col min="11276" max="11281" width="5.546875" customWidth="1"/>
    <col min="11282" max="11282" width="9.7265625" customWidth="1"/>
    <col min="11283" max="11283" width="11.8203125" customWidth="1"/>
    <col min="11284" max="11285" width="6.8203125" customWidth="1"/>
    <col min="11286" max="11286" width="10" customWidth="1"/>
    <col min="11287" max="11287" width="15.546875" customWidth="1"/>
    <col min="11288" max="11288" width="7.2734375" customWidth="1"/>
    <col min="11289" max="11289" width="6.546875" customWidth="1"/>
    <col min="11290" max="11290" width="3.546875" customWidth="1"/>
    <col min="11293" max="11293" width="8.1796875" customWidth="1"/>
    <col min="11294" max="11294" width="6.546875" customWidth="1"/>
    <col min="11295" max="11295" width="6.2734375" customWidth="1"/>
    <col min="11296" max="11296" width="7.2734375" customWidth="1"/>
    <col min="11297" max="11297" width="6.8203125" customWidth="1"/>
    <col min="11521" max="11521" width="36.1796875" customWidth="1"/>
    <col min="11522" max="11523" width="8.2734375" customWidth="1"/>
    <col min="11524" max="11524" width="12" customWidth="1"/>
    <col min="11525" max="11525" width="9.1796875" customWidth="1"/>
    <col min="11526" max="11526" width="8.2734375" customWidth="1"/>
    <col min="11527" max="11527" width="4.546875" customWidth="1"/>
    <col min="11528" max="11528" width="10.8203125" customWidth="1"/>
    <col min="11529" max="11531" width="4.546875" customWidth="1"/>
    <col min="11532" max="11537" width="5.546875" customWidth="1"/>
    <col min="11538" max="11538" width="9.7265625" customWidth="1"/>
    <col min="11539" max="11539" width="11.8203125" customWidth="1"/>
    <col min="11540" max="11541" width="6.8203125" customWidth="1"/>
    <col min="11542" max="11542" width="10" customWidth="1"/>
    <col min="11543" max="11543" width="15.546875" customWidth="1"/>
    <col min="11544" max="11544" width="7.2734375" customWidth="1"/>
    <col min="11545" max="11545" width="6.546875" customWidth="1"/>
    <col min="11546" max="11546" width="3.546875" customWidth="1"/>
    <col min="11549" max="11549" width="8.1796875" customWidth="1"/>
    <col min="11550" max="11550" width="6.546875" customWidth="1"/>
    <col min="11551" max="11551" width="6.2734375" customWidth="1"/>
    <col min="11552" max="11552" width="7.2734375" customWidth="1"/>
    <col min="11553" max="11553" width="6.8203125" customWidth="1"/>
    <col min="11777" max="11777" width="36.1796875" customWidth="1"/>
    <col min="11778" max="11779" width="8.2734375" customWidth="1"/>
    <col min="11780" max="11780" width="12" customWidth="1"/>
    <col min="11781" max="11781" width="9.1796875" customWidth="1"/>
    <col min="11782" max="11782" width="8.2734375" customWidth="1"/>
    <col min="11783" max="11783" width="4.546875" customWidth="1"/>
    <col min="11784" max="11784" width="10.8203125" customWidth="1"/>
    <col min="11785" max="11787" width="4.546875" customWidth="1"/>
    <col min="11788" max="11793" width="5.546875" customWidth="1"/>
    <col min="11794" max="11794" width="9.7265625" customWidth="1"/>
    <col min="11795" max="11795" width="11.8203125" customWidth="1"/>
    <col min="11796" max="11797" width="6.8203125" customWidth="1"/>
    <col min="11798" max="11798" width="10" customWidth="1"/>
    <col min="11799" max="11799" width="15.546875" customWidth="1"/>
    <col min="11800" max="11800" width="7.2734375" customWidth="1"/>
    <col min="11801" max="11801" width="6.546875" customWidth="1"/>
    <col min="11802" max="11802" width="3.546875" customWidth="1"/>
    <col min="11805" max="11805" width="8.1796875" customWidth="1"/>
    <col min="11806" max="11806" width="6.546875" customWidth="1"/>
    <col min="11807" max="11807" width="6.2734375" customWidth="1"/>
    <col min="11808" max="11808" width="7.2734375" customWidth="1"/>
    <col min="11809" max="11809" width="6.8203125" customWidth="1"/>
    <col min="12033" max="12033" width="36.1796875" customWidth="1"/>
    <col min="12034" max="12035" width="8.2734375" customWidth="1"/>
    <col min="12036" max="12036" width="12" customWidth="1"/>
    <col min="12037" max="12037" width="9.1796875" customWidth="1"/>
    <col min="12038" max="12038" width="8.2734375" customWidth="1"/>
    <col min="12039" max="12039" width="4.546875" customWidth="1"/>
    <col min="12040" max="12040" width="10.8203125" customWidth="1"/>
    <col min="12041" max="12043" width="4.546875" customWidth="1"/>
    <col min="12044" max="12049" width="5.546875" customWidth="1"/>
    <col min="12050" max="12050" width="9.7265625" customWidth="1"/>
    <col min="12051" max="12051" width="11.8203125" customWidth="1"/>
    <col min="12052" max="12053" width="6.8203125" customWidth="1"/>
    <col min="12054" max="12054" width="10" customWidth="1"/>
    <col min="12055" max="12055" width="15.546875" customWidth="1"/>
    <col min="12056" max="12056" width="7.2734375" customWidth="1"/>
    <col min="12057" max="12057" width="6.546875" customWidth="1"/>
    <col min="12058" max="12058" width="3.546875" customWidth="1"/>
    <col min="12061" max="12061" width="8.1796875" customWidth="1"/>
    <col min="12062" max="12062" width="6.546875" customWidth="1"/>
    <col min="12063" max="12063" width="6.2734375" customWidth="1"/>
    <col min="12064" max="12064" width="7.2734375" customWidth="1"/>
    <col min="12065" max="12065" width="6.8203125" customWidth="1"/>
    <col min="12289" max="12289" width="36.1796875" customWidth="1"/>
    <col min="12290" max="12291" width="8.2734375" customWidth="1"/>
    <col min="12292" max="12292" width="12" customWidth="1"/>
    <col min="12293" max="12293" width="9.1796875" customWidth="1"/>
    <col min="12294" max="12294" width="8.2734375" customWidth="1"/>
    <col min="12295" max="12295" width="4.546875" customWidth="1"/>
    <col min="12296" max="12296" width="10.8203125" customWidth="1"/>
    <col min="12297" max="12299" width="4.546875" customWidth="1"/>
    <col min="12300" max="12305" width="5.546875" customWidth="1"/>
    <col min="12306" max="12306" width="9.7265625" customWidth="1"/>
    <col min="12307" max="12307" width="11.8203125" customWidth="1"/>
    <col min="12308" max="12309" width="6.8203125" customWidth="1"/>
    <col min="12310" max="12310" width="10" customWidth="1"/>
    <col min="12311" max="12311" width="15.546875" customWidth="1"/>
    <col min="12312" max="12312" width="7.2734375" customWidth="1"/>
    <col min="12313" max="12313" width="6.546875" customWidth="1"/>
    <col min="12314" max="12314" width="3.546875" customWidth="1"/>
    <col min="12317" max="12317" width="8.1796875" customWidth="1"/>
    <col min="12318" max="12318" width="6.546875" customWidth="1"/>
    <col min="12319" max="12319" width="6.2734375" customWidth="1"/>
    <col min="12320" max="12320" width="7.2734375" customWidth="1"/>
    <col min="12321" max="12321" width="6.8203125" customWidth="1"/>
    <col min="12545" max="12545" width="36.1796875" customWidth="1"/>
    <col min="12546" max="12547" width="8.2734375" customWidth="1"/>
    <col min="12548" max="12548" width="12" customWidth="1"/>
    <col min="12549" max="12549" width="9.1796875" customWidth="1"/>
    <col min="12550" max="12550" width="8.2734375" customWidth="1"/>
    <col min="12551" max="12551" width="4.546875" customWidth="1"/>
    <col min="12552" max="12552" width="10.8203125" customWidth="1"/>
    <col min="12553" max="12555" width="4.546875" customWidth="1"/>
    <col min="12556" max="12561" width="5.546875" customWidth="1"/>
    <col min="12562" max="12562" width="9.7265625" customWidth="1"/>
    <col min="12563" max="12563" width="11.8203125" customWidth="1"/>
    <col min="12564" max="12565" width="6.8203125" customWidth="1"/>
    <col min="12566" max="12566" width="10" customWidth="1"/>
    <col min="12567" max="12567" width="15.546875" customWidth="1"/>
    <col min="12568" max="12568" width="7.2734375" customWidth="1"/>
    <col min="12569" max="12569" width="6.546875" customWidth="1"/>
    <col min="12570" max="12570" width="3.546875" customWidth="1"/>
    <col min="12573" max="12573" width="8.1796875" customWidth="1"/>
    <col min="12574" max="12574" width="6.546875" customWidth="1"/>
    <col min="12575" max="12575" width="6.2734375" customWidth="1"/>
    <col min="12576" max="12576" width="7.2734375" customWidth="1"/>
    <col min="12577" max="12577" width="6.8203125" customWidth="1"/>
    <col min="12801" max="12801" width="36.1796875" customWidth="1"/>
    <col min="12802" max="12803" width="8.2734375" customWidth="1"/>
    <col min="12804" max="12804" width="12" customWidth="1"/>
    <col min="12805" max="12805" width="9.1796875" customWidth="1"/>
    <col min="12806" max="12806" width="8.2734375" customWidth="1"/>
    <col min="12807" max="12807" width="4.546875" customWidth="1"/>
    <col min="12808" max="12808" width="10.8203125" customWidth="1"/>
    <col min="12809" max="12811" width="4.546875" customWidth="1"/>
    <col min="12812" max="12817" width="5.546875" customWidth="1"/>
    <col min="12818" max="12818" width="9.7265625" customWidth="1"/>
    <col min="12819" max="12819" width="11.8203125" customWidth="1"/>
    <col min="12820" max="12821" width="6.8203125" customWidth="1"/>
    <col min="12822" max="12822" width="10" customWidth="1"/>
    <col min="12823" max="12823" width="15.546875" customWidth="1"/>
    <col min="12824" max="12824" width="7.2734375" customWidth="1"/>
    <col min="12825" max="12825" width="6.546875" customWidth="1"/>
    <col min="12826" max="12826" width="3.546875" customWidth="1"/>
    <col min="12829" max="12829" width="8.1796875" customWidth="1"/>
    <col min="12830" max="12830" width="6.546875" customWidth="1"/>
    <col min="12831" max="12831" width="6.2734375" customWidth="1"/>
    <col min="12832" max="12832" width="7.2734375" customWidth="1"/>
    <col min="12833" max="12833" width="6.8203125" customWidth="1"/>
    <col min="13057" max="13057" width="36.1796875" customWidth="1"/>
    <col min="13058" max="13059" width="8.2734375" customWidth="1"/>
    <col min="13060" max="13060" width="12" customWidth="1"/>
    <col min="13061" max="13061" width="9.1796875" customWidth="1"/>
    <col min="13062" max="13062" width="8.2734375" customWidth="1"/>
    <col min="13063" max="13063" width="4.546875" customWidth="1"/>
    <col min="13064" max="13064" width="10.8203125" customWidth="1"/>
    <col min="13065" max="13067" width="4.546875" customWidth="1"/>
    <col min="13068" max="13073" width="5.546875" customWidth="1"/>
    <col min="13074" max="13074" width="9.7265625" customWidth="1"/>
    <col min="13075" max="13075" width="11.8203125" customWidth="1"/>
    <col min="13076" max="13077" width="6.8203125" customWidth="1"/>
    <col min="13078" max="13078" width="10" customWidth="1"/>
    <col min="13079" max="13079" width="15.546875" customWidth="1"/>
    <col min="13080" max="13080" width="7.2734375" customWidth="1"/>
    <col min="13081" max="13081" width="6.546875" customWidth="1"/>
    <col min="13082" max="13082" width="3.546875" customWidth="1"/>
    <col min="13085" max="13085" width="8.1796875" customWidth="1"/>
    <col min="13086" max="13086" width="6.546875" customWidth="1"/>
    <col min="13087" max="13087" width="6.2734375" customWidth="1"/>
    <col min="13088" max="13088" width="7.2734375" customWidth="1"/>
    <col min="13089" max="13089" width="6.8203125" customWidth="1"/>
    <col min="13313" max="13313" width="36.1796875" customWidth="1"/>
    <col min="13314" max="13315" width="8.2734375" customWidth="1"/>
    <col min="13316" max="13316" width="12" customWidth="1"/>
    <col min="13317" max="13317" width="9.1796875" customWidth="1"/>
    <col min="13318" max="13318" width="8.2734375" customWidth="1"/>
    <col min="13319" max="13319" width="4.546875" customWidth="1"/>
    <col min="13320" max="13320" width="10.8203125" customWidth="1"/>
    <col min="13321" max="13323" width="4.546875" customWidth="1"/>
    <col min="13324" max="13329" width="5.546875" customWidth="1"/>
    <col min="13330" max="13330" width="9.7265625" customWidth="1"/>
    <col min="13331" max="13331" width="11.8203125" customWidth="1"/>
    <col min="13332" max="13333" width="6.8203125" customWidth="1"/>
    <col min="13334" max="13334" width="10" customWidth="1"/>
    <col min="13335" max="13335" width="15.546875" customWidth="1"/>
    <col min="13336" max="13336" width="7.2734375" customWidth="1"/>
    <col min="13337" max="13337" width="6.546875" customWidth="1"/>
    <col min="13338" max="13338" width="3.546875" customWidth="1"/>
    <col min="13341" max="13341" width="8.1796875" customWidth="1"/>
    <col min="13342" max="13342" width="6.546875" customWidth="1"/>
    <col min="13343" max="13343" width="6.2734375" customWidth="1"/>
    <col min="13344" max="13344" width="7.2734375" customWidth="1"/>
    <col min="13345" max="13345" width="6.8203125" customWidth="1"/>
    <col min="13569" max="13569" width="36.1796875" customWidth="1"/>
    <col min="13570" max="13571" width="8.2734375" customWidth="1"/>
    <col min="13572" max="13572" width="12" customWidth="1"/>
    <col min="13573" max="13573" width="9.1796875" customWidth="1"/>
    <col min="13574" max="13574" width="8.2734375" customWidth="1"/>
    <col min="13575" max="13575" width="4.546875" customWidth="1"/>
    <col min="13576" max="13576" width="10.8203125" customWidth="1"/>
    <col min="13577" max="13579" width="4.546875" customWidth="1"/>
    <col min="13580" max="13585" width="5.546875" customWidth="1"/>
    <col min="13586" max="13586" width="9.7265625" customWidth="1"/>
    <col min="13587" max="13587" width="11.8203125" customWidth="1"/>
    <col min="13588" max="13589" width="6.8203125" customWidth="1"/>
    <col min="13590" max="13590" width="10" customWidth="1"/>
    <col min="13591" max="13591" width="15.546875" customWidth="1"/>
    <col min="13592" max="13592" width="7.2734375" customWidth="1"/>
    <col min="13593" max="13593" width="6.546875" customWidth="1"/>
    <col min="13594" max="13594" width="3.546875" customWidth="1"/>
    <col min="13597" max="13597" width="8.1796875" customWidth="1"/>
    <col min="13598" max="13598" width="6.546875" customWidth="1"/>
    <col min="13599" max="13599" width="6.2734375" customWidth="1"/>
    <col min="13600" max="13600" width="7.2734375" customWidth="1"/>
    <col min="13601" max="13601" width="6.8203125" customWidth="1"/>
    <col min="13825" max="13825" width="36.1796875" customWidth="1"/>
    <col min="13826" max="13827" width="8.2734375" customWidth="1"/>
    <col min="13828" max="13828" width="12" customWidth="1"/>
    <col min="13829" max="13829" width="9.1796875" customWidth="1"/>
    <col min="13830" max="13830" width="8.2734375" customWidth="1"/>
    <col min="13831" max="13831" width="4.546875" customWidth="1"/>
    <col min="13832" max="13832" width="10.8203125" customWidth="1"/>
    <col min="13833" max="13835" width="4.546875" customWidth="1"/>
    <col min="13836" max="13841" width="5.546875" customWidth="1"/>
    <col min="13842" max="13842" width="9.7265625" customWidth="1"/>
    <col min="13843" max="13843" width="11.8203125" customWidth="1"/>
    <col min="13844" max="13845" width="6.8203125" customWidth="1"/>
    <col min="13846" max="13846" width="10" customWidth="1"/>
    <col min="13847" max="13847" width="15.546875" customWidth="1"/>
    <col min="13848" max="13848" width="7.2734375" customWidth="1"/>
    <col min="13849" max="13849" width="6.546875" customWidth="1"/>
    <col min="13850" max="13850" width="3.546875" customWidth="1"/>
    <col min="13853" max="13853" width="8.1796875" customWidth="1"/>
    <col min="13854" max="13854" width="6.546875" customWidth="1"/>
    <col min="13855" max="13855" width="6.2734375" customWidth="1"/>
    <col min="13856" max="13856" width="7.2734375" customWidth="1"/>
    <col min="13857" max="13857" width="6.8203125" customWidth="1"/>
    <col min="14081" max="14081" width="36.1796875" customWidth="1"/>
    <col min="14082" max="14083" width="8.2734375" customWidth="1"/>
    <col min="14084" max="14084" width="12" customWidth="1"/>
    <col min="14085" max="14085" width="9.1796875" customWidth="1"/>
    <col min="14086" max="14086" width="8.2734375" customWidth="1"/>
    <col min="14087" max="14087" width="4.546875" customWidth="1"/>
    <col min="14088" max="14088" width="10.8203125" customWidth="1"/>
    <col min="14089" max="14091" width="4.546875" customWidth="1"/>
    <col min="14092" max="14097" width="5.546875" customWidth="1"/>
    <col min="14098" max="14098" width="9.7265625" customWidth="1"/>
    <col min="14099" max="14099" width="11.8203125" customWidth="1"/>
    <col min="14100" max="14101" width="6.8203125" customWidth="1"/>
    <col min="14102" max="14102" width="10" customWidth="1"/>
    <col min="14103" max="14103" width="15.546875" customWidth="1"/>
    <col min="14104" max="14104" width="7.2734375" customWidth="1"/>
    <col min="14105" max="14105" width="6.546875" customWidth="1"/>
    <col min="14106" max="14106" width="3.546875" customWidth="1"/>
    <col min="14109" max="14109" width="8.1796875" customWidth="1"/>
    <col min="14110" max="14110" width="6.546875" customWidth="1"/>
    <col min="14111" max="14111" width="6.2734375" customWidth="1"/>
    <col min="14112" max="14112" width="7.2734375" customWidth="1"/>
    <col min="14113" max="14113" width="6.8203125" customWidth="1"/>
    <col min="14337" max="14337" width="36.1796875" customWidth="1"/>
    <col min="14338" max="14339" width="8.2734375" customWidth="1"/>
    <col min="14340" max="14340" width="12" customWidth="1"/>
    <col min="14341" max="14341" width="9.1796875" customWidth="1"/>
    <col min="14342" max="14342" width="8.2734375" customWidth="1"/>
    <col min="14343" max="14343" width="4.546875" customWidth="1"/>
    <col min="14344" max="14344" width="10.8203125" customWidth="1"/>
    <col min="14345" max="14347" width="4.546875" customWidth="1"/>
    <col min="14348" max="14353" width="5.546875" customWidth="1"/>
    <col min="14354" max="14354" width="9.7265625" customWidth="1"/>
    <col min="14355" max="14355" width="11.8203125" customWidth="1"/>
    <col min="14356" max="14357" width="6.8203125" customWidth="1"/>
    <col min="14358" max="14358" width="10" customWidth="1"/>
    <col min="14359" max="14359" width="15.546875" customWidth="1"/>
    <col min="14360" max="14360" width="7.2734375" customWidth="1"/>
    <col min="14361" max="14361" width="6.546875" customWidth="1"/>
    <col min="14362" max="14362" width="3.546875" customWidth="1"/>
    <col min="14365" max="14365" width="8.1796875" customWidth="1"/>
    <col min="14366" max="14366" width="6.546875" customWidth="1"/>
    <col min="14367" max="14367" width="6.2734375" customWidth="1"/>
    <col min="14368" max="14368" width="7.2734375" customWidth="1"/>
    <col min="14369" max="14369" width="6.8203125" customWidth="1"/>
    <col min="14593" max="14593" width="36.1796875" customWidth="1"/>
    <col min="14594" max="14595" width="8.2734375" customWidth="1"/>
    <col min="14596" max="14596" width="12" customWidth="1"/>
    <col min="14597" max="14597" width="9.1796875" customWidth="1"/>
    <col min="14598" max="14598" width="8.2734375" customWidth="1"/>
    <col min="14599" max="14599" width="4.546875" customWidth="1"/>
    <col min="14600" max="14600" width="10.8203125" customWidth="1"/>
    <col min="14601" max="14603" width="4.546875" customWidth="1"/>
    <col min="14604" max="14609" width="5.546875" customWidth="1"/>
    <col min="14610" max="14610" width="9.7265625" customWidth="1"/>
    <col min="14611" max="14611" width="11.8203125" customWidth="1"/>
    <col min="14612" max="14613" width="6.8203125" customWidth="1"/>
    <col min="14614" max="14614" width="10" customWidth="1"/>
    <col min="14615" max="14615" width="15.546875" customWidth="1"/>
    <col min="14616" max="14616" width="7.2734375" customWidth="1"/>
    <col min="14617" max="14617" width="6.546875" customWidth="1"/>
    <col min="14618" max="14618" width="3.546875" customWidth="1"/>
    <col min="14621" max="14621" width="8.1796875" customWidth="1"/>
    <col min="14622" max="14622" width="6.546875" customWidth="1"/>
    <col min="14623" max="14623" width="6.2734375" customWidth="1"/>
    <col min="14624" max="14624" width="7.2734375" customWidth="1"/>
    <col min="14625" max="14625" width="6.8203125" customWidth="1"/>
    <col min="14849" max="14849" width="36.1796875" customWidth="1"/>
    <col min="14850" max="14851" width="8.2734375" customWidth="1"/>
    <col min="14852" max="14852" width="12" customWidth="1"/>
    <col min="14853" max="14853" width="9.1796875" customWidth="1"/>
    <col min="14854" max="14854" width="8.2734375" customWidth="1"/>
    <col min="14855" max="14855" width="4.546875" customWidth="1"/>
    <col min="14856" max="14856" width="10.8203125" customWidth="1"/>
    <col min="14857" max="14859" width="4.546875" customWidth="1"/>
    <col min="14860" max="14865" width="5.546875" customWidth="1"/>
    <col min="14866" max="14866" width="9.7265625" customWidth="1"/>
    <col min="14867" max="14867" width="11.8203125" customWidth="1"/>
    <col min="14868" max="14869" width="6.8203125" customWidth="1"/>
    <col min="14870" max="14870" width="10" customWidth="1"/>
    <col min="14871" max="14871" width="15.546875" customWidth="1"/>
    <col min="14872" max="14872" width="7.2734375" customWidth="1"/>
    <col min="14873" max="14873" width="6.546875" customWidth="1"/>
    <col min="14874" max="14874" width="3.546875" customWidth="1"/>
    <col min="14877" max="14877" width="8.1796875" customWidth="1"/>
    <col min="14878" max="14878" width="6.546875" customWidth="1"/>
    <col min="14879" max="14879" width="6.2734375" customWidth="1"/>
    <col min="14880" max="14880" width="7.2734375" customWidth="1"/>
    <col min="14881" max="14881" width="6.8203125" customWidth="1"/>
    <col min="15105" max="15105" width="36.1796875" customWidth="1"/>
    <col min="15106" max="15107" width="8.2734375" customWidth="1"/>
    <col min="15108" max="15108" width="12" customWidth="1"/>
    <col min="15109" max="15109" width="9.1796875" customWidth="1"/>
    <col min="15110" max="15110" width="8.2734375" customWidth="1"/>
    <col min="15111" max="15111" width="4.546875" customWidth="1"/>
    <col min="15112" max="15112" width="10.8203125" customWidth="1"/>
    <col min="15113" max="15115" width="4.546875" customWidth="1"/>
    <col min="15116" max="15121" width="5.546875" customWidth="1"/>
    <col min="15122" max="15122" width="9.7265625" customWidth="1"/>
    <col min="15123" max="15123" width="11.8203125" customWidth="1"/>
    <col min="15124" max="15125" width="6.8203125" customWidth="1"/>
    <col min="15126" max="15126" width="10" customWidth="1"/>
    <col min="15127" max="15127" width="15.546875" customWidth="1"/>
    <col min="15128" max="15128" width="7.2734375" customWidth="1"/>
    <col min="15129" max="15129" width="6.546875" customWidth="1"/>
    <col min="15130" max="15130" width="3.546875" customWidth="1"/>
    <col min="15133" max="15133" width="8.1796875" customWidth="1"/>
    <col min="15134" max="15134" width="6.546875" customWidth="1"/>
    <col min="15135" max="15135" width="6.2734375" customWidth="1"/>
    <col min="15136" max="15136" width="7.2734375" customWidth="1"/>
    <col min="15137" max="15137" width="6.8203125" customWidth="1"/>
    <col min="15361" max="15361" width="36.1796875" customWidth="1"/>
    <col min="15362" max="15363" width="8.2734375" customWidth="1"/>
    <col min="15364" max="15364" width="12" customWidth="1"/>
    <col min="15365" max="15365" width="9.1796875" customWidth="1"/>
    <col min="15366" max="15366" width="8.2734375" customWidth="1"/>
    <col min="15367" max="15367" width="4.546875" customWidth="1"/>
    <col min="15368" max="15368" width="10.8203125" customWidth="1"/>
    <col min="15369" max="15371" width="4.546875" customWidth="1"/>
    <col min="15372" max="15377" width="5.546875" customWidth="1"/>
    <col min="15378" max="15378" width="9.7265625" customWidth="1"/>
    <col min="15379" max="15379" width="11.8203125" customWidth="1"/>
    <col min="15380" max="15381" width="6.8203125" customWidth="1"/>
    <col min="15382" max="15382" width="10" customWidth="1"/>
    <col min="15383" max="15383" width="15.546875" customWidth="1"/>
    <col min="15384" max="15384" width="7.2734375" customWidth="1"/>
    <col min="15385" max="15385" width="6.546875" customWidth="1"/>
    <col min="15386" max="15386" width="3.546875" customWidth="1"/>
    <col min="15389" max="15389" width="8.1796875" customWidth="1"/>
    <col min="15390" max="15390" width="6.546875" customWidth="1"/>
    <col min="15391" max="15391" width="6.2734375" customWidth="1"/>
    <col min="15392" max="15392" width="7.2734375" customWidth="1"/>
    <col min="15393" max="15393" width="6.8203125" customWidth="1"/>
    <col min="15617" max="15617" width="36.1796875" customWidth="1"/>
    <col min="15618" max="15619" width="8.2734375" customWidth="1"/>
    <col min="15620" max="15620" width="12" customWidth="1"/>
    <col min="15621" max="15621" width="9.1796875" customWidth="1"/>
    <col min="15622" max="15622" width="8.2734375" customWidth="1"/>
    <col min="15623" max="15623" width="4.546875" customWidth="1"/>
    <col min="15624" max="15624" width="10.8203125" customWidth="1"/>
    <col min="15625" max="15627" width="4.546875" customWidth="1"/>
    <col min="15628" max="15633" width="5.546875" customWidth="1"/>
    <col min="15634" max="15634" width="9.7265625" customWidth="1"/>
    <col min="15635" max="15635" width="11.8203125" customWidth="1"/>
    <col min="15636" max="15637" width="6.8203125" customWidth="1"/>
    <col min="15638" max="15638" width="10" customWidth="1"/>
    <col min="15639" max="15639" width="15.546875" customWidth="1"/>
    <col min="15640" max="15640" width="7.2734375" customWidth="1"/>
    <col min="15641" max="15641" width="6.546875" customWidth="1"/>
    <col min="15642" max="15642" width="3.546875" customWidth="1"/>
    <col min="15645" max="15645" width="8.1796875" customWidth="1"/>
    <col min="15646" max="15646" width="6.546875" customWidth="1"/>
    <col min="15647" max="15647" width="6.2734375" customWidth="1"/>
    <col min="15648" max="15648" width="7.2734375" customWidth="1"/>
    <col min="15649" max="15649" width="6.8203125" customWidth="1"/>
    <col min="15873" max="15873" width="36.1796875" customWidth="1"/>
    <col min="15874" max="15875" width="8.2734375" customWidth="1"/>
    <col min="15876" max="15876" width="12" customWidth="1"/>
    <col min="15877" max="15877" width="9.1796875" customWidth="1"/>
    <col min="15878" max="15878" width="8.2734375" customWidth="1"/>
    <col min="15879" max="15879" width="4.546875" customWidth="1"/>
    <col min="15880" max="15880" width="10.8203125" customWidth="1"/>
    <col min="15881" max="15883" width="4.546875" customWidth="1"/>
    <col min="15884" max="15889" width="5.546875" customWidth="1"/>
    <col min="15890" max="15890" width="9.7265625" customWidth="1"/>
    <col min="15891" max="15891" width="11.8203125" customWidth="1"/>
    <col min="15892" max="15893" width="6.8203125" customWidth="1"/>
    <col min="15894" max="15894" width="10" customWidth="1"/>
    <col min="15895" max="15895" width="15.546875" customWidth="1"/>
    <col min="15896" max="15896" width="7.2734375" customWidth="1"/>
    <col min="15897" max="15897" width="6.546875" customWidth="1"/>
    <col min="15898" max="15898" width="3.546875" customWidth="1"/>
    <col min="15901" max="15901" width="8.1796875" customWidth="1"/>
    <col min="15902" max="15902" width="6.546875" customWidth="1"/>
    <col min="15903" max="15903" width="6.2734375" customWidth="1"/>
    <col min="15904" max="15904" width="7.2734375" customWidth="1"/>
    <col min="15905" max="15905" width="6.8203125" customWidth="1"/>
    <col min="16129" max="16129" width="36.1796875" customWidth="1"/>
    <col min="16130" max="16131" width="8.2734375" customWidth="1"/>
    <col min="16132" max="16132" width="12" customWidth="1"/>
    <col min="16133" max="16133" width="9.1796875" customWidth="1"/>
    <col min="16134" max="16134" width="8.2734375" customWidth="1"/>
    <col min="16135" max="16135" width="4.546875" customWidth="1"/>
    <col min="16136" max="16136" width="10.8203125" customWidth="1"/>
    <col min="16137" max="16139" width="4.546875" customWidth="1"/>
    <col min="16140" max="16145" width="5.546875" customWidth="1"/>
    <col min="16146" max="16146" width="9.7265625" customWidth="1"/>
    <col min="16147" max="16147" width="11.8203125" customWidth="1"/>
    <col min="16148" max="16149" width="6.8203125" customWidth="1"/>
    <col min="16150" max="16150" width="10" customWidth="1"/>
    <col min="16151" max="16151" width="15.546875" customWidth="1"/>
    <col min="16152" max="16152" width="7.2734375" customWidth="1"/>
    <col min="16153" max="16153" width="6.546875" customWidth="1"/>
    <col min="16154" max="16154" width="3.546875" customWidth="1"/>
    <col min="16157" max="16157" width="8.1796875" customWidth="1"/>
    <col min="16158" max="16158" width="6.546875" customWidth="1"/>
    <col min="16159" max="16159" width="6.2734375" customWidth="1"/>
    <col min="16160" max="16160" width="7.2734375" customWidth="1"/>
    <col min="16161" max="16161" width="6.8203125" customWidth="1"/>
  </cols>
  <sheetData>
    <row r="1" ht="33.75" customHeight="1" spans="3:28">
      <c r="C1" s="151" t="s">
        <v>356</v>
      </c>
      <c r="D1" s="152">
        <v>3</v>
      </c>
      <c r="E1" s="151" t="s">
        <v>357</v>
      </c>
      <c r="F1" s="152">
        <v>2</v>
      </c>
      <c r="G1" s="151" t="s">
        <v>358</v>
      </c>
      <c r="H1" s="152">
        <v>1</v>
      </c>
      <c r="S1" s="184" t="s">
        <v>359</v>
      </c>
      <c r="T1" s="616" t="s">
        <v>360</v>
      </c>
      <c r="U1" s="194" t="s">
        <v>361</v>
      </c>
      <c r="V1" s="195">
        <v>3</v>
      </c>
      <c r="W1" s="196" t="s">
        <v>362</v>
      </c>
      <c r="X1" s="197">
        <v>4</v>
      </c>
      <c r="Y1" s="196" t="s">
        <v>363</v>
      </c>
      <c r="Z1" s="203">
        <v>5</v>
      </c>
      <c r="AA1" s="204" t="s">
        <v>364</v>
      </c>
      <c r="AB1" s="205" t="s">
        <v>365</v>
      </c>
    </row>
    <row r="2" spans="2:2">
      <c r="B2"/>
    </row>
    <row r="3" ht="46.5" customHeight="1" spans="1:33">
      <c r="A3" s="153" t="s">
        <v>366</v>
      </c>
      <c r="B3" s="154" t="s">
        <v>367</v>
      </c>
      <c r="C3" s="155" t="s">
        <v>270</v>
      </c>
      <c r="D3" s="155" t="s">
        <v>271</v>
      </c>
      <c r="E3" s="155" t="s">
        <v>272</v>
      </c>
      <c r="F3" s="155" t="s">
        <v>273</v>
      </c>
      <c r="G3" s="155" t="s">
        <v>274</v>
      </c>
      <c r="H3" s="155" t="s">
        <v>275</v>
      </c>
      <c r="I3" s="155" t="s">
        <v>276</v>
      </c>
      <c r="J3" s="155" t="s">
        <v>277</v>
      </c>
      <c r="K3" s="155" t="s">
        <v>278</v>
      </c>
      <c r="L3" s="155" t="s">
        <v>279</v>
      </c>
      <c r="M3" s="155" t="s">
        <v>280</v>
      </c>
      <c r="N3" s="155" t="s">
        <v>281</v>
      </c>
      <c r="O3" s="155" t="s">
        <v>368</v>
      </c>
      <c r="P3" s="155" t="s">
        <v>369</v>
      </c>
      <c r="Q3" s="155" t="s">
        <v>370</v>
      </c>
      <c r="R3" s="186" t="s">
        <v>371</v>
      </c>
      <c r="S3" s="187" t="s">
        <v>372</v>
      </c>
      <c r="T3" s="187" t="s">
        <v>373</v>
      </c>
      <c r="U3" s="155" t="s">
        <v>374</v>
      </c>
      <c r="V3" s="155" t="s">
        <v>375</v>
      </c>
      <c r="W3" s="155" t="s">
        <v>376</v>
      </c>
      <c r="X3" s="198" t="s">
        <v>377</v>
      </c>
      <c r="Y3" s="206" t="s">
        <v>378</v>
      </c>
      <c r="AA3" s="207" t="s">
        <v>379</v>
      </c>
      <c r="AB3" s="208"/>
      <c r="AC3" s="229" t="s">
        <v>374</v>
      </c>
      <c r="AD3" s="230" t="s">
        <v>375</v>
      </c>
      <c r="AE3" s="230" t="s">
        <v>376</v>
      </c>
      <c r="AF3" s="231" t="s">
        <v>377</v>
      </c>
      <c r="AG3" s="244" t="s">
        <v>378</v>
      </c>
    </row>
    <row r="4" ht="60" customHeight="1" spans="1:33">
      <c r="A4" s="58" t="s">
        <v>380</v>
      </c>
      <c r="B4" s="156">
        <v>60</v>
      </c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>
        <v>2</v>
      </c>
      <c r="O4" s="158"/>
      <c r="P4" s="158"/>
      <c r="Q4" s="158"/>
      <c r="R4" s="188">
        <f t="shared" ref="R4:R14" si="0">AVERAGE(C4:Q4)</f>
        <v>2</v>
      </c>
      <c r="S4" s="189" t="s">
        <v>381</v>
      </c>
      <c r="T4" s="102" t="s">
        <v>49</v>
      </c>
      <c r="U4" s="199">
        <f>Theory!D$14</f>
        <v>10</v>
      </c>
      <c r="V4" s="199" t="str">
        <f>Theory!D$12</f>
        <v>0,1</v>
      </c>
      <c r="W4" s="200"/>
      <c r="X4" s="200"/>
      <c r="Y4" s="209">
        <v>2</v>
      </c>
      <c r="AA4" s="210" t="s">
        <v>382</v>
      </c>
      <c r="AB4" s="47" t="s">
        <v>49</v>
      </c>
      <c r="AC4" s="232">
        <v>6</v>
      </c>
      <c r="AD4" s="233">
        <v>1</v>
      </c>
      <c r="AE4" s="232">
        <v>1</v>
      </c>
      <c r="AF4" s="232"/>
      <c r="AG4" s="209">
        <v>2</v>
      </c>
    </row>
    <row r="5" ht="55" customHeight="1" spans="1:33">
      <c r="A5" s="58" t="s">
        <v>383</v>
      </c>
      <c r="B5" s="156">
        <v>60</v>
      </c>
      <c r="C5" s="159">
        <v>2</v>
      </c>
      <c r="D5" s="160"/>
      <c r="E5" s="160"/>
      <c r="F5" s="160"/>
      <c r="G5" s="160">
        <v>3</v>
      </c>
      <c r="H5" s="160"/>
      <c r="I5" s="160"/>
      <c r="J5" s="160"/>
      <c r="K5" s="160">
        <v>2</v>
      </c>
      <c r="L5" s="160"/>
      <c r="M5" s="160"/>
      <c r="N5" s="160"/>
      <c r="O5" s="160">
        <v>3</v>
      </c>
      <c r="P5" s="160"/>
      <c r="Q5" s="160"/>
      <c r="R5" s="188">
        <f t="shared" si="0"/>
        <v>2.5</v>
      </c>
      <c r="S5" s="190"/>
      <c r="T5" s="102" t="s">
        <v>50</v>
      </c>
      <c r="U5" s="199">
        <f>Theory!E$14</f>
        <v>0</v>
      </c>
      <c r="V5" s="199">
        <f>Theory!E$12</f>
        <v>0</v>
      </c>
      <c r="W5" s="200"/>
      <c r="X5" s="200"/>
      <c r="Y5" s="211"/>
      <c r="AA5" s="212">
        <v>1</v>
      </c>
      <c r="AB5" s="47" t="s">
        <v>50</v>
      </c>
      <c r="AC5" s="232">
        <v>6</v>
      </c>
      <c r="AD5" s="233">
        <v>1</v>
      </c>
      <c r="AE5" s="232">
        <v>1</v>
      </c>
      <c r="AF5" s="232"/>
      <c r="AG5" s="209">
        <v>2</v>
      </c>
    </row>
    <row r="6" ht="67.5" customHeight="1" spans="1:33">
      <c r="A6" s="58" t="s">
        <v>384</v>
      </c>
      <c r="B6" s="156">
        <v>60</v>
      </c>
      <c r="C6" s="159"/>
      <c r="D6" s="160">
        <v>3</v>
      </c>
      <c r="E6" s="160">
        <v>1</v>
      </c>
      <c r="F6" s="160">
        <v>1</v>
      </c>
      <c r="G6" s="160"/>
      <c r="H6" s="160"/>
      <c r="I6" s="160"/>
      <c r="J6" s="160"/>
      <c r="K6" s="160">
        <v>2</v>
      </c>
      <c r="L6" s="160"/>
      <c r="M6" s="160"/>
      <c r="N6" s="160"/>
      <c r="O6" s="160">
        <v>1</v>
      </c>
      <c r="P6" s="160"/>
      <c r="Q6" s="160"/>
      <c r="R6" s="188">
        <f t="shared" si="0"/>
        <v>1.6</v>
      </c>
      <c r="S6" s="190"/>
      <c r="T6" s="102" t="s">
        <v>51</v>
      </c>
      <c r="U6" s="199">
        <f>Theory!F$14</f>
        <v>0</v>
      </c>
      <c r="V6" s="199">
        <f>Theory!F$12</f>
        <v>0</v>
      </c>
      <c r="W6" s="200"/>
      <c r="X6" s="200"/>
      <c r="Y6" s="211"/>
      <c r="AA6" s="213"/>
      <c r="AB6" s="47" t="s">
        <v>51</v>
      </c>
      <c r="AC6" s="232">
        <v>8</v>
      </c>
      <c r="AD6" s="233">
        <v>1</v>
      </c>
      <c r="AE6" s="232">
        <v>1</v>
      </c>
      <c r="AF6" s="232"/>
      <c r="AG6" s="209">
        <v>3</v>
      </c>
    </row>
    <row r="7" ht="40.5" customHeight="1" spans="1:33">
      <c r="A7" s="58" t="s">
        <v>385</v>
      </c>
      <c r="B7" s="156">
        <v>60</v>
      </c>
      <c r="C7" s="159"/>
      <c r="D7" s="160"/>
      <c r="E7" s="160"/>
      <c r="F7" s="160"/>
      <c r="G7" s="160">
        <v>3</v>
      </c>
      <c r="H7" s="160"/>
      <c r="I7" s="160"/>
      <c r="J7" s="160"/>
      <c r="K7" s="160">
        <v>3</v>
      </c>
      <c r="L7" s="160"/>
      <c r="M7" s="160">
        <v>2</v>
      </c>
      <c r="N7" s="160"/>
      <c r="O7" s="160"/>
      <c r="P7" s="160"/>
      <c r="Q7" s="160"/>
      <c r="R7" s="188">
        <f t="shared" si="0"/>
        <v>2.66666666666667</v>
      </c>
      <c r="S7" s="190"/>
      <c r="T7" s="102" t="s">
        <v>52</v>
      </c>
      <c r="U7" s="199">
        <f>Theory!G$14</f>
        <v>0</v>
      </c>
      <c r="V7" s="199">
        <f>Theory!G$12</f>
        <v>0</v>
      </c>
      <c r="W7" s="200"/>
      <c r="X7" s="200"/>
      <c r="Y7" s="211"/>
      <c r="AA7" s="214"/>
      <c r="AB7" s="47" t="s">
        <v>52</v>
      </c>
      <c r="AC7" s="232"/>
      <c r="AD7" s="233"/>
      <c r="AE7" s="232"/>
      <c r="AF7" s="232"/>
      <c r="AG7" s="209"/>
    </row>
    <row r="8" ht="49.5" customHeight="1" spans="1:33">
      <c r="A8" s="58" t="s">
        <v>386</v>
      </c>
      <c r="B8" s="161">
        <v>60</v>
      </c>
      <c r="C8" s="159"/>
      <c r="D8" s="160"/>
      <c r="E8" s="160"/>
      <c r="F8" s="160"/>
      <c r="G8" s="160">
        <v>3</v>
      </c>
      <c r="H8" s="160"/>
      <c r="I8" s="160"/>
      <c r="J8" s="160"/>
      <c r="K8" s="160">
        <v>3</v>
      </c>
      <c r="L8" s="160"/>
      <c r="M8" s="160"/>
      <c r="N8" s="160"/>
      <c r="O8" s="160"/>
      <c r="P8" s="160"/>
      <c r="Q8" s="160"/>
      <c r="R8" s="188">
        <f t="shared" si="0"/>
        <v>3</v>
      </c>
      <c r="S8" s="190"/>
      <c r="T8" s="102" t="s">
        <v>53</v>
      </c>
      <c r="U8" s="199">
        <f>Theory!H$14</f>
        <v>10</v>
      </c>
      <c r="V8" s="199" t="str">
        <f>Theory!H$12</f>
        <v>0,4</v>
      </c>
      <c r="W8" s="200"/>
      <c r="X8" s="200"/>
      <c r="Y8" s="211">
        <v>2</v>
      </c>
      <c r="AA8" s="215" t="s">
        <v>382</v>
      </c>
      <c r="AB8" s="216" t="s">
        <v>53</v>
      </c>
      <c r="AC8" s="234">
        <v>6</v>
      </c>
      <c r="AD8" s="235" t="s">
        <v>387</v>
      </c>
      <c r="AE8" s="234">
        <v>1</v>
      </c>
      <c r="AF8" s="234"/>
      <c r="AG8" s="211">
        <v>3</v>
      </c>
    </row>
    <row r="9" ht="51.75" spans="1:33">
      <c r="A9" s="58" t="s">
        <v>388</v>
      </c>
      <c r="B9" s="162">
        <v>60</v>
      </c>
      <c r="C9" s="159"/>
      <c r="D9" s="160"/>
      <c r="E9" s="160"/>
      <c r="F9" s="160"/>
      <c r="G9" s="160">
        <v>3</v>
      </c>
      <c r="H9" s="160"/>
      <c r="I9" s="160"/>
      <c r="J9" s="160"/>
      <c r="K9" s="160">
        <v>2</v>
      </c>
      <c r="L9" s="160">
        <v>2</v>
      </c>
      <c r="M9" s="160">
        <v>1</v>
      </c>
      <c r="N9" s="160"/>
      <c r="O9" s="160"/>
      <c r="P9" s="160"/>
      <c r="Q9" s="160"/>
      <c r="R9" s="188">
        <f t="shared" si="0"/>
        <v>2</v>
      </c>
      <c r="S9" s="190"/>
      <c r="T9" s="102" t="s">
        <v>54</v>
      </c>
      <c r="U9" s="199">
        <f>Theory!I$14</f>
        <v>0</v>
      </c>
      <c r="V9" s="199">
        <f>Theory!I$12</f>
        <v>0</v>
      </c>
      <c r="W9" s="200"/>
      <c r="X9" s="200"/>
      <c r="Y9" s="211"/>
      <c r="AA9" s="217">
        <v>2</v>
      </c>
      <c r="AB9" s="216" t="s">
        <v>54</v>
      </c>
      <c r="AC9" s="234">
        <v>8</v>
      </c>
      <c r="AD9" s="235" t="s">
        <v>387</v>
      </c>
      <c r="AE9" s="234">
        <v>1</v>
      </c>
      <c r="AF9" s="234"/>
      <c r="AG9" s="211">
        <v>3</v>
      </c>
    </row>
    <row r="10" ht="17.6" spans="1:33">
      <c r="A10" s="163" t="s">
        <v>262</v>
      </c>
      <c r="B10" s="164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88" t="e">
        <f t="shared" si="0"/>
        <v>#DIV/0!</v>
      </c>
      <c r="S10" s="190"/>
      <c r="T10" s="102" t="s">
        <v>55</v>
      </c>
      <c r="U10" s="199">
        <f>Theory!J$14</f>
        <v>0</v>
      </c>
      <c r="V10" s="199">
        <f>Theory!J$12</f>
        <v>0</v>
      </c>
      <c r="W10" s="200"/>
      <c r="X10" s="200"/>
      <c r="Y10" s="211"/>
      <c r="AA10" s="218"/>
      <c r="AB10" s="216" t="s">
        <v>55</v>
      </c>
      <c r="AC10" s="234">
        <v>6</v>
      </c>
      <c r="AD10" s="235" t="s">
        <v>387</v>
      </c>
      <c r="AE10" s="234">
        <v>1</v>
      </c>
      <c r="AF10" s="234"/>
      <c r="AG10" s="211">
        <v>3</v>
      </c>
    </row>
    <row r="11" ht="17.6" spans="1:33">
      <c r="A11" s="163" t="s">
        <v>263</v>
      </c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88" t="e">
        <f t="shared" si="0"/>
        <v>#DIV/0!</v>
      </c>
      <c r="S11" s="190"/>
      <c r="T11" s="102" t="s">
        <v>56</v>
      </c>
      <c r="U11" s="199">
        <f>Theory!K$14</f>
        <v>0</v>
      </c>
      <c r="V11" s="199">
        <f>Theory!K$12</f>
        <v>0</v>
      </c>
      <c r="W11" s="200"/>
      <c r="X11" s="200"/>
      <c r="Y11" s="211"/>
      <c r="AA11" s="219"/>
      <c r="AB11" s="216" t="s">
        <v>56</v>
      </c>
      <c r="AC11" s="234"/>
      <c r="AD11" s="235"/>
      <c r="AE11" s="234"/>
      <c r="AF11" s="234"/>
      <c r="AG11" s="211"/>
    </row>
    <row r="12" ht="17.6" spans="1:33">
      <c r="A12" s="163" t="s">
        <v>264</v>
      </c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88" t="e">
        <f t="shared" si="0"/>
        <v>#DIV/0!</v>
      </c>
      <c r="S12" s="190"/>
      <c r="T12" s="102" t="s">
        <v>57</v>
      </c>
      <c r="U12" s="199">
        <f>Theory!L$14</f>
        <v>10</v>
      </c>
      <c r="V12" s="199" t="str">
        <f>Theory!L$12</f>
        <v>0,2</v>
      </c>
      <c r="W12" s="200">
        <v>1</v>
      </c>
      <c r="X12" s="200"/>
      <c r="Y12" s="211">
        <v>3</v>
      </c>
      <c r="AA12" s="210" t="s">
        <v>382</v>
      </c>
      <c r="AB12" s="47" t="s">
        <v>57</v>
      </c>
      <c r="AC12" s="232">
        <v>10</v>
      </c>
      <c r="AD12" s="233" t="s">
        <v>389</v>
      </c>
      <c r="AE12" s="232">
        <v>1</v>
      </c>
      <c r="AF12" s="232"/>
      <c r="AG12" s="211">
        <v>3</v>
      </c>
    </row>
    <row r="13" ht="17.6" spans="1:33">
      <c r="A13" s="163" t="s">
        <v>265</v>
      </c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88" t="e">
        <f t="shared" si="0"/>
        <v>#DIV/0!</v>
      </c>
      <c r="S13" s="190"/>
      <c r="T13" s="102" t="s">
        <v>58</v>
      </c>
      <c r="U13" s="199">
        <f>Theory!M$14</f>
        <v>0</v>
      </c>
      <c r="V13" s="199">
        <f>Theory!M$12</f>
        <v>0</v>
      </c>
      <c r="W13" s="200"/>
      <c r="X13" s="200"/>
      <c r="Y13" s="211"/>
      <c r="AA13" s="212">
        <v>3</v>
      </c>
      <c r="AB13" s="47" t="s">
        <v>58</v>
      </c>
      <c r="AC13" s="232">
        <v>10</v>
      </c>
      <c r="AD13" s="233" t="s">
        <v>389</v>
      </c>
      <c r="AE13" s="232">
        <v>1</v>
      </c>
      <c r="AF13" s="232"/>
      <c r="AG13" s="211">
        <v>3</v>
      </c>
    </row>
    <row r="14" ht="26" spans="3:33">
      <c r="C14" s="166">
        <f>SUM(C4:C13)</f>
        <v>2</v>
      </c>
      <c r="D14" s="166">
        <f t="shared" ref="D14:Q14" si="1">SUM(D4:D13)</f>
        <v>3</v>
      </c>
      <c r="E14" s="166">
        <f t="shared" si="1"/>
        <v>1</v>
      </c>
      <c r="F14" s="166">
        <f t="shared" si="1"/>
        <v>1</v>
      </c>
      <c r="G14" s="166">
        <f t="shared" si="1"/>
        <v>12</v>
      </c>
      <c r="H14" s="166">
        <f t="shared" si="1"/>
        <v>0</v>
      </c>
      <c r="I14" s="166">
        <f t="shared" si="1"/>
        <v>0</v>
      </c>
      <c r="J14" s="166">
        <f t="shared" si="1"/>
        <v>0</v>
      </c>
      <c r="K14" s="166">
        <f t="shared" si="1"/>
        <v>12</v>
      </c>
      <c r="L14" s="166">
        <f t="shared" si="1"/>
        <v>2</v>
      </c>
      <c r="M14" s="166">
        <f t="shared" si="1"/>
        <v>3</v>
      </c>
      <c r="N14" s="166">
        <f t="shared" si="1"/>
        <v>2</v>
      </c>
      <c r="O14" s="166">
        <f t="shared" si="1"/>
        <v>4</v>
      </c>
      <c r="P14" s="166">
        <f t="shared" si="1"/>
        <v>0</v>
      </c>
      <c r="Q14" s="166">
        <f t="shared" si="1"/>
        <v>0</v>
      </c>
      <c r="R14" s="188">
        <f t="shared" si="0"/>
        <v>2.8</v>
      </c>
      <c r="S14" s="190"/>
      <c r="T14" s="102" t="s">
        <v>59</v>
      </c>
      <c r="U14" s="199">
        <f>Theory!N$14</f>
        <v>0</v>
      </c>
      <c r="V14" s="199">
        <f>Theory!N$12</f>
        <v>0</v>
      </c>
      <c r="W14" s="200"/>
      <c r="X14" s="200"/>
      <c r="Y14" s="211"/>
      <c r="AA14" s="213"/>
      <c r="AB14" s="47" t="s">
        <v>59</v>
      </c>
      <c r="AC14" s="232"/>
      <c r="AD14" s="233"/>
      <c r="AE14" s="232"/>
      <c r="AF14" s="232"/>
      <c r="AG14" s="211"/>
    </row>
    <row r="15" spans="19:33">
      <c r="S15" s="190"/>
      <c r="T15" s="102" t="s">
        <v>60</v>
      </c>
      <c r="U15" s="199">
        <f>Theory!O$14</f>
        <v>0</v>
      </c>
      <c r="V15" s="199">
        <f>Theory!O$12</f>
        <v>0</v>
      </c>
      <c r="W15" s="201"/>
      <c r="X15" s="201"/>
      <c r="Y15" s="3"/>
      <c r="AA15" s="214"/>
      <c r="AB15" s="47" t="s">
        <v>60</v>
      </c>
      <c r="AC15" s="47"/>
      <c r="AD15" s="236"/>
      <c r="AE15" s="237"/>
      <c r="AF15" s="237"/>
      <c r="AG15" s="164"/>
    </row>
    <row r="16" ht="17" spans="19:33">
      <c r="S16" s="190"/>
      <c r="T16" s="102" t="s">
        <v>61</v>
      </c>
      <c r="U16" s="199">
        <f>Theory!P$14</f>
        <v>10</v>
      </c>
      <c r="V16" s="199" t="str">
        <f>Theory!P$12</f>
        <v>0,2</v>
      </c>
      <c r="W16" s="202">
        <v>1</v>
      </c>
      <c r="X16" s="202"/>
      <c r="Y16" s="220">
        <v>3</v>
      </c>
      <c r="AA16" s="221" t="s">
        <v>382</v>
      </c>
      <c r="AB16" s="222" t="s">
        <v>61</v>
      </c>
      <c r="AC16" s="196">
        <v>10</v>
      </c>
      <c r="AD16" s="238" t="s">
        <v>389</v>
      </c>
      <c r="AE16" s="196">
        <v>1</v>
      </c>
      <c r="AF16" s="196"/>
      <c r="AG16" s="220">
        <v>3</v>
      </c>
    </row>
    <row r="17" ht="23.25" customHeight="1" spans="1:33">
      <c r="A17" s="167" t="s">
        <v>390</v>
      </c>
      <c r="B17" s="168"/>
      <c r="C17" s="168"/>
      <c r="D17" s="168"/>
      <c r="E17" s="168"/>
      <c r="F17" s="168"/>
      <c r="H17" s="86"/>
      <c r="I17" s="174" t="s">
        <v>391</v>
      </c>
      <c r="J17" s="174"/>
      <c r="K17" s="174"/>
      <c r="L17" s="174"/>
      <c r="M17" s="174"/>
      <c r="N17" s="174"/>
      <c r="O17" s="174"/>
      <c r="P17" s="174"/>
      <c r="Q17" s="174"/>
      <c r="R17" s="86"/>
      <c r="S17" s="191"/>
      <c r="T17" s="102" t="s">
        <v>62</v>
      </c>
      <c r="U17" s="199">
        <f>Theory!Q$14</f>
        <v>0</v>
      </c>
      <c r="V17" s="199">
        <f>Theory!Q$12</f>
        <v>0</v>
      </c>
      <c r="W17" s="202"/>
      <c r="X17" s="202"/>
      <c r="Y17" s="220"/>
      <c r="AA17" s="223">
        <v>4</v>
      </c>
      <c r="AB17" s="222" t="s">
        <v>62</v>
      </c>
      <c r="AC17" s="196">
        <v>10</v>
      </c>
      <c r="AD17" s="238" t="s">
        <v>389</v>
      </c>
      <c r="AE17" s="196">
        <v>1</v>
      </c>
      <c r="AF17" s="196"/>
      <c r="AG17" s="220">
        <v>3</v>
      </c>
    </row>
    <row r="18" ht="15" customHeight="1" spans="1:33">
      <c r="A18" s="169"/>
      <c r="B18" s="50" t="s">
        <v>392</v>
      </c>
      <c r="C18" s="50" t="s">
        <v>393</v>
      </c>
      <c r="D18" s="49" t="s">
        <v>394</v>
      </c>
      <c r="E18" s="50" t="s">
        <v>371</v>
      </c>
      <c r="F18" s="50" t="s">
        <v>395</v>
      </c>
      <c r="H18" s="172" t="s">
        <v>396</v>
      </c>
      <c r="I18" s="175">
        <v>1</v>
      </c>
      <c r="J18" s="176" t="s">
        <v>397</v>
      </c>
      <c r="K18" s="176"/>
      <c r="L18" s="176"/>
      <c r="M18" s="176"/>
      <c r="N18" s="176"/>
      <c r="O18" s="176"/>
      <c r="P18" s="176"/>
      <c r="Q18" s="176"/>
      <c r="R18" s="86"/>
      <c r="S18" s="191"/>
      <c r="T18" s="102" t="s">
        <v>63</v>
      </c>
      <c r="U18" s="199">
        <f>Theory!R$14</f>
        <v>0</v>
      </c>
      <c r="V18" s="199">
        <f>Theory!R$12</f>
        <v>0</v>
      </c>
      <c r="W18" s="202"/>
      <c r="X18" s="202"/>
      <c r="Y18" s="224"/>
      <c r="AA18" s="225"/>
      <c r="AB18" s="222" t="s">
        <v>63</v>
      </c>
      <c r="AC18" s="196"/>
      <c r="AD18" s="238"/>
      <c r="AE18" s="196"/>
      <c r="AF18" s="196"/>
      <c r="AG18" s="220"/>
    </row>
    <row r="19" spans="1:33">
      <c r="A19" s="164" t="s">
        <v>256</v>
      </c>
      <c r="B19" s="170">
        <f>CES!D78</f>
        <v>53</v>
      </c>
      <c r="C19" s="170">
        <f>CES!E78</f>
        <v>0</v>
      </c>
      <c r="D19" s="170">
        <f>CES!F78</f>
        <v>0</v>
      </c>
      <c r="E19" s="170">
        <f>CES!G78</f>
        <v>0</v>
      </c>
      <c r="F19" s="170">
        <f>CES!H78</f>
        <v>0</v>
      </c>
      <c r="H19" s="172"/>
      <c r="I19" s="175"/>
      <c r="J19" s="176"/>
      <c r="K19" s="176"/>
      <c r="L19" s="176"/>
      <c r="M19" s="176"/>
      <c r="N19" s="176"/>
      <c r="O19" s="176"/>
      <c r="P19" s="176"/>
      <c r="Q19" s="176"/>
      <c r="R19" s="86"/>
      <c r="S19" s="191"/>
      <c r="T19" s="102" t="s">
        <v>64</v>
      </c>
      <c r="U19" s="199">
        <f>Theory!S$14</f>
        <v>0</v>
      </c>
      <c r="V19" s="199">
        <f>Theory!S$12</f>
        <v>0</v>
      </c>
      <c r="W19" s="202"/>
      <c r="X19" s="202"/>
      <c r="Y19" s="224"/>
      <c r="AA19" s="226"/>
      <c r="AB19" s="222" t="s">
        <v>64</v>
      </c>
      <c r="AC19" s="196"/>
      <c r="AD19" s="238"/>
      <c r="AE19" s="196"/>
      <c r="AF19" s="196"/>
      <c r="AG19" s="220"/>
    </row>
    <row r="20" ht="15" customHeight="1" spans="1:33">
      <c r="A20" s="164" t="s">
        <v>257</v>
      </c>
      <c r="B20" s="170">
        <f>CES!D79</f>
        <v>53</v>
      </c>
      <c r="C20" s="170">
        <f>CES!E79</f>
        <v>0</v>
      </c>
      <c r="D20" s="170">
        <f>CES!F79</f>
        <v>0</v>
      </c>
      <c r="E20" s="170">
        <f>CES!G79</f>
        <v>0</v>
      </c>
      <c r="F20" s="170">
        <f>CES!H79</f>
        <v>0</v>
      </c>
      <c r="H20" s="173" t="s">
        <v>398</v>
      </c>
      <c r="I20" s="175">
        <v>2</v>
      </c>
      <c r="J20" s="177" t="s">
        <v>399</v>
      </c>
      <c r="K20" s="177"/>
      <c r="L20" s="177"/>
      <c r="M20" s="177"/>
      <c r="N20" s="177"/>
      <c r="O20" s="177"/>
      <c r="P20" s="177"/>
      <c r="Q20" s="177"/>
      <c r="R20" s="86"/>
      <c r="S20" s="191"/>
      <c r="T20" s="102" t="s">
        <v>65</v>
      </c>
      <c r="U20" s="199">
        <f>Theory!T$14</f>
        <v>10</v>
      </c>
      <c r="V20" s="199" t="str">
        <f>Theory!T$12</f>
        <v>0,1</v>
      </c>
      <c r="W20" s="202">
        <v>1</v>
      </c>
      <c r="X20" s="202"/>
      <c r="Y20" s="224">
        <v>3</v>
      </c>
      <c r="AA20" s="210" t="s">
        <v>382</v>
      </c>
      <c r="AB20" s="47" t="s">
        <v>65</v>
      </c>
      <c r="AC20" s="239">
        <v>10</v>
      </c>
      <c r="AD20" s="240" t="s">
        <v>400</v>
      </c>
      <c r="AE20" s="239">
        <v>2</v>
      </c>
      <c r="AF20" s="239"/>
      <c r="AG20" s="220">
        <v>4</v>
      </c>
    </row>
    <row r="21" ht="12" customHeight="1" spans="1:33">
      <c r="A21" s="164" t="s">
        <v>258</v>
      </c>
      <c r="B21" s="170">
        <f>CES!D80</f>
        <v>40</v>
      </c>
      <c r="C21" s="170">
        <f>CES!E80</f>
        <v>6</v>
      </c>
      <c r="D21" s="170">
        <f>CES!F80</f>
        <v>6</v>
      </c>
      <c r="E21" s="170">
        <f>CES!G80</f>
        <v>0</v>
      </c>
      <c r="F21" s="170">
        <f>CES!H80</f>
        <v>1</v>
      </c>
      <c r="H21" s="173"/>
      <c r="I21" s="175"/>
      <c r="J21" s="177"/>
      <c r="K21" s="177"/>
      <c r="L21" s="177"/>
      <c r="M21" s="177"/>
      <c r="N21" s="177"/>
      <c r="O21" s="177"/>
      <c r="P21" s="177"/>
      <c r="Q21" s="177"/>
      <c r="R21" s="86"/>
      <c r="S21" s="191"/>
      <c r="T21" s="102" t="s">
        <v>66</v>
      </c>
      <c r="U21" s="199">
        <f>Theory!U$14</f>
        <v>0</v>
      </c>
      <c r="V21" s="199">
        <f>Theory!U$12</f>
        <v>0</v>
      </c>
      <c r="W21" s="202"/>
      <c r="X21" s="202"/>
      <c r="Y21" s="224"/>
      <c r="AA21" s="212">
        <v>5</v>
      </c>
      <c r="AB21" s="47" t="s">
        <v>66</v>
      </c>
      <c r="AC21" s="239">
        <v>10</v>
      </c>
      <c r="AD21" s="240" t="s">
        <v>400</v>
      </c>
      <c r="AE21" s="239">
        <v>2</v>
      </c>
      <c r="AF21" s="239"/>
      <c r="AG21" s="220">
        <v>4</v>
      </c>
    </row>
    <row r="22" ht="16.5" customHeight="1" spans="1:33">
      <c r="A22" s="164" t="s">
        <v>259</v>
      </c>
      <c r="B22" s="170">
        <f>CES!D81</f>
        <v>39</v>
      </c>
      <c r="C22" s="170">
        <f>CES!E81</f>
        <v>7</v>
      </c>
      <c r="D22" s="170">
        <f>CES!F81</f>
        <v>6</v>
      </c>
      <c r="E22" s="170">
        <f>CES!G81</f>
        <v>0</v>
      </c>
      <c r="F22" s="170">
        <f>CES!H81</f>
        <v>1</v>
      </c>
      <c r="H22" s="173" t="s">
        <v>401</v>
      </c>
      <c r="I22" s="175">
        <v>3</v>
      </c>
      <c r="J22" s="178" t="s">
        <v>402</v>
      </c>
      <c r="K22" s="179"/>
      <c r="L22" s="179"/>
      <c r="M22" s="179"/>
      <c r="N22" s="179"/>
      <c r="O22" s="179"/>
      <c r="P22" s="179"/>
      <c r="Q22" s="179"/>
      <c r="R22" s="86"/>
      <c r="S22" s="191"/>
      <c r="T22" s="102" t="s">
        <v>67</v>
      </c>
      <c r="U22" s="199">
        <f>Theory!V$14</f>
        <v>0</v>
      </c>
      <c r="V22" s="199">
        <f>Theory!V$12</f>
        <v>0</v>
      </c>
      <c r="W22" s="202"/>
      <c r="X22" s="202"/>
      <c r="Y22" s="224"/>
      <c r="AA22" s="213"/>
      <c r="AB22" s="47" t="s">
        <v>67</v>
      </c>
      <c r="AC22" s="239"/>
      <c r="AD22" s="240"/>
      <c r="AE22" s="239"/>
      <c r="AF22" s="239"/>
      <c r="AG22" s="220"/>
    </row>
    <row r="23" ht="14.25" customHeight="1" spans="1:33">
      <c r="A23" s="164" t="s">
        <v>260</v>
      </c>
      <c r="B23" s="170">
        <f>CES!D82</f>
        <v>36</v>
      </c>
      <c r="C23" s="170">
        <f>CES!E82</f>
        <v>8</v>
      </c>
      <c r="D23" s="170">
        <f>CES!F82</f>
        <v>8</v>
      </c>
      <c r="E23" s="170">
        <f>CES!G82</f>
        <v>1</v>
      </c>
      <c r="F23" s="170">
        <f>CES!H82</f>
        <v>0</v>
      </c>
      <c r="H23" s="173" t="s">
        <v>403</v>
      </c>
      <c r="I23" s="175">
        <v>4</v>
      </c>
      <c r="J23" s="177" t="s">
        <v>404</v>
      </c>
      <c r="K23" s="177"/>
      <c r="L23" s="177"/>
      <c r="M23" s="177"/>
      <c r="N23" s="177"/>
      <c r="O23" s="177"/>
      <c r="P23" s="177"/>
      <c r="Q23" s="177"/>
      <c r="R23" s="86"/>
      <c r="S23" s="191"/>
      <c r="T23" s="102" t="s">
        <v>68</v>
      </c>
      <c r="U23" s="199">
        <f>Theory!W$14</f>
        <v>0</v>
      </c>
      <c r="V23" s="199">
        <f>Theory!W$12</f>
        <v>0</v>
      </c>
      <c r="W23" s="202"/>
      <c r="X23" s="202"/>
      <c r="Y23" s="224"/>
      <c r="AA23" s="214"/>
      <c r="AB23" s="47" t="s">
        <v>68</v>
      </c>
      <c r="AC23" s="239"/>
      <c r="AD23" s="240"/>
      <c r="AE23" s="239"/>
      <c r="AF23" s="239"/>
      <c r="AG23" s="220"/>
    </row>
    <row r="24" ht="17" spans="1:33">
      <c r="A24" s="164" t="s">
        <v>261</v>
      </c>
      <c r="B24" s="170">
        <f>CES!D83</f>
        <v>39</v>
      </c>
      <c r="C24" s="170">
        <f>CES!E83</f>
        <v>8</v>
      </c>
      <c r="D24" s="170">
        <f>CES!F83</f>
        <v>5</v>
      </c>
      <c r="E24" s="170">
        <f>CES!G83</f>
        <v>0</v>
      </c>
      <c r="F24" s="170">
        <f>CES!H83</f>
        <v>1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191"/>
      <c r="T24" s="102" t="s">
        <v>69</v>
      </c>
      <c r="U24" s="199">
        <f>Theory!X$14</f>
        <v>10</v>
      </c>
      <c r="V24" s="199" t="str">
        <f>Theory!X$12</f>
        <v>0,1</v>
      </c>
      <c r="W24" s="202">
        <v>1</v>
      </c>
      <c r="X24" s="202"/>
      <c r="Y24" s="224">
        <v>3</v>
      </c>
      <c r="AA24" s="221" t="s">
        <v>382</v>
      </c>
      <c r="AB24" s="222" t="s">
        <v>69</v>
      </c>
      <c r="AC24" s="196">
        <v>10</v>
      </c>
      <c r="AD24" s="238" t="s">
        <v>400</v>
      </c>
      <c r="AE24" s="196">
        <v>1</v>
      </c>
      <c r="AF24" s="196"/>
      <c r="AG24" s="220">
        <v>3</v>
      </c>
    </row>
    <row r="25" ht="15" customHeight="1" spans="1:33">
      <c r="A25" s="164" t="s">
        <v>262</v>
      </c>
      <c r="B25" s="170"/>
      <c r="C25" s="170"/>
      <c r="D25" s="170"/>
      <c r="E25" s="170"/>
      <c r="F25" s="170"/>
      <c r="H25" s="86"/>
      <c r="I25" s="180" t="s">
        <v>405</v>
      </c>
      <c r="J25" s="180"/>
      <c r="K25" s="180"/>
      <c r="L25" s="180"/>
      <c r="M25" s="180"/>
      <c r="N25" s="180"/>
      <c r="O25" s="180"/>
      <c r="P25" s="180"/>
      <c r="Q25" s="180"/>
      <c r="R25" s="86"/>
      <c r="S25" s="191"/>
      <c r="T25" s="102" t="s">
        <v>70</v>
      </c>
      <c r="U25" s="199">
        <f>Theory!Y$14</f>
        <v>0</v>
      </c>
      <c r="V25" s="199">
        <f>Theory!Y$12</f>
        <v>0</v>
      </c>
      <c r="W25" s="202"/>
      <c r="X25" s="202"/>
      <c r="Y25" s="224"/>
      <c r="AA25" s="223">
        <v>6</v>
      </c>
      <c r="AB25" s="222" t="s">
        <v>70</v>
      </c>
      <c r="AC25" s="196">
        <v>10</v>
      </c>
      <c r="AD25" s="238" t="s">
        <v>400</v>
      </c>
      <c r="AE25" s="196">
        <v>2</v>
      </c>
      <c r="AF25" s="196"/>
      <c r="AG25" s="220">
        <v>4</v>
      </c>
    </row>
    <row r="26" ht="15" customHeight="1" spans="1:33">
      <c r="A26" s="164" t="s">
        <v>263</v>
      </c>
      <c r="B26" s="170"/>
      <c r="C26" s="170"/>
      <c r="D26" s="170"/>
      <c r="E26" s="170"/>
      <c r="F26" s="170"/>
      <c r="H26" s="86"/>
      <c r="I26" s="181">
        <v>1</v>
      </c>
      <c r="J26" s="182"/>
      <c r="K26" s="182"/>
      <c r="L26" s="182"/>
      <c r="M26" s="182"/>
      <c r="N26" s="182"/>
      <c r="O26" s="182"/>
      <c r="P26" s="182"/>
      <c r="Q26" s="182"/>
      <c r="R26" s="86"/>
      <c r="S26" s="191"/>
      <c r="T26" s="102" t="s">
        <v>71</v>
      </c>
      <c r="U26" s="199">
        <f>Theory!Z$14</f>
        <v>0</v>
      </c>
      <c r="V26" s="199">
        <f>Theory!Z$12</f>
        <v>0</v>
      </c>
      <c r="W26" s="202"/>
      <c r="X26" s="202"/>
      <c r="Y26" s="224"/>
      <c r="AA26" s="225"/>
      <c r="AB26" s="222" t="s">
        <v>71</v>
      </c>
      <c r="AC26" s="196"/>
      <c r="AD26" s="238"/>
      <c r="AE26" s="196"/>
      <c r="AF26" s="196"/>
      <c r="AG26" s="220"/>
    </row>
    <row r="27" ht="14.25" customHeight="1" spans="1:33">
      <c r="A27" s="164" t="s">
        <v>264</v>
      </c>
      <c r="B27" s="170"/>
      <c r="C27" s="170"/>
      <c r="D27" s="170"/>
      <c r="E27" s="170"/>
      <c r="F27" s="170"/>
      <c r="H27" s="86"/>
      <c r="I27" s="181"/>
      <c r="J27" s="182"/>
      <c r="K27" s="182"/>
      <c r="L27" s="182"/>
      <c r="M27" s="182"/>
      <c r="N27" s="182"/>
      <c r="O27" s="182"/>
      <c r="P27" s="182"/>
      <c r="Q27" s="182"/>
      <c r="R27" s="86"/>
      <c r="S27" s="191"/>
      <c r="T27" s="102" t="s">
        <v>72</v>
      </c>
      <c r="U27" s="199">
        <f>Theory!AA$14</f>
        <v>0</v>
      </c>
      <c r="V27" s="199">
        <f>Theory!AA$12</f>
        <v>0</v>
      </c>
      <c r="W27" s="202"/>
      <c r="X27" s="201"/>
      <c r="Y27" s="227"/>
      <c r="AA27" s="226"/>
      <c r="AB27" s="222" t="s">
        <v>72</v>
      </c>
      <c r="AC27" s="222"/>
      <c r="AD27" s="241"/>
      <c r="AE27" s="242"/>
      <c r="AF27" s="242"/>
      <c r="AG27" s="164"/>
    </row>
    <row r="28" ht="17" spans="1:33">
      <c r="A28" s="164" t="s">
        <v>265</v>
      </c>
      <c r="B28" s="170"/>
      <c r="C28" s="170"/>
      <c r="D28" s="170"/>
      <c r="E28" s="170"/>
      <c r="F28" s="170"/>
      <c r="H28" s="86"/>
      <c r="I28" s="181">
        <v>2</v>
      </c>
      <c r="J28" s="183"/>
      <c r="K28" s="183"/>
      <c r="L28" s="183"/>
      <c r="M28" s="183"/>
      <c r="N28" s="183"/>
      <c r="O28" s="183"/>
      <c r="P28" s="183"/>
      <c r="Q28" s="183"/>
      <c r="R28" s="86"/>
      <c r="S28" s="191"/>
      <c r="T28" s="102" t="s">
        <v>73</v>
      </c>
      <c r="U28" s="199">
        <f>Theory!AB$14</f>
        <v>10</v>
      </c>
      <c r="V28" s="199" t="str">
        <f>Theory!AB$12</f>
        <v>0,4</v>
      </c>
      <c r="W28" s="202">
        <v>2</v>
      </c>
      <c r="X28" s="201"/>
      <c r="Y28" s="227">
        <v>4</v>
      </c>
      <c r="AA28" s="210" t="s">
        <v>382</v>
      </c>
      <c r="AB28" s="47" t="s">
        <v>73</v>
      </c>
      <c r="AC28" s="239">
        <v>6</v>
      </c>
      <c r="AD28" s="240">
        <v>3</v>
      </c>
      <c r="AE28" s="239">
        <v>1</v>
      </c>
      <c r="AF28" s="239"/>
      <c r="AG28" s="164">
        <v>3</v>
      </c>
    </row>
    <row r="29" spans="8:33">
      <c r="H29" s="86"/>
      <c r="I29" s="181"/>
      <c r="J29" s="183"/>
      <c r="K29" s="183"/>
      <c r="L29" s="183"/>
      <c r="M29" s="183"/>
      <c r="N29" s="183"/>
      <c r="O29" s="183"/>
      <c r="P29" s="183"/>
      <c r="Q29" s="183"/>
      <c r="R29" s="86"/>
      <c r="S29" s="191"/>
      <c r="T29" s="102" t="s">
        <v>74</v>
      </c>
      <c r="U29" s="199">
        <f>Theory!AC$14</f>
        <v>0</v>
      </c>
      <c r="V29" s="199">
        <f>Theory!AC$12</f>
        <v>0</v>
      </c>
      <c r="W29" s="202"/>
      <c r="X29" s="202"/>
      <c r="Y29" s="224"/>
      <c r="AA29" s="212">
        <v>7</v>
      </c>
      <c r="AB29" s="47" t="s">
        <v>74</v>
      </c>
      <c r="AC29" s="239">
        <v>6</v>
      </c>
      <c r="AD29" s="240">
        <v>3</v>
      </c>
      <c r="AE29" s="239">
        <v>1</v>
      </c>
      <c r="AF29" s="239"/>
      <c r="AG29" s="220">
        <v>3</v>
      </c>
    </row>
    <row r="30" spans="8:33"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91"/>
      <c r="T30" s="102" t="s">
        <v>75</v>
      </c>
      <c r="U30" s="199">
        <f>Theory!AD$14</f>
        <v>0</v>
      </c>
      <c r="V30" s="199">
        <f>Theory!AD$12</f>
        <v>0</v>
      </c>
      <c r="W30" s="202"/>
      <c r="X30" s="202"/>
      <c r="Y30" s="224"/>
      <c r="AA30" s="213"/>
      <c r="AB30" s="47" t="s">
        <v>75</v>
      </c>
      <c r="AC30" s="239">
        <v>8</v>
      </c>
      <c r="AD30" s="240">
        <v>3</v>
      </c>
      <c r="AE30" s="239">
        <v>2</v>
      </c>
      <c r="AF30" s="239"/>
      <c r="AG30" s="220">
        <v>4</v>
      </c>
    </row>
    <row r="31" spans="1:33">
      <c r="A31" s="171"/>
      <c r="B31" s="171"/>
      <c r="S31" s="190"/>
      <c r="T31" s="102" t="s">
        <v>76</v>
      </c>
      <c r="U31" s="199">
        <f>Theory!AE$14</f>
        <v>0</v>
      </c>
      <c r="V31" s="199">
        <f>Theory!AE$12</f>
        <v>0</v>
      </c>
      <c r="W31" s="202"/>
      <c r="X31" s="202"/>
      <c r="Y31" s="224"/>
      <c r="AA31" s="214"/>
      <c r="AB31" s="47" t="s">
        <v>76</v>
      </c>
      <c r="AC31" s="239"/>
      <c r="AD31" s="240"/>
      <c r="AE31" s="239"/>
      <c r="AF31" s="239"/>
      <c r="AG31" s="220"/>
    </row>
    <row r="32" ht="17" spans="19:33">
      <c r="S32" s="190"/>
      <c r="T32" s="102" t="s">
        <v>77</v>
      </c>
      <c r="U32" s="199">
        <f>Theory!AF$14</f>
        <v>10</v>
      </c>
      <c r="V32" s="199" t="str">
        <f>Theory!AF$12</f>
        <v>0,4</v>
      </c>
      <c r="W32" s="202">
        <v>2</v>
      </c>
      <c r="X32" s="202"/>
      <c r="Y32" s="224">
        <v>4</v>
      </c>
      <c r="AA32" s="210" t="s">
        <v>382</v>
      </c>
      <c r="AB32" s="47" t="s">
        <v>77</v>
      </c>
      <c r="AC32" s="239">
        <v>6</v>
      </c>
      <c r="AD32" s="240">
        <v>3</v>
      </c>
      <c r="AE32" s="239">
        <v>1</v>
      </c>
      <c r="AF32" s="239"/>
      <c r="AG32" s="164">
        <v>3</v>
      </c>
    </row>
    <row r="33" spans="19:33">
      <c r="S33" s="190"/>
      <c r="T33" s="102" t="s">
        <v>78</v>
      </c>
      <c r="U33" s="199">
        <f>Theory!AG$14</f>
        <v>0</v>
      </c>
      <c r="V33" s="199">
        <f>Theory!AG$12</f>
        <v>0</v>
      </c>
      <c r="W33" s="202"/>
      <c r="X33" s="202"/>
      <c r="Y33" s="224"/>
      <c r="AA33" s="212">
        <v>8</v>
      </c>
      <c r="AB33" s="47" t="s">
        <v>78</v>
      </c>
      <c r="AC33" s="239">
        <v>6</v>
      </c>
      <c r="AD33" s="240">
        <v>3</v>
      </c>
      <c r="AE33" s="239">
        <v>1</v>
      </c>
      <c r="AF33" s="239"/>
      <c r="AG33" s="220">
        <v>3</v>
      </c>
    </row>
    <row r="34" spans="19:33">
      <c r="S34" s="190"/>
      <c r="T34" s="102" t="s">
        <v>79</v>
      </c>
      <c r="U34" s="199">
        <f>Theory!AH$14</f>
        <v>0</v>
      </c>
      <c r="V34" s="199">
        <f>Theory!AH$12</f>
        <v>0</v>
      </c>
      <c r="W34" s="202"/>
      <c r="X34" s="202"/>
      <c r="Y34" s="224"/>
      <c r="AA34" s="213"/>
      <c r="AB34" s="47" t="s">
        <v>79</v>
      </c>
      <c r="AC34" s="239">
        <v>8</v>
      </c>
      <c r="AD34" s="240">
        <v>3</v>
      </c>
      <c r="AE34" s="239">
        <v>1</v>
      </c>
      <c r="AF34" s="239"/>
      <c r="AG34" s="220">
        <v>3</v>
      </c>
    </row>
    <row r="35" spans="19:33">
      <c r="S35" s="190"/>
      <c r="T35" s="102" t="s">
        <v>80</v>
      </c>
      <c r="U35" s="199">
        <f>Theory!AI$14</f>
        <v>0</v>
      </c>
      <c r="V35" s="199">
        <f>Theory!AI$12</f>
        <v>0</v>
      </c>
      <c r="W35" s="202"/>
      <c r="X35" s="202"/>
      <c r="Y35" s="224"/>
      <c r="AA35" s="214"/>
      <c r="AB35" s="47" t="s">
        <v>80</v>
      </c>
      <c r="AC35" s="239"/>
      <c r="AD35" s="240"/>
      <c r="AE35" s="239"/>
      <c r="AF35" s="239"/>
      <c r="AG35" s="220"/>
    </row>
    <row r="36" ht="20.4" spans="19:29">
      <c r="S36" s="192" t="s">
        <v>406</v>
      </c>
      <c r="T36" s="105" t="s">
        <v>49</v>
      </c>
      <c r="U36" s="199">
        <f>Theory!AJ$14</f>
        <v>10</v>
      </c>
      <c r="V36" s="199" t="str">
        <f>Theory!AJ$12</f>
        <v>0,4</v>
      </c>
      <c r="W36" s="105"/>
      <c r="X36" s="105"/>
      <c r="Y36" s="224">
        <v>2</v>
      </c>
      <c r="AB36" s="228" t="s">
        <v>336</v>
      </c>
      <c r="AC36" s="243">
        <f>SUM(AC4:AC35)</f>
        <v>160</v>
      </c>
    </row>
    <row r="37" spans="19:25">
      <c r="S37" s="193"/>
      <c r="T37" s="105" t="s">
        <v>50</v>
      </c>
      <c r="U37" s="199">
        <f>Theory!AK$14</f>
        <v>0</v>
      </c>
      <c r="V37" s="199">
        <f>Theory!AK$12</f>
        <v>0</v>
      </c>
      <c r="W37" s="105"/>
      <c r="X37" s="105"/>
      <c r="Y37" s="224"/>
    </row>
    <row r="38" spans="19:25">
      <c r="S38" s="193"/>
      <c r="T38" s="105" t="s">
        <v>51</v>
      </c>
      <c r="U38" s="199">
        <f>Theory!AL$14</f>
        <v>0</v>
      </c>
      <c r="V38" s="199">
        <f>Theory!AL$12</f>
        <v>0</v>
      </c>
      <c r="W38" s="105"/>
      <c r="X38" s="105"/>
      <c r="Y38" s="224"/>
    </row>
    <row r="39" spans="19:25">
      <c r="S39" s="193"/>
      <c r="T39" s="105" t="s">
        <v>52</v>
      </c>
      <c r="U39" s="199">
        <f>Theory!AM$14</f>
        <v>0</v>
      </c>
      <c r="V39" s="199">
        <f>Theory!AM$12</f>
        <v>0</v>
      </c>
      <c r="W39" s="105"/>
      <c r="X39" s="105"/>
      <c r="Y39" s="224"/>
    </row>
    <row r="40" ht="17" spans="19:25">
      <c r="S40" s="193"/>
      <c r="T40" s="105" t="s">
        <v>53</v>
      </c>
      <c r="U40" s="199">
        <f>Theory!AN$14</f>
        <v>10</v>
      </c>
      <c r="V40" s="199" t="str">
        <f>Theory!AN$12</f>
        <v>0,3</v>
      </c>
      <c r="W40" s="105"/>
      <c r="X40" s="105"/>
      <c r="Y40" s="224">
        <v>2</v>
      </c>
    </row>
    <row r="41" spans="19:33">
      <c r="S41" s="193"/>
      <c r="T41" s="105" t="s">
        <v>54</v>
      </c>
      <c r="U41" s="199">
        <f>Theory!AO$14</f>
        <v>0</v>
      </c>
      <c r="V41" s="199">
        <f>Theory!AO$12</f>
        <v>0</v>
      </c>
      <c r="W41" s="105"/>
      <c r="X41" s="105"/>
      <c r="Y41" s="224"/>
      <c r="AG41"/>
    </row>
    <row r="42" spans="19:33">
      <c r="S42" s="193"/>
      <c r="T42" s="105" t="s">
        <v>55</v>
      </c>
      <c r="U42" s="199">
        <f>Theory!AP$14</f>
        <v>0</v>
      </c>
      <c r="V42" s="199">
        <f>Theory!AP$12</f>
        <v>0</v>
      </c>
      <c r="W42" s="105"/>
      <c r="X42" s="105"/>
      <c r="Y42" s="224"/>
      <c r="AG42"/>
    </row>
    <row r="43" spans="19:33">
      <c r="S43" s="193"/>
      <c r="T43" s="105" t="s">
        <v>56</v>
      </c>
      <c r="U43" s="199">
        <f>Theory!AQ$14</f>
        <v>0</v>
      </c>
      <c r="V43" s="199">
        <f>Theory!AQ$12</f>
        <v>0</v>
      </c>
      <c r="W43" s="105"/>
      <c r="X43" s="105"/>
      <c r="Y43" s="224"/>
      <c r="AG43"/>
    </row>
    <row r="44" ht="32.25" customHeight="1" spans="19:33">
      <c r="S44" s="193"/>
      <c r="T44" s="105" t="s">
        <v>57</v>
      </c>
      <c r="U44" s="199">
        <f>Theory!AR$14</f>
        <v>10</v>
      </c>
      <c r="V44" s="199" t="str">
        <f>Theory!AR$12</f>
        <v>0,4</v>
      </c>
      <c r="W44" s="105">
        <v>1</v>
      </c>
      <c r="X44" s="105"/>
      <c r="Y44" s="224">
        <v>3</v>
      </c>
      <c r="AG44"/>
    </row>
    <row r="45" spans="19:33">
      <c r="S45" s="193"/>
      <c r="T45" s="105" t="s">
        <v>58</v>
      </c>
      <c r="U45" s="199">
        <f>Theory!AS$14</f>
        <v>0</v>
      </c>
      <c r="V45" s="199">
        <f>Theory!AS$12</f>
        <v>0</v>
      </c>
      <c r="W45" s="105"/>
      <c r="X45" s="105"/>
      <c r="Y45" s="224"/>
      <c r="AG45"/>
    </row>
    <row r="46" spans="19:33">
      <c r="S46" s="193"/>
      <c r="T46" s="105" t="s">
        <v>59</v>
      </c>
      <c r="U46" s="199">
        <f>Theory!AT$14</f>
        <v>0</v>
      </c>
      <c r="V46" s="199">
        <f>Theory!AT$12</f>
        <v>0</v>
      </c>
      <c r="W46" s="105"/>
      <c r="X46" s="105"/>
      <c r="Y46" s="224"/>
      <c r="AG46"/>
    </row>
    <row r="47" spans="19:33">
      <c r="S47" s="193"/>
      <c r="T47" s="105" t="s">
        <v>60</v>
      </c>
      <c r="U47" s="199">
        <f>Theory!AU$14</f>
        <v>0</v>
      </c>
      <c r="V47" s="199">
        <f>Theory!AU$12</f>
        <v>0</v>
      </c>
      <c r="W47" s="105"/>
      <c r="X47" s="105"/>
      <c r="Y47" s="224"/>
      <c r="AG47"/>
    </row>
    <row r="48" ht="17" spans="19:33">
      <c r="S48" s="193"/>
      <c r="T48" s="105" t="s">
        <v>61</v>
      </c>
      <c r="U48" s="199">
        <f>Theory!AV$14</f>
        <v>10</v>
      </c>
      <c r="V48" s="199" t="str">
        <f>Theory!AV$12</f>
        <v>0,4</v>
      </c>
      <c r="W48" s="105">
        <v>1</v>
      </c>
      <c r="X48" s="105"/>
      <c r="Y48" s="224">
        <v>3</v>
      </c>
      <c r="AG48"/>
    </row>
    <row r="49" spans="19:25">
      <c r="S49" s="193"/>
      <c r="T49" s="105" t="s">
        <v>62</v>
      </c>
      <c r="U49" s="199">
        <f>Theory!AW$14</f>
        <v>0</v>
      </c>
      <c r="V49" s="199">
        <f>Theory!AW$12</f>
        <v>0</v>
      </c>
      <c r="W49" s="105"/>
      <c r="X49" s="105"/>
      <c r="Y49" s="224"/>
    </row>
    <row r="50" spans="19:25">
      <c r="S50" s="193"/>
      <c r="T50" s="105" t="s">
        <v>63</v>
      </c>
      <c r="U50" s="199">
        <f>Theory!AX$14</f>
        <v>0</v>
      </c>
      <c r="V50" s="199">
        <f>Theory!AX$12</f>
        <v>0</v>
      </c>
      <c r="W50" s="105"/>
      <c r="X50" s="105"/>
      <c r="Y50" s="224"/>
    </row>
    <row r="51" spans="19:25">
      <c r="S51" s="193"/>
      <c r="T51" s="105" t="s">
        <v>64</v>
      </c>
      <c r="U51" s="199">
        <f>Theory!AY$14</f>
        <v>0</v>
      </c>
      <c r="V51" s="199">
        <f>Theory!AY$12</f>
        <v>0</v>
      </c>
      <c r="W51" s="105"/>
      <c r="X51" s="105"/>
      <c r="Y51" s="224"/>
    </row>
    <row r="52" ht="17" spans="19:25">
      <c r="S52" s="193"/>
      <c r="T52" s="105" t="s">
        <v>65</v>
      </c>
      <c r="U52" s="199">
        <f>Theory!AZ$14</f>
        <v>10</v>
      </c>
      <c r="V52" s="199" t="str">
        <f>Theory!AZ$12</f>
        <v>0,4</v>
      </c>
      <c r="W52" s="105">
        <v>1</v>
      </c>
      <c r="X52" s="105"/>
      <c r="Y52" s="224">
        <v>3</v>
      </c>
    </row>
    <row r="53" spans="19:25">
      <c r="S53" s="193"/>
      <c r="T53" s="105" t="s">
        <v>66</v>
      </c>
      <c r="U53" s="199">
        <f>Theory!BA$14</f>
        <v>0</v>
      </c>
      <c r="V53" s="199">
        <f>Theory!BA$12</f>
        <v>0</v>
      </c>
      <c r="W53" s="105"/>
      <c r="X53" s="105"/>
      <c r="Y53" s="224"/>
    </row>
    <row r="54" spans="19:25">
      <c r="S54" s="193"/>
      <c r="T54" s="105" t="s">
        <v>67</v>
      </c>
      <c r="U54" s="199">
        <f>Theory!BB$14</f>
        <v>0</v>
      </c>
      <c r="V54" s="199">
        <f>Theory!BB$12</f>
        <v>0</v>
      </c>
      <c r="W54" s="105"/>
      <c r="X54" s="105"/>
      <c r="Y54" s="224"/>
    </row>
    <row r="55" spans="19:25">
      <c r="S55" s="193"/>
      <c r="T55" s="105" t="s">
        <v>68</v>
      </c>
      <c r="U55" s="199">
        <f>Theory!BC$14</f>
        <v>0</v>
      </c>
      <c r="V55" s="199">
        <f>Theory!BC$12</f>
        <v>0</v>
      </c>
      <c r="W55" s="105"/>
      <c r="X55" s="105"/>
      <c r="Y55" s="224"/>
    </row>
    <row r="56" ht="17" spans="19:25">
      <c r="S56" s="193"/>
      <c r="T56" s="105" t="s">
        <v>69</v>
      </c>
      <c r="U56" s="199">
        <f>Theory!BD$14</f>
        <v>10</v>
      </c>
      <c r="V56" s="199" t="str">
        <f>Theory!BD$12</f>
        <v>0,4</v>
      </c>
      <c r="W56" s="105">
        <v>1</v>
      </c>
      <c r="X56" s="105"/>
      <c r="Y56" s="224">
        <v>3</v>
      </c>
    </row>
    <row r="57" spans="19:25">
      <c r="S57" s="193"/>
      <c r="T57" s="105" t="s">
        <v>70</v>
      </c>
      <c r="U57" s="199">
        <f>Theory!BE$14</f>
        <v>0</v>
      </c>
      <c r="V57" s="199">
        <f>Theory!BE$12</f>
        <v>0</v>
      </c>
      <c r="W57" s="105"/>
      <c r="X57" s="105"/>
      <c r="Y57" s="224"/>
    </row>
    <row r="58" spans="19:25">
      <c r="S58" s="193"/>
      <c r="T58" s="105" t="s">
        <v>71</v>
      </c>
      <c r="U58" s="199">
        <f>Theory!BF$14</f>
        <v>0</v>
      </c>
      <c r="V58" s="199">
        <f>Theory!BF$12</f>
        <v>0</v>
      </c>
      <c r="W58" s="105"/>
      <c r="X58" s="105"/>
      <c r="Y58" s="224"/>
    </row>
    <row r="59" spans="19:25">
      <c r="S59" s="193"/>
      <c r="T59" s="105" t="s">
        <v>72</v>
      </c>
      <c r="U59" s="199">
        <f>Theory!BG$14</f>
        <v>0</v>
      </c>
      <c r="V59" s="199">
        <f>Theory!BG$12</f>
        <v>0</v>
      </c>
      <c r="W59" s="105"/>
      <c r="X59" s="105"/>
      <c r="Y59" s="224"/>
    </row>
    <row r="60" ht="17" spans="19:25">
      <c r="S60" s="193"/>
      <c r="T60" s="105" t="s">
        <v>73</v>
      </c>
      <c r="U60" s="199">
        <f>Theory!BH$14</f>
        <v>10</v>
      </c>
      <c r="V60" s="199" t="str">
        <f>Theory!BH$12</f>
        <v>0,3</v>
      </c>
      <c r="W60" s="105">
        <v>2</v>
      </c>
      <c r="X60" s="105"/>
      <c r="Y60" s="224">
        <v>4</v>
      </c>
    </row>
    <row r="61" spans="19:25">
      <c r="S61" s="193"/>
      <c r="T61" s="105" t="s">
        <v>74</v>
      </c>
      <c r="U61" s="199">
        <f>Theory!BI$14</f>
        <v>0</v>
      </c>
      <c r="V61" s="199">
        <f>Theory!BI$12</f>
        <v>0</v>
      </c>
      <c r="W61" s="105"/>
      <c r="X61" s="105"/>
      <c r="Y61" s="224"/>
    </row>
    <row r="62" spans="19:25">
      <c r="S62" s="193"/>
      <c r="T62" s="105" t="s">
        <v>75</v>
      </c>
      <c r="U62" s="199">
        <f>Theory!BJ$14</f>
        <v>0</v>
      </c>
      <c r="V62" s="199">
        <f>Theory!BJ$12</f>
        <v>0</v>
      </c>
      <c r="W62" s="105"/>
      <c r="X62" s="105"/>
      <c r="Y62" s="224"/>
    </row>
    <row r="63" spans="19:25">
      <c r="S63" s="193"/>
      <c r="T63" s="105" t="s">
        <v>76</v>
      </c>
      <c r="U63" s="199">
        <f>Theory!BK$14</f>
        <v>0</v>
      </c>
      <c r="V63" s="199">
        <f>Theory!BK$12</f>
        <v>0</v>
      </c>
      <c r="W63" s="105"/>
      <c r="X63" s="105"/>
      <c r="Y63" s="224"/>
    </row>
    <row r="64" ht="17" spans="19:25">
      <c r="S64" s="193"/>
      <c r="T64" s="105" t="s">
        <v>77</v>
      </c>
      <c r="U64" s="199">
        <f>Theory!BL$14</f>
        <v>10</v>
      </c>
      <c r="V64" s="199" t="str">
        <f>Theory!BL$12</f>
        <v>0,3</v>
      </c>
      <c r="W64" s="105">
        <v>2</v>
      </c>
      <c r="X64" s="105"/>
      <c r="Y64" s="224">
        <v>4</v>
      </c>
    </row>
    <row r="65" spans="19:25">
      <c r="S65" s="193"/>
      <c r="T65" s="105" t="s">
        <v>78</v>
      </c>
      <c r="U65" s="199">
        <f>Theory!BM$14</f>
        <v>0</v>
      </c>
      <c r="V65" s="199">
        <f>Theory!BM$12</f>
        <v>0</v>
      </c>
      <c r="W65" s="105"/>
      <c r="X65" s="105"/>
      <c r="Y65" s="224"/>
    </row>
    <row r="66" spans="19:25">
      <c r="S66" s="193"/>
      <c r="T66" s="105" t="s">
        <v>79</v>
      </c>
      <c r="U66" s="199">
        <f>Theory!BN$14</f>
        <v>0</v>
      </c>
      <c r="V66" s="199">
        <f>Theory!BN$12</f>
        <v>0</v>
      </c>
      <c r="W66" s="105"/>
      <c r="X66" s="105"/>
      <c r="Y66" s="224"/>
    </row>
    <row r="67" spans="19:25">
      <c r="S67" s="193"/>
      <c r="T67" s="105" t="s">
        <v>80</v>
      </c>
      <c r="U67" s="199">
        <f>Theory!BO$14</f>
        <v>0</v>
      </c>
      <c r="V67" s="199">
        <f>Theory!BO$12</f>
        <v>0</v>
      </c>
      <c r="W67" s="105"/>
      <c r="X67" s="105"/>
      <c r="Y67" s="224"/>
    </row>
    <row r="68" ht="17" spans="19:25">
      <c r="S68" s="245" t="s">
        <v>407</v>
      </c>
      <c r="T68" s="133" t="s">
        <v>49</v>
      </c>
      <c r="U68" s="199">
        <f>Theory!BP$14</f>
        <v>10</v>
      </c>
      <c r="V68" s="199" t="str">
        <f>Theory!BP$12</f>
        <v>0,3</v>
      </c>
      <c r="W68" s="133"/>
      <c r="X68" s="133"/>
      <c r="Y68" s="224">
        <v>2</v>
      </c>
    </row>
    <row r="69" spans="19:25">
      <c r="S69" s="245"/>
      <c r="T69" s="133" t="s">
        <v>50</v>
      </c>
      <c r="U69" s="199">
        <f>Theory!BQ$14</f>
        <v>0</v>
      </c>
      <c r="V69" s="199">
        <f>Theory!BQ$12</f>
        <v>0</v>
      </c>
      <c r="W69" s="133"/>
      <c r="X69" s="133"/>
      <c r="Y69" s="224"/>
    </row>
    <row r="70" spans="19:25">
      <c r="S70" s="245"/>
      <c r="T70" s="133" t="s">
        <v>51</v>
      </c>
      <c r="U70" s="199">
        <f>Theory!BR$14</f>
        <v>0</v>
      </c>
      <c r="V70" s="199">
        <f>Theory!BR$12</f>
        <v>0</v>
      </c>
      <c r="W70" s="133"/>
      <c r="X70" s="133"/>
      <c r="Y70" s="224"/>
    </row>
    <row r="71" spans="19:25">
      <c r="S71" s="245"/>
      <c r="T71" s="133" t="s">
        <v>52</v>
      </c>
      <c r="U71" s="199">
        <f>Theory!BS$14</f>
        <v>0</v>
      </c>
      <c r="V71" s="199">
        <f>Theory!BS$12</f>
        <v>0</v>
      </c>
      <c r="W71" s="133"/>
      <c r="X71" s="133"/>
      <c r="Y71" s="224"/>
    </row>
    <row r="72" ht="17" spans="19:25">
      <c r="S72" s="245"/>
      <c r="T72" s="133" t="s">
        <v>53</v>
      </c>
      <c r="U72" s="199">
        <f>Theory!BT$14</f>
        <v>10</v>
      </c>
      <c r="V72" s="199" t="str">
        <f>Theory!BT$12</f>
        <v>0,5</v>
      </c>
      <c r="W72" s="133"/>
      <c r="X72" s="133"/>
      <c r="Y72" s="224">
        <v>2</v>
      </c>
    </row>
    <row r="73" spans="19:25">
      <c r="S73" s="245"/>
      <c r="T73" s="133" t="s">
        <v>54</v>
      </c>
      <c r="U73" s="199">
        <f>Theory!BU$14</f>
        <v>0</v>
      </c>
      <c r="V73" s="199">
        <f>Theory!BU$12</f>
        <v>0</v>
      </c>
      <c r="W73" s="133"/>
      <c r="X73" s="133"/>
      <c r="Y73" s="224"/>
    </row>
    <row r="74" spans="19:25">
      <c r="S74" s="245"/>
      <c r="T74" s="133" t="s">
        <v>55</v>
      </c>
      <c r="U74" s="199">
        <f>Theory!BV$14</f>
        <v>0</v>
      </c>
      <c r="V74" s="199">
        <f>Theory!BV$12</f>
        <v>0</v>
      </c>
      <c r="W74" s="133"/>
      <c r="X74" s="133"/>
      <c r="Y74" s="224"/>
    </row>
    <row r="75" spans="19:25">
      <c r="S75" s="245"/>
      <c r="T75" s="133" t="s">
        <v>56</v>
      </c>
      <c r="U75" s="199">
        <f>Theory!BW$14</f>
        <v>0</v>
      </c>
      <c r="V75" s="199">
        <f>Theory!BW$12</f>
        <v>0</v>
      </c>
      <c r="W75" s="133"/>
      <c r="X75" s="133"/>
      <c r="Y75" s="224"/>
    </row>
    <row r="76" ht="17" spans="19:25">
      <c r="S76" s="245"/>
      <c r="T76" s="133" t="s">
        <v>57</v>
      </c>
      <c r="U76" s="199">
        <f>Theory!BX$14</f>
        <v>10</v>
      </c>
      <c r="V76" s="199" t="str">
        <f>Theory!BX$12</f>
        <v>0,3</v>
      </c>
      <c r="W76" s="133">
        <v>1</v>
      </c>
      <c r="X76" s="133"/>
      <c r="Y76" s="224">
        <v>3</v>
      </c>
    </row>
    <row r="77" spans="19:25">
      <c r="S77" s="245"/>
      <c r="T77" s="133" t="s">
        <v>58</v>
      </c>
      <c r="U77" s="199">
        <f>Theory!BY$14</f>
        <v>0</v>
      </c>
      <c r="V77" s="199">
        <f>Theory!BY$12</f>
        <v>0</v>
      </c>
      <c r="W77" s="133"/>
      <c r="X77" s="133"/>
      <c r="Y77" s="224"/>
    </row>
    <row r="78" spans="19:25">
      <c r="S78" s="245"/>
      <c r="T78" s="133" t="s">
        <v>59</v>
      </c>
      <c r="U78" s="199">
        <f>Theory!BZ$14</f>
        <v>0</v>
      </c>
      <c r="V78" s="199">
        <f>Theory!BZ$12</f>
        <v>0</v>
      </c>
      <c r="W78" s="133"/>
      <c r="X78" s="133"/>
      <c r="Y78" s="224"/>
    </row>
    <row r="79" spans="19:25">
      <c r="S79" s="245"/>
      <c r="T79" s="133" t="s">
        <v>60</v>
      </c>
      <c r="U79" s="199">
        <f>Theory!CA$14</f>
        <v>0</v>
      </c>
      <c r="V79" s="199">
        <f>Theory!CA$12</f>
        <v>0</v>
      </c>
      <c r="W79" s="133"/>
      <c r="X79" s="133"/>
      <c r="Y79" s="224"/>
    </row>
    <row r="80" ht="17" spans="19:25">
      <c r="S80" s="245"/>
      <c r="T80" s="133" t="s">
        <v>61</v>
      </c>
      <c r="U80" s="199">
        <f>Theory!CB$14</f>
        <v>10</v>
      </c>
      <c r="V80" s="199" t="str">
        <f>Theory!CB$12</f>
        <v>0,3</v>
      </c>
      <c r="W80" s="133">
        <v>1</v>
      </c>
      <c r="X80" s="133"/>
      <c r="Y80" s="224">
        <v>3</v>
      </c>
    </row>
    <row r="81" spans="19:25">
      <c r="S81" s="245"/>
      <c r="T81" s="133" t="s">
        <v>62</v>
      </c>
      <c r="U81" s="199">
        <f>Theory!CC$14</f>
        <v>0</v>
      </c>
      <c r="V81" s="199">
        <f>Theory!CC$12</f>
        <v>0</v>
      </c>
      <c r="W81" s="133"/>
      <c r="X81" s="133"/>
      <c r="Y81" s="224"/>
    </row>
    <row r="82" spans="19:25">
      <c r="S82" s="245"/>
      <c r="T82" s="133" t="s">
        <v>63</v>
      </c>
      <c r="U82" s="199">
        <f>Theory!CD$14</f>
        <v>0</v>
      </c>
      <c r="V82" s="199">
        <f>Theory!CD$12</f>
        <v>0</v>
      </c>
      <c r="W82" s="133"/>
      <c r="X82" s="133"/>
      <c r="Y82" s="224"/>
    </row>
    <row r="83" spans="19:25">
      <c r="S83" s="245"/>
      <c r="T83" s="133" t="s">
        <v>64</v>
      </c>
      <c r="U83" s="199">
        <f>Theory!CE$14</f>
        <v>0</v>
      </c>
      <c r="V83" s="199">
        <f>Theory!CE$12</f>
        <v>0</v>
      </c>
      <c r="W83" s="133"/>
      <c r="X83" s="133"/>
      <c r="Y83" s="224"/>
    </row>
    <row r="84" ht="17" spans="19:25">
      <c r="S84" s="245"/>
      <c r="T84" s="133" t="s">
        <v>65</v>
      </c>
      <c r="U84" s="199">
        <f>Theory!CF$14</f>
        <v>10</v>
      </c>
      <c r="V84" s="199" t="str">
        <f>Theory!CF$12</f>
        <v>0,5</v>
      </c>
      <c r="W84" s="133">
        <v>1</v>
      </c>
      <c r="X84" s="133"/>
      <c r="Y84" s="224">
        <v>3</v>
      </c>
    </row>
    <row r="85" spans="19:25">
      <c r="S85" s="245"/>
      <c r="T85" s="133" t="s">
        <v>66</v>
      </c>
      <c r="U85" s="199">
        <f>Theory!CG$14</f>
        <v>0</v>
      </c>
      <c r="V85" s="199">
        <f>Theory!CG$12</f>
        <v>0</v>
      </c>
      <c r="W85" s="133"/>
      <c r="X85" s="133"/>
      <c r="Y85" s="224"/>
    </row>
    <row r="86" spans="19:25">
      <c r="S86" s="245"/>
      <c r="T86" s="133" t="s">
        <v>67</v>
      </c>
      <c r="U86" s="199">
        <f>Theory!CH$14</f>
        <v>0</v>
      </c>
      <c r="V86" s="199">
        <f>Theory!CH$12</f>
        <v>0</v>
      </c>
      <c r="W86" s="133"/>
      <c r="X86" s="133"/>
      <c r="Y86" s="224"/>
    </row>
    <row r="87" spans="19:25">
      <c r="S87" s="245"/>
      <c r="T87" s="133" t="s">
        <v>68</v>
      </c>
      <c r="U87" s="199">
        <f>Theory!CI$14</f>
        <v>0</v>
      </c>
      <c r="V87" s="199">
        <f>Theory!CI$12</f>
        <v>0</v>
      </c>
      <c r="W87" s="133"/>
      <c r="X87" s="133"/>
      <c r="Y87" s="224"/>
    </row>
    <row r="88" ht="17" spans="19:25">
      <c r="S88" s="245"/>
      <c r="T88" s="133" t="s">
        <v>69</v>
      </c>
      <c r="U88" s="199">
        <f>Theory!CJ$14</f>
        <v>10</v>
      </c>
      <c r="V88" s="199" t="str">
        <f>Theory!CJ$12</f>
        <v>0,5</v>
      </c>
      <c r="W88" s="133">
        <v>1</v>
      </c>
      <c r="X88" s="133"/>
      <c r="Y88" s="224">
        <v>3</v>
      </c>
    </row>
    <row r="89" spans="19:25">
      <c r="S89" s="245"/>
      <c r="T89" s="133" t="s">
        <v>70</v>
      </c>
      <c r="U89" s="199">
        <f>Theory!CK$14</f>
        <v>0</v>
      </c>
      <c r="V89" s="199">
        <f>Theory!CK$12</f>
        <v>0</v>
      </c>
      <c r="W89" s="133"/>
      <c r="X89" s="133"/>
      <c r="Y89" s="224"/>
    </row>
    <row r="90" spans="19:25">
      <c r="S90" s="245"/>
      <c r="T90" s="133" t="s">
        <v>71</v>
      </c>
      <c r="U90" s="199">
        <f>Theory!CL$14</f>
        <v>0</v>
      </c>
      <c r="V90" s="199">
        <f>Theory!CL$12</f>
        <v>0</v>
      </c>
      <c r="W90" s="133"/>
      <c r="X90" s="133"/>
      <c r="Y90" s="224"/>
    </row>
    <row r="91" spans="19:25">
      <c r="S91" s="245"/>
      <c r="T91" s="133" t="s">
        <v>72</v>
      </c>
      <c r="U91" s="199">
        <f>Theory!CM$14</f>
        <v>0</v>
      </c>
      <c r="V91" s="199">
        <f>Theory!CM$12</f>
        <v>0</v>
      </c>
      <c r="W91" s="133"/>
      <c r="X91" s="133"/>
      <c r="Y91" s="224"/>
    </row>
    <row r="92" ht="17" spans="19:25">
      <c r="S92" s="245"/>
      <c r="T92" s="133" t="s">
        <v>73</v>
      </c>
      <c r="U92" s="199">
        <f>Theory!CN$14</f>
        <v>10</v>
      </c>
      <c r="V92" s="199" t="str">
        <f>Theory!CN$12</f>
        <v>0,5</v>
      </c>
      <c r="W92" s="133">
        <v>2</v>
      </c>
      <c r="X92" s="133"/>
      <c r="Y92" s="224">
        <v>4</v>
      </c>
    </row>
    <row r="93" spans="19:25">
      <c r="S93" s="245"/>
      <c r="T93" s="133" t="s">
        <v>74</v>
      </c>
      <c r="U93" s="199">
        <f>Theory!CO$14</f>
        <v>0</v>
      </c>
      <c r="V93" s="199">
        <f>Theory!CO$12</f>
        <v>0</v>
      </c>
      <c r="W93" s="133"/>
      <c r="X93" s="133"/>
      <c r="Y93" s="224"/>
    </row>
    <row r="94" spans="19:25">
      <c r="S94" s="245"/>
      <c r="T94" s="133" t="s">
        <v>75</v>
      </c>
      <c r="U94" s="199">
        <f>Theory!CP$14</f>
        <v>0</v>
      </c>
      <c r="V94" s="199">
        <f>Theory!CP$12</f>
        <v>0</v>
      </c>
      <c r="W94" s="133"/>
      <c r="X94" s="133"/>
      <c r="Y94" s="224"/>
    </row>
    <row r="95" spans="19:25">
      <c r="S95" s="245"/>
      <c r="T95" s="133" t="s">
        <v>76</v>
      </c>
      <c r="U95" s="199">
        <f>Theory!CQ$14</f>
        <v>0</v>
      </c>
      <c r="V95" s="199">
        <f>Theory!CQ$12</f>
        <v>0</v>
      </c>
      <c r="W95" s="133"/>
      <c r="X95" s="133"/>
      <c r="Y95" s="224"/>
    </row>
    <row r="96" ht="17" spans="19:25">
      <c r="S96" s="245"/>
      <c r="T96" s="133" t="s">
        <v>77</v>
      </c>
      <c r="U96" s="199">
        <f>Theory!CR$14</f>
        <v>10</v>
      </c>
      <c r="V96" s="199" t="str">
        <f>Theory!CR$12</f>
        <v>0,5</v>
      </c>
      <c r="W96" s="133">
        <v>2</v>
      </c>
      <c r="X96" s="133"/>
      <c r="Y96" s="224">
        <v>4</v>
      </c>
    </row>
    <row r="97" spans="19:25">
      <c r="S97" s="245"/>
      <c r="T97" s="133" t="s">
        <v>78</v>
      </c>
      <c r="U97" s="199">
        <f>Theory!CS$14</f>
        <v>0</v>
      </c>
      <c r="V97" s="199">
        <f>Theory!CS$12</f>
        <v>0</v>
      </c>
      <c r="W97" s="133"/>
      <c r="X97" s="133"/>
      <c r="Y97" s="224"/>
    </row>
    <row r="98" spans="19:25">
      <c r="S98" s="245"/>
      <c r="T98" s="133" t="s">
        <v>79</v>
      </c>
      <c r="U98" s="199">
        <f>Theory!CT$14</f>
        <v>0</v>
      </c>
      <c r="V98" s="199">
        <f>Theory!CT$12</f>
        <v>0</v>
      </c>
      <c r="W98" s="133"/>
      <c r="X98" s="133"/>
      <c r="Y98" s="224"/>
    </row>
    <row r="99" spans="19:25">
      <c r="S99" s="245"/>
      <c r="T99" s="133" t="s">
        <v>80</v>
      </c>
      <c r="U99" s="199">
        <f>Theory!CU$14</f>
        <v>0</v>
      </c>
      <c r="V99" s="199">
        <f>Theory!CU$12</f>
        <v>0</v>
      </c>
      <c r="W99" s="133"/>
      <c r="X99" s="133"/>
      <c r="Y99" s="224"/>
    </row>
    <row r="100" ht="17" spans="19:25">
      <c r="S100" s="133" t="s">
        <v>25</v>
      </c>
      <c r="T100" s="135"/>
      <c r="U100" s="199">
        <f>Theory!CV$14</f>
        <v>10</v>
      </c>
      <c r="V100" s="199" t="str">
        <f>Theory!CV$12</f>
        <v>0,1,2,3,4,5,6</v>
      </c>
      <c r="W100" s="133" t="s">
        <v>408</v>
      </c>
      <c r="X100" s="133"/>
      <c r="Y100" s="224">
        <v>3</v>
      </c>
    </row>
    <row r="101" ht="17" spans="19:25">
      <c r="S101" s="133" t="s">
        <v>26</v>
      </c>
      <c r="T101" s="135"/>
      <c r="U101" s="199">
        <f>Theory!CW$14</f>
        <v>10</v>
      </c>
      <c r="V101" s="199" t="str">
        <f>Theory!CW$12</f>
        <v>0,1,2,3,4,5,6</v>
      </c>
      <c r="W101" s="133" t="s">
        <v>409</v>
      </c>
      <c r="X101" s="133"/>
      <c r="Y101" s="224">
        <v>4</v>
      </c>
    </row>
    <row r="102" ht="17" spans="19:25">
      <c r="S102" s="133" t="s">
        <v>410</v>
      </c>
      <c r="T102" s="135"/>
      <c r="U102" s="199">
        <f>Lab!J6</f>
        <v>50</v>
      </c>
      <c r="V102" s="199" t="str">
        <f>Lab!J5</f>
        <v>5,6</v>
      </c>
      <c r="W102" s="133" t="str">
        <f>Lab!J4</f>
        <v>0,5,9,10,11</v>
      </c>
      <c r="X102" s="133"/>
      <c r="Y102" s="164">
        <v>5</v>
      </c>
    </row>
    <row r="103" spans="19:25">
      <c r="S103" s="133" t="s">
        <v>411</v>
      </c>
      <c r="T103" s="135"/>
      <c r="U103" s="199"/>
      <c r="V103" s="246"/>
      <c r="W103" s="133"/>
      <c r="X103" s="133"/>
      <c r="Y103" s="3"/>
    </row>
  </sheetData>
  <mergeCells count="19">
    <mergeCell ref="AA3:AB3"/>
    <mergeCell ref="A17:F17"/>
    <mergeCell ref="J22:Q22"/>
    <mergeCell ref="J23:Q23"/>
    <mergeCell ref="I25:Q25"/>
    <mergeCell ref="A31:B31"/>
    <mergeCell ref="H18:H19"/>
    <mergeCell ref="H20:H21"/>
    <mergeCell ref="I18:I19"/>
    <mergeCell ref="I20:I21"/>
    <mergeCell ref="I26:I27"/>
    <mergeCell ref="I28:I29"/>
    <mergeCell ref="S4:S35"/>
    <mergeCell ref="S36:S67"/>
    <mergeCell ref="S68:S99"/>
    <mergeCell ref="J18:Q19"/>
    <mergeCell ref="J20:Q21"/>
    <mergeCell ref="J26:Q27"/>
    <mergeCell ref="J28:Q29"/>
  </mergeCells>
  <hyperlinks>
    <hyperlink ref="J22" r:id="rId3" display="https://classroom.google.com/u/1/c/NDMwMDM2OTkxMDI1"/>
  </hyperlinks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81"/>
  <sheetViews>
    <sheetView topLeftCell="A186" workbookViewId="0">
      <selection activeCell="N17" sqref="N17"/>
    </sheetView>
  </sheetViews>
  <sheetFormatPr defaultColWidth="9" defaultRowHeight="16.8"/>
  <cols>
    <col min="2" max="2" width="42.1796875" customWidth="1"/>
    <col min="3" max="3" width="7.2734375" customWidth="1"/>
    <col min="4" max="4" width="7.7265625" customWidth="1"/>
    <col min="5" max="6" width="7.1796875" customWidth="1"/>
    <col min="7" max="8" width="6.8203125" customWidth="1"/>
    <col min="9" max="10" width="7.2734375" customWidth="1"/>
    <col min="11" max="11" width="6.2734375" customWidth="1"/>
    <col min="12" max="12" width="8.1796875" customWidth="1"/>
    <col min="13" max="13" width="7.7265625" customWidth="1"/>
    <col min="14" max="14" width="6.2734375" customWidth="1"/>
    <col min="15" max="15" width="7.2734375" customWidth="1"/>
    <col min="16" max="16" width="15.2734375" customWidth="1"/>
    <col min="17" max="17" width="12.7265625" customWidth="1"/>
    <col min="18" max="18" width="9.2734375" customWidth="1"/>
    <col min="258" max="258" width="42.1796875" customWidth="1"/>
    <col min="259" max="259" width="7.2734375" customWidth="1"/>
    <col min="260" max="260" width="6.2734375" customWidth="1"/>
    <col min="261" max="261" width="6.1796875" customWidth="1"/>
    <col min="262" max="262" width="6.546875" customWidth="1"/>
    <col min="263" max="264" width="6.8203125" customWidth="1"/>
    <col min="265" max="266" width="7.2734375" customWidth="1"/>
    <col min="267" max="267" width="6.2734375" customWidth="1"/>
    <col min="268" max="268" width="8.1796875" customWidth="1"/>
    <col min="269" max="269" width="7.7265625" customWidth="1"/>
    <col min="270" max="270" width="6.2734375" customWidth="1"/>
    <col min="271" max="271" width="7.2734375" customWidth="1"/>
    <col min="272" max="272" width="15.2734375" customWidth="1"/>
    <col min="273" max="273" width="12.7265625" customWidth="1"/>
    <col min="274" max="274" width="9.2734375" customWidth="1"/>
    <col min="514" max="514" width="42.1796875" customWidth="1"/>
    <col min="515" max="515" width="7.2734375" customWidth="1"/>
    <col min="516" max="516" width="6.2734375" customWidth="1"/>
    <col min="517" max="517" width="6.1796875" customWidth="1"/>
    <col min="518" max="518" width="6.546875" customWidth="1"/>
    <col min="519" max="520" width="6.8203125" customWidth="1"/>
    <col min="521" max="522" width="7.2734375" customWidth="1"/>
    <col min="523" max="523" width="6.2734375" customWidth="1"/>
    <col min="524" max="524" width="8.1796875" customWidth="1"/>
    <col min="525" max="525" width="7.7265625" customWidth="1"/>
    <col min="526" max="526" width="6.2734375" customWidth="1"/>
    <col min="527" max="527" width="7.2734375" customWidth="1"/>
    <col min="528" max="528" width="15.2734375" customWidth="1"/>
    <col min="529" max="529" width="12.7265625" customWidth="1"/>
    <col min="530" max="530" width="9.2734375" customWidth="1"/>
    <col min="770" max="770" width="42.1796875" customWidth="1"/>
    <col min="771" max="771" width="7.2734375" customWidth="1"/>
    <col min="772" max="772" width="6.2734375" customWidth="1"/>
    <col min="773" max="773" width="6.1796875" customWidth="1"/>
    <col min="774" max="774" width="6.546875" customWidth="1"/>
    <col min="775" max="776" width="6.8203125" customWidth="1"/>
    <col min="777" max="778" width="7.2734375" customWidth="1"/>
    <col min="779" max="779" width="6.2734375" customWidth="1"/>
    <col min="780" max="780" width="8.1796875" customWidth="1"/>
    <col min="781" max="781" width="7.7265625" customWidth="1"/>
    <col min="782" max="782" width="6.2734375" customWidth="1"/>
    <col min="783" max="783" width="7.2734375" customWidth="1"/>
    <col min="784" max="784" width="15.2734375" customWidth="1"/>
    <col min="785" max="785" width="12.7265625" customWidth="1"/>
    <col min="786" max="786" width="9.2734375" customWidth="1"/>
    <col min="1026" max="1026" width="42.1796875" customWidth="1"/>
    <col min="1027" max="1027" width="7.2734375" customWidth="1"/>
    <col min="1028" max="1028" width="6.2734375" customWidth="1"/>
    <col min="1029" max="1029" width="6.1796875" customWidth="1"/>
    <col min="1030" max="1030" width="6.546875" customWidth="1"/>
    <col min="1031" max="1032" width="6.8203125" customWidth="1"/>
    <col min="1033" max="1034" width="7.2734375" customWidth="1"/>
    <col min="1035" max="1035" width="6.2734375" customWidth="1"/>
    <col min="1036" max="1036" width="8.1796875" customWidth="1"/>
    <col min="1037" max="1037" width="7.7265625" customWidth="1"/>
    <col min="1038" max="1038" width="6.2734375" customWidth="1"/>
    <col min="1039" max="1039" width="7.2734375" customWidth="1"/>
    <col min="1040" max="1040" width="15.2734375" customWidth="1"/>
    <col min="1041" max="1041" width="12.7265625" customWidth="1"/>
    <col min="1042" max="1042" width="9.2734375" customWidth="1"/>
    <col min="1282" max="1282" width="42.1796875" customWidth="1"/>
    <col min="1283" max="1283" width="7.2734375" customWidth="1"/>
    <col min="1284" max="1284" width="6.2734375" customWidth="1"/>
    <col min="1285" max="1285" width="6.1796875" customWidth="1"/>
    <col min="1286" max="1286" width="6.546875" customWidth="1"/>
    <col min="1287" max="1288" width="6.8203125" customWidth="1"/>
    <col min="1289" max="1290" width="7.2734375" customWidth="1"/>
    <col min="1291" max="1291" width="6.2734375" customWidth="1"/>
    <col min="1292" max="1292" width="8.1796875" customWidth="1"/>
    <col min="1293" max="1293" width="7.7265625" customWidth="1"/>
    <col min="1294" max="1294" width="6.2734375" customWidth="1"/>
    <col min="1295" max="1295" width="7.2734375" customWidth="1"/>
    <col min="1296" max="1296" width="15.2734375" customWidth="1"/>
    <col min="1297" max="1297" width="12.7265625" customWidth="1"/>
    <col min="1298" max="1298" width="9.2734375" customWidth="1"/>
    <col min="1538" max="1538" width="42.1796875" customWidth="1"/>
    <col min="1539" max="1539" width="7.2734375" customWidth="1"/>
    <col min="1540" max="1540" width="6.2734375" customWidth="1"/>
    <col min="1541" max="1541" width="6.1796875" customWidth="1"/>
    <col min="1542" max="1542" width="6.546875" customWidth="1"/>
    <col min="1543" max="1544" width="6.8203125" customWidth="1"/>
    <col min="1545" max="1546" width="7.2734375" customWidth="1"/>
    <col min="1547" max="1547" width="6.2734375" customWidth="1"/>
    <col min="1548" max="1548" width="8.1796875" customWidth="1"/>
    <col min="1549" max="1549" width="7.7265625" customWidth="1"/>
    <col min="1550" max="1550" width="6.2734375" customWidth="1"/>
    <col min="1551" max="1551" width="7.2734375" customWidth="1"/>
    <col min="1552" max="1552" width="15.2734375" customWidth="1"/>
    <col min="1553" max="1553" width="12.7265625" customWidth="1"/>
    <col min="1554" max="1554" width="9.2734375" customWidth="1"/>
    <col min="1794" max="1794" width="42.1796875" customWidth="1"/>
    <col min="1795" max="1795" width="7.2734375" customWidth="1"/>
    <col min="1796" max="1796" width="6.2734375" customWidth="1"/>
    <col min="1797" max="1797" width="6.1796875" customWidth="1"/>
    <col min="1798" max="1798" width="6.546875" customWidth="1"/>
    <col min="1799" max="1800" width="6.8203125" customWidth="1"/>
    <col min="1801" max="1802" width="7.2734375" customWidth="1"/>
    <col min="1803" max="1803" width="6.2734375" customWidth="1"/>
    <col min="1804" max="1804" width="8.1796875" customWidth="1"/>
    <col min="1805" max="1805" width="7.7265625" customWidth="1"/>
    <col min="1806" max="1806" width="6.2734375" customWidth="1"/>
    <col min="1807" max="1807" width="7.2734375" customWidth="1"/>
    <col min="1808" max="1808" width="15.2734375" customWidth="1"/>
    <col min="1809" max="1809" width="12.7265625" customWidth="1"/>
    <col min="1810" max="1810" width="9.2734375" customWidth="1"/>
    <col min="2050" max="2050" width="42.1796875" customWidth="1"/>
    <col min="2051" max="2051" width="7.2734375" customWidth="1"/>
    <col min="2052" max="2052" width="6.2734375" customWidth="1"/>
    <col min="2053" max="2053" width="6.1796875" customWidth="1"/>
    <col min="2054" max="2054" width="6.546875" customWidth="1"/>
    <col min="2055" max="2056" width="6.8203125" customWidth="1"/>
    <col min="2057" max="2058" width="7.2734375" customWidth="1"/>
    <col min="2059" max="2059" width="6.2734375" customWidth="1"/>
    <col min="2060" max="2060" width="8.1796875" customWidth="1"/>
    <col min="2061" max="2061" width="7.7265625" customWidth="1"/>
    <col min="2062" max="2062" width="6.2734375" customWidth="1"/>
    <col min="2063" max="2063" width="7.2734375" customWidth="1"/>
    <col min="2064" max="2064" width="15.2734375" customWidth="1"/>
    <col min="2065" max="2065" width="12.7265625" customWidth="1"/>
    <col min="2066" max="2066" width="9.2734375" customWidth="1"/>
    <col min="2306" max="2306" width="42.1796875" customWidth="1"/>
    <col min="2307" max="2307" width="7.2734375" customWidth="1"/>
    <col min="2308" max="2308" width="6.2734375" customWidth="1"/>
    <col min="2309" max="2309" width="6.1796875" customWidth="1"/>
    <col min="2310" max="2310" width="6.546875" customWidth="1"/>
    <col min="2311" max="2312" width="6.8203125" customWidth="1"/>
    <col min="2313" max="2314" width="7.2734375" customWidth="1"/>
    <col min="2315" max="2315" width="6.2734375" customWidth="1"/>
    <col min="2316" max="2316" width="8.1796875" customWidth="1"/>
    <col min="2317" max="2317" width="7.7265625" customWidth="1"/>
    <col min="2318" max="2318" width="6.2734375" customWidth="1"/>
    <col min="2319" max="2319" width="7.2734375" customWidth="1"/>
    <col min="2320" max="2320" width="15.2734375" customWidth="1"/>
    <col min="2321" max="2321" width="12.7265625" customWidth="1"/>
    <col min="2322" max="2322" width="9.2734375" customWidth="1"/>
    <col min="2562" max="2562" width="42.1796875" customWidth="1"/>
    <col min="2563" max="2563" width="7.2734375" customWidth="1"/>
    <col min="2564" max="2564" width="6.2734375" customWidth="1"/>
    <col min="2565" max="2565" width="6.1796875" customWidth="1"/>
    <col min="2566" max="2566" width="6.546875" customWidth="1"/>
    <col min="2567" max="2568" width="6.8203125" customWidth="1"/>
    <col min="2569" max="2570" width="7.2734375" customWidth="1"/>
    <col min="2571" max="2571" width="6.2734375" customWidth="1"/>
    <col min="2572" max="2572" width="8.1796875" customWidth="1"/>
    <col min="2573" max="2573" width="7.7265625" customWidth="1"/>
    <col min="2574" max="2574" width="6.2734375" customWidth="1"/>
    <col min="2575" max="2575" width="7.2734375" customWidth="1"/>
    <col min="2576" max="2576" width="15.2734375" customWidth="1"/>
    <col min="2577" max="2577" width="12.7265625" customWidth="1"/>
    <col min="2578" max="2578" width="9.2734375" customWidth="1"/>
    <col min="2818" max="2818" width="42.1796875" customWidth="1"/>
    <col min="2819" max="2819" width="7.2734375" customWidth="1"/>
    <col min="2820" max="2820" width="6.2734375" customWidth="1"/>
    <col min="2821" max="2821" width="6.1796875" customWidth="1"/>
    <col min="2822" max="2822" width="6.546875" customWidth="1"/>
    <col min="2823" max="2824" width="6.8203125" customWidth="1"/>
    <col min="2825" max="2826" width="7.2734375" customWidth="1"/>
    <col min="2827" max="2827" width="6.2734375" customWidth="1"/>
    <col min="2828" max="2828" width="8.1796875" customWidth="1"/>
    <col min="2829" max="2829" width="7.7265625" customWidth="1"/>
    <col min="2830" max="2830" width="6.2734375" customWidth="1"/>
    <col min="2831" max="2831" width="7.2734375" customWidth="1"/>
    <col min="2832" max="2832" width="15.2734375" customWidth="1"/>
    <col min="2833" max="2833" width="12.7265625" customWidth="1"/>
    <col min="2834" max="2834" width="9.2734375" customWidth="1"/>
    <col min="3074" max="3074" width="42.1796875" customWidth="1"/>
    <col min="3075" max="3075" width="7.2734375" customWidth="1"/>
    <col min="3076" max="3076" width="6.2734375" customWidth="1"/>
    <col min="3077" max="3077" width="6.1796875" customWidth="1"/>
    <col min="3078" max="3078" width="6.546875" customWidth="1"/>
    <col min="3079" max="3080" width="6.8203125" customWidth="1"/>
    <col min="3081" max="3082" width="7.2734375" customWidth="1"/>
    <col min="3083" max="3083" width="6.2734375" customWidth="1"/>
    <col min="3084" max="3084" width="8.1796875" customWidth="1"/>
    <col min="3085" max="3085" width="7.7265625" customWidth="1"/>
    <col min="3086" max="3086" width="6.2734375" customWidth="1"/>
    <col min="3087" max="3087" width="7.2734375" customWidth="1"/>
    <col min="3088" max="3088" width="15.2734375" customWidth="1"/>
    <col min="3089" max="3089" width="12.7265625" customWidth="1"/>
    <col min="3090" max="3090" width="9.2734375" customWidth="1"/>
    <col min="3330" max="3330" width="42.1796875" customWidth="1"/>
    <col min="3331" max="3331" width="7.2734375" customWidth="1"/>
    <col min="3332" max="3332" width="6.2734375" customWidth="1"/>
    <col min="3333" max="3333" width="6.1796875" customWidth="1"/>
    <col min="3334" max="3334" width="6.546875" customWidth="1"/>
    <col min="3335" max="3336" width="6.8203125" customWidth="1"/>
    <col min="3337" max="3338" width="7.2734375" customWidth="1"/>
    <col min="3339" max="3339" width="6.2734375" customWidth="1"/>
    <col min="3340" max="3340" width="8.1796875" customWidth="1"/>
    <col min="3341" max="3341" width="7.7265625" customWidth="1"/>
    <col min="3342" max="3342" width="6.2734375" customWidth="1"/>
    <col min="3343" max="3343" width="7.2734375" customWidth="1"/>
    <col min="3344" max="3344" width="15.2734375" customWidth="1"/>
    <col min="3345" max="3345" width="12.7265625" customWidth="1"/>
    <col min="3346" max="3346" width="9.2734375" customWidth="1"/>
    <col min="3586" max="3586" width="42.1796875" customWidth="1"/>
    <col min="3587" max="3587" width="7.2734375" customWidth="1"/>
    <col min="3588" max="3588" width="6.2734375" customWidth="1"/>
    <col min="3589" max="3589" width="6.1796875" customWidth="1"/>
    <col min="3590" max="3590" width="6.546875" customWidth="1"/>
    <col min="3591" max="3592" width="6.8203125" customWidth="1"/>
    <col min="3593" max="3594" width="7.2734375" customWidth="1"/>
    <col min="3595" max="3595" width="6.2734375" customWidth="1"/>
    <col min="3596" max="3596" width="8.1796875" customWidth="1"/>
    <col min="3597" max="3597" width="7.7265625" customWidth="1"/>
    <col min="3598" max="3598" width="6.2734375" customWidth="1"/>
    <col min="3599" max="3599" width="7.2734375" customWidth="1"/>
    <col min="3600" max="3600" width="15.2734375" customWidth="1"/>
    <col min="3601" max="3601" width="12.7265625" customWidth="1"/>
    <col min="3602" max="3602" width="9.2734375" customWidth="1"/>
    <col min="3842" max="3842" width="42.1796875" customWidth="1"/>
    <col min="3843" max="3843" width="7.2734375" customWidth="1"/>
    <col min="3844" max="3844" width="6.2734375" customWidth="1"/>
    <col min="3845" max="3845" width="6.1796875" customWidth="1"/>
    <col min="3846" max="3846" width="6.546875" customWidth="1"/>
    <col min="3847" max="3848" width="6.8203125" customWidth="1"/>
    <col min="3849" max="3850" width="7.2734375" customWidth="1"/>
    <col min="3851" max="3851" width="6.2734375" customWidth="1"/>
    <col min="3852" max="3852" width="8.1796875" customWidth="1"/>
    <col min="3853" max="3853" width="7.7265625" customWidth="1"/>
    <col min="3854" max="3854" width="6.2734375" customWidth="1"/>
    <col min="3855" max="3855" width="7.2734375" customWidth="1"/>
    <col min="3856" max="3856" width="15.2734375" customWidth="1"/>
    <col min="3857" max="3857" width="12.7265625" customWidth="1"/>
    <col min="3858" max="3858" width="9.2734375" customWidth="1"/>
    <col min="4098" max="4098" width="42.1796875" customWidth="1"/>
    <col min="4099" max="4099" width="7.2734375" customWidth="1"/>
    <col min="4100" max="4100" width="6.2734375" customWidth="1"/>
    <col min="4101" max="4101" width="6.1796875" customWidth="1"/>
    <col min="4102" max="4102" width="6.546875" customWidth="1"/>
    <col min="4103" max="4104" width="6.8203125" customWidth="1"/>
    <col min="4105" max="4106" width="7.2734375" customWidth="1"/>
    <col min="4107" max="4107" width="6.2734375" customWidth="1"/>
    <col min="4108" max="4108" width="8.1796875" customWidth="1"/>
    <col min="4109" max="4109" width="7.7265625" customWidth="1"/>
    <col min="4110" max="4110" width="6.2734375" customWidth="1"/>
    <col min="4111" max="4111" width="7.2734375" customWidth="1"/>
    <col min="4112" max="4112" width="15.2734375" customWidth="1"/>
    <col min="4113" max="4113" width="12.7265625" customWidth="1"/>
    <col min="4114" max="4114" width="9.2734375" customWidth="1"/>
    <col min="4354" max="4354" width="42.1796875" customWidth="1"/>
    <col min="4355" max="4355" width="7.2734375" customWidth="1"/>
    <col min="4356" max="4356" width="6.2734375" customWidth="1"/>
    <col min="4357" max="4357" width="6.1796875" customWidth="1"/>
    <col min="4358" max="4358" width="6.546875" customWidth="1"/>
    <col min="4359" max="4360" width="6.8203125" customWidth="1"/>
    <col min="4361" max="4362" width="7.2734375" customWidth="1"/>
    <col min="4363" max="4363" width="6.2734375" customWidth="1"/>
    <col min="4364" max="4364" width="8.1796875" customWidth="1"/>
    <col min="4365" max="4365" width="7.7265625" customWidth="1"/>
    <col min="4366" max="4366" width="6.2734375" customWidth="1"/>
    <col min="4367" max="4367" width="7.2734375" customWidth="1"/>
    <col min="4368" max="4368" width="15.2734375" customWidth="1"/>
    <col min="4369" max="4369" width="12.7265625" customWidth="1"/>
    <col min="4370" max="4370" width="9.2734375" customWidth="1"/>
    <col min="4610" max="4610" width="42.1796875" customWidth="1"/>
    <col min="4611" max="4611" width="7.2734375" customWidth="1"/>
    <col min="4612" max="4612" width="6.2734375" customWidth="1"/>
    <col min="4613" max="4613" width="6.1796875" customWidth="1"/>
    <col min="4614" max="4614" width="6.546875" customWidth="1"/>
    <col min="4615" max="4616" width="6.8203125" customWidth="1"/>
    <col min="4617" max="4618" width="7.2734375" customWidth="1"/>
    <col min="4619" max="4619" width="6.2734375" customWidth="1"/>
    <col min="4620" max="4620" width="8.1796875" customWidth="1"/>
    <col min="4621" max="4621" width="7.7265625" customWidth="1"/>
    <col min="4622" max="4622" width="6.2734375" customWidth="1"/>
    <col min="4623" max="4623" width="7.2734375" customWidth="1"/>
    <col min="4624" max="4624" width="15.2734375" customWidth="1"/>
    <col min="4625" max="4625" width="12.7265625" customWidth="1"/>
    <col min="4626" max="4626" width="9.2734375" customWidth="1"/>
    <col min="4866" max="4866" width="42.1796875" customWidth="1"/>
    <col min="4867" max="4867" width="7.2734375" customWidth="1"/>
    <col min="4868" max="4868" width="6.2734375" customWidth="1"/>
    <col min="4869" max="4869" width="6.1796875" customWidth="1"/>
    <col min="4870" max="4870" width="6.546875" customWidth="1"/>
    <col min="4871" max="4872" width="6.8203125" customWidth="1"/>
    <col min="4873" max="4874" width="7.2734375" customWidth="1"/>
    <col min="4875" max="4875" width="6.2734375" customWidth="1"/>
    <col min="4876" max="4876" width="8.1796875" customWidth="1"/>
    <col min="4877" max="4877" width="7.7265625" customWidth="1"/>
    <col min="4878" max="4878" width="6.2734375" customWidth="1"/>
    <col min="4879" max="4879" width="7.2734375" customWidth="1"/>
    <col min="4880" max="4880" width="15.2734375" customWidth="1"/>
    <col min="4881" max="4881" width="12.7265625" customWidth="1"/>
    <col min="4882" max="4882" width="9.2734375" customWidth="1"/>
    <col min="5122" max="5122" width="42.1796875" customWidth="1"/>
    <col min="5123" max="5123" width="7.2734375" customWidth="1"/>
    <col min="5124" max="5124" width="6.2734375" customWidth="1"/>
    <col min="5125" max="5125" width="6.1796875" customWidth="1"/>
    <col min="5126" max="5126" width="6.546875" customWidth="1"/>
    <col min="5127" max="5128" width="6.8203125" customWidth="1"/>
    <col min="5129" max="5130" width="7.2734375" customWidth="1"/>
    <col min="5131" max="5131" width="6.2734375" customWidth="1"/>
    <col min="5132" max="5132" width="8.1796875" customWidth="1"/>
    <col min="5133" max="5133" width="7.7265625" customWidth="1"/>
    <col min="5134" max="5134" width="6.2734375" customWidth="1"/>
    <col min="5135" max="5135" width="7.2734375" customWidth="1"/>
    <col min="5136" max="5136" width="15.2734375" customWidth="1"/>
    <col min="5137" max="5137" width="12.7265625" customWidth="1"/>
    <col min="5138" max="5138" width="9.2734375" customWidth="1"/>
    <col min="5378" max="5378" width="42.1796875" customWidth="1"/>
    <col min="5379" max="5379" width="7.2734375" customWidth="1"/>
    <col min="5380" max="5380" width="6.2734375" customWidth="1"/>
    <col min="5381" max="5381" width="6.1796875" customWidth="1"/>
    <col min="5382" max="5382" width="6.546875" customWidth="1"/>
    <col min="5383" max="5384" width="6.8203125" customWidth="1"/>
    <col min="5385" max="5386" width="7.2734375" customWidth="1"/>
    <col min="5387" max="5387" width="6.2734375" customWidth="1"/>
    <col min="5388" max="5388" width="8.1796875" customWidth="1"/>
    <col min="5389" max="5389" width="7.7265625" customWidth="1"/>
    <col min="5390" max="5390" width="6.2734375" customWidth="1"/>
    <col min="5391" max="5391" width="7.2734375" customWidth="1"/>
    <col min="5392" max="5392" width="15.2734375" customWidth="1"/>
    <col min="5393" max="5393" width="12.7265625" customWidth="1"/>
    <col min="5394" max="5394" width="9.2734375" customWidth="1"/>
    <col min="5634" max="5634" width="42.1796875" customWidth="1"/>
    <col min="5635" max="5635" width="7.2734375" customWidth="1"/>
    <col min="5636" max="5636" width="6.2734375" customWidth="1"/>
    <col min="5637" max="5637" width="6.1796875" customWidth="1"/>
    <col min="5638" max="5638" width="6.546875" customWidth="1"/>
    <col min="5639" max="5640" width="6.8203125" customWidth="1"/>
    <col min="5641" max="5642" width="7.2734375" customWidth="1"/>
    <col min="5643" max="5643" width="6.2734375" customWidth="1"/>
    <col min="5644" max="5644" width="8.1796875" customWidth="1"/>
    <col min="5645" max="5645" width="7.7265625" customWidth="1"/>
    <col min="5646" max="5646" width="6.2734375" customWidth="1"/>
    <col min="5647" max="5647" width="7.2734375" customWidth="1"/>
    <col min="5648" max="5648" width="15.2734375" customWidth="1"/>
    <col min="5649" max="5649" width="12.7265625" customWidth="1"/>
    <col min="5650" max="5650" width="9.2734375" customWidth="1"/>
    <col min="5890" max="5890" width="42.1796875" customWidth="1"/>
    <col min="5891" max="5891" width="7.2734375" customWidth="1"/>
    <col min="5892" max="5892" width="6.2734375" customWidth="1"/>
    <col min="5893" max="5893" width="6.1796875" customWidth="1"/>
    <col min="5894" max="5894" width="6.546875" customWidth="1"/>
    <col min="5895" max="5896" width="6.8203125" customWidth="1"/>
    <col min="5897" max="5898" width="7.2734375" customWidth="1"/>
    <col min="5899" max="5899" width="6.2734375" customWidth="1"/>
    <col min="5900" max="5900" width="8.1796875" customWidth="1"/>
    <col min="5901" max="5901" width="7.7265625" customWidth="1"/>
    <col min="5902" max="5902" width="6.2734375" customWidth="1"/>
    <col min="5903" max="5903" width="7.2734375" customWidth="1"/>
    <col min="5904" max="5904" width="15.2734375" customWidth="1"/>
    <col min="5905" max="5905" width="12.7265625" customWidth="1"/>
    <col min="5906" max="5906" width="9.2734375" customWidth="1"/>
    <col min="6146" max="6146" width="42.1796875" customWidth="1"/>
    <col min="6147" max="6147" width="7.2734375" customWidth="1"/>
    <col min="6148" max="6148" width="6.2734375" customWidth="1"/>
    <col min="6149" max="6149" width="6.1796875" customWidth="1"/>
    <col min="6150" max="6150" width="6.546875" customWidth="1"/>
    <col min="6151" max="6152" width="6.8203125" customWidth="1"/>
    <col min="6153" max="6154" width="7.2734375" customWidth="1"/>
    <col min="6155" max="6155" width="6.2734375" customWidth="1"/>
    <col min="6156" max="6156" width="8.1796875" customWidth="1"/>
    <col min="6157" max="6157" width="7.7265625" customWidth="1"/>
    <col min="6158" max="6158" width="6.2734375" customWidth="1"/>
    <col min="6159" max="6159" width="7.2734375" customWidth="1"/>
    <col min="6160" max="6160" width="15.2734375" customWidth="1"/>
    <col min="6161" max="6161" width="12.7265625" customWidth="1"/>
    <col min="6162" max="6162" width="9.2734375" customWidth="1"/>
    <col min="6402" max="6402" width="42.1796875" customWidth="1"/>
    <col min="6403" max="6403" width="7.2734375" customWidth="1"/>
    <col min="6404" max="6404" width="6.2734375" customWidth="1"/>
    <col min="6405" max="6405" width="6.1796875" customWidth="1"/>
    <col min="6406" max="6406" width="6.546875" customWidth="1"/>
    <col min="6407" max="6408" width="6.8203125" customWidth="1"/>
    <col min="6409" max="6410" width="7.2734375" customWidth="1"/>
    <col min="6411" max="6411" width="6.2734375" customWidth="1"/>
    <col min="6412" max="6412" width="8.1796875" customWidth="1"/>
    <col min="6413" max="6413" width="7.7265625" customWidth="1"/>
    <col min="6414" max="6414" width="6.2734375" customWidth="1"/>
    <col min="6415" max="6415" width="7.2734375" customWidth="1"/>
    <col min="6416" max="6416" width="15.2734375" customWidth="1"/>
    <col min="6417" max="6417" width="12.7265625" customWidth="1"/>
    <col min="6418" max="6418" width="9.2734375" customWidth="1"/>
    <col min="6658" max="6658" width="42.1796875" customWidth="1"/>
    <col min="6659" max="6659" width="7.2734375" customWidth="1"/>
    <col min="6660" max="6660" width="6.2734375" customWidth="1"/>
    <col min="6661" max="6661" width="6.1796875" customWidth="1"/>
    <col min="6662" max="6662" width="6.546875" customWidth="1"/>
    <col min="6663" max="6664" width="6.8203125" customWidth="1"/>
    <col min="6665" max="6666" width="7.2734375" customWidth="1"/>
    <col min="6667" max="6667" width="6.2734375" customWidth="1"/>
    <col min="6668" max="6668" width="8.1796875" customWidth="1"/>
    <col min="6669" max="6669" width="7.7265625" customWidth="1"/>
    <col min="6670" max="6670" width="6.2734375" customWidth="1"/>
    <col min="6671" max="6671" width="7.2734375" customWidth="1"/>
    <col min="6672" max="6672" width="15.2734375" customWidth="1"/>
    <col min="6673" max="6673" width="12.7265625" customWidth="1"/>
    <col min="6674" max="6674" width="9.2734375" customWidth="1"/>
    <col min="6914" max="6914" width="42.1796875" customWidth="1"/>
    <col min="6915" max="6915" width="7.2734375" customWidth="1"/>
    <col min="6916" max="6916" width="6.2734375" customWidth="1"/>
    <col min="6917" max="6917" width="6.1796875" customWidth="1"/>
    <col min="6918" max="6918" width="6.546875" customWidth="1"/>
    <col min="6919" max="6920" width="6.8203125" customWidth="1"/>
    <col min="6921" max="6922" width="7.2734375" customWidth="1"/>
    <col min="6923" max="6923" width="6.2734375" customWidth="1"/>
    <col min="6924" max="6924" width="8.1796875" customWidth="1"/>
    <col min="6925" max="6925" width="7.7265625" customWidth="1"/>
    <col min="6926" max="6926" width="6.2734375" customWidth="1"/>
    <col min="6927" max="6927" width="7.2734375" customWidth="1"/>
    <col min="6928" max="6928" width="15.2734375" customWidth="1"/>
    <col min="6929" max="6929" width="12.7265625" customWidth="1"/>
    <col min="6930" max="6930" width="9.2734375" customWidth="1"/>
    <col min="7170" max="7170" width="42.1796875" customWidth="1"/>
    <col min="7171" max="7171" width="7.2734375" customWidth="1"/>
    <col min="7172" max="7172" width="6.2734375" customWidth="1"/>
    <col min="7173" max="7173" width="6.1796875" customWidth="1"/>
    <col min="7174" max="7174" width="6.546875" customWidth="1"/>
    <col min="7175" max="7176" width="6.8203125" customWidth="1"/>
    <col min="7177" max="7178" width="7.2734375" customWidth="1"/>
    <col min="7179" max="7179" width="6.2734375" customWidth="1"/>
    <col min="7180" max="7180" width="8.1796875" customWidth="1"/>
    <col min="7181" max="7181" width="7.7265625" customWidth="1"/>
    <col min="7182" max="7182" width="6.2734375" customWidth="1"/>
    <col min="7183" max="7183" width="7.2734375" customWidth="1"/>
    <col min="7184" max="7184" width="15.2734375" customWidth="1"/>
    <col min="7185" max="7185" width="12.7265625" customWidth="1"/>
    <col min="7186" max="7186" width="9.2734375" customWidth="1"/>
    <col min="7426" max="7426" width="42.1796875" customWidth="1"/>
    <col min="7427" max="7427" width="7.2734375" customWidth="1"/>
    <col min="7428" max="7428" width="6.2734375" customWidth="1"/>
    <col min="7429" max="7429" width="6.1796875" customWidth="1"/>
    <col min="7430" max="7430" width="6.546875" customWidth="1"/>
    <col min="7431" max="7432" width="6.8203125" customWidth="1"/>
    <col min="7433" max="7434" width="7.2734375" customWidth="1"/>
    <col min="7435" max="7435" width="6.2734375" customWidth="1"/>
    <col min="7436" max="7436" width="8.1796875" customWidth="1"/>
    <col min="7437" max="7437" width="7.7265625" customWidth="1"/>
    <col min="7438" max="7438" width="6.2734375" customWidth="1"/>
    <col min="7439" max="7439" width="7.2734375" customWidth="1"/>
    <col min="7440" max="7440" width="15.2734375" customWidth="1"/>
    <col min="7441" max="7441" width="12.7265625" customWidth="1"/>
    <col min="7442" max="7442" width="9.2734375" customWidth="1"/>
    <col min="7682" max="7682" width="42.1796875" customWidth="1"/>
    <col min="7683" max="7683" width="7.2734375" customWidth="1"/>
    <col min="7684" max="7684" width="6.2734375" customWidth="1"/>
    <col min="7685" max="7685" width="6.1796875" customWidth="1"/>
    <col min="7686" max="7686" width="6.546875" customWidth="1"/>
    <col min="7687" max="7688" width="6.8203125" customWidth="1"/>
    <col min="7689" max="7690" width="7.2734375" customWidth="1"/>
    <col min="7691" max="7691" width="6.2734375" customWidth="1"/>
    <col min="7692" max="7692" width="8.1796875" customWidth="1"/>
    <col min="7693" max="7693" width="7.7265625" customWidth="1"/>
    <col min="7694" max="7694" width="6.2734375" customWidth="1"/>
    <col min="7695" max="7695" width="7.2734375" customWidth="1"/>
    <col min="7696" max="7696" width="15.2734375" customWidth="1"/>
    <col min="7697" max="7697" width="12.7265625" customWidth="1"/>
    <col min="7698" max="7698" width="9.2734375" customWidth="1"/>
    <col min="7938" max="7938" width="42.1796875" customWidth="1"/>
    <col min="7939" max="7939" width="7.2734375" customWidth="1"/>
    <col min="7940" max="7940" width="6.2734375" customWidth="1"/>
    <col min="7941" max="7941" width="6.1796875" customWidth="1"/>
    <col min="7942" max="7942" width="6.546875" customWidth="1"/>
    <col min="7943" max="7944" width="6.8203125" customWidth="1"/>
    <col min="7945" max="7946" width="7.2734375" customWidth="1"/>
    <col min="7947" max="7947" width="6.2734375" customWidth="1"/>
    <col min="7948" max="7948" width="8.1796875" customWidth="1"/>
    <col min="7949" max="7949" width="7.7265625" customWidth="1"/>
    <col min="7950" max="7950" width="6.2734375" customWidth="1"/>
    <col min="7951" max="7951" width="7.2734375" customWidth="1"/>
    <col min="7952" max="7952" width="15.2734375" customWidth="1"/>
    <col min="7953" max="7953" width="12.7265625" customWidth="1"/>
    <col min="7954" max="7954" width="9.2734375" customWidth="1"/>
    <col min="8194" max="8194" width="42.1796875" customWidth="1"/>
    <col min="8195" max="8195" width="7.2734375" customWidth="1"/>
    <col min="8196" max="8196" width="6.2734375" customWidth="1"/>
    <col min="8197" max="8197" width="6.1796875" customWidth="1"/>
    <col min="8198" max="8198" width="6.546875" customWidth="1"/>
    <col min="8199" max="8200" width="6.8203125" customWidth="1"/>
    <col min="8201" max="8202" width="7.2734375" customWidth="1"/>
    <col min="8203" max="8203" width="6.2734375" customWidth="1"/>
    <col min="8204" max="8204" width="8.1796875" customWidth="1"/>
    <col min="8205" max="8205" width="7.7265625" customWidth="1"/>
    <col min="8206" max="8206" width="6.2734375" customWidth="1"/>
    <col min="8207" max="8207" width="7.2734375" customWidth="1"/>
    <col min="8208" max="8208" width="15.2734375" customWidth="1"/>
    <col min="8209" max="8209" width="12.7265625" customWidth="1"/>
    <col min="8210" max="8210" width="9.2734375" customWidth="1"/>
    <col min="8450" max="8450" width="42.1796875" customWidth="1"/>
    <col min="8451" max="8451" width="7.2734375" customWidth="1"/>
    <col min="8452" max="8452" width="6.2734375" customWidth="1"/>
    <col min="8453" max="8453" width="6.1796875" customWidth="1"/>
    <col min="8454" max="8454" width="6.546875" customWidth="1"/>
    <col min="8455" max="8456" width="6.8203125" customWidth="1"/>
    <col min="8457" max="8458" width="7.2734375" customWidth="1"/>
    <col min="8459" max="8459" width="6.2734375" customWidth="1"/>
    <col min="8460" max="8460" width="8.1796875" customWidth="1"/>
    <col min="8461" max="8461" width="7.7265625" customWidth="1"/>
    <col min="8462" max="8462" width="6.2734375" customWidth="1"/>
    <col min="8463" max="8463" width="7.2734375" customWidth="1"/>
    <col min="8464" max="8464" width="15.2734375" customWidth="1"/>
    <col min="8465" max="8465" width="12.7265625" customWidth="1"/>
    <col min="8466" max="8466" width="9.2734375" customWidth="1"/>
    <col min="8706" max="8706" width="42.1796875" customWidth="1"/>
    <col min="8707" max="8707" width="7.2734375" customWidth="1"/>
    <col min="8708" max="8708" width="6.2734375" customWidth="1"/>
    <col min="8709" max="8709" width="6.1796875" customWidth="1"/>
    <col min="8710" max="8710" width="6.546875" customWidth="1"/>
    <col min="8711" max="8712" width="6.8203125" customWidth="1"/>
    <col min="8713" max="8714" width="7.2734375" customWidth="1"/>
    <col min="8715" max="8715" width="6.2734375" customWidth="1"/>
    <col min="8716" max="8716" width="8.1796875" customWidth="1"/>
    <col min="8717" max="8717" width="7.7265625" customWidth="1"/>
    <col min="8718" max="8718" width="6.2734375" customWidth="1"/>
    <col min="8719" max="8719" width="7.2734375" customWidth="1"/>
    <col min="8720" max="8720" width="15.2734375" customWidth="1"/>
    <col min="8721" max="8721" width="12.7265625" customWidth="1"/>
    <col min="8722" max="8722" width="9.2734375" customWidth="1"/>
    <col min="8962" max="8962" width="42.1796875" customWidth="1"/>
    <col min="8963" max="8963" width="7.2734375" customWidth="1"/>
    <col min="8964" max="8964" width="6.2734375" customWidth="1"/>
    <col min="8965" max="8965" width="6.1796875" customWidth="1"/>
    <col min="8966" max="8966" width="6.546875" customWidth="1"/>
    <col min="8967" max="8968" width="6.8203125" customWidth="1"/>
    <col min="8969" max="8970" width="7.2734375" customWidth="1"/>
    <col min="8971" max="8971" width="6.2734375" customWidth="1"/>
    <col min="8972" max="8972" width="8.1796875" customWidth="1"/>
    <col min="8973" max="8973" width="7.7265625" customWidth="1"/>
    <col min="8974" max="8974" width="6.2734375" customWidth="1"/>
    <col min="8975" max="8975" width="7.2734375" customWidth="1"/>
    <col min="8976" max="8976" width="15.2734375" customWidth="1"/>
    <col min="8977" max="8977" width="12.7265625" customWidth="1"/>
    <col min="8978" max="8978" width="9.2734375" customWidth="1"/>
    <col min="9218" max="9218" width="42.1796875" customWidth="1"/>
    <col min="9219" max="9219" width="7.2734375" customWidth="1"/>
    <col min="9220" max="9220" width="6.2734375" customWidth="1"/>
    <col min="9221" max="9221" width="6.1796875" customWidth="1"/>
    <col min="9222" max="9222" width="6.546875" customWidth="1"/>
    <col min="9223" max="9224" width="6.8203125" customWidth="1"/>
    <col min="9225" max="9226" width="7.2734375" customWidth="1"/>
    <col min="9227" max="9227" width="6.2734375" customWidth="1"/>
    <col min="9228" max="9228" width="8.1796875" customWidth="1"/>
    <col min="9229" max="9229" width="7.7265625" customWidth="1"/>
    <col min="9230" max="9230" width="6.2734375" customWidth="1"/>
    <col min="9231" max="9231" width="7.2734375" customWidth="1"/>
    <col min="9232" max="9232" width="15.2734375" customWidth="1"/>
    <col min="9233" max="9233" width="12.7265625" customWidth="1"/>
    <col min="9234" max="9234" width="9.2734375" customWidth="1"/>
    <col min="9474" max="9474" width="42.1796875" customWidth="1"/>
    <col min="9475" max="9475" width="7.2734375" customWidth="1"/>
    <col min="9476" max="9476" width="6.2734375" customWidth="1"/>
    <col min="9477" max="9477" width="6.1796875" customWidth="1"/>
    <col min="9478" max="9478" width="6.546875" customWidth="1"/>
    <col min="9479" max="9480" width="6.8203125" customWidth="1"/>
    <col min="9481" max="9482" width="7.2734375" customWidth="1"/>
    <col min="9483" max="9483" width="6.2734375" customWidth="1"/>
    <col min="9484" max="9484" width="8.1796875" customWidth="1"/>
    <col min="9485" max="9485" width="7.7265625" customWidth="1"/>
    <col min="9486" max="9486" width="6.2734375" customWidth="1"/>
    <col min="9487" max="9487" width="7.2734375" customWidth="1"/>
    <col min="9488" max="9488" width="15.2734375" customWidth="1"/>
    <col min="9489" max="9489" width="12.7265625" customWidth="1"/>
    <col min="9490" max="9490" width="9.2734375" customWidth="1"/>
    <col min="9730" max="9730" width="42.1796875" customWidth="1"/>
    <col min="9731" max="9731" width="7.2734375" customWidth="1"/>
    <col min="9732" max="9732" width="6.2734375" customWidth="1"/>
    <col min="9733" max="9733" width="6.1796875" customWidth="1"/>
    <col min="9734" max="9734" width="6.546875" customWidth="1"/>
    <col min="9735" max="9736" width="6.8203125" customWidth="1"/>
    <col min="9737" max="9738" width="7.2734375" customWidth="1"/>
    <col min="9739" max="9739" width="6.2734375" customWidth="1"/>
    <col min="9740" max="9740" width="8.1796875" customWidth="1"/>
    <col min="9741" max="9741" width="7.7265625" customWidth="1"/>
    <col min="9742" max="9742" width="6.2734375" customWidth="1"/>
    <col min="9743" max="9743" width="7.2734375" customWidth="1"/>
    <col min="9744" max="9744" width="15.2734375" customWidth="1"/>
    <col min="9745" max="9745" width="12.7265625" customWidth="1"/>
    <col min="9746" max="9746" width="9.2734375" customWidth="1"/>
    <col min="9986" max="9986" width="42.1796875" customWidth="1"/>
    <col min="9987" max="9987" width="7.2734375" customWidth="1"/>
    <col min="9988" max="9988" width="6.2734375" customWidth="1"/>
    <col min="9989" max="9989" width="6.1796875" customWidth="1"/>
    <col min="9990" max="9990" width="6.546875" customWidth="1"/>
    <col min="9991" max="9992" width="6.8203125" customWidth="1"/>
    <col min="9993" max="9994" width="7.2734375" customWidth="1"/>
    <col min="9995" max="9995" width="6.2734375" customWidth="1"/>
    <col min="9996" max="9996" width="8.1796875" customWidth="1"/>
    <col min="9997" max="9997" width="7.7265625" customWidth="1"/>
    <col min="9998" max="9998" width="6.2734375" customWidth="1"/>
    <col min="9999" max="9999" width="7.2734375" customWidth="1"/>
    <col min="10000" max="10000" width="15.2734375" customWidth="1"/>
    <col min="10001" max="10001" width="12.7265625" customWidth="1"/>
    <col min="10002" max="10002" width="9.2734375" customWidth="1"/>
    <col min="10242" max="10242" width="42.1796875" customWidth="1"/>
    <col min="10243" max="10243" width="7.2734375" customWidth="1"/>
    <col min="10244" max="10244" width="6.2734375" customWidth="1"/>
    <col min="10245" max="10245" width="6.1796875" customWidth="1"/>
    <col min="10246" max="10246" width="6.546875" customWidth="1"/>
    <col min="10247" max="10248" width="6.8203125" customWidth="1"/>
    <col min="10249" max="10250" width="7.2734375" customWidth="1"/>
    <col min="10251" max="10251" width="6.2734375" customWidth="1"/>
    <col min="10252" max="10252" width="8.1796875" customWidth="1"/>
    <col min="10253" max="10253" width="7.7265625" customWidth="1"/>
    <col min="10254" max="10254" width="6.2734375" customWidth="1"/>
    <col min="10255" max="10255" width="7.2734375" customWidth="1"/>
    <col min="10256" max="10256" width="15.2734375" customWidth="1"/>
    <col min="10257" max="10257" width="12.7265625" customWidth="1"/>
    <col min="10258" max="10258" width="9.2734375" customWidth="1"/>
    <col min="10498" max="10498" width="42.1796875" customWidth="1"/>
    <col min="10499" max="10499" width="7.2734375" customWidth="1"/>
    <col min="10500" max="10500" width="6.2734375" customWidth="1"/>
    <col min="10501" max="10501" width="6.1796875" customWidth="1"/>
    <col min="10502" max="10502" width="6.546875" customWidth="1"/>
    <col min="10503" max="10504" width="6.8203125" customWidth="1"/>
    <col min="10505" max="10506" width="7.2734375" customWidth="1"/>
    <col min="10507" max="10507" width="6.2734375" customWidth="1"/>
    <col min="10508" max="10508" width="8.1796875" customWidth="1"/>
    <col min="10509" max="10509" width="7.7265625" customWidth="1"/>
    <col min="10510" max="10510" width="6.2734375" customWidth="1"/>
    <col min="10511" max="10511" width="7.2734375" customWidth="1"/>
    <col min="10512" max="10512" width="15.2734375" customWidth="1"/>
    <col min="10513" max="10513" width="12.7265625" customWidth="1"/>
    <col min="10514" max="10514" width="9.2734375" customWidth="1"/>
    <col min="10754" max="10754" width="42.1796875" customWidth="1"/>
    <col min="10755" max="10755" width="7.2734375" customWidth="1"/>
    <col min="10756" max="10756" width="6.2734375" customWidth="1"/>
    <col min="10757" max="10757" width="6.1796875" customWidth="1"/>
    <col min="10758" max="10758" width="6.546875" customWidth="1"/>
    <col min="10759" max="10760" width="6.8203125" customWidth="1"/>
    <col min="10761" max="10762" width="7.2734375" customWidth="1"/>
    <col min="10763" max="10763" width="6.2734375" customWidth="1"/>
    <col min="10764" max="10764" width="8.1796875" customWidth="1"/>
    <col min="10765" max="10765" width="7.7265625" customWidth="1"/>
    <col min="10766" max="10766" width="6.2734375" customWidth="1"/>
    <col min="10767" max="10767" width="7.2734375" customWidth="1"/>
    <col min="10768" max="10768" width="15.2734375" customWidth="1"/>
    <col min="10769" max="10769" width="12.7265625" customWidth="1"/>
    <col min="10770" max="10770" width="9.2734375" customWidth="1"/>
    <col min="11010" max="11010" width="42.1796875" customWidth="1"/>
    <col min="11011" max="11011" width="7.2734375" customWidth="1"/>
    <col min="11012" max="11012" width="6.2734375" customWidth="1"/>
    <col min="11013" max="11013" width="6.1796875" customWidth="1"/>
    <col min="11014" max="11014" width="6.546875" customWidth="1"/>
    <col min="11015" max="11016" width="6.8203125" customWidth="1"/>
    <col min="11017" max="11018" width="7.2734375" customWidth="1"/>
    <col min="11019" max="11019" width="6.2734375" customWidth="1"/>
    <col min="11020" max="11020" width="8.1796875" customWidth="1"/>
    <col min="11021" max="11021" width="7.7265625" customWidth="1"/>
    <col min="11022" max="11022" width="6.2734375" customWidth="1"/>
    <col min="11023" max="11023" width="7.2734375" customWidth="1"/>
    <col min="11024" max="11024" width="15.2734375" customWidth="1"/>
    <col min="11025" max="11025" width="12.7265625" customWidth="1"/>
    <col min="11026" max="11026" width="9.2734375" customWidth="1"/>
    <col min="11266" max="11266" width="42.1796875" customWidth="1"/>
    <col min="11267" max="11267" width="7.2734375" customWidth="1"/>
    <col min="11268" max="11268" width="6.2734375" customWidth="1"/>
    <col min="11269" max="11269" width="6.1796875" customWidth="1"/>
    <col min="11270" max="11270" width="6.546875" customWidth="1"/>
    <col min="11271" max="11272" width="6.8203125" customWidth="1"/>
    <col min="11273" max="11274" width="7.2734375" customWidth="1"/>
    <col min="11275" max="11275" width="6.2734375" customWidth="1"/>
    <col min="11276" max="11276" width="8.1796875" customWidth="1"/>
    <col min="11277" max="11277" width="7.7265625" customWidth="1"/>
    <col min="11278" max="11278" width="6.2734375" customWidth="1"/>
    <col min="11279" max="11279" width="7.2734375" customWidth="1"/>
    <col min="11280" max="11280" width="15.2734375" customWidth="1"/>
    <col min="11281" max="11281" width="12.7265625" customWidth="1"/>
    <col min="11282" max="11282" width="9.2734375" customWidth="1"/>
    <col min="11522" max="11522" width="42.1796875" customWidth="1"/>
    <col min="11523" max="11523" width="7.2734375" customWidth="1"/>
    <col min="11524" max="11524" width="6.2734375" customWidth="1"/>
    <col min="11525" max="11525" width="6.1796875" customWidth="1"/>
    <col min="11526" max="11526" width="6.546875" customWidth="1"/>
    <col min="11527" max="11528" width="6.8203125" customWidth="1"/>
    <col min="11529" max="11530" width="7.2734375" customWidth="1"/>
    <col min="11531" max="11531" width="6.2734375" customWidth="1"/>
    <col min="11532" max="11532" width="8.1796875" customWidth="1"/>
    <col min="11533" max="11533" width="7.7265625" customWidth="1"/>
    <col min="11534" max="11534" width="6.2734375" customWidth="1"/>
    <col min="11535" max="11535" width="7.2734375" customWidth="1"/>
    <col min="11536" max="11536" width="15.2734375" customWidth="1"/>
    <col min="11537" max="11537" width="12.7265625" customWidth="1"/>
    <col min="11538" max="11538" width="9.2734375" customWidth="1"/>
    <col min="11778" max="11778" width="42.1796875" customWidth="1"/>
    <col min="11779" max="11779" width="7.2734375" customWidth="1"/>
    <col min="11780" max="11780" width="6.2734375" customWidth="1"/>
    <col min="11781" max="11781" width="6.1796875" customWidth="1"/>
    <col min="11782" max="11782" width="6.546875" customWidth="1"/>
    <col min="11783" max="11784" width="6.8203125" customWidth="1"/>
    <col min="11785" max="11786" width="7.2734375" customWidth="1"/>
    <col min="11787" max="11787" width="6.2734375" customWidth="1"/>
    <col min="11788" max="11788" width="8.1796875" customWidth="1"/>
    <col min="11789" max="11789" width="7.7265625" customWidth="1"/>
    <col min="11790" max="11790" width="6.2734375" customWidth="1"/>
    <col min="11791" max="11791" width="7.2734375" customWidth="1"/>
    <col min="11792" max="11792" width="15.2734375" customWidth="1"/>
    <col min="11793" max="11793" width="12.7265625" customWidth="1"/>
    <col min="11794" max="11794" width="9.2734375" customWidth="1"/>
    <col min="12034" max="12034" width="42.1796875" customWidth="1"/>
    <col min="12035" max="12035" width="7.2734375" customWidth="1"/>
    <col min="12036" max="12036" width="6.2734375" customWidth="1"/>
    <col min="12037" max="12037" width="6.1796875" customWidth="1"/>
    <col min="12038" max="12038" width="6.546875" customWidth="1"/>
    <col min="12039" max="12040" width="6.8203125" customWidth="1"/>
    <col min="12041" max="12042" width="7.2734375" customWidth="1"/>
    <col min="12043" max="12043" width="6.2734375" customWidth="1"/>
    <col min="12044" max="12044" width="8.1796875" customWidth="1"/>
    <col min="12045" max="12045" width="7.7265625" customWidth="1"/>
    <col min="12046" max="12046" width="6.2734375" customWidth="1"/>
    <col min="12047" max="12047" width="7.2734375" customWidth="1"/>
    <col min="12048" max="12048" width="15.2734375" customWidth="1"/>
    <col min="12049" max="12049" width="12.7265625" customWidth="1"/>
    <col min="12050" max="12050" width="9.2734375" customWidth="1"/>
    <col min="12290" max="12290" width="42.1796875" customWidth="1"/>
    <col min="12291" max="12291" width="7.2734375" customWidth="1"/>
    <col min="12292" max="12292" width="6.2734375" customWidth="1"/>
    <col min="12293" max="12293" width="6.1796875" customWidth="1"/>
    <col min="12294" max="12294" width="6.546875" customWidth="1"/>
    <col min="12295" max="12296" width="6.8203125" customWidth="1"/>
    <col min="12297" max="12298" width="7.2734375" customWidth="1"/>
    <col min="12299" max="12299" width="6.2734375" customWidth="1"/>
    <col min="12300" max="12300" width="8.1796875" customWidth="1"/>
    <col min="12301" max="12301" width="7.7265625" customWidth="1"/>
    <col min="12302" max="12302" width="6.2734375" customWidth="1"/>
    <col min="12303" max="12303" width="7.2734375" customWidth="1"/>
    <col min="12304" max="12304" width="15.2734375" customWidth="1"/>
    <col min="12305" max="12305" width="12.7265625" customWidth="1"/>
    <col min="12306" max="12306" width="9.2734375" customWidth="1"/>
    <col min="12546" max="12546" width="42.1796875" customWidth="1"/>
    <col min="12547" max="12547" width="7.2734375" customWidth="1"/>
    <col min="12548" max="12548" width="6.2734375" customWidth="1"/>
    <col min="12549" max="12549" width="6.1796875" customWidth="1"/>
    <col min="12550" max="12550" width="6.546875" customWidth="1"/>
    <col min="12551" max="12552" width="6.8203125" customWidth="1"/>
    <col min="12553" max="12554" width="7.2734375" customWidth="1"/>
    <col min="12555" max="12555" width="6.2734375" customWidth="1"/>
    <col min="12556" max="12556" width="8.1796875" customWidth="1"/>
    <col min="12557" max="12557" width="7.7265625" customWidth="1"/>
    <col min="12558" max="12558" width="6.2734375" customWidth="1"/>
    <col min="12559" max="12559" width="7.2734375" customWidth="1"/>
    <col min="12560" max="12560" width="15.2734375" customWidth="1"/>
    <col min="12561" max="12561" width="12.7265625" customWidth="1"/>
    <col min="12562" max="12562" width="9.2734375" customWidth="1"/>
    <col min="12802" max="12802" width="42.1796875" customWidth="1"/>
    <col min="12803" max="12803" width="7.2734375" customWidth="1"/>
    <col min="12804" max="12804" width="6.2734375" customWidth="1"/>
    <col min="12805" max="12805" width="6.1796875" customWidth="1"/>
    <col min="12806" max="12806" width="6.546875" customWidth="1"/>
    <col min="12807" max="12808" width="6.8203125" customWidth="1"/>
    <col min="12809" max="12810" width="7.2734375" customWidth="1"/>
    <col min="12811" max="12811" width="6.2734375" customWidth="1"/>
    <col min="12812" max="12812" width="8.1796875" customWidth="1"/>
    <col min="12813" max="12813" width="7.7265625" customWidth="1"/>
    <col min="12814" max="12814" width="6.2734375" customWidth="1"/>
    <col min="12815" max="12815" width="7.2734375" customWidth="1"/>
    <col min="12816" max="12816" width="15.2734375" customWidth="1"/>
    <col min="12817" max="12817" width="12.7265625" customWidth="1"/>
    <col min="12818" max="12818" width="9.2734375" customWidth="1"/>
    <col min="13058" max="13058" width="42.1796875" customWidth="1"/>
    <col min="13059" max="13059" width="7.2734375" customWidth="1"/>
    <col min="13060" max="13060" width="6.2734375" customWidth="1"/>
    <col min="13061" max="13061" width="6.1796875" customWidth="1"/>
    <col min="13062" max="13062" width="6.546875" customWidth="1"/>
    <col min="13063" max="13064" width="6.8203125" customWidth="1"/>
    <col min="13065" max="13066" width="7.2734375" customWidth="1"/>
    <col min="13067" max="13067" width="6.2734375" customWidth="1"/>
    <col min="13068" max="13068" width="8.1796875" customWidth="1"/>
    <col min="13069" max="13069" width="7.7265625" customWidth="1"/>
    <col min="13070" max="13070" width="6.2734375" customWidth="1"/>
    <col min="13071" max="13071" width="7.2734375" customWidth="1"/>
    <col min="13072" max="13072" width="15.2734375" customWidth="1"/>
    <col min="13073" max="13073" width="12.7265625" customWidth="1"/>
    <col min="13074" max="13074" width="9.2734375" customWidth="1"/>
    <col min="13314" max="13314" width="42.1796875" customWidth="1"/>
    <col min="13315" max="13315" width="7.2734375" customWidth="1"/>
    <col min="13316" max="13316" width="6.2734375" customWidth="1"/>
    <col min="13317" max="13317" width="6.1796875" customWidth="1"/>
    <col min="13318" max="13318" width="6.546875" customWidth="1"/>
    <col min="13319" max="13320" width="6.8203125" customWidth="1"/>
    <col min="13321" max="13322" width="7.2734375" customWidth="1"/>
    <col min="13323" max="13323" width="6.2734375" customWidth="1"/>
    <col min="13324" max="13324" width="8.1796875" customWidth="1"/>
    <col min="13325" max="13325" width="7.7265625" customWidth="1"/>
    <col min="13326" max="13326" width="6.2734375" customWidth="1"/>
    <col min="13327" max="13327" width="7.2734375" customWidth="1"/>
    <col min="13328" max="13328" width="15.2734375" customWidth="1"/>
    <col min="13329" max="13329" width="12.7265625" customWidth="1"/>
    <col min="13330" max="13330" width="9.2734375" customWidth="1"/>
    <col min="13570" max="13570" width="42.1796875" customWidth="1"/>
    <col min="13571" max="13571" width="7.2734375" customWidth="1"/>
    <col min="13572" max="13572" width="6.2734375" customWidth="1"/>
    <col min="13573" max="13573" width="6.1796875" customWidth="1"/>
    <col min="13574" max="13574" width="6.546875" customWidth="1"/>
    <col min="13575" max="13576" width="6.8203125" customWidth="1"/>
    <col min="13577" max="13578" width="7.2734375" customWidth="1"/>
    <col min="13579" max="13579" width="6.2734375" customWidth="1"/>
    <col min="13580" max="13580" width="8.1796875" customWidth="1"/>
    <col min="13581" max="13581" width="7.7265625" customWidth="1"/>
    <col min="13582" max="13582" width="6.2734375" customWidth="1"/>
    <col min="13583" max="13583" width="7.2734375" customWidth="1"/>
    <col min="13584" max="13584" width="15.2734375" customWidth="1"/>
    <col min="13585" max="13585" width="12.7265625" customWidth="1"/>
    <col min="13586" max="13586" width="9.2734375" customWidth="1"/>
    <col min="13826" max="13826" width="42.1796875" customWidth="1"/>
    <col min="13827" max="13827" width="7.2734375" customWidth="1"/>
    <col min="13828" max="13828" width="6.2734375" customWidth="1"/>
    <col min="13829" max="13829" width="6.1796875" customWidth="1"/>
    <col min="13830" max="13830" width="6.546875" customWidth="1"/>
    <col min="13831" max="13832" width="6.8203125" customWidth="1"/>
    <col min="13833" max="13834" width="7.2734375" customWidth="1"/>
    <col min="13835" max="13835" width="6.2734375" customWidth="1"/>
    <col min="13836" max="13836" width="8.1796875" customWidth="1"/>
    <col min="13837" max="13837" width="7.7265625" customWidth="1"/>
    <col min="13838" max="13838" width="6.2734375" customWidth="1"/>
    <col min="13839" max="13839" width="7.2734375" customWidth="1"/>
    <col min="13840" max="13840" width="15.2734375" customWidth="1"/>
    <col min="13841" max="13841" width="12.7265625" customWidth="1"/>
    <col min="13842" max="13842" width="9.2734375" customWidth="1"/>
    <col min="14082" max="14082" width="42.1796875" customWidth="1"/>
    <col min="14083" max="14083" width="7.2734375" customWidth="1"/>
    <col min="14084" max="14084" width="6.2734375" customWidth="1"/>
    <col min="14085" max="14085" width="6.1796875" customWidth="1"/>
    <col min="14086" max="14086" width="6.546875" customWidth="1"/>
    <col min="14087" max="14088" width="6.8203125" customWidth="1"/>
    <col min="14089" max="14090" width="7.2734375" customWidth="1"/>
    <col min="14091" max="14091" width="6.2734375" customWidth="1"/>
    <col min="14092" max="14092" width="8.1796875" customWidth="1"/>
    <col min="14093" max="14093" width="7.7265625" customWidth="1"/>
    <col min="14094" max="14094" width="6.2734375" customWidth="1"/>
    <col min="14095" max="14095" width="7.2734375" customWidth="1"/>
    <col min="14096" max="14096" width="15.2734375" customWidth="1"/>
    <col min="14097" max="14097" width="12.7265625" customWidth="1"/>
    <col min="14098" max="14098" width="9.2734375" customWidth="1"/>
    <col min="14338" max="14338" width="42.1796875" customWidth="1"/>
    <col min="14339" max="14339" width="7.2734375" customWidth="1"/>
    <col min="14340" max="14340" width="6.2734375" customWidth="1"/>
    <col min="14341" max="14341" width="6.1796875" customWidth="1"/>
    <col min="14342" max="14342" width="6.546875" customWidth="1"/>
    <col min="14343" max="14344" width="6.8203125" customWidth="1"/>
    <col min="14345" max="14346" width="7.2734375" customWidth="1"/>
    <col min="14347" max="14347" width="6.2734375" customWidth="1"/>
    <col min="14348" max="14348" width="8.1796875" customWidth="1"/>
    <col min="14349" max="14349" width="7.7265625" customWidth="1"/>
    <col min="14350" max="14350" width="6.2734375" customWidth="1"/>
    <col min="14351" max="14351" width="7.2734375" customWidth="1"/>
    <col min="14352" max="14352" width="15.2734375" customWidth="1"/>
    <col min="14353" max="14353" width="12.7265625" customWidth="1"/>
    <col min="14354" max="14354" width="9.2734375" customWidth="1"/>
    <col min="14594" max="14594" width="42.1796875" customWidth="1"/>
    <col min="14595" max="14595" width="7.2734375" customWidth="1"/>
    <col min="14596" max="14596" width="6.2734375" customWidth="1"/>
    <col min="14597" max="14597" width="6.1796875" customWidth="1"/>
    <col min="14598" max="14598" width="6.546875" customWidth="1"/>
    <col min="14599" max="14600" width="6.8203125" customWidth="1"/>
    <col min="14601" max="14602" width="7.2734375" customWidth="1"/>
    <col min="14603" max="14603" width="6.2734375" customWidth="1"/>
    <col min="14604" max="14604" width="8.1796875" customWidth="1"/>
    <col min="14605" max="14605" width="7.7265625" customWidth="1"/>
    <col min="14606" max="14606" width="6.2734375" customWidth="1"/>
    <col min="14607" max="14607" width="7.2734375" customWidth="1"/>
    <col min="14608" max="14608" width="15.2734375" customWidth="1"/>
    <col min="14609" max="14609" width="12.7265625" customWidth="1"/>
    <col min="14610" max="14610" width="9.2734375" customWidth="1"/>
    <col min="14850" max="14850" width="42.1796875" customWidth="1"/>
    <col min="14851" max="14851" width="7.2734375" customWidth="1"/>
    <col min="14852" max="14852" width="6.2734375" customWidth="1"/>
    <col min="14853" max="14853" width="6.1796875" customWidth="1"/>
    <col min="14854" max="14854" width="6.546875" customWidth="1"/>
    <col min="14855" max="14856" width="6.8203125" customWidth="1"/>
    <col min="14857" max="14858" width="7.2734375" customWidth="1"/>
    <col min="14859" max="14859" width="6.2734375" customWidth="1"/>
    <col min="14860" max="14860" width="8.1796875" customWidth="1"/>
    <col min="14861" max="14861" width="7.7265625" customWidth="1"/>
    <col min="14862" max="14862" width="6.2734375" customWidth="1"/>
    <col min="14863" max="14863" width="7.2734375" customWidth="1"/>
    <col min="14864" max="14864" width="15.2734375" customWidth="1"/>
    <col min="14865" max="14865" width="12.7265625" customWidth="1"/>
    <col min="14866" max="14866" width="9.2734375" customWidth="1"/>
    <col min="15106" max="15106" width="42.1796875" customWidth="1"/>
    <col min="15107" max="15107" width="7.2734375" customWidth="1"/>
    <col min="15108" max="15108" width="6.2734375" customWidth="1"/>
    <col min="15109" max="15109" width="6.1796875" customWidth="1"/>
    <col min="15110" max="15110" width="6.546875" customWidth="1"/>
    <col min="15111" max="15112" width="6.8203125" customWidth="1"/>
    <col min="15113" max="15114" width="7.2734375" customWidth="1"/>
    <col min="15115" max="15115" width="6.2734375" customWidth="1"/>
    <col min="15116" max="15116" width="8.1796875" customWidth="1"/>
    <col min="15117" max="15117" width="7.7265625" customWidth="1"/>
    <col min="15118" max="15118" width="6.2734375" customWidth="1"/>
    <col min="15119" max="15119" width="7.2734375" customWidth="1"/>
    <col min="15120" max="15120" width="15.2734375" customWidth="1"/>
    <col min="15121" max="15121" width="12.7265625" customWidth="1"/>
    <col min="15122" max="15122" width="9.2734375" customWidth="1"/>
    <col min="15362" max="15362" width="42.1796875" customWidth="1"/>
    <col min="15363" max="15363" width="7.2734375" customWidth="1"/>
    <col min="15364" max="15364" width="6.2734375" customWidth="1"/>
    <col min="15365" max="15365" width="6.1796875" customWidth="1"/>
    <col min="15366" max="15366" width="6.546875" customWidth="1"/>
    <col min="15367" max="15368" width="6.8203125" customWidth="1"/>
    <col min="15369" max="15370" width="7.2734375" customWidth="1"/>
    <col min="15371" max="15371" width="6.2734375" customWidth="1"/>
    <col min="15372" max="15372" width="8.1796875" customWidth="1"/>
    <col min="15373" max="15373" width="7.7265625" customWidth="1"/>
    <col min="15374" max="15374" width="6.2734375" customWidth="1"/>
    <col min="15375" max="15375" width="7.2734375" customWidth="1"/>
    <col min="15376" max="15376" width="15.2734375" customWidth="1"/>
    <col min="15377" max="15377" width="12.7265625" customWidth="1"/>
    <col min="15378" max="15378" width="9.2734375" customWidth="1"/>
    <col min="15618" max="15618" width="42.1796875" customWidth="1"/>
    <col min="15619" max="15619" width="7.2734375" customWidth="1"/>
    <col min="15620" max="15620" width="6.2734375" customWidth="1"/>
    <col min="15621" max="15621" width="6.1796875" customWidth="1"/>
    <col min="15622" max="15622" width="6.546875" customWidth="1"/>
    <col min="15623" max="15624" width="6.8203125" customWidth="1"/>
    <col min="15625" max="15626" width="7.2734375" customWidth="1"/>
    <col min="15627" max="15627" width="6.2734375" customWidth="1"/>
    <col min="15628" max="15628" width="8.1796875" customWidth="1"/>
    <col min="15629" max="15629" width="7.7265625" customWidth="1"/>
    <col min="15630" max="15630" width="6.2734375" customWidth="1"/>
    <col min="15631" max="15631" width="7.2734375" customWidth="1"/>
    <col min="15632" max="15632" width="15.2734375" customWidth="1"/>
    <col min="15633" max="15633" width="12.7265625" customWidth="1"/>
    <col min="15634" max="15634" width="9.2734375" customWidth="1"/>
    <col min="15874" max="15874" width="42.1796875" customWidth="1"/>
    <col min="15875" max="15875" width="7.2734375" customWidth="1"/>
    <col min="15876" max="15876" width="6.2734375" customWidth="1"/>
    <col min="15877" max="15877" width="6.1796875" customWidth="1"/>
    <col min="15878" max="15878" width="6.546875" customWidth="1"/>
    <col min="15879" max="15880" width="6.8203125" customWidth="1"/>
    <col min="15881" max="15882" width="7.2734375" customWidth="1"/>
    <col min="15883" max="15883" width="6.2734375" customWidth="1"/>
    <col min="15884" max="15884" width="8.1796875" customWidth="1"/>
    <col min="15885" max="15885" width="7.7265625" customWidth="1"/>
    <col min="15886" max="15886" width="6.2734375" customWidth="1"/>
    <col min="15887" max="15887" width="7.2734375" customWidth="1"/>
    <col min="15888" max="15888" width="15.2734375" customWidth="1"/>
    <col min="15889" max="15889" width="12.7265625" customWidth="1"/>
    <col min="15890" max="15890" width="9.2734375" customWidth="1"/>
    <col min="16130" max="16130" width="42.1796875" customWidth="1"/>
    <col min="16131" max="16131" width="7.2734375" customWidth="1"/>
    <col min="16132" max="16132" width="6.2734375" customWidth="1"/>
    <col min="16133" max="16133" width="6.1796875" customWidth="1"/>
    <col min="16134" max="16134" width="6.546875" customWidth="1"/>
    <col min="16135" max="16136" width="6.8203125" customWidth="1"/>
    <col min="16137" max="16138" width="7.2734375" customWidth="1"/>
    <col min="16139" max="16139" width="6.2734375" customWidth="1"/>
    <col min="16140" max="16140" width="8.1796875" customWidth="1"/>
    <col min="16141" max="16141" width="7.7265625" customWidth="1"/>
    <col min="16142" max="16142" width="6.2734375" customWidth="1"/>
    <col min="16143" max="16143" width="7.2734375" customWidth="1"/>
    <col min="16144" max="16144" width="15.2734375" customWidth="1"/>
    <col min="16145" max="16145" width="12.7265625" customWidth="1"/>
    <col min="16146" max="16146" width="9.2734375" customWidth="1"/>
  </cols>
  <sheetData>
    <row r="1" ht="17.55"/>
    <row r="2" ht="21.15" spans="2:13">
      <c r="B2" s="12" t="s">
        <v>235</v>
      </c>
      <c r="C2" s="13"/>
      <c r="D2" s="13"/>
      <c r="E2" s="13"/>
      <c r="F2" s="60" t="s">
        <v>412</v>
      </c>
      <c r="G2" s="61" t="str">
        <f>Theory!D91</f>
        <v>D12</v>
      </c>
      <c r="H2" s="60" t="s">
        <v>413</v>
      </c>
      <c r="I2" s="67" t="str">
        <f>Theory!D92</f>
        <v>DD12</v>
      </c>
      <c r="J2" s="68"/>
      <c r="M2" s="62"/>
    </row>
    <row r="3" ht="21.9" spans="2:21">
      <c r="B3" s="14"/>
      <c r="C3" t="s">
        <v>414</v>
      </c>
      <c r="E3" s="62"/>
      <c r="F3" t="s">
        <v>415</v>
      </c>
      <c r="I3" s="69"/>
      <c r="J3" s="68"/>
      <c r="M3" s="62"/>
      <c r="U3" s="86">
        <v>0</v>
      </c>
    </row>
    <row r="4" ht="21.9" spans="2:13">
      <c r="B4" s="15" t="s">
        <v>240</v>
      </c>
      <c r="C4" s="16"/>
      <c r="D4" s="16"/>
      <c r="E4" s="16"/>
      <c r="F4" s="49" t="s">
        <v>412</v>
      </c>
      <c r="G4" s="63" t="str">
        <f>Theory!D93</f>
        <v>D89</v>
      </c>
      <c r="H4" s="49" t="s">
        <v>413</v>
      </c>
      <c r="I4" s="70" t="str">
        <f>Theory!D94</f>
        <v>DD89</v>
      </c>
      <c r="J4" s="68"/>
      <c r="M4" s="62"/>
    </row>
    <row r="5" ht="21.9" spans="2:13">
      <c r="B5" s="17"/>
      <c r="C5" s="18" t="s">
        <v>414</v>
      </c>
      <c r="D5" s="18"/>
      <c r="E5" s="64"/>
      <c r="F5" s="18" t="s">
        <v>416</v>
      </c>
      <c r="G5" s="18"/>
      <c r="H5" s="18"/>
      <c r="I5" s="71"/>
      <c r="J5" s="68"/>
      <c r="M5" s="62"/>
    </row>
    <row r="6" ht="21.15" spans="2:13">
      <c r="B6" s="19"/>
      <c r="E6" s="62"/>
      <c r="J6" s="68"/>
      <c r="M6" s="62"/>
    </row>
    <row r="7" ht="26.25" customHeight="1" spans="2:18">
      <c r="B7" s="20" t="s">
        <v>417</v>
      </c>
      <c r="C7" s="21" t="str">
        <f ca="1">IF(C8=""," ","CO1")</f>
        <v>CO1</v>
      </c>
      <c r="D7" s="21" t="str">
        <f ca="1">IF(D8=""," ","CO2")</f>
        <v>CO2</v>
      </c>
      <c r="E7" s="21" t="str">
        <f ca="1">IF(E8=""," ","CO3")</f>
        <v>CO3</v>
      </c>
      <c r="F7" s="21" t="str">
        <f ca="1">IF(F8=""," ","CO4")</f>
        <v>CO4</v>
      </c>
      <c r="G7" s="21" t="str">
        <f ca="1">IF(G8=""," ","CO5")</f>
        <v>CO5</v>
      </c>
      <c r="H7" s="21" t="str">
        <f ca="1">IF(H8=""," ","CO6")</f>
        <v>CO6</v>
      </c>
      <c r="I7" s="21" t="str">
        <f ca="1">IF(I8=""," ","CO7")</f>
        <v> </v>
      </c>
      <c r="J7" s="21" t="str">
        <f ca="1">IF(J8=""," ","CO8")</f>
        <v> </v>
      </c>
      <c r="K7" s="21" t="str">
        <f ca="1">IF(K8=""," ","CO9")</f>
        <v> </v>
      </c>
      <c r="L7" s="21" t="str">
        <f ca="1">IF(L8=""," ","CO10")</f>
        <v> </v>
      </c>
      <c r="M7" s="79"/>
      <c r="N7" s="79"/>
      <c r="O7" s="79"/>
      <c r="P7" s="79"/>
      <c r="Q7" s="79"/>
      <c r="R7" s="82"/>
    </row>
    <row r="8" ht="24.75" customHeight="1" spans="2:18">
      <c r="B8" s="22" t="s">
        <v>418</v>
      </c>
      <c r="C8" s="2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74.4323936026023</v>
      </c>
      <c r="D8" s="2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62.9044117647059</v>
      </c>
      <c r="E8" s="2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68.774910253627</v>
      </c>
      <c r="F8" s="2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50.5869995096514</v>
      </c>
      <c r="G8" s="23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73.0956940827178</v>
      </c>
      <c r="H8" s="23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>84.0441176470588</v>
      </c>
      <c r="I8" s="2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2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2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2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3"/>
    </row>
    <row r="9" spans="2:18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R9" s="83"/>
    </row>
    <row r="10" ht="28.8" spans="2:18">
      <c r="B10" s="26" t="s">
        <v>419</v>
      </c>
      <c r="C10" s="27"/>
      <c r="D10" s="27"/>
      <c r="E10" s="27"/>
      <c r="F10" s="25"/>
      <c r="G10" s="25"/>
      <c r="H10" s="25"/>
      <c r="I10" s="25"/>
      <c r="J10" s="25"/>
      <c r="K10" s="25"/>
      <c r="L10" s="25"/>
      <c r="R10" s="83"/>
    </row>
    <row r="11" ht="32.25" customHeight="1" spans="2:18">
      <c r="B11" s="28" t="s">
        <v>420</v>
      </c>
      <c r="C11" s="29" t="str">
        <f ca="1">IF(C12=""," ","CO1")</f>
        <v>CO1</v>
      </c>
      <c r="D11" s="29" t="str">
        <f ca="1">IF(D12=""," ","CO2")</f>
        <v>CO2</v>
      </c>
      <c r="E11" s="29" t="str">
        <f ca="1">IF(E12=""," ","CO3")</f>
        <v>CO3</v>
      </c>
      <c r="F11" s="29" t="str">
        <f ca="1">IF(F12=""," ","CO4")</f>
        <v>CO4</v>
      </c>
      <c r="G11" s="29" t="str">
        <f ca="1">IF(G12=""," ","CO5")</f>
        <v>CO5</v>
      </c>
      <c r="H11" s="29" t="str">
        <f ca="1">IF(H12=""," ","CO6")</f>
        <v>CO6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3"/>
    </row>
    <row r="12" ht="20.4" spans="2:18">
      <c r="B12" s="30" t="s">
        <v>421</v>
      </c>
      <c r="C12" s="3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74.4323936026023</v>
      </c>
      <c r="D12" s="31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62.9044117647059</v>
      </c>
      <c r="E12" s="3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68.774910253627</v>
      </c>
      <c r="F12" s="3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50.5869995096514</v>
      </c>
      <c r="G12" s="31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82.3811803746923</v>
      </c>
      <c r="H12" s="31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>75</v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3"/>
    </row>
    <row r="13" ht="22.5" customHeight="1" spans="2:20">
      <c r="B13" s="32" t="s">
        <v>34</v>
      </c>
      <c r="C13" s="33">
        <f ca="1">IF(C$8&lt;&gt;"",(Theory!$DD$89+Lab!$K$84),(IF(Lab!K84&lt;&gt;"",Lab!K84,"")))</f>
        <v>34.4117647058824</v>
      </c>
      <c r="D13" s="33">
        <f ca="1">IF(D$8&lt;&gt;"",(Theory!$DD$89+Lab!$K$84),(IF(Lab!K84&lt;&gt;"",Lab!K84,"")))</f>
        <v>34.4117647058824</v>
      </c>
      <c r="E13" s="33">
        <f ca="1">IF(E$8&lt;&gt;"",(Theory!$DD$89+Lab!$K$84),(IF(Lab!K84&lt;&gt;"",Lab!K84,"")))</f>
        <v>34.4117647058824</v>
      </c>
      <c r="F13" s="33">
        <f ca="1">IF(F$8&lt;&gt;"",(Theory!$DD$89+Lab!$K$84),(IF(Lab!K84&lt;&gt;"",Lab!K84,"")))</f>
        <v>34.4117647058824</v>
      </c>
      <c r="G13" s="33">
        <f ca="1">IF(G$8&lt;&gt;"",(Theory!$DD$89+Lab!$K$84),(IF(Lab!K84&lt;&gt;"",Lab!K84,"")))</f>
        <v>34.4117647058824</v>
      </c>
      <c r="H13" s="33">
        <f ca="1">IF(H$8&lt;&gt;"",(Theory!$DD$89+Lab!$K$84),(IF(Lab!L84&lt;&gt;"",Lab!L84,"")))</f>
        <v>34.4117647058824</v>
      </c>
      <c r="I13" s="33" t="str">
        <f ca="1">IF(I$8&lt;&gt;"",(Theory!$DD$89+Lab!$K$84),(IF(Lab!M84&lt;&gt;"",Lab!M84,"")))</f>
        <v/>
      </c>
      <c r="J13" s="33" t="str">
        <f ca="1">IF(J$8&lt;&gt;"",(Theory!$DD$89+Lab!$K$84),(IF(Lab!N84&lt;&gt;"",Lab!N84,"")))</f>
        <v/>
      </c>
      <c r="K13" s="33" t="str">
        <f ca="1">IF(K$8&lt;&gt;"",(Theory!$DD$89+Lab!$K$84),(IF(Lab!O84&lt;&gt;"",Lab!O84,"")))</f>
        <v/>
      </c>
      <c r="L13" s="33" t="str">
        <f ca="1">IF(L$8&lt;&gt;"",(Theory!$DD$89+Lab!$K$84),(IF(Lab!P84&lt;&gt;"",Lab!P84,"")))</f>
        <v/>
      </c>
      <c r="R13" s="83"/>
      <c r="T13" t="str">
        <f ca="1">J17</f>
        <v/>
      </c>
    </row>
    <row r="14" ht="29.25" customHeight="1" spans="2:18">
      <c r="B14" s="34" t="s">
        <v>422</v>
      </c>
      <c r="C14" s="35">
        <f>IFERROR(IF($Q46=0,"",Q46),"")</f>
        <v>100</v>
      </c>
      <c r="D14" s="35">
        <f>IFERROR(IF($Q47=0,"",Q47),"")</f>
        <v>100</v>
      </c>
      <c r="E14" s="35">
        <f>IFERROR(IF($Q48=0,"",Q48),"")</f>
        <v>91</v>
      </c>
      <c r="F14" s="35">
        <f>IFERROR(IF($Q49=0,"",Q49),"")</f>
        <v>91</v>
      </c>
      <c r="G14" s="35">
        <f>IFERROR(IF($Q50=0,"",Q50),"")</f>
        <v>87</v>
      </c>
      <c r="H14" s="65">
        <f>IFERROR(IF($Q51=0,"",Q51),"")</f>
        <v>91</v>
      </c>
      <c r="I14" s="74" t="str">
        <f>IFERROR(IF($Q52=0,"",Q52),"")</f>
        <v/>
      </c>
      <c r="J14" s="74" t="str">
        <f>IFERROR(IF($Q53=0,"",Q53),"")</f>
        <v/>
      </c>
      <c r="K14" s="74" t="str">
        <f>IFERROR(IF($Q54=0,"",Q54),"")</f>
        <v/>
      </c>
      <c r="L14" s="74" t="str">
        <f>IFERROR(IF($Q55=0,"",Q55),"")</f>
        <v/>
      </c>
      <c r="R14" s="83"/>
    </row>
    <row r="15" ht="29.25" customHeight="1" spans="2:21">
      <c r="B15" s="36" t="s">
        <v>423</v>
      </c>
      <c r="C15" s="33">
        <f ca="1">IFERROR(AVERAGE(C12:C13),"")</f>
        <v>54.4220791542424</v>
      </c>
      <c r="D15" s="33">
        <f ca="1" t="shared" ref="D15:L15" si="0">IFERROR(AVERAGE(D12:D13),"")</f>
        <v>48.6580882352941</v>
      </c>
      <c r="E15" s="33">
        <f ca="1" t="shared" si="0"/>
        <v>51.5933374797547</v>
      </c>
      <c r="F15" s="33">
        <f ca="1" t="shared" si="0"/>
        <v>42.4993821077669</v>
      </c>
      <c r="G15" s="33">
        <f ca="1" t="shared" si="0"/>
        <v>58.3964725402873</v>
      </c>
      <c r="H15" s="33">
        <f ca="1" t="shared" si="0"/>
        <v>54.7058823529412</v>
      </c>
      <c r="I15" s="51" t="str">
        <f ca="1" t="shared" si="0"/>
        <v/>
      </c>
      <c r="J15" s="51" t="str">
        <f ca="1" t="shared" si="0"/>
        <v/>
      </c>
      <c r="K15" s="51" t="str">
        <f ca="1" t="shared" si="0"/>
        <v/>
      </c>
      <c r="L15" s="51" t="str">
        <f ca="1" t="shared" si="0"/>
        <v/>
      </c>
      <c r="R15" s="83"/>
      <c r="U15" t="str">
        <f ca="1">K17</f>
        <v/>
      </c>
    </row>
    <row r="16" ht="17.6" spans="2:18">
      <c r="B16" s="37"/>
      <c r="C16" s="38" t="str">
        <f ca="1">IF(C17&lt;&gt;"","CO1 ","")</f>
        <v>CO1 </v>
      </c>
      <c r="D16" s="38" t="str">
        <f ca="1">IF(D17&lt;&gt;"","CO2 ","")</f>
        <v>CO2 </v>
      </c>
      <c r="E16" s="38" t="str">
        <f ca="1">IF(E17&lt;&gt;"","CO3 ","")</f>
        <v>CO3 </v>
      </c>
      <c r="F16" s="38" t="str">
        <f ca="1">IF(F17&lt;&gt;"","CO4 ","")</f>
        <v>CO4 </v>
      </c>
      <c r="G16" s="38" t="str">
        <f ca="1">IF(G17&lt;&gt;"","CO5 ","")</f>
        <v>CO5 </v>
      </c>
      <c r="H16" s="38" t="str">
        <f ca="1">IF(H17&lt;&gt;"","CO6 ","")</f>
        <v>CO6 </v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3"/>
    </row>
    <row r="17" ht="45" customHeight="1" spans="2:18">
      <c r="B17" s="39" t="s">
        <v>424</v>
      </c>
      <c r="C17" s="40">
        <f ca="1">IFERROR(IF(C$13&lt;&gt;"",IF(C$12&lt;&gt;"",C$12*0.7,"")+IF(C$13&lt;&gt;"",C$13*0.2,"")+IF(C$14&lt;&gt;"",C$14*0.1,""),IF(C$12&lt;&gt;"",C$12*0.9,"")+IF(C$14&lt;&gt;"",C$14*0.1,"")),"")</f>
        <v>68.9850284629981</v>
      </c>
      <c r="D17" s="40">
        <f ca="1">IFERROR(IF(D$13&lt;&gt;"",IF(D$12&lt;&gt;"",D$12*0.7,"")+IF(D$13&lt;&gt;"",D$13*0.2,"")+IF(D$14&lt;&gt;"",D$14*0.1,""),IF(D$12&lt;&gt;"",D$12*0.9,"")+IF(D$14&lt;&gt;"",D$14*0.1,"")),"")</f>
        <v>60.9154411764706</v>
      </c>
      <c r="E17" s="40">
        <f ca="1">IFERROR(IF(E$13&lt;&gt;"",IF(E$12&lt;&gt;"",E$12*0.7,"")+IF(E$13&lt;&gt;"",E$13*0.2,"")+IF(E$14&lt;&gt;"",E$14*0.1,""),IF(E$12&lt;&gt;"",E$12*0.9,"")+IF(E$14&lt;&gt;"",E$14*0.1,"")),"")</f>
        <v>64.1247901187153</v>
      </c>
      <c r="F17" s="40">
        <f ca="1">IFERROR(IF(F$13&lt;&gt;"",IF(F$12&lt;&gt;"",F$12*0.7,"")+IF(F$13&lt;&gt;"",F$13*0.2,"")+IF(F$14&lt;&gt;"",F$14*0.1,""),IF(F$12&lt;&gt;"",F$12*0.9,"")+IF(F$14&lt;&gt;"",F$14*0.1,"")),"")</f>
        <v>51.3932525979324</v>
      </c>
      <c r="G17" s="40">
        <f ca="1" t="shared" ref="G17:L17" si="1">IFERROR(IF(G$13&lt;&gt;"",IF(G$12&lt;&gt;"",G$12*0.7,"")+IF(G$13&lt;&gt;"",G$13*0.2,"")+IF(G$14&lt;&gt;"",G$14*0.1,""),IF(G$12&lt;&gt;"",G$12*0.9,"")+IF(G$14&lt;&gt;"",G$14*0.1,"")),"")</f>
        <v>73.2491792034611</v>
      </c>
      <c r="H17" s="40">
        <f ca="1" t="shared" si="1"/>
        <v>68.4823529411765</v>
      </c>
      <c r="I17" s="76" t="str">
        <f ca="1" t="shared" si="1"/>
        <v/>
      </c>
      <c r="J17" s="76" t="str">
        <f ca="1" t="shared" si="1"/>
        <v/>
      </c>
      <c r="K17" s="76" t="str">
        <f ca="1" t="shared" si="1"/>
        <v/>
      </c>
      <c r="L17" s="76" t="str">
        <f ca="1" t="shared" si="1"/>
        <v/>
      </c>
      <c r="R17" s="83"/>
    </row>
    <row r="18" ht="17.55" spans="2:1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4"/>
    </row>
    <row r="19" ht="33" customHeight="1"/>
    <row r="22" spans="2:12">
      <c r="B22" s="43" t="s">
        <v>425</v>
      </c>
      <c r="C22" s="3" t="s">
        <v>426</v>
      </c>
      <c r="D22" s="44" t="s">
        <v>427</v>
      </c>
      <c r="E22" s="44" t="s">
        <v>428</v>
      </c>
      <c r="F22" s="3" t="s">
        <v>429</v>
      </c>
      <c r="G22" s="3" t="s">
        <v>430</v>
      </c>
      <c r="H22" s="3" t="s">
        <v>431</v>
      </c>
      <c r="I22" s="3" t="s">
        <v>432</v>
      </c>
      <c r="J22" s="3" t="s">
        <v>433</v>
      </c>
      <c r="K22" s="3" t="s">
        <v>434</v>
      </c>
      <c r="L22" s="3" t="s">
        <v>435</v>
      </c>
    </row>
    <row r="23" spans="3:12">
      <c r="C23" s="3">
        <f>COUNTIFS(Theory!DA17:DA78,"&gt;=0",Theory!DA17:DA78,"&lt;=5")</f>
        <v>0</v>
      </c>
      <c r="D23" s="3">
        <f>COUNTIFS(Theory!DA17:DA78,"&gt;=06",Theory!DA17:DA78,"&lt;=10")</f>
        <v>0</v>
      </c>
      <c r="E23" s="3">
        <f>COUNTIFS(Theory!DA17:DA78,"&gt;=11",Theory!DA17:DA78,"&lt;=15")</f>
        <v>0</v>
      </c>
      <c r="F23" s="3">
        <f>COUNTIFS(Theory!DA17:DA78,"&gt;=16",Theory!DA17:DA78,"&lt;=20")</f>
        <v>0</v>
      </c>
      <c r="G23" s="3">
        <f>COUNTIFS(Theory!DA17:DA78,"&gt;=21",Theory!DA17:DA78,"&lt;=25")</f>
        <v>1</v>
      </c>
      <c r="H23" s="3">
        <f>COUNTIFS(Theory!DA17:DA78,"&gt;=26",Theory!DA17:DA78,"&lt;=30")</f>
        <v>6</v>
      </c>
      <c r="I23" s="3">
        <f>COUNTIFS(Theory!DA17:DA78,"&gt;=31",Theory!DA17:DA78,"&lt;=35")</f>
        <v>13</v>
      </c>
      <c r="J23" s="3">
        <f>COUNTIFS(Theory!DA17:DA78,"&gt;=36",Theory!DA17:DA78,"&lt;=40")</f>
        <v>15</v>
      </c>
      <c r="K23" s="3">
        <f>COUNTIFS(Theory!DA17:DA78,"&gt;=41",Theory!DA17:DA78,"&lt;=45")</f>
        <v>19</v>
      </c>
      <c r="L23" s="3">
        <f>COUNTIFS(Theory!DA17:DA78,"&gt;=46",Theory!DA17:DA78,"&lt;=50")</f>
        <v>8</v>
      </c>
    </row>
    <row r="25" spans="2:10">
      <c r="B25" s="45" t="s">
        <v>436</v>
      </c>
      <c r="C25" s="46"/>
      <c r="D25" s="46"/>
      <c r="E25" s="46"/>
      <c r="F25" s="46"/>
      <c r="G25" s="46"/>
      <c r="H25" s="46"/>
      <c r="I25" s="46"/>
      <c r="J25" s="46"/>
    </row>
    <row r="26" spans="3:11">
      <c r="C26" s="47" t="s">
        <v>437</v>
      </c>
      <c r="D26" s="47" t="s">
        <v>90</v>
      </c>
      <c r="E26" s="47" t="s">
        <v>103</v>
      </c>
      <c r="F26" s="47" t="s">
        <v>152</v>
      </c>
      <c r="G26" s="47" t="s">
        <v>438</v>
      </c>
      <c r="H26" s="47" t="s">
        <v>439</v>
      </c>
      <c r="I26" s="47" t="s">
        <v>173</v>
      </c>
      <c r="J26" s="47" t="s">
        <v>440</v>
      </c>
      <c r="K26" s="47" t="s">
        <v>336</v>
      </c>
    </row>
    <row r="27" spans="3:11">
      <c r="C27" s="3">
        <f>COUNTIF(Theory!$DD$17:$DD$86,"=S")</f>
        <v>0</v>
      </c>
      <c r="D27" s="3">
        <f>COUNTIF(Theory!$DD$17:$DD$86,"=A")</f>
        <v>20</v>
      </c>
      <c r="E27" s="3">
        <f>COUNTIF(Theory!$DD$17:$DD$86,"=B")</f>
        <v>5</v>
      </c>
      <c r="F27" s="3">
        <f>COUNTIF(Theory!$DD$17:$DD$86,"=C")</f>
        <v>2</v>
      </c>
      <c r="G27" s="3">
        <f>COUNTIF(Theory!$DD$17:$DD$86,"=D")</f>
        <v>0</v>
      </c>
      <c r="H27" s="3">
        <f>COUNTIF(Theory!$DD$17:$DD$86,"=E")</f>
        <v>0</v>
      </c>
      <c r="I27" s="3">
        <f>COUNTIF(Theory!$DD$17:$DD$86,"=F")</f>
        <v>2</v>
      </c>
      <c r="J27" s="3">
        <f>COUNTIF(Theory!$DD$17:$DD$86,"=X")</f>
        <v>0</v>
      </c>
      <c r="K27" s="3">
        <f>SUM(C27:J27)</f>
        <v>29</v>
      </c>
    </row>
    <row r="41" ht="17.55" spans="8:8">
      <c r="H41" s="66"/>
    </row>
    <row r="42" ht="17.55" spans="9:11">
      <c r="I42" s="77" t="s">
        <v>441</v>
      </c>
      <c r="J42" s="77"/>
      <c r="K42" s="78">
        <f>CORREL(Theory!DA17:DA75,Theory!DB17:DB75)</f>
        <v>0.639587811872247</v>
      </c>
    </row>
    <row r="43" ht="26" spans="2:2">
      <c r="B43" s="48"/>
    </row>
    <row r="44" spans="2:16">
      <c r="B44" s="49" t="s">
        <v>442</v>
      </c>
      <c r="C44" s="49"/>
      <c r="D44" s="49"/>
      <c r="E44" s="49"/>
      <c r="F44" s="49"/>
      <c r="O44" s="49" t="s">
        <v>443</v>
      </c>
      <c r="P44" s="49"/>
    </row>
    <row r="45" ht="34" spans="16:17">
      <c r="P45" s="80" t="s">
        <v>444</v>
      </c>
      <c r="Q45" s="80" t="s">
        <v>445</v>
      </c>
    </row>
    <row r="46" spans="3:17">
      <c r="C46" s="50" t="s">
        <v>256</v>
      </c>
      <c r="D46" s="50" t="s">
        <v>257</v>
      </c>
      <c r="E46" s="50" t="s">
        <v>258</v>
      </c>
      <c r="F46" s="50" t="s">
        <v>259</v>
      </c>
      <c r="G46" s="50" t="s">
        <v>260</v>
      </c>
      <c r="H46" s="50" t="s">
        <v>261</v>
      </c>
      <c r="I46" s="50" t="s">
        <v>262</v>
      </c>
      <c r="J46" s="50" t="s">
        <v>263</v>
      </c>
      <c r="K46" s="50" t="s">
        <v>264</v>
      </c>
      <c r="L46" s="50" t="s">
        <v>265</v>
      </c>
      <c r="M46" s="50" t="s">
        <v>336</v>
      </c>
      <c r="O46" s="50" t="s">
        <v>256</v>
      </c>
      <c r="P46" s="3">
        <f>IFERROR(ROUND((CO_PO_PSO_MAPPING!B19*4+CO_PO_PSO_MAPPING!C19*3+CO_PO_PSO_MAPPING!D19*2+CO_PO_PSO_MAPPING!E19*1)/SUM(CO_PO_PSO_MAPPING!B19:E19),2),0)</f>
        <v>4</v>
      </c>
      <c r="Q46" s="3">
        <f>ROUND(P46/4*100,0)</f>
        <v>100</v>
      </c>
    </row>
    <row r="47" spans="2:17">
      <c r="B47" s="50" t="str">
        <f>CO_PO_PSO_MAPPING!S4</f>
        <v>TEST-1</v>
      </c>
      <c r="C47" s="51">
        <f>SUMIF(CO_PO_PSO_MAPPING!$V$4:$V$35,"*1*",CO_PO_PSO_MAPPING!$U$4:$U$35)</f>
        <v>30</v>
      </c>
      <c r="D47" s="51">
        <f>SUMIF(CO_PO_PSO_MAPPING!$V$4:$V$35,"*2*",CO_PO_PSO_MAPPING!$U$4:$U$35)</f>
        <v>20</v>
      </c>
      <c r="E47" s="51">
        <f>SUMIF(CO_PO_PSO_MAPPING!$V$4:$V$35,"*3*",CO_PO_PSO_MAPPING!$U$4:$U$35)</f>
        <v>0</v>
      </c>
      <c r="F47" s="51">
        <f>SUMIF(CO_PO_PSO_MAPPING!$V$4:$V$35,"*4*",CO_PO_PSO_MAPPING!$U$4:$U$35)</f>
        <v>30</v>
      </c>
      <c r="G47" s="51">
        <f>SUMIF(CO_PO_PSO_MAPPING!$V$4:$V$35,"*5*",CO_PO_PSO_MAPPING!$U$4:$U$35)</f>
        <v>0</v>
      </c>
      <c r="H47" s="51">
        <f>SUMIF(CO_PO_PSO_MAPPING!$V$4:$V$35,"*6*",CO_PO_PSO_MAPPING!$U$4:$U$35)</f>
        <v>0</v>
      </c>
      <c r="I47" s="51">
        <f>SUMIF(CO_PO_PSO_MAPPING!$V$4:$V$35,"*7*",CO_PO_PSO_MAPPING!$U$4:$U$35)</f>
        <v>0</v>
      </c>
      <c r="J47" s="51">
        <f>SUMIF(CO_PO_PSO_MAPPING!$V$4:$V$35,"*8*",CO_PO_PSO_MAPPING!$U$4:$U$35)</f>
        <v>0</v>
      </c>
      <c r="K47" s="51">
        <f>SUMIF(CO_PO_PSO_MAPPING!$V$4:$V$35,"*9*",CO_PO_PSO_MAPPING!$U$4:$U$35)</f>
        <v>0</v>
      </c>
      <c r="L47" s="51">
        <f>SUMIF(CO_PO_PSO_MAPPING!$V$4:$V$35,"*10*",CO_PO_PSO_MAPPING!$U$4:$U$35)</f>
        <v>0</v>
      </c>
      <c r="M47" s="81">
        <f t="shared" ref="M47:M54" si="2">SUM(C47:L47)</f>
        <v>80</v>
      </c>
      <c r="O47" s="50" t="s">
        <v>257</v>
      </c>
      <c r="P47" s="3">
        <f>IFERROR(ROUND((CO_PO_PSO_MAPPING!B20*4+CO_PO_PSO_MAPPING!C20*3+CO_PO_PSO_MAPPING!D20*2+CO_PO_PSO_MAPPING!E20*1)/SUM(CO_PO_PSO_MAPPING!B20:E20),2),0)</f>
        <v>4</v>
      </c>
      <c r="Q47" s="3">
        <f t="shared" ref="Q47:Q55" si="3">ROUND(P47/4*100,0)</f>
        <v>100</v>
      </c>
    </row>
    <row r="48" spans="2:17">
      <c r="B48" s="50" t="str">
        <f>CO_PO_PSO_MAPPING!S36</f>
        <v>TEST-2</v>
      </c>
      <c r="C48" s="51">
        <f>SUMIF(CO_PO_PSO_MAPPING!$V$36:$V$67,"*1*",CO_PO_PSO_MAPPING!$U$36:$U$67)</f>
        <v>0</v>
      </c>
      <c r="D48" s="51">
        <f>SUMIF(CO_PO_PSO_MAPPING!$V$36:$V$67,"*2*",CO_PO_PSO_MAPPING!$U$36:$U$67)</f>
        <v>0</v>
      </c>
      <c r="E48" s="51">
        <f>SUMIF(CO_PO_PSO_MAPPING!$V$36:$V$67,"*3*",CO_PO_PSO_MAPPING!$U$36:$U$67)</f>
        <v>30</v>
      </c>
      <c r="F48" s="51">
        <f>SUMIF(CO_PO_PSO_MAPPING!$V$36:$V$67,"*4*",CO_PO_PSO_MAPPING!$U$36:$U$67)</f>
        <v>50</v>
      </c>
      <c r="G48" s="51">
        <f>SUMIF(CO_PO_PSO_MAPPING!$V$36:$V$67,"*5*",CO_PO_PSO_MAPPING!$U$36:$U$67)</f>
        <v>0</v>
      </c>
      <c r="H48" s="51">
        <f>SUMIF(CO_PO_PSO_MAPPING!$V$36:$V$67,"*6*",CO_PO_PSO_MAPPING!$U$36:$U$67)</f>
        <v>0</v>
      </c>
      <c r="I48" s="51">
        <f>SUMIF(CO_PO_PSO_MAPPING!$V$36:$V$67,"*7*",CO_PO_PSO_MAPPING!$U$36:$U$67)</f>
        <v>0</v>
      </c>
      <c r="J48" s="51">
        <f>SUMIF(CO_PO_PSO_MAPPING!$V$36:$V$67,"*8*",CO_PO_PSO_MAPPING!$U$36:$U$67)</f>
        <v>0</v>
      </c>
      <c r="K48" s="51">
        <f>SUMIF(CO_PO_PSO_MAPPING!$V$36:$V$67,"*9*",CO_PO_PSO_MAPPING!$U$36:$U$67)</f>
        <v>0</v>
      </c>
      <c r="L48" s="51">
        <f>SUMIF(CO_PO_PSO_MAPPING!$V$36:$V$67,"*10*",CO_PO_PSO_MAPPING!$U$36:$U$67)</f>
        <v>0</v>
      </c>
      <c r="M48" s="81">
        <f t="shared" si="2"/>
        <v>80</v>
      </c>
      <c r="O48" s="50" t="s">
        <v>258</v>
      </c>
      <c r="P48" s="3">
        <f>IFERROR(ROUND((CO_PO_PSO_MAPPING!B21*4+CO_PO_PSO_MAPPING!C21*3+CO_PO_PSO_MAPPING!D21*2+CO_PO_PSO_MAPPING!E21*1)/SUM(CO_PO_PSO_MAPPING!B21:E21),2),0)</f>
        <v>3.65</v>
      </c>
      <c r="Q48" s="3">
        <f t="shared" si="3"/>
        <v>91</v>
      </c>
    </row>
    <row r="49" spans="2:17">
      <c r="B49" s="50" t="str">
        <f>CO_PO_PSO_MAPPING!S68</f>
        <v>TEST-3</v>
      </c>
      <c r="C49" s="51">
        <f>SUMIF(CO_PO_PSO_MAPPING!$V$68:$V$99,"*1*",CO_PO_PSO_MAPPING!$U$68:$U$99)</f>
        <v>0</v>
      </c>
      <c r="D49" s="51">
        <f>SUMIF(CO_PO_PSO_MAPPING!$V$68:$V$99,"*2*",CO_PO_PSO_MAPPING!$U$68:$U$99)</f>
        <v>0</v>
      </c>
      <c r="E49" s="51">
        <f>SUMIF(CO_PO_PSO_MAPPING!$V$68:$V$99,"*3*",CO_PO_PSO_MAPPING!$U$68:$U$99)</f>
        <v>30</v>
      </c>
      <c r="F49" s="51">
        <f>SUMIF(CO_PO_PSO_MAPPING!$V$68:$V$99,"*4*",CO_PO_PSO_MAPPING!$U$68:$U$99)</f>
        <v>0</v>
      </c>
      <c r="G49" s="51">
        <f>SUMIF(CO_PO_PSO_MAPPING!$V$68:$V$99,"*5*",CO_PO_PSO_MAPPING!$U$68:$U$99)</f>
        <v>50</v>
      </c>
      <c r="H49" s="51">
        <f>SUMIF(CO_PO_PSO_MAPPING!$V$68:$V$99,"*6*",CO_PO_PSO_MAPPING!$U$68:$U$99)</f>
        <v>0</v>
      </c>
      <c r="I49" s="51">
        <f>SUMIF(CO_PO_PSO_MAPPING!$V$68:$V$99,"*7*",CO_PO_PSO_MAPPING!$U$68:$U$99)</f>
        <v>0</v>
      </c>
      <c r="J49" s="51">
        <f>SUMIF(CO_PO_PSO_MAPPING!$V$68:$V$99,"*8*",CO_PO_PSO_MAPPING!$U$68:$U$99)</f>
        <v>0</v>
      </c>
      <c r="K49" s="51">
        <f>SUMIF(CO_PO_PSO_MAPPING!$V$68:$V$99,"*9*",CO_PO_PSO_MAPPING!$U$68:$U$99)</f>
        <v>0</v>
      </c>
      <c r="L49" s="51">
        <f>SUMIF(CO_PO_PSO_MAPPING!$V$68:$V$99,"*10*",CO_PO_PSO_MAPPING!$U$68:$U$99)</f>
        <v>0</v>
      </c>
      <c r="M49" s="81">
        <f t="shared" si="2"/>
        <v>80</v>
      </c>
      <c r="O49" s="50" t="s">
        <v>259</v>
      </c>
      <c r="P49" s="3">
        <f>IFERROR(ROUND((CO_PO_PSO_MAPPING!B22*4+CO_PO_PSO_MAPPING!C22*3+CO_PO_PSO_MAPPING!D22*2+CO_PO_PSO_MAPPING!E22*1)/SUM(CO_PO_PSO_MAPPING!B22:E22),2),0)</f>
        <v>3.63</v>
      </c>
      <c r="Q49" s="3">
        <f t="shared" si="3"/>
        <v>91</v>
      </c>
    </row>
    <row r="50" spans="2:17">
      <c r="B50" s="50" t="str">
        <f>CO_PO_PSO_MAPPING!S100</f>
        <v>AAT</v>
      </c>
      <c r="C50" s="51">
        <f>SUMIF(CO_PO_PSO_MAPPING!$V$100,"*1*",CO_PO_PSO_MAPPING!$U$100)</f>
        <v>10</v>
      </c>
      <c r="D50" s="51">
        <f>SUMIF(CO_PO_PSO_MAPPING!$V$100,"*2*",CO_PO_PSO_MAPPING!$U$100)</f>
        <v>10</v>
      </c>
      <c r="E50" s="51">
        <f>SUMIF(CO_PO_PSO_MAPPING!$V$100,"*1*",CO_PO_PSO_MAPPING!$U$100)</f>
        <v>10</v>
      </c>
      <c r="F50" s="51">
        <f>SUMIF(CO_PO_PSO_MAPPING!$V$100,"*1*",CO_PO_PSO_MAPPING!$U$100)</f>
        <v>10</v>
      </c>
      <c r="G50" s="51">
        <f>SUMIF(CO_PO_PSO_MAPPING!$V$100,"*5*",CO_PO_PSO_MAPPING!$U$100)</f>
        <v>10</v>
      </c>
      <c r="H50" s="51">
        <f>SUMIF(CO_PO_PSO_MAPPING!$V$100,"*6*",CO_PO_PSO_MAPPING!$U$100)</f>
        <v>10</v>
      </c>
      <c r="I50" s="51">
        <f>SUMIF(CO_PO_PSO_MAPPING!$V$100,"*7*",CO_PO_PSO_MAPPING!$U$100)</f>
        <v>0</v>
      </c>
      <c r="J50" s="51">
        <f>SUMIF(CO_PO_PSO_MAPPING!$V$100,"*8*",CO_PO_PSO_MAPPING!$U$100)</f>
        <v>0</v>
      </c>
      <c r="K50" s="51">
        <f>SUMIF(CO_PO_PSO_MAPPING!$V$100,"*9*",CO_PO_PSO_MAPPING!$U$100)</f>
        <v>0</v>
      </c>
      <c r="L50" s="51">
        <f>SUMIF(CO_PO_PSO_MAPPING!$V$100,"*10*",CO_PO_PSO_MAPPING!$U$100)</f>
        <v>0</v>
      </c>
      <c r="M50" s="81">
        <f t="shared" si="2"/>
        <v>60</v>
      </c>
      <c r="O50" s="50" t="s">
        <v>260</v>
      </c>
      <c r="P50" s="3">
        <f>IFERROR(ROUND((CO_PO_PSO_MAPPING!B23*4+CO_PO_PSO_MAPPING!C23*3+CO_PO_PSO_MAPPING!D23*2+CO_PO_PSO_MAPPING!E23*1)/SUM(CO_PO_PSO_MAPPING!B23:E23),2),0)</f>
        <v>3.49</v>
      </c>
      <c r="Q50" s="3">
        <f t="shared" si="3"/>
        <v>87</v>
      </c>
    </row>
    <row r="51" spans="2:17">
      <c r="B51" s="50" t="str">
        <f>CO_PO_PSO_MAPPING!S101</f>
        <v>QUIZ</v>
      </c>
      <c r="C51" s="51">
        <f>SUMIF(CO_PO_PSO_MAPPING!$V$101,"*1*",CO_PO_PSO_MAPPING!$U$101)</f>
        <v>10</v>
      </c>
      <c r="D51" s="51">
        <f>SUMIF(CO_PO_PSO_MAPPING!$V$101,"*2*",CO_PO_PSO_MAPPING!$U$101)</f>
        <v>10</v>
      </c>
      <c r="E51" s="51">
        <f>SUMIF(CO_PO_PSO_MAPPING!$V$101,"*3*",CO_PO_PSO_MAPPING!$U$101)</f>
        <v>10</v>
      </c>
      <c r="F51" s="51">
        <f>SUMIF(CO_PO_PSO_MAPPING!$V$101,"*4*",CO_PO_PSO_MAPPING!$U$101)</f>
        <v>10</v>
      </c>
      <c r="G51" s="51">
        <f>SUMIF(CO_PO_PSO_MAPPING!$V$101,"*5*",CO_PO_PSO_MAPPING!$U$101)</f>
        <v>10</v>
      </c>
      <c r="H51" s="51">
        <f>SUMIF(CO_PO_PSO_MAPPING!$V$101,"*6*",CO_PO_PSO_MAPPING!$U$101)</f>
        <v>10</v>
      </c>
      <c r="I51" s="51">
        <f>SUMIF(CO_PO_PSO_MAPPING!$V$101,"*7*",CO_PO_PSO_MAPPING!$U$101)</f>
        <v>0</v>
      </c>
      <c r="J51" s="51">
        <f>SUMIF(CO_PO_PSO_MAPPING!$V$101,"*8*",CO_PO_PSO_MAPPING!$U$101)</f>
        <v>0</v>
      </c>
      <c r="K51" s="51">
        <f>SUMIF(CO_PO_PSO_MAPPING!$V$101,"*9*",CO_PO_PSO_MAPPING!$U$101)</f>
        <v>0</v>
      </c>
      <c r="L51" s="51">
        <f>SUMIF(CO_PO_PSO_MAPPING!$V$101,"*10*",CO_PO_PSO_MAPPING!$U$101)</f>
        <v>0</v>
      </c>
      <c r="M51" s="81">
        <f t="shared" si="2"/>
        <v>60</v>
      </c>
      <c r="O51" s="50" t="s">
        <v>261</v>
      </c>
      <c r="P51" s="3">
        <f>IFERROR(ROUND((CO_PO_PSO_MAPPING!B24*4+CO_PO_PSO_MAPPING!C24*3+CO_PO_PSO_MAPPING!D24*2+CO_PO_PSO_MAPPING!E24*1)/SUM(CO_PO_PSO_MAPPING!B24:E24),2),0)</f>
        <v>3.65</v>
      </c>
      <c r="Q51" s="3">
        <f t="shared" si="3"/>
        <v>91</v>
      </c>
    </row>
    <row r="52" spans="2:17">
      <c r="B52" s="50" t="str">
        <f>CO_PO_PSO_MAPPING!S102</f>
        <v>Lab</v>
      </c>
      <c r="C52" s="51">
        <f>SUMIF(CO_PO_PSO_MAPPING!$V$102,"*1*",CO_PO_PSO_MAPPING!$U$102)</f>
        <v>0</v>
      </c>
      <c r="D52" s="51">
        <f>SUMIF(CO_PO_PSO_MAPPING!$V$102,"*2*",CO_PO_PSO_MAPPING!$U$102)</f>
        <v>0</v>
      </c>
      <c r="E52" s="51">
        <f>SUMIF(CO_PO_PSO_MAPPING!$V$102,"*3*",CO_PO_PSO_MAPPING!$U$102)</f>
        <v>0</v>
      </c>
      <c r="F52" s="51">
        <f>SUMIF(CO_PO_PSO_MAPPING!$V$102,"*4*",CO_PO_PSO_MAPPING!$U$102)</f>
        <v>0</v>
      </c>
      <c r="G52" s="51">
        <f>SUMIF(CO_PO_PSO_MAPPING!$V$102,"*5*",CO_PO_PSO_MAPPING!$U$102)</f>
        <v>50</v>
      </c>
      <c r="H52" s="51">
        <f>SUMIF(CO_PO_PSO_MAPPING!$V$102,"*6*",CO_PO_PSO_MAPPING!$U$102)</f>
        <v>50</v>
      </c>
      <c r="I52" s="51">
        <f>SUMIF(CO_PO_PSO_MAPPING!$V$102,"*7*",CO_PO_PSO_MAPPING!$U$102)</f>
        <v>0</v>
      </c>
      <c r="J52" s="51">
        <f>SUMIF(CO_PO_PSO_MAPPING!$V$102,"*8*",CO_PO_PSO_MAPPING!$U$102)</f>
        <v>0</v>
      </c>
      <c r="K52" s="51">
        <f>SUMIF(CO_PO_PSO_MAPPING!$V$102,"*9*",CO_PO_PSO_MAPPING!$U$102)</f>
        <v>0</v>
      </c>
      <c r="L52" s="51">
        <f>SUMIF(CO_PO_PSO_MAPPING!$V$102,"*10*",CO_PO_PSO_MAPPING!$U$102)</f>
        <v>0</v>
      </c>
      <c r="M52" s="81">
        <f t="shared" si="2"/>
        <v>100</v>
      </c>
      <c r="O52" s="50" t="s">
        <v>262</v>
      </c>
      <c r="P52" s="3">
        <f>IFERROR(ROUND((CO_PO_PSO_MAPPING!B25*4+CO_PO_PSO_MAPPING!C25*3+CO_PO_PSO_MAPPING!D25*2+CO_PO_PSO_MAPPING!E25*1)/SUM(CO_PO_PSO_MAPPING!B25:E25),2),0)</f>
        <v>0</v>
      </c>
      <c r="Q52" s="3">
        <f t="shared" si="3"/>
        <v>0</v>
      </c>
    </row>
    <row r="53" spans="2:17">
      <c r="B53" s="50" t="str">
        <f>CO_PO_PSO_MAPPING!S103</f>
        <v>Project</v>
      </c>
      <c r="C53" s="51">
        <f>SUMIF(CO_PO_PSO_MAPPING!$V$103,"*1*",CO_PO_PSO_MAPPING!$U$103)</f>
        <v>0</v>
      </c>
      <c r="D53" s="51">
        <f>SUMIF(CO_PO_PSO_MAPPING!$V$103,"*2*",CO_PO_PSO_MAPPING!$U$103)</f>
        <v>0</v>
      </c>
      <c r="E53" s="51">
        <f>SUMIF(CO_PO_PSO_MAPPING!$V$103,"*3*",CO_PO_PSO_MAPPING!$U$103)</f>
        <v>0</v>
      </c>
      <c r="F53" s="51">
        <f>SUMIF(CO_PO_PSO_MAPPING!$V$103,"*4*",CO_PO_PSO_MAPPING!$U$103)</f>
        <v>0</v>
      </c>
      <c r="G53" s="51">
        <f>SUMIF(CO_PO_PSO_MAPPING!$V$103,"*5*",CO_PO_PSO_MAPPING!$U$103)</f>
        <v>0</v>
      </c>
      <c r="H53" s="51">
        <f>SUMIF(CO_PO_PSO_MAPPING!$V$103,"*6*",CO_PO_PSO_MAPPING!$U$103)</f>
        <v>0</v>
      </c>
      <c r="I53" s="51">
        <f>SUMIF(CO_PO_PSO_MAPPING!$V$103,"*7*",CO_PO_PSO_MAPPING!$U$103)</f>
        <v>0</v>
      </c>
      <c r="J53" s="51">
        <f>SUMIF(CO_PO_PSO_MAPPING!$V$103,"*8*",CO_PO_PSO_MAPPING!$U$103)</f>
        <v>0</v>
      </c>
      <c r="K53" s="51">
        <f>SUMIF(CO_PO_PSO_MAPPING!$V$103,"*9*",CO_PO_PSO_MAPPING!$U$103)</f>
        <v>0</v>
      </c>
      <c r="L53" s="51">
        <f>SUMIF(CO_PO_PSO_MAPPING!$V$103,"*10*",CO_PO_PSO_MAPPING!$U$103)</f>
        <v>0</v>
      </c>
      <c r="M53" s="81">
        <f t="shared" si="2"/>
        <v>0</v>
      </c>
      <c r="O53" s="50" t="s">
        <v>263</v>
      </c>
      <c r="P53" s="3">
        <f>IFERROR(ROUND((CO_PO_PSO_MAPPING!B26*4+CO_PO_PSO_MAPPING!C26*3+CO_PO_PSO_MAPPING!D26*2+CO_PO_PSO_MAPPING!E26*1)/SUM(CO_PO_PSO_MAPPING!B26:E26),2),0)</f>
        <v>0</v>
      </c>
      <c r="Q53" s="3">
        <f t="shared" si="3"/>
        <v>0</v>
      </c>
    </row>
    <row r="54" spans="2:17">
      <c r="B54" s="52" t="s">
        <v>446</v>
      </c>
      <c r="C54" s="53">
        <f>SUM(C47:C53)</f>
        <v>50</v>
      </c>
      <c r="D54" s="53">
        <f t="shared" ref="D54:L54" si="4">SUM(D47:D53)</f>
        <v>40</v>
      </c>
      <c r="E54" s="53">
        <f t="shared" si="4"/>
        <v>80</v>
      </c>
      <c r="F54" s="53">
        <f t="shared" si="4"/>
        <v>100</v>
      </c>
      <c r="G54" s="53">
        <f t="shared" si="4"/>
        <v>120</v>
      </c>
      <c r="H54" s="53">
        <f t="shared" si="4"/>
        <v>70</v>
      </c>
      <c r="I54" s="53">
        <f t="shared" si="4"/>
        <v>0</v>
      </c>
      <c r="J54" s="53">
        <f t="shared" si="4"/>
        <v>0</v>
      </c>
      <c r="K54" s="53">
        <f t="shared" si="4"/>
        <v>0</v>
      </c>
      <c r="L54" s="53">
        <f t="shared" si="4"/>
        <v>0</v>
      </c>
      <c r="M54" s="53">
        <f t="shared" si="2"/>
        <v>460</v>
      </c>
      <c r="O54" s="50" t="s">
        <v>264</v>
      </c>
      <c r="P54" s="3">
        <f>IFERROR(ROUND((CO_PO_PSO_MAPPING!B27*4+CO_PO_PSO_MAPPING!C27*3+CO_PO_PSO_MAPPING!D27*2+CO_PO_PSO_MAPPING!E27*1)/SUM(CO_PO_PSO_MAPPING!B27:E27),2),0)</f>
        <v>0</v>
      </c>
      <c r="Q54" s="3">
        <f t="shared" si="3"/>
        <v>0</v>
      </c>
    </row>
    <row r="55" spans="2:17">
      <c r="B55" s="54" t="s">
        <v>447</v>
      </c>
      <c r="C55" s="55">
        <f t="shared" ref="C55:M55" si="5">ROUND(C54/$M$54*100,0)</f>
        <v>11</v>
      </c>
      <c r="D55" s="55">
        <f t="shared" si="5"/>
        <v>9</v>
      </c>
      <c r="E55" s="55">
        <f t="shared" si="5"/>
        <v>17</v>
      </c>
      <c r="F55" s="55">
        <f t="shared" si="5"/>
        <v>22</v>
      </c>
      <c r="G55" s="55">
        <f t="shared" si="5"/>
        <v>26</v>
      </c>
      <c r="H55" s="55">
        <f t="shared" si="5"/>
        <v>15</v>
      </c>
      <c r="I55" s="55">
        <f t="shared" si="5"/>
        <v>0</v>
      </c>
      <c r="J55" s="55">
        <f t="shared" si="5"/>
        <v>0</v>
      </c>
      <c r="K55" s="55">
        <f t="shared" si="5"/>
        <v>0</v>
      </c>
      <c r="L55" s="55">
        <f t="shared" si="5"/>
        <v>0</v>
      </c>
      <c r="M55" s="55">
        <f t="shared" si="5"/>
        <v>100</v>
      </c>
      <c r="O55" s="50" t="s">
        <v>265</v>
      </c>
      <c r="P55" s="3">
        <f>IFERROR(ROUND((CO_PO_PSO_MAPPING!B28*4+CO_PO_PSO_MAPPING!C28*3+CO_PO_PSO_MAPPING!D28*2+CO_PO_PSO_MAPPING!E28*1)/SUM(CO_PO_PSO_MAPPING!B28:E28),2),0)</f>
        <v>0</v>
      </c>
      <c r="Q55" s="3">
        <f t="shared" si="3"/>
        <v>0</v>
      </c>
    </row>
    <row r="57" ht="17.55"/>
    <row r="58" ht="34" spans="2:17">
      <c r="B58" s="56" t="s">
        <v>448</v>
      </c>
      <c r="C58" s="57" t="s">
        <v>270</v>
      </c>
      <c r="D58" s="57" t="s">
        <v>271</v>
      </c>
      <c r="E58" s="57" t="s">
        <v>272</v>
      </c>
      <c r="F58" s="57" t="s">
        <v>273</v>
      </c>
      <c r="G58" s="57" t="s">
        <v>274</v>
      </c>
      <c r="H58" s="57" t="s">
        <v>275</v>
      </c>
      <c r="I58" s="57" t="s">
        <v>276</v>
      </c>
      <c r="J58" s="57" t="s">
        <v>277</v>
      </c>
      <c r="K58" s="57" t="s">
        <v>278</v>
      </c>
      <c r="L58" s="57" t="s">
        <v>279</v>
      </c>
      <c r="M58" s="57" t="s">
        <v>280</v>
      </c>
      <c r="N58" s="57" t="s">
        <v>281</v>
      </c>
      <c r="O58" s="57" t="s">
        <v>368</v>
      </c>
      <c r="P58" s="57" t="s">
        <v>369</v>
      </c>
      <c r="Q58" s="85" t="s">
        <v>370</v>
      </c>
    </row>
    <row r="59" ht="34" spans="2:17">
      <c r="B59" s="58" t="s">
        <v>380</v>
      </c>
      <c r="C59" s="59" t="str">
        <f>IF(CO_PO_PSO_MAPPING!C4&gt;=1,IF(AND($C$55&lt;=10,$C$55&gt;0),1,IF(AND($C$55&gt;10,$C$55&lt;=20),2,IF($C$55&gt;20,3,""))),"")</f>
        <v/>
      </c>
      <c r="D59" s="59" t="str">
        <f>IF(CO_PO_PSO_MAPPING!D4&gt;=1,IF(AND($C$55&lt;=10,$C$55&gt;0),1,IF(AND($C$55&gt;10,$C$55&lt;=20),2,IF($C$55&gt;20,3,""))),"")</f>
        <v/>
      </c>
      <c r="E59" s="59" t="str">
        <f>IF(CO_PO_PSO_MAPPING!E4&gt;=1,IF(AND($C$55&lt;=10,$C$55&gt;0),1,IF(AND($C$55&gt;10,$C$55&lt;=20),2,IF($C$55&gt;20,3,""))),"")</f>
        <v/>
      </c>
      <c r="F59" s="59" t="str">
        <f>IF(CO_PO_PSO_MAPPING!F4&gt;=1,IF(AND($C$55&lt;=10,$C$55&gt;0),1,IF(AND($C$55&gt;10,$C$55&lt;=20),2,IF($C$55&gt;20,3,""))),"")</f>
        <v/>
      </c>
      <c r="G59" s="59" t="str">
        <f>IF(CO_PO_PSO_MAPPING!G4&gt;=1,IF(AND($C$55&lt;=10,$C$55&gt;0),1,IF(AND($C$55&gt;10,$C$55&lt;=20),2,IF($C$55&gt;20,3,""))),"")</f>
        <v/>
      </c>
      <c r="H59" s="59" t="str">
        <f>IF(CO_PO_PSO_MAPPING!H4&gt;=1,IF(AND($C$55&lt;=10,$C$55&gt;0),1,IF(AND($C$55&gt;10,$C$55&lt;=20),2,IF($C$55&gt;20,3,""))),"")</f>
        <v/>
      </c>
      <c r="I59" s="59" t="str">
        <f>IF(CO_PO_PSO_MAPPING!I4&gt;=1,IF(AND($C$55&lt;=10,$C$55&gt;0),1,IF(AND($C$55&gt;10,$C$55&lt;=20),2,IF($C$55&gt;20,3,""))),"")</f>
        <v/>
      </c>
      <c r="J59" s="59" t="str">
        <f>IF(CO_PO_PSO_MAPPING!J4&gt;=1,IF(AND($C$55&lt;=10,$C$55&gt;0),1,IF(AND($C$55&gt;10,$C$55&lt;=20),2,IF($C$55&gt;20,3,""))),"")</f>
        <v/>
      </c>
      <c r="K59" s="59" t="str">
        <f>IF(CO_PO_PSO_MAPPING!K4&gt;=1,IF(AND($C$55&lt;=10,$C$55&gt;0),1,IF(AND($C$55&gt;10,$C$55&lt;=20),2,IF($C$55&gt;20,3,""))),"")</f>
        <v/>
      </c>
      <c r="L59" s="59" t="str">
        <f>IF(CO_PO_PSO_MAPPING!L4&gt;=1,IF(AND($C$55&lt;=10,$C$55&gt;0),1,IF(AND($C$55&gt;10,$C$55&lt;=20),2,IF($C$55&gt;20,3,""))),"")</f>
        <v/>
      </c>
      <c r="M59" s="59" t="str">
        <f>IF(CO_PO_PSO_MAPPING!M4&gt;=1,IF(AND($C$55&lt;=10,$C$55&gt;0),1,IF(AND($C$55&gt;10,$C$55&lt;=20),2,IF($C$55&gt;20,3,""))),"")</f>
        <v/>
      </c>
      <c r="N59" s="59">
        <f>IF(CO_PO_PSO_MAPPING!N4&gt;=1,IF(AND($C$55&lt;=10,$C$55&gt;0),1,IF(AND($C$55&gt;10,$C$55&lt;=20),2,IF($C$55&gt;20,3,""))),"")</f>
        <v>2</v>
      </c>
      <c r="O59" s="59" t="str">
        <f>IF(CO_PO_PSO_MAPPING!O4&gt;=1,IF(AND($C$55&lt;=10,$C$55&gt;0),1,IF(AND($C$55&gt;10,$C$55&lt;=20),2,IF($C$55&gt;20,3,""))),"")</f>
        <v/>
      </c>
      <c r="P59" s="59" t="str">
        <f>IF(CO_PO_PSO_MAPPING!P4&gt;=1,IF(AND($C$55&lt;=10,$C$55&gt;0),1,IF(AND($C$55&gt;10,$C$55&lt;=20),2,IF($C$55&gt;20,3,""))),"")</f>
        <v/>
      </c>
      <c r="Q59" s="59" t="str">
        <f>IF(CO_PO_PSO_MAPPING!Q4&gt;=1,IF(AND($C$55&lt;=10,$C$55&gt;0),1,IF(AND($C$55&gt;10,$C$55&lt;=20),2,IF($C$55&gt;20,3,""))),"")</f>
        <v/>
      </c>
    </row>
    <row r="60" ht="48" customHeight="1" spans="2:17">
      <c r="B60" s="58" t="s">
        <v>383</v>
      </c>
      <c r="C60" s="59">
        <f>IF(CO_PO_PSO_MAPPING!C5&gt;=1,IF(AND($D$55&lt;=10,$D$55&gt;0),1,IF(AND($D$55&gt;10,$D$55&lt;=20),2,IF($D$55&gt;20,3,""))),"")</f>
        <v>1</v>
      </c>
      <c r="D60" s="59" t="str">
        <f>IF(CO_PO_PSO_MAPPING!D5&gt;=1,IF(AND($D$55&lt;=10,$D$55&gt;0),1,IF(AND($D$55&gt;10,$D$55&lt;=20),2,IF($D$55&gt;20,3,""))),"")</f>
        <v/>
      </c>
      <c r="E60" s="59" t="str">
        <f>IF(CO_PO_PSO_MAPPING!E5&gt;=1,IF(AND($D$55&lt;=10,$D$55&gt;0),1,IF(AND($D$55&gt;10,$D$55&lt;=20),2,IF($D$55&gt;20,3,""))),"")</f>
        <v/>
      </c>
      <c r="F60" s="59" t="str">
        <f>IF(CO_PO_PSO_MAPPING!F5&gt;=1,IF(AND($D$55&lt;=10,$D$55&gt;0),1,IF(AND($D$55&gt;10,$D$55&lt;=20),2,IF($D$55&gt;20,3,""))),"")</f>
        <v/>
      </c>
      <c r="G60" s="59">
        <f>IF(CO_PO_PSO_MAPPING!G5&gt;=1,IF(AND($D$55&lt;=10,$D$55&gt;0),1,IF(AND($D$55&gt;10,$D$55&lt;=20),2,IF($D$55&gt;20,3,""))),"")</f>
        <v>1</v>
      </c>
      <c r="H60" s="59" t="str">
        <f>IF(CO_PO_PSO_MAPPING!H5&gt;=1,IF(AND($D$55&lt;=10,$D$55&gt;0),1,IF(AND($D$55&gt;10,$D$55&lt;=20),2,IF($D$55&gt;20,3,""))),"")</f>
        <v/>
      </c>
      <c r="I60" s="59" t="str">
        <f>IF(CO_PO_PSO_MAPPING!I5&gt;=1,IF(AND($D$55&lt;=10,$D$55&gt;0),1,IF(AND($D$55&gt;10,$D$55&lt;=20),2,IF($D$55&gt;20,3,""))),"")</f>
        <v/>
      </c>
      <c r="J60" s="59" t="str">
        <f>IF(CO_PO_PSO_MAPPING!J5&gt;=1,IF(AND($D$55&lt;=10,$D$55&gt;0),1,IF(AND($D$55&gt;10,$D$55&lt;=20),2,IF($D$55&gt;20,3,""))),"")</f>
        <v/>
      </c>
      <c r="K60" s="59">
        <f>IF(CO_PO_PSO_MAPPING!K5&gt;=1,IF(AND($D$55&lt;=10,$D$55&gt;0),1,IF(AND($D$55&gt;10,$D$55&lt;=20),2,IF($D$55&gt;20,3,""))),"")</f>
        <v>1</v>
      </c>
      <c r="L60" s="59" t="str">
        <f>IF(CO_PO_PSO_MAPPING!L5&gt;=1,IF(AND($D$55&lt;=10,$D$55&gt;0),1,IF(AND($D$55&gt;10,$D$55&lt;=20),2,IF($D$55&gt;20,3,""))),"")</f>
        <v/>
      </c>
      <c r="M60" s="59" t="str">
        <f>IF(CO_PO_PSO_MAPPING!M5&gt;=1,IF(AND($D$55&lt;=10,$D$55&gt;0),1,IF(AND($D$55&gt;10,$D$55&lt;=20),2,IF($D$55&gt;20,3,""))),"")</f>
        <v/>
      </c>
      <c r="N60" s="59" t="str">
        <f>IF(CO_PO_PSO_MAPPING!N5&gt;=1,IF(AND($D$55&lt;=10,$D$55&gt;0),1,IF(AND($D$55&gt;10,$D$55&lt;=20),2,IF($D$55&gt;20,3,""))),"")</f>
        <v/>
      </c>
      <c r="O60" s="59">
        <f>IF(CO_PO_PSO_MAPPING!O5&gt;=1,IF(AND($D$55&lt;=10,$D$55&gt;0),1,IF(AND($D$55&gt;10,$D$55&lt;=20),2,IF($D$55&gt;20,3,""))),"")</f>
        <v>1</v>
      </c>
      <c r="P60" s="59" t="str">
        <f>IF(CO_PO_PSO_MAPPING!P5&gt;=1,IF(AND($D$55&lt;=10,$D$55&gt;0),1,IF(AND($D$55&gt;10,$D$55&lt;=20),2,IF($D$55&gt;20,3,""))),"")</f>
        <v/>
      </c>
      <c r="Q60" s="59" t="str">
        <f>IF(CO_PO_PSO_MAPPING!Q5&gt;=1,IF(AND($D$55&lt;=10,$D$55&gt;0),1,IF(AND($D$55&gt;10,$D$55&lt;=20),2,IF($D$55&gt;20,3,""))),"")</f>
        <v/>
      </c>
    </row>
    <row r="61" ht="86.25" customHeight="1" spans="2:17">
      <c r="B61" s="58" t="s">
        <v>384</v>
      </c>
      <c r="C61" s="59" t="str">
        <f>IF(CO_PO_PSO_MAPPING!C6&gt;=1,IF(AND($E$55&lt;=10,$E$55&gt;0),1,IF(AND($E$55&gt;10,$E$55&lt;=20),2,IF($E$55&gt;20,3,""))),"")</f>
        <v/>
      </c>
      <c r="D61" s="59">
        <f>IF(CO_PO_PSO_MAPPING!D6&gt;=1,IF(AND($E$55&lt;=10,$E$55&gt;0),1,IF(AND($E$55&gt;10,$E$55&lt;=20),2,IF($E$55&gt;20,3,""))),"")</f>
        <v>2</v>
      </c>
      <c r="E61" s="59">
        <f>IF(CO_PO_PSO_MAPPING!E6&gt;=1,IF(AND($E$55&lt;=10,$E$55&gt;0),1,IF(AND($E$55&gt;10,$E$55&lt;=20),2,IF($E$55&gt;20,3,""))),"")</f>
        <v>2</v>
      </c>
      <c r="F61" s="59">
        <f>IF(CO_PO_PSO_MAPPING!F6&gt;=1,IF(AND($E$55&lt;=10,$E$55&gt;0),1,IF(AND($E$55&gt;10,$E$55&lt;=20),2,IF($E$55&gt;20,3,""))),"")</f>
        <v>2</v>
      </c>
      <c r="G61" s="59" t="str">
        <f>IF(CO_PO_PSO_MAPPING!G6&gt;=1,IF(AND($E$55&lt;=10,$E$55&gt;0),1,IF(AND($E$55&gt;10,$E$55&lt;=20),2,IF($E$55&gt;20,3,""))),"")</f>
        <v/>
      </c>
      <c r="H61" s="59" t="str">
        <f>IF(CO_PO_PSO_MAPPING!H6&gt;=1,IF(AND($E$55&lt;=10,$E$55&gt;0),1,IF(AND($E$55&gt;10,$E$55&lt;=20),2,IF($E$55&gt;20,3,""))),"")</f>
        <v/>
      </c>
      <c r="I61" s="59" t="str">
        <f>IF(CO_PO_PSO_MAPPING!I6&gt;=1,IF(AND($E$55&lt;=10,$E$55&gt;0),1,IF(AND($E$55&gt;10,$E$55&lt;=20),2,IF($E$55&gt;20,3,""))),"")</f>
        <v/>
      </c>
      <c r="J61" s="59" t="str">
        <f>IF(CO_PO_PSO_MAPPING!J6&gt;=1,IF(AND($E$55&lt;=10,$E$55&gt;0),1,IF(AND($E$55&gt;10,$E$55&lt;=20),2,IF($E$55&gt;20,3,""))),"")</f>
        <v/>
      </c>
      <c r="K61" s="59">
        <f>IF(CO_PO_PSO_MAPPING!K6&gt;=1,IF(AND($E$55&lt;=10,$E$55&gt;0),1,IF(AND($E$55&gt;10,$E$55&lt;=20),2,IF($E$55&gt;20,3,""))),"")</f>
        <v>2</v>
      </c>
      <c r="L61" s="59" t="str">
        <f>IF(CO_PO_PSO_MAPPING!L6&gt;=1,IF(AND($E$55&lt;=10,$E$55&gt;0),1,IF(AND($E$55&gt;10,$E$55&lt;=20),2,IF($E$55&gt;20,3,""))),"")</f>
        <v/>
      </c>
      <c r="M61" s="59" t="str">
        <f>IF(CO_PO_PSO_MAPPING!M6&gt;=1,IF(AND($E$55&lt;=10,$E$55&gt;0),1,IF(AND($E$55&gt;10,$E$55&lt;=20),2,IF($E$55&gt;20,3,""))),"")</f>
        <v/>
      </c>
      <c r="N61" s="59" t="str">
        <f>IF(CO_PO_PSO_MAPPING!N6&gt;=1,IF(AND($E$55&lt;=10,$E$55&gt;0),1,IF(AND($E$55&gt;10,$E$55&lt;=20),2,IF($E$55&gt;20,3,""))),"")</f>
        <v/>
      </c>
      <c r="O61" s="59">
        <f>IF(CO_PO_PSO_MAPPING!O6&gt;=1,IF(AND($E$55&lt;=10,$E$55&gt;0),1,IF(AND($E$55&gt;10,$E$55&lt;=20),2,IF($E$55&gt;20,3,""))),"")</f>
        <v>2</v>
      </c>
      <c r="P61" s="59" t="str">
        <f>IF(CO_PO_PSO_MAPPING!P6&gt;=1,IF(AND($E$55&lt;=10,$E$55&gt;0),1,IF(AND($E$55&gt;10,$E$55&lt;=20),2,IF($E$55&gt;20,3,""))),"")</f>
        <v/>
      </c>
      <c r="Q61" s="59" t="str">
        <f>IF(CO_PO_PSO_MAPPING!Q6&gt;=1,IF(AND($E$55&lt;=10,$E$55&gt;0),1,IF(AND($E$55&gt;10,$E$55&lt;=20),2,IF($E$55&gt;20,3,""))),"")</f>
        <v/>
      </c>
    </row>
    <row r="62" ht="46.5" customHeight="1" spans="2:17">
      <c r="B62" s="58" t="s">
        <v>385</v>
      </c>
      <c r="C62" s="59" t="str">
        <f>IF(CO_PO_PSO_MAPPING!C7&gt;=1,IF(AND($F$55&lt;=10,$F$55&gt;0),1,IF(AND($F$55&gt;10,$F$55&lt;=20),2,IF($F$55&gt;20,3,""))),"")</f>
        <v/>
      </c>
      <c r="D62" s="59" t="str">
        <f>IF(CO_PO_PSO_MAPPING!D7&gt;=1,IF(AND($F$55&lt;=10,$F$55&gt;0),1,IF(AND($F$55&gt;10,$F$55&lt;=20),2,IF($F$55&gt;20,3,""))),"")</f>
        <v/>
      </c>
      <c r="E62" s="59" t="str">
        <f>IF(CO_PO_PSO_MAPPING!E7&gt;=1,IF(AND($F$55&lt;=10,$F$55&gt;0),1,IF(AND($F$55&gt;10,$F$55&lt;=20),2,IF($F$55&gt;20,3,""))),"")</f>
        <v/>
      </c>
      <c r="F62" s="59"/>
      <c r="G62" s="59">
        <f>IF(CO_PO_PSO_MAPPING!G7&gt;=1,IF(AND($F$55&lt;=10,$F$55&gt;0),1,IF(AND($F$55&gt;10,$F$55&lt;=20),2,IF($F$55&gt;20,3,""))),"")</f>
        <v>3</v>
      </c>
      <c r="H62" s="59" t="str">
        <f>IF(CO_PO_PSO_MAPPING!H7&gt;=1,IF(AND($F$55&lt;=10,$F$55&gt;0),1,IF(AND($F$55&gt;10,$F$55&lt;=20),2,IF($F$55&gt;20,3,""))),"")</f>
        <v/>
      </c>
      <c r="I62" s="59" t="str">
        <f>IF(CO_PO_PSO_MAPPING!I7&gt;=1,IF(AND($F$55&lt;=10,$F$55&gt;0),1,IF(AND($F$55&gt;10,$F$55&lt;=20),2,IF($F$55&gt;20,3,""))),"")</f>
        <v/>
      </c>
      <c r="J62" s="59" t="str">
        <f>IF(CO_PO_PSO_MAPPING!J7&gt;=1,IF(AND($F$55&lt;=10,$F$55&gt;0),1,IF(AND($F$55&gt;10,$F$55&lt;=20),2,IF($F$55&gt;20,3,""))),"")</f>
        <v/>
      </c>
      <c r="K62" s="59">
        <f>IF(CO_PO_PSO_MAPPING!K7&gt;=1,IF(AND($F$55&lt;=10,$F$55&gt;0),1,IF(AND($F$55&gt;10,$F$55&lt;=20),2,IF($F$55&gt;20,3,""))),"")</f>
        <v>3</v>
      </c>
      <c r="L62" s="59" t="str">
        <f>IF(CO_PO_PSO_MAPPING!L7&gt;=1,IF(AND($F$55&lt;=10,$F$55&gt;0),1,IF(AND($F$55&gt;10,$F$55&lt;=20),2,IF($F$55&gt;20,3,""))),"")</f>
        <v/>
      </c>
      <c r="M62" s="59">
        <f>IF(CO_PO_PSO_MAPPING!M7&gt;=1,IF(AND($F$55&lt;=10,$F$55&gt;0),1,IF(AND($F$55&gt;10,$F$55&lt;=20),2,IF($F$55&gt;20,3,""))),"")</f>
        <v>3</v>
      </c>
      <c r="N62" s="59" t="str">
        <f>IF(CO_PO_PSO_MAPPING!N7&gt;=1,IF(AND($F$55&lt;=10,$F$55&gt;0),1,IF(AND($F$55&gt;10,$F$55&lt;=20),2,IF($F$55&gt;20,3,""))),"")</f>
        <v/>
      </c>
      <c r="O62" s="59" t="str">
        <f>IF(CO_PO_PSO_MAPPING!O7&gt;=1,IF(AND($F$55&lt;=10,$F$55&gt;0),1,IF(AND($F$55&gt;10,$F$55&lt;=20),2,IF($F$55&gt;20,3,""))),"")</f>
        <v/>
      </c>
      <c r="P62" s="59" t="str">
        <f>IF(CO_PO_PSO_MAPPING!P7&gt;=1,IF(AND($F$55&lt;=10,$F$55&gt;0),1,IF(AND($F$55&gt;10,$F$55&lt;=20),2,IF($F$55&gt;20,3,""))),"")</f>
        <v/>
      </c>
      <c r="Q62" s="59" t="str">
        <f>IF(CO_PO_PSO_MAPPING!Q7&gt;=1,IF(AND($F$55&lt;=10,$F$55&gt;0),1,IF(AND($F$55&gt;10,$F$55&lt;=20),2,IF($F$55&gt;20,3,""))),"")</f>
        <v/>
      </c>
    </row>
    <row r="63" ht="51" spans="2:17">
      <c r="B63" s="58" t="s">
        <v>386</v>
      </c>
      <c r="C63" s="59" t="str">
        <f>IF(CO_PO_PSO_MAPPING!C8&gt;=1,IF(AND($G$55&lt;=10,$G$55&gt;0),1,IF(AND($G$55&gt;10,$G$55&lt;=20),2,IF($G$55&gt;20,3,""))),"")</f>
        <v/>
      </c>
      <c r="D63" s="59" t="str">
        <f>IF(CO_PO_PSO_MAPPING!D8&gt;=1,IF(AND($G$55&lt;=10,$G$55&gt;0),1,IF(AND($G$55&gt;10,$G$55&lt;=20),2,IF($G$55&gt;20,3,""))),"")</f>
        <v/>
      </c>
      <c r="E63" s="59" t="str">
        <f>IF(CO_PO_PSO_MAPPING!E8&gt;=1,IF(AND($G$55&lt;=10,$G$55&gt;0),1,IF(AND($G$55&gt;10,$G$55&lt;=20),2,IF($G$55&gt;20,3,""))),"")</f>
        <v/>
      </c>
      <c r="F63" s="59" t="str">
        <f>IF(CO_PO_PSO_MAPPING!F8&gt;=1,IF(AND($G$55&lt;=10,$G$55&gt;0),1,IF(AND($G$55&gt;10,$G$55&lt;=20),2,IF($G$55&gt;20,3,""))),"")</f>
        <v/>
      </c>
      <c r="G63" s="59">
        <f>IF(CO_PO_PSO_MAPPING!G8&gt;=1,IF(AND($G$55&lt;=10,$G$55&gt;0),1,IF(AND($G$55&gt;10,$G$55&lt;=20),2,IF($G$55&gt;20,3,""))),"")</f>
        <v>3</v>
      </c>
      <c r="H63" s="59" t="str">
        <f>IF(CO_PO_PSO_MAPPING!H8&gt;=1,IF(AND($G$55&lt;=10,$G$55&gt;0),1,IF(AND($G$55&gt;10,$G$55&lt;=20),2,IF($G$55&gt;20,3,""))),"")</f>
        <v/>
      </c>
      <c r="I63" s="59" t="str">
        <f>IF(CO_PO_PSO_MAPPING!I8&gt;=1,IF(AND($G$55&lt;=10,$G$55&gt;0),1,IF(AND($G$55&gt;10,$G$55&lt;=20),2,IF($G$55&gt;20,3,""))),"")</f>
        <v/>
      </c>
      <c r="J63" s="59" t="str">
        <f>IF(CO_PO_PSO_MAPPING!J8&gt;=1,IF(AND($G$55&lt;=10,$G$55&gt;0),1,IF(AND($G$55&gt;10,$G$55&lt;=20),2,IF($G$55&gt;20,3,""))),"")</f>
        <v/>
      </c>
      <c r="K63" s="59">
        <f>IF(CO_PO_PSO_MAPPING!K8&gt;=1,IF(AND($G$55&lt;=10,$G$55&gt;0),1,IF(AND($G$55&gt;10,$G$55&lt;=20),2,IF($G$55&gt;20,3,""))),"")</f>
        <v>3</v>
      </c>
      <c r="L63" s="59" t="str">
        <f>IF(CO_PO_PSO_MAPPING!L8&gt;=1,IF(AND($G$55&lt;=10,$G$55&gt;0),1,IF(AND($G$55&gt;10,$G$55&lt;=20),2,IF($G$55&gt;20,3,""))),"")</f>
        <v/>
      </c>
      <c r="M63" s="59" t="str">
        <f>IF(CO_PO_PSO_MAPPING!M8&gt;=1,IF(AND($G$55&lt;=10,$G$55&gt;0),1,IF(AND($G$55&gt;10,$G$55&lt;=20),2,IF($G$55&gt;20,3,""))),"")</f>
        <v/>
      </c>
      <c r="N63" s="59" t="str">
        <f>IF(CO_PO_PSO_MAPPING!N8&gt;=1,IF(AND($G$55&lt;=10,$G$55&gt;0),1,IF(AND($G$55&gt;10,$G$55&lt;=20),2,IF($G$55&gt;20,3,""))),"")</f>
        <v/>
      </c>
      <c r="O63" s="59" t="str">
        <f>IF(CO_PO_PSO_MAPPING!O8&gt;=1,IF(AND($G$55&lt;=10,$G$55&gt;0),1,IF(AND($G$55&gt;10,$G$55&lt;=20),2,IF($G$55&gt;20,3,""))),"")</f>
        <v/>
      </c>
      <c r="P63" s="59" t="str">
        <f>IF(CO_PO_PSO_MAPPING!P8&gt;=1,IF(AND($G$55&lt;=10,$G$55&gt;0),1,IF(AND($G$55&gt;10,$G$55&lt;=20),2,IF($G$55&gt;20,3,""))),"")</f>
        <v/>
      </c>
      <c r="Q63" s="59" t="str">
        <f>IF(CO_PO_PSO_MAPPING!Q8&gt;=1,IF(AND($G$55&lt;=10,$G$55&gt;0),1,IF(AND($G$55&gt;10,$G$55&lt;=20),2,IF($G$55&gt;20,3,""))),"")</f>
        <v/>
      </c>
    </row>
    <row r="64" ht="51" spans="2:17">
      <c r="B64" s="58" t="s">
        <v>388</v>
      </c>
      <c r="C64" s="59" t="str">
        <f>IF(CO_PO_PSO_MAPPING!C9&gt;=1,IF(AND($H$55&lt;=10,$H$55&gt;0),1,IF(AND($H$55&gt;10,$H$55&lt;=20),2,IF($H$55&gt;20,3,""))),"")</f>
        <v/>
      </c>
      <c r="D64" s="59" t="str">
        <f>IF(CO_PO_PSO_MAPPING!D9&gt;=1,IF(AND($H$55&lt;=10,$H$55&gt;0),1,IF(AND($H$55&gt;10,$H$55&lt;=20),2,IF($H$55&gt;20,3,""))),"")</f>
        <v/>
      </c>
      <c r="E64" s="59" t="str">
        <f>IF(CO_PO_PSO_MAPPING!E9&gt;=1,IF(AND($H$55&lt;=10,$H$55&gt;0),1,IF(AND($H$55&gt;10,$H$55&lt;=20),2,IF($H$55&gt;20,3,""))),"")</f>
        <v/>
      </c>
      <c r="F64" s="59" t="str">
        <f>IF(CO_PO_PSO_MAPPING!F9&gt;=1,IF(AND($H$55&lt;=10,$H$55&gt;0),1,IF(AND($H$55&gt;10,$H$55&lt;=20),2,IF($H$55&gt;20,3,""))),"")</f>
        <v/>
      </c>
      <c r="G64" s="59">
        <f>IF(CO_PO_PSO_MAPPING!G9&gt;=1,IF(AND($H$55&lt;=10,$H$55&gt;0),1,IF(AND($H$55&gt;10,$H$55&lt;=20),2,IF($H$55&gt;20,3,""))),"")</f>
        <v>2</v>
      </c>
      <c r="H64" s="59" t="str">
        <f>IF(CO_PO_PSO_MAPPING!H9&gt;=1,IF(AND($H$55&lt;=10,$H$55&gt;0),1,IF(AND($H$55&gt;10,$H$55&lt;=20),2,IF($H$55&gt;20,3,""))),"")</f>
        <v/>
      </c>
      <c r="I64" s="59" t="str">
        <f>IF(CO_PO_PSO_MAPPING!I9&gt;=1,IF(AND($H$55&lt;=10,$H$55&gt;0),1,IF(AND($H$55&gt;10,$H$55&lt;=20),2,IF($H$55&gt;20,3,""))),"")</f>
        <v/>
      </c>
      <c r="J64" s="59" t="str">
        <f>IF(CO_PO_PSO_MAPPING!J9&gt;=1,IF(AND($H$55&lt;=10,$H$55&gt;0),1,IF(AND($H$55&gt;10,$H$55&lt;=20),2,IF($H$55&gt;20,3,""))),"")</f>
        <v/>
      </c>
      <c r="K64" s="59">
        <f>IF(CO_PO_PSO_MAPPING!K9&gt;=1,IF(AND($H$55&lt;=10,$H$55&gt;0),1,IF(AND($H$55&gt;10,$H$55&lt;=20),2,IF($H$55&gt;20,3,""))),"")</f>
        <v>2</v>
      </c>
      <c r="L64" s="59">
        <f>IF(CO_PO_PSO_MAPPING!L9&gt;=1,IF(AND($H$55&lt;=10,$H$55&gt;0),1,IF(AND($H$55&gt;10,$H$55&lt;=20),2,IF($H$55&gt;20,3,""))),"")</f>
        <v>2</v>
      </c>
      <c r="M64" s="59">
        <f>IF(CO_PO_PSO_MAPPING!M9&gt;=1,IF(AND($H$55&lt;=10,$H$55&gt;0),1,IF(AND($H$55&gt;10,$H$55&lt;=20),2,IF($H$55&gt;20,3,""))),"")</f>
        <v>2</v>
      </c>
      <c r="N64" s="59" t="str">
        <f>IF(CO_PO_PSO_MAPPING!N9&gt;=1,IF(AND($H$55&lt;=10,$H$55&gt;0),1,IF(AND($H$55&gt;10,$H$55&lt;=20),2,IF($H$55&gt;20,3,""))),"")</f>
        <v/>
      </c>
      <c r="O64" s="59" t="str">
        <f>IF(CO_PO_PSO_MAPPING!O9&gt;=1,IF(AND($H$55&lt;=10,$H$55&gt;0),1,IF(AND($H$55&gt;10,$H$55&lt;=20),2,IF($H$55&gt;20,3,""))),"")</f>
        <v/>
      </c>
      <c r="P64" s="59" t="str">
        <f>IF(CO_PO_PSO_MAPPING!P9&gt;=1,IF(AND($H$55&lt;=10,$H$55&gt;0),1,IF(AND($H$55&gt;10,$H$55&lt;=20),2,IF($H$55&gt;20,3,""))),"")</f>
        <v/>
      </c>
      <c r="Q64" s="59" t="str">
        <f>IF(CO_PO_PSO_MAPPING!Q9&gt;=1,IF(AND($H$55&lt;=10,$H$55&gt;0),1,IF(AND($H$55&gt;10,$H$55&lt;=20),2,IF($H$55&gt;20,3,""))),"")</f>
        <v/>
      </c>
    </row>
    <row r="65" ht="24" spans="2:17">
      <c r="B65" s="87" t="str">
        <f>CO_PO_PSO_MAPPING!A10</f>
        <v>CO7</v>
      </c>
      <c r="C65" s="59" t="str">
        <f>IF(CO_PO_PSO_MAPPING!C10&gt;=1,IF(AND($I$55&lt;=10,$I$55&gt;0),1,IF(AND($I$55&gt;10,$I$55&lt;=20),2,IF($I$55&gt;20,3,""))),"")</f>
        <v/>
      </c>
      <c r="D65" s="59" t="str">
        <f>IF(CO_PO_PSO_MAPPING!D10&gt;=1,IF(AND($I$55&lt;=10,$I$55&gt;0),1,IF(AND($I$55&gt;10,$I$55&lt;=20),2,IF($I$55&gt;20,3,""))),"")</f>
        <v/>
      </c>
      <c r="E65" s="59" t="str">
        <f>IF(CO_PO_PSO_MAPPING!E10&gt;=1,IF(AND($I$55&lt;=10,$I$55&gt;0),1,IF(AND($I$55&gt;10,$I$55&lt;=20),2,IF($I$55&gt;20,3,""))),"")</f>
        <v/>
      </c>
      <c r="F65" s="59" t="str">
        <f>IF(CO_PO_PSO_MAPPING!F10&gt;=1,IF(AND($I$55&lt;=10,$I$55&gt;0),1,IF(AND($I$55&gt;10,$I$55&lt;=20),2,IF($I$55&gt;20,3,""))),"")</f>
        <v/>
      </c>
      <c r="G65" s="59" t="str">
        <f>IF(CO_PO_PSO_MAPPING!G10&gt;=1,IF(AND($I$55&lt;=10,$I$55&gt;0),1,IF(AND($I$55&gt;10,$I$55&lt;=20),2,IF($I$55&gt;20,3,""))),"")</f>
        <v/>
      </c>
      <c r="H65" s="59" t="str">
        <f>IF(CO_PO_PSO_MAPPING!H10&gt;=1,IF(AND($I$55&lt;=10,$I$55&gt;0),1,IF(AND($I$55&gt;10,$I$55&lt;=20),2,IF($I$55&gt;20,3,""))),"")</f>
        <v/>
      </c>
      <c r="I65" s="59" t="str">
        <f>IF(CO_PO_PSO_MAPPING!I10&gt;=1,IF(AND($I$55&lt;=10,$I$55&gt;0),1,IF(AND($I$55&gt;10,$I$55&lt;=20),2,IF($I$55&gt;20,3,""))),"")</f>
        <v/>
      </c>
      <c r="J65" s="59" t="str">
        <f>IF(CO_PO_PSO_MAPPING!J10&gt;=1,IF(AND($I$55&lt;=10,$I$55&gt;0),1,IF(AND($I$55&gt;10,$I$55&lt;=20),2,IF($I$55&gt;20,3,""))),"")</f>
        <v/>
      </c>
      <c r="K65" s="59" t="str">
        <f>IF(CO_PO_PSO_MAPPING!K10&gt;=1,IF(AND($I$55&lt;=10,$I$55&gt;0),1,IF(AND($I$55&gt;10,$I$55&lt;=20),2,IF($I$55&gt;20,3,""))),"")</f>
        <v/>
      </c>
      <c r="L65" s="59" t="str">
        <f>IF(CO_PO_PSO_MAPPING!L10&gt;=1,IF(AND($I$55&lt;=10,$I$55&gt;0),1,IF(AND($I$55&gt;10,$I$55&lt;=20),2,IF($I$55&gt;20,3,""))),"")</f>
        <v/>
      </c>
      <c r="M65" s="59" t="str">
        <f>IF(CO_PO_PSO_MAPPING!M10&gt;=1,IF(AND($I$55&lt;=10,$I$55&gt;0),1,IF(AND($I$55&gt;10,$I$55&lt;=20),2,IF($I$55&gt;20,3,""))),"")</f>
        <v/>
      </c>
      <c r="N65" s="59" t="str">
        <f>IF(CO_PO_PSO_MAPPING!N10&gt;=1,IF(AND($I$55&lt;=10,$I$55&gt;0),1,IF(AND($I$55&gt;10,$I$55&lt;=20),2,IF($I$55&gt;20,3,""))),"")</f>
        <v/>
      </c>
      <c r="O65" s="59" t="str">
        <f>IF(CO_PO_PSO_MAPPING!O10&gt;=1,IF(AND($I$55&lt;=10,$I$55&gt;0),1,IF(AND($I$55&gt;10,$I$55&lt;=20),2,IF($I$55&gt;20,3,""))),"")</f>
        <v/>
      </c>
      <c r="P65" s="59" t="str">
        <f>IF(CO_PO_PSO_MAPPING!P10&gt;=1,IF(AND($I$55&lt;=10,$I$55&gt;0),1,IF(AND($I$55&gt;10,$I$55&lt;=20),2,IF($I$55&gt;20,3,""))),"")</f>
        <v/>
      </c>
      <c r="Q65" s="59" t="str">
        <f>IF(CO_PO_PSO_MAPPING!Q10&gt;=1,IF(AND($I$55&lt;=10,$I$55&gt;0),1,IF(AND($I$55&gt;10,$I$55&lt;=20),2,IF($I$55&gt;20,3,""))),"")</f>
        <v/>
      </c>
    </row>
    <row r="66" ht="24" spans="2:17">
      <c r="B66" s="87" t="str">
        <f>CO_PO_PSO_MAPPING!A11</f>
        <v>CO8</v>
      </c>
      <c r="C66" s="59" t="str">
        <f>IF(CO_PO_PSO_MAPPING!C11&gt;=1,IF(AND($J$55&lt;=10,$J$55&gt;0),1,IF(AND($J$55&gt;10,$J$55&lt;=20),2,IF($J$55&gt;20,3,""))),"")</f>
        <v/>
      </c>
      <c r="D66" s="59" t="str">
        <f>IF(CO_PO_PSO_MAPPING!D11&gt;=1,IF(AND($J$55&lt;=10,$J$55&gt;0),1,IF(AND($J$55&gt;10,$J$55&lt;=20),2,IF($J$55&gt;20,3,""))),"")</f>
        <v/>
      </c>
      <c r="E66" s="59" t="str">
        <f>IF(CO_PO_PSO_MAPPING!E11&gt;=1,IF(AND($J$55&lt;=10,$J$55&gt;0),1,IF(AND($J$55&gt;10,$J$55&lt;=20),2,IF($J$55&gt;20,3,""))),"")</f>
        <v/>
      </c>
      <c r="F66" s="59" t="str">
        <f>IF(CO_PO_PSO_MAPPING!F11&gt;=1,IF(AND($J$55&lt;=10,$J$55&gt;0),1,IF(AND($J$55&gt;10,$J$55&lt;=20),2,IF($J$55&gt;20,3,""))),"")</f>
        <v/>
      </c>
      <c r="G66" s="59" t="str">
        <f>IF(CO_PO_PSO_MAPPING!G11&gt;=1,IF(AND($J$55&lt;=10,$J$55&gt;0),1,IF(AND($J$55&gt;10,$J$55&lt;=20),2,IF($J$55&gt;20,3,""))),"")</f>
        <v/>
      </c>
      <c r="H66" s="59" t="str">
        <f>IF(CO_PO_PSO_MAPPING!H11&gt;=1,IF(AND($J$55&lt;=10,$J$55&gt;0),1,IF(AND($J$55&gt;10,$J$55&lt;=20),2,IF($J$55&gt;20,3,""))),"")</f>
        <v/>
      </c>
      <c r="I66" s="59" t="str">
        <f>IF(CO_PO_PSO_MAPPING!I11&gt;=1,IF(AND($J$55&lt;=10,$J$55&gt;0),1,IF(AND($J$55&gt;10,$J$55&lt;=20),2,IF($J$55&gt;20,3,""))),"")</f>
        <v/>
      </c>
      <c r="J66" s="59" t="str">
        <f>IF(CO_PO_PSO_MAPPING!J11&gt;=1,IF(AND($J$55&lt;=10,$J$55&gt;0),1,IF(AND($J$55&gt;10,$J$55&lt;=20),2,IF($J$55&gt;20,3,""))),"")</f>
        <v/>
      </c>
      <c r="K66" s="59" t="str">
        <f>IF(CO_PO_PSO_MAPPING!K11&gt;=1,IF(AND($J$55&lt;=10,$J$55&gt;0),1,IF(AND($J$55&gt;10,$J$55&lt;=20),2,IF($J$55&gt;20,3,""))),"")</f>
        <v/>
      </c>
      <c r="L66" s="59" t="str">
        <f>IF(CO_PO_PSO_MAPPING!L11&gt;=1,IF(AND($J$55&lt;=10,$J$55&gt;0),1,IF(AND($J$55&gt;10,$J$55&lt;=20),2,IF($J$55&gt;20,3,""))),"")</f>
        <v/>
      </c>
      <c r="M66" s="59" t="str">
        <f>IF(CO_PO_PSO_MAPPING!M11&gt;=1,IF(AND($J$55&lt;=10,$J$55&gt;0),1,IF(AND($J$55&gt;10,$J$55&lt;=20),2,IF($J$55&gt;20,3,""))),"")</f>
        <v/>
      </c>
      <c r="N66" s="59" t="str">
        <f>IF(CO_PO_PSO_MAPPING!N11&gt;=1,IF(AND($J$55&lt;=10,$J$55&gt;0),1,IF(AND($J$55&gt;10,$J$55&lt;=20),2,IF($J$55&gt;20,3,""))),"")</f>
        <v/>
      </c>
      <c r="O66" s="59" t="str">
        <f>IF(CO_PO_PSO_MAPPING!O11&gt;=1,IF(AND($J$55&lt;=10,$J$55&gt;0),1,IF(AND($J$55&gt;10,$J$55&lt;=20),2,IF($J$55&gt;20,3,""))),"")</f>
        <v/>
      </c>
      <c r="P66" s="59" t="str">
        <f>IF(CO_PO_PSO_MAPPING!P11&gt;=1,IF(AND($J$55&lt;=10,$J$55&gt;0),1,IF(AND($J$55&gt;10,$J$55&lt;=20),2,IF($J$55&gt;20,3,""))),"")</f>
        <v/>
      </c>
      <c r="Q66" s="59" t="str">
        <f>IF(CO_PO_PSO_MAPPING!Q11&gt;=1,IF(AND($J$55&lt;=10,$J$55&gt;0),1,IF(AND($J$55&gt;10,$J$55&lt;=20),2,IF($J$55&gt;20,3,""))),"")</f>
        <v/>
      </c>
    </row>
    <row r="67" ht="24" spans="2:17">
      <c r="B67" s="87" t="str">
        <f>CO_PO_PSO_MAPPING!A12</f>
        <v>CO9</v>
      </c>
      <c r="C67" s="59" t="str">
        <f>IF(CO_PO_PSO_MAPPING!C12&gt;=1,IF(AND($K$55&lt;=10,$K$55&gt;0),1,IF(AND($K$55&gt;10,$K$55&lt;=20),2,IF($K$55&gt;20,3,""))),"")</f>
        <v/>
      </c>
      <c r="D67" s="59" t="str">
        <f>IF(CO_PO_PSO_MAPPING!D12&gt;=1,IF(AND($K$55&lt;=10,$K$55&gt;0),1,IF(AND($K$55&gt;10,$K$55&lt;=20),2,IF($K$55&gt;20,3,""))),"")</f>
        <v/>
      </c>
      <c r="E67" s="59" t="str">
        <f>IF(CO_PO_PSO_MAPPING!E12&gt;=1,IF(AND($K$55&lt;=10,$K$55&gt;0),1,IF(AND($K$55&gt;10,$K$55&lt;=20),2,IF($K$55&gt;20,3,""))),"")</f>
        <v/>
      </c>
      <c r="F67" s="59" t="str">
        <f>IF(CO_PO_PSO_MAPPING!F12&gt;=1,IF(AND($K$55&lt;=10,$K$55&gt;0),1,IF(AND($K$55&gt;10,$K$55&lt;=20),2,IF($K$55&gt;20,3,""))),"")</f>
        <v/>
      </c>
      <c r="G67" s="59" t="str">
        <f>IF(CO_PO_PSO_MAPPING!G12&gt;=1,IF(AND($K$55&lt;=10,$K$55&gt;0),1,IF(AND($K$55&gt;10,$K$55&lt;=20),2,IF($K$55&gt;20,3,""))),"")</f>
        <v/>
      </c>
      <c r="H67" s="59" t="str">
        <f>IF(CO_PO_PSO_MAPPING!H12&gt;=1,IF(AND($K$55&lt;=10,$K$55&gt;0),1,IF(AND($K$55&gt;10,$K$55&lt;=20),2,IF($K$55&gt;20,3,""))),"")</f>
        <v/>
      </c>
      <c r="I67" s="59" t="str">
        <f>IF(CO_PO_PSO_MAPPING!I12&gt;=1,IF(AND($K$55&lt;=10,$K$55&gt;0),1,IF(AND($K$55&gt;10,$K$55&lt;=20),2,IF($K$55&gt;20,3,""))),"")</f>
        <v/>
      </c>
      <c r="J67" s="59" t="str">
        <f>IF(CO_PO_PSO_MAPPING!J12&gt;=1,IF(AND($K$55&lt;=10,$K$55&gt;0),1,IF(AND($K$55&gt;10,$K$55&lt;=20),2,IF($K$55&gt;20,3,""))),"")</f>
        <v/>
      </c>
      <c r="K67" s="59" t="str">
        <f>IF(CO_PO_PSO_MAPPING!K12&gt;=1,IF(AND($K$55&lt;=10,$K$55&gt;0),1,IF(AND($K$55&gt;10,$K$55&lt;=20),2,IF($K$55&gt;20,3,""))),"")</f>
        <v/>
      </c>
      <c r="L67" s="59" t="str">
        <f>IF(CO_PO_PSO_MAPPING!L12&gt;=1,IF(AND($K$55&lt;=10,$K$55&gt;0),1,IF(AND($K$55&gt;10,$K$55&lt;=20),2,IF($K$55&gt;20,3,""))),"")</f>
        <v/>
      </c>
      <c r="M67" s="59" t="str">
        <f>IF(CO_PO_PSO_MAPPING!M12&gt;=1,IF(AND($K$55&lt;=10,$K$55&gt;0),1,IF(AND($K$55&gt;10,$K$55&lt;=20),2,IF($K$55&gt;20,3,""))),"")</f>
        <v/>
      </c>
      <c r="N67" s="59" t="str">
        <f>IF(CO_PO_PSO_MAPPING!N12&gt;=1,IF(AND($K$55&lt;=10,$K$55&gt;0),1,IF(AND($K$55&gt;10,$K$55&lt;=20),2,IF($K$55&gt;20,3,""))),"")</f>
        <v/>
      </c>
      <c r="O67" s="59" t="str">
        <f>IF(CO_PO_PSO_MAPPING!O12&gt;=1,IF(AND($K$55&lt;=10,$K$55&gt;0),1,IF(AND($K$55&gt;10,$K$55&lt;=20),2,IF($K$55&gt;20,3,""))),"")</f>
        <v/>
      </c>
      <c r="P67" s="59" t="str">
        <f>IF(CO_PO_PSO_MAPPING!P12&gt;=1,IF(AND($K$55&lt;=10,$K$55&gt;0),1,IF(AND($K$55&gt;10,$K$55&lt;=20),2,IF($K$55&gt;20,3,""))),"")</f>
        <v/>
      </c>
      <c r="Q67" s="59" t="str">
        <f>IF(CO_PO_PSO_MAPPING!Q12&gt;=1,IF(AND($K$55&lt;=10,$K$55&gt;0),1,IF(AND($K$55&gt;10,$K$55&lt;=20),2,IF($K$55&gt;20,3,""))),"")</f>
        <v/>
      </c>
    </row>
    <row r="68" ht="24" spans="2:17">
      <c r="B68" s="88" t="str">
        <f>CO_PO_PSO_MAPPING!A13</f>
        <v>CO10</v>
      </c>
      <c r="C68" s="59" t="str">
        <f>IF(CO_PO_PSO_MAPPING!C13&gt;=1,IF(AND($L$55&lt;=10,$L$55&gt;0),1,IF(AND($L$55&gt;10,$L$55&lt;=20),2,IF($L$55&gt;20,3,""))),"")</f>
        <v/>
      </c>
      <c r="D68" s="59" t="str">
        <f>IF(CO_PO_PSO_MAPPING!D13&gt;=1,IF(AND($L$55&lt;=10,$L$55&gt;0),1,IF(AND($L$55&gt;10,$L$55&lt;=20),2,IF($L$55&gt;20,3,""))),"")</f>
        <v/>
      </c>
      <c r="E68" s="59" t="str">
        <f>IF(CO_PO_PSO_MAPPING!E13&gt;=1,IF(AND($L$55&lt;=10,$L$55&gt;0),1,IF(AND($L$55&gt;10,$L$55&lt;=20),2,IF($L$55&gt;20,3,""))),"")</f>
        <v/>
      </c>
      <c r="F68" s="59" t="str">
        <f>IF(CO_PO_PSO_MAPPING!F13&gt;=1,IF(AND($L$55&lt;=10,$L$55&gt;0),1,IF(AND($L$55&gt;10,$L$55&lt;=20),2,IF($L$55&gt;20,3,""))),"")</f>
        <v/>
      </c>
      <c r="G68" s="59" t="str">
        <f>IF(CO_PO_PSO_MAPPING!G13&gt;=1,IF(AND($L$55&lt;=10,$L$55&gt;0),1,IF(AND($L$55&gt;10,$L$55&lt;=20),2,IF($L$55&gt;20,3,""))),"")</f>
        <v/>
      </c>
      <c r="H68" s="59" t="str">
        <f>IF(CO_PO_PSO_MAPPING!H13&gt;=1,IF(AND($L$55&lt;=10,$L$55&gt;0),1,IF(AND($L$55&gt;10,$L$55&lt;=20),2,IF($L$55&gt;20,3,""))),"")</f>
        <v/>
      </c>
      <c r="I68" s="59" t="str">
        <f>IF(CO_PO_PSO_MAPPING!I13&gt;=1,IF(AND($L$55&lt;=10,$L$55&gt;0),1,IF(AND($L$55&gt;10,$L$55&lt;=20),2,IF($L$55&gt;20,3,""))),"")</f>
        <v/>
      </c>
      <c r="J68" s="59" t="str">
        <f>IF(CO_PO_PSO_MAPPING!J13&gt;=1,IF(AND($L$55&lt;=10,$L$55&gt;0),1,IF(AND($L$55&gt;10,$L$55&lt;=20),2,IF($L$55&gt;20,3,""))),"")</f>
        <v/>
      </c>
      <c r="K68" s="59" t="str">
        <f>IF(CO_PO_PSO_MAPPING!K13&gt;=1,IF(AND($L$55&lt;=10,$L$55&gt;0),1,IF(AND($L$55&gt;10,$L$55&lt;=20),2,IF($L$55&gt;20,3,""))),"")</f>
        <v/>
      </c>
      <c r="L68" s="59" t="str">
        <f>IF(CO_PO_PSO_MAPPING!L13&gt;=1,IF(AND($L$55&lt;=10,$L$55&gt;0),1,IF(AND($L$55&gt;10,$L$55&lt;=20),2,IF($L$55&gt;20,3,""))),"")</f>
        <v/>
      </c>
      <c r="M68" s="59" t="str">
        <f>IF(CO_PO_PSO_MAPPING!M13&gt;=1,IF(AND($L$55&lt;=10,$L$55&gt;0),1,IF(AND($L$55&gt;10,$L$55&lt;=20),2,IF($L$55&gt;20,3,""))),"")</f>
        <v/>
      </c>
      <c r="N68" s="59" t="str">
        <f>IF(CO_PO_PSO_MAPPING!N13&gt;=1,IF(AND($L$55&lt;=10,$L$55&gt;0),1,IF(AND($L$55&gt;10,$L$55&lt;=20),2,IF($L$55&gt;20,3,""))),"")</f>
        <v/>
      </c>
      <c r="O68" s="59" t="str">
        <f>IF(CO_PO_PSO_MAPPING!O13&gt;=1,IF(AND($L$55&lt;=10,$L$55&gt;0),1,IF(AND($L$55&gt;10,$L$55&lt;=20),2,IF($L$55&gt;20,3,""))),"")</f>
        <v/>
      </c>
      <c r="P68" s="59" t="str">
        <f>IF(CO_PO_PSO_MAPPING!P13&gt;=1,IF(AND($L$55&lt;=10,$L$55&gt;0),1,IF(AND($L$55&gt;10,$L$55&lt;=20),2,IF($L$55&gt;20,3,""))),"")</f>
        <v/>
      </c>
      <c r="Q68" s="59" t="str">
        <f>IF(CO_PO_PSO_MAPPING!Q13&gt;=1,IF(AND($L$55&lt;=10,$L$55&gt;0),1,IF(AND($L$55&gt;10,$L$55&lt;=20),2,IF($L$55&gt;20,3,""))),"")</f>
        <v/>
      </c>
    </row>
    <row r="69" s="7" customFormat="1" ht="23.2" spans="3:17">
      <c r="C69" s="89">
        <f>SUM(C59:C68)</f>
        <v>1</v>
      </c>
      <c r="D69" s="89">
        <f t="shared" ref="D69:Q69" si="6">SUM(D59:D68)</f>
        <v>2</v>
      </c>
      <c r="E69" s="89">
        <f t="shared" si="6"/>
        <v>2</v>
      </c>
      <c r="F69" s="89">
        <f t="shared" si="6"/>
        <v>2</v>
      </c>
      <c r="G69" s="89">
        <f t="shared" si="6"/>
        <v>9</v>
      </c>
      <c r="H69" s="89">
        <f t="shared" si="6"/>
        <v>0</v>
      </c>
      <c r="I69" s="89">
        <f t="shared" si="6"/>
        <v>0</v>
      </c>
      <c r="J69" s="89">
        <f t="shared" si="6"/>
        <v>0</v>
      </c>
      <c r="K69" s="89">
        <f t="shared" si="6"/>
        <v>11</v>
      </c>
      <c r="L69" s="89">
        <f t="shared" si="6"/>
        <v>2</v>
      </c>
      <c r="M69" s="89">
        <f t="shared" si="6"/>
        <v>5</v>
      </c>
      <c r="N69" s="89">
        <f t="shared" si="6"/>
        <v>2</v>
      </c>
      <c r="O69" s="89">
        <f t="shared" si="6"/>
        <v>3</v>
      </c>
      <c r="P69" s="89">
        <f t="shared" si="6"/>
        <v>0</v>
      </c>
      <c r="Q69" s="89">
        <f t="shared" si="6"/>
        <v>0</v>
      </c>
    </row>
    <row r="70" ht="20.4" spans="2:17">
      <c r="B70" s="90" t="s">
        <v>449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125"/>
    </row>
    <row r="71" s="8" customFormat="1" ht="23.2" spans="2:17">
      <c r="B71" s="8" t="s">
        <v>450</v>
      </c>
      <c r="C71" s="92">
        <f ca="1" t="shared" ref="C71:Q71" si="7">SUM(IFERROR($C$17*C$59/C69,0),IFERROR($D$17*C$60/C69,0),IFERROR($E$17*C$61/C69,0),IFERROR($F$17*C$62/C69,0),IFERROR($G$17*C$63/C69,0),IFERROR($H$17*C$64/C69,0),IFERROR($I$17*C$65/C69,0),IFERROR($J$17*C$66/C69,0),IFERROR($K$17*C$67/C69,0),IFERROR($L$17*C$68/C69,0))</f>
        <v>60.9154411764706</v>
      </c>
      <c r="D71" s="92">
        <f ca="1" t="shared" si="7"/>
        <v>64.1247901187153</v>
      </c>
      <c r="E71" s="92">
        <f ca="1" t="shared" si="7"/>
        <v>64.1247901187153</v>
      </c>
      <c r="F71" s="92">
        <f ca="1" t="shared" si="7"/>
        <v>64.1247901187153</v>
      </c>
      <c r="G71" s="92">
        <f ca="1" t="shared" si="7"/>
        <v>63.5341602736671</v>
      </c>
      <c r="H71" s="92">
        <f ca="1" t="shared" si="7"/>
        <v>0</v>
      </c>
      <c r="I71" s="92">
        <f ca="1" t="shared" si="7"/>
        <v>0</v>
      </c>
      <c r="J71" s="92">
        <f ca="1" t="shared" si="7"/>
        <v>0</v>
      </c>
      <c r="K71" s="92">
        <f ca="1" t="shared" si="7"/>
        <v>63.6415475182213</v>
      </c>
      <c r="L71" s="92">
        <f ca="1" t="shared" si="7"/>
        <v>68.4823529411765</v>
      </c>
      <c r="M71" s="92">
        <f ca="1" t="shared" si="7"/>
        <v>58.2288927352301</v>
      </c>
      <c r="N71" s="92">
        <f ca="1" t="shared" si="7"/>
        <v>68.9850284629981</v>
      </c>
      <c r="O71" s="92">
        <f ca="1" t="shared" si="7"/>
        <v>63.0550071379671</v>
      </c>
      <c r="P71" s="92">
        <f ca="1" t="shared" si="7"/>
        <v>0</v>
      </c>
      <c r="Q71" s="92">
        <f ca="1" t="shared" si="7"/>
        <v>0</v>
      </c>
    </row>
    <row r="72" s="8" customFormat="1" ht="23.2" spans="2:22">
      <c r="B72" s="8" t="s">
        <v>451</v>
      </c>
      <c r="C72" s="93">
        <f>SUM(IFERROR($C$54*C$59/C$69,0),IFERROR($D$54*C$60/C$69,0),IFERROR($E$54*C$61/C$69,0),IFERROR($F$54*C$62/C$69,0),IFERROR($G$54*C$63/C$69,0),IFERROR($H$54*C$64/C$69,0),IFERROR($I$54*C$65/C$69,0),IFERROR($J$54*C$66/C$69,0),IFERROR($K$54*C$67/C$69,0),IFERROR($L$54*C$68/C$69,0))</f>
        <v>40</v>
      </c>
      <c r="D72" s="93">
        <f t="shared" ref="D72:N72" si="8">SUM(IFERROR($C$54*D$59/D$69,0),IFERROR($D$54*D$60/D$69,0),IFERROR($E$54*D$61/D$69,0),IFERROR($F$54*D$62/D$69,0),IFERROR($G$54*D$63/D$69,0),IFERROR($H$54*D$64/D$69,0),IFERROR($I$54*D$65/D$69,0),IFERROR($J$54*D$66/D$69,0),IFERROR($K$54*D$67/D$69,0),IFERROR($L$54*D$68/D$69,0))</f>
        <v>80</v>
      </c>
      <c r="E72" s="93">
        <f t="shared" si="8"/>
        <v>80</v>
      </c>
      <c r="F72" s="93">
        <f t="shared" si="8"/>
        <v>80</v>
      </c>
      <c r="G72" s="93">
        <f t="shared" si="8"/>
        <v>93.3333333333333</v>
      </c>
      <c r="H72" s="93">
        <f t="shared" si="8"/>
        <v>0</v>
      </c>
      <c r="I72" s="93">
        <f t="shared" si="8"/>
        <v>0</v>
      </c>
      <c r="J72" s="93">
        <f t="shared" si="8"/>
        <v>0</v>
      </c>
      <c r="K72" s="93">
        <f t="shared" si="8"/>
        <v>90.9090909090909</v>
      </c>
      <c r="L72" s="93">
        <f t="shared" si="8"/>
        <v>70</v>
      </c>
      <c r="M72" s="93">
        <f t="shared" si="8"/>
        <v>88</v>
      </c>
      <c r="N72" s="93">
        <f t="shared" si="8"/>
        <v>50</v>
      </c>
      <c r="O72" s="93"/>
      <c r="P72" s="93"/>
      <c r="Q72" s="93"/>
      <c r="R72" s="126">
        <f>SUM(C72:Q72)</f>
        <v>672.242424242424</v>
      </c>
      <c r="S72" s="127"/>
      <c r="T72" s="127"/>
      <c r="U72" s="127"/>
      <c r="V72" s="127"/>
    </row>
    <row r="73" s="9" customFormat="1" ht="25.5" customHeight="1" spans="2:22">
      <c r="B73" s="94" t="s">
        <v>452</v>
      </c>
      <c r="C73" s="95">
        <f t="shared" ref="C73:O73" si="9">IFERROR((C$72/$R$72*100)," ")</f>
        <v>5.95023440317346</v>
      </c>
      <c r="D73" s="95">
        <f t="shared" si="9"/>
        <v>11.9004688063469</v>
      </c>
      <c r="E73" s="95">
        <f t="shared" si="9"/>
        <v>11.9004688063469</v>
      </c>
      <c r="F73" s="95">
        <f t="shared" si="9"/>
        <v>11.9004688063469</v>
      </c>
      <c r="G73" s="95">
        <f t="shared" si="9"/>
        <v>13.8838802740714</v>
      </c>
      <c r="H73" s="95">
        <f t="shared" si="9"/>
        <v>0</v>
      </c>
      <c r="I73" s="95">
        <f t="shared" si="9"/>
        <v>0</v>
      </c>
      <c r="J73" s="95">
        <f t="shared" si="9"/>
        <v>0</v>
      </c>
      <c r="K73" s="95">
        <f t="shared" si="9"/>
        <v>13.5232600072124</v>
      </c>
      <c r="L73" s="95">
        <f t="shared" si="9"/>
        <v>10.4129102055536</v>
      </c>
      <c r="M73" s="95">
        <f t="shared" si="9"/>
        <v>13.0905156869816</v>
      </c>
      <c r="N73" s="95">
        <f t="shared" si="9"/>
        <v>7.43779300396682</v>
      </c>
      <c r="O73" s="95">
        <f t="shared" si="9"/>
        <v>0</v>
      </c>
      <c r="P73" s="95"/>
      <c r="Q73" s="95"/>
      <c r="R73" s="128">
        <f>IFERROR((R$72/$R$72*100),0)</f>
        <v>100</v>
      </c>
      <c r="S73" s="129"/>
      <c r="T73" s="129"/>
      <c r="U73" s="129"/>
      <c r="V73" s="129"/>
    </row>
    <row r="74" ht="20.4" spans="2:16">
      <c r="B74" s="96" t="s">
        <v>453</v>
      </c>
      <c r="C74" s="97"/>
      <c r="D74" s="97"/>
      <c r="E74" s="97"/>
      <c r="F74" s="97"/>
      <c r="G74" s="97"/>
      <c r="K74" s="96" t="s">
        <v>454</v>
      </c>
      <c r="L74" s="97"/>
      <c r="M74" s="97"/>
      <c r="N74" s="97"/>
      <c r="O74" s="97"/>
      <c r="P74" s="97"/>
    </row>
    <row r="75" s="10" customFormat="1" ht="66" customHeight="1" spans="2:18">
      <c r="B75" s="98"/>
      <c r="C75" s="99"/>
      <c r="D75" s="100" t="s">
        <v>455</v>
      </c>
      <c r="E75" s="106" t="s">
        <v>456</v>
      </c>
      <c r="F75" s="106" t="s">
        <v>362</v>
      </c>
      <c r="G75" s="107" t="s">
        <v>363</v>
      </c>
      <c r="H75" s="108" t="s">
        <v>457</v>
      </c>
      <c r="I75" s="109" t="s">
        <v>458</v>
      </c>
      <c r="K75" s="98"/>
      <c r="L75" s="99"/>
      <c r="M75" s="99" t="s">
        <v>455</v>
      </c>
      <c r="N75" s="119" t="s">
        <v>456</v>
      </c>
      <c r="O75" s="119" t="s">
        <v>362</v>
      </c>
      <c r="P75" s="98" t="s">
        <v>363</v>
      </c>
      <c r="Q75" s="130" t="s">
        <v>457</v>
      </c>
      <c r="R75" s="131" t="s">
        <v>458</v>
      </c>
    </row>
    <row r="76" ht="15" customHeight="1" spans="2:18">
      <c r="B76" s="101" t="s">
        <v>381</v>
      </c>
      <c r="C76" s="102" t="s">
        <v>49</v>
      </c>
      <c r="D76" s="103">
        <f>IF(OR(CO_PO_PSO_MAPPING!$Y4=1,CO_PO_PSO_MAPPING!$Y4=2),CO_PO_PSO_MAPPING!$U4,0)</f>
        <v>10</v>
      </c>
      <c r="E76" s="103">
        <f>IF(CO_PO_PSO_MAPPING!$Y4=3,CO_PO_PSO_MAPPING!$U4,0)</f>
        <v>0</v>
      </c>
      <c r="F76" s="103">
        <f>IF(CO_PO_PSO_MAPPING!$Y4=4,CO_PO_PSO_MAPPING!$U4,0)</f>
        <v>0</v>
      </c>
      <c r="G76" s="103">
        <f>IF(CO_PO_PSO_MAPPING!$Y4=5,CO_PO_PSO_MAPPING!$U4,0)</f>
        <v>0</v>
      </c>
      <c r="H76" s="103"/>
      <c r="I76" s="51">
        <f>SUM(D76:H76)</f>
        <v>10</v>
      </c>
      <c r="K76" s="110" t="s">
        <v>34</v>
      </c>
      <c r="L76" s="111" t="s">
        <v>49</v>
      </c>
      <c r="M76" s="103">
        <f>IF(OR(CO_PO_PSO_MAPPING!$AG4=1,CO_PO_PSO_MAPPING!$AG4=2),CO_PO_PSO_MAPPING!$AC4,0)</f>
        <v>6</v>
      </c>
      <c r="N76" s="103">
        <f>IF(CO_PO_PSO_MAPPING!$AG4=3,CO_PO_PSO_MAPPING!$AC4,0)</f>
        <v>0</v>
      </c>
      <c r="O76" s="103">
        <f>IF(CO_PO_PSO_MAPPING!$AG4=4,CO_PO_PSO_MAPPING!$AC4,0)</f>
        <v>0</v>
      </c>
      <c r="P76" s="103">
        <f>IF(CO_PO_PSO_MAPPING!$AG4=5,CO_PO_PSO_MAPPING!$AC4,0)</f>
        <v>0</v>
      </c>
      <c r="Q76" s="103"/>
      <c r="R76" s="51">
        <f>SUM(M76:Q76)</f>
        <v>6</v>
      </c>
    </row>
    <row r="77" ht="15" customHeight="1" spans="2:18">
      <c r="B77" s="104"/>
      <c r="C77" s="102" t="s">
        <v>50</v>
      </c>
      <c r="D77" s="103">
        <f>IF(OR(CO_PO_PSO_MAPPING!$Y5=1,CO_PO_PSO_MAPPING!$Y5=2),CO_PO_PSO_MAPPING!$U5,0)</f>
        <v>0</v>
      </c>
      <c r="E77" s="103">
        <f>IF(CO_PO_PSO_MAPPING!$Y5=3,CO_PO_PSO_MAPPING!$U5,0)</f>
        <v>0</v>
      </c>
      <c r="F77" s="103">
        <f>IF(CO_PO_PSO_MAPPING!$Y5=4,CO_PO_PSO_MAPPING!$U5,0)</f>
        <v>0</v>
      </c>
      <c r="G77" s="103">
        <f>IF(CO_PO_PSO_MAPPING!$Y5=5,CO_PO_PSO_MAPPING!$U5,0)</f>
        <v>0</v>
      </c>
      <c r="H77" s="103"/>
      <c r="I77" s="51">
        <f t="shared" ref="I77:I79" si="10">SUM(D77:H77)</f>
        <v>0</v>
      </c>
      <c r="K77" s="112"/>
      <c r="L77" s="111" t="s">
        <v>50</v>
      </c>
      <c r="M77" s="103">
        <f>IF(OR(CO_PO_PSO_MAPPING!$AG5=1,CO_PO_PSO_MAPPING!$AG5=2),CO_PO_PSO_MAPPING!$AC5,0)</f>
        <v>6</v>
      </c>
      <c r="N77" s="103">
        <f>IF(CO_PO_PSO_MAPPING!$AG5=3,CO_PO_PSO_MAPPING!$AC5,0)</f>
        <v>0</v>
      </c>
      <c r="O77" s="103">
        <f>IF(CO_PO_PSO_MAPPING!$AG5=4,CO_PO_PSO_MAPPING!$AC5,0)</f>
        <v>0</v>
      </c>
      <c r="P77" s="103">
        <f>IF(CO_PO_PSO_MAPPING!$AG5=5,CO_PO_PSO_MAPPING!$AC5,0)</f>
        <v>0</v>
      </c>
      <c r="Q77" s="103"/>
      <c r="R77" s="51">
        <f t="shared" ref="R77:R103" si="11">SUM(M77:Q77)</f>
        <v>6</v>
      </c>
    </row>
    <row r="78" ht="15" customHeight="1" spans="2:18">
      <c r="B78" s="104"/>
      <c r="C78" s="102" t="s">
        <v>51</v>
      </c>
      <c r="D78" s="103">
        <f>IF(OR(CO_PO_PSO_MAPPING!$Y6=1,CO_PO_PSO_MAPPING!$Y6=2),CO_PO_PSO_MAPPING!$U6,0)</f>
        <v>0</v>
      </c>
      <c r="E78" s="103">
        <f>IF(CO_PO_PSO_MAPPING!$Y6=3,CO_PO_PSO_MAPPING!$U6,0)</f>
        <v>0</v>
      </c>
      <c r="F78" s="103">
        <f>IF(CO_PO_PSO_MAPPING!$Y6=4,CO_PO_PSO_MAPPING!$U6,0)</f>
        <v>0</v>
      </c>
      <c r="G78" s="103">
        <f>IF(CO_PO_PSO_MAPPING!$Y6=5,CO_PO_PSO_MAPPING!$U6,0)</f>
        <v>0</v>
      </c>
      <c r="H78" s="103"/>
      <c r="I78" s="51">
        <f t="shared" si="10"/>
        <v>0</v>
      </c>
      <c r="K78" s="112"/>
      <c r="L78" s="111" t="s">
        <v>51</v>
      </c>
      <c r="M78" s="103">
        <f>IF(OR(CO_PO_PSO_MAPPING!$AG6=1,CO_PO_PSO_MAPPING!$AG6=2),CO_PO_PSO_MAPPING!$AC6,0)</f>
        <v>0</v>
      </c>
      <c r="N78" s="103">
        <f>IF(CO_PO_PSO_MAPPING!$AG6=3,CO_PO_PSO_MAPPING!$AC6,0)</f>
        <v>8</v>
      </c>
      <c r="O78" s="103">
        <f>IF(CO_PO_PSO_MAPPING!$AG6=4,CO_PO_PSO_MAPPING!$AC6,0)</f>
        <v>0</v>
      </c>
      <c r="P78" s="103">
        <f>IF(CO_PO_PSO_MAPPING!$AG6=5,CO_PO_PSO_MAPPING!$AC6,0)</f>
        <v>0</v>
      </c>
      <c r="Q78" s="103"/>
      <c r="R78" s="51">
        <f t="shared" si="11"/>
        <v>8</v>
      </c>
    </row>
    <row r="79" ht="15" customHeight="1" spans="2:18">
      <c r="B79" s="104"/>
      <c r="C79" s="102" t="s">
        <v>52</v>
      </c>
      <c r="D79" s="103">
        <f>IF(OR(CO_PO_PSO_MAPPING!$Y7=1,CO_PO_PSO_MAPPING!$Y7=2),CO_PO_PSO_MAPPING!$U7,0)</f>
        <v>0</v>
      </c>
      <c r="E79" s="103">
        <f>IF(CO_PO_PSO_MAPPING!$Y7=3,CO_PO_PSO_MAPPING!$U7,0)</f>
        <v>0</v>
      </c>
      <c r="F79" s="103">
        <f>IF(CO_PO_PSO_MAPPING!$Y7=4,CO_PO_PSO_MAPPING!$U7,0)</f>
        <v>0</v>
      </c>
      <c r="G79" s="103">
        <f>IF(CO_PO_PSO_MAPPING!$Y7=5,CO_PO_PSO_MAPPING!$U7,0)</f>
        <v>0</v>
      </c>
      <c r="H79" s="103"/>
      <c r="I79" s="51">
        <f t="shared" si="10"/>
        <v>0</v>
      </c>
      <c r="K79" s="112"/>
      <c r="L79" s="111" t="s">
        <v>52</v>
      </c>
      <c r="M79" s="103">
        <f>IF(OR(CO_PO_PSO_MAPPING!$AG7=1,CO_PO_PSO_MAPPING!$AG7=2),CO_PO_PSO_MAPPING!$AC7,0)</f>
        <v>0</v>
      </c>
      <c r="N79" s="103">
        <f>IF(CO_PO_PSO_MAPPING!$AG7=3,CO_PO_PSO_MAPPING!$AC7,0)</f>
        <v>0</v>
      </c>
      <c r="O79" s="103">
        <f>IF(CO_PO_PSO_MAPPING!$AG7=4,CO_PO_PSO_MAPPING!$AC7,0)</f>
        <v>0</v>
      </c>
      <c r="P79" s="103">
        <f>IF(CO_PO_PSO_MAPPING!$AG7=5,CO_PO_PSO_MAPPING!$AC7,0)</f>
        <v>0</v>
      </c>
      <c r="Q79" s="103"/>
      <c r="R79" s="51">
        <f t="shared" si="11"/>
        <v>0</v>
      </c>
    </row>
    <row r="80" ht="15" customHeight="1" spans="2:18">
      <c r="B80" s="104"/>
      <c r="C80" s="102" t="s">
        <v>53</v>
      </c>
      <c r="D80" s="103">
        <f>IF(OR(CO_PO_PSO_MAPPING!$Y8=1,CO_PO_PSO_MAPPING!$Y8=2),CO_PO_PSO_MAPPING!$U8,0)</f>
        <v>10</v>
      </c>
      <c r="E80" s="103">
        <f>IF(CO_PO_PSO_MAPPING!$Y8=3,CO_PO_PSO_MAPPING!$U8,0)</f>
        <v>0</v>
      </c>
      <c r="F80" s="103">
        <f>IF(CO_PO_PSO_MAPPING!$Y8=4,CO_PO_PSO_MAPPING!$U8,0)</f>
        <v>0</v>
      </c>
      <c r="G80" s="103">
        <f>IF(CO_PO_PSO_MAPPING!$Y8=5,CO_PO_PSO_MAPPING!$U8,0)</f>
        <v>0</v>
      </c>
      <c r="H80" s="103"/>
      <c r="I80" s="51">
        <f t="shared" ref="I80:I85" si="12">SUM(D80:H80)</f>
        <v>10</v>
      </c>
      <c r="K80" s="112"/>
      <c r="L80" s="113" t="s">
        <v>53</v>
      </c>
      <c r="M80" s="120">
        <f>IF(OR(CO_PO_PSO_MAPPING!$AG8=1,CO_PO_PSO_MAPPING!$AG8=2),CO_PO_PSO_MAPPING!$AC8,0)</f>
        <v>0</v>
      </c>
      <c r="N80" s="120">
        <f>IF(CO_PO_PSO_MAPPING!$AG8=3,CO_PO_PSO_MAPPING!$AC8,0)</f>
        <v>6</v>
      </c>
      <c r="O80" s="120">
        <f>IF(CO_PO_PSO_MAPPING!$AG8=4,CO_PO_PSO_MAPPING!$AC8,0)</f>
        <v>0</v>
      </c>
      <c r="P80" s="120">
        <f>IF(CO_PO_PSO_MAPPING!$AG8=5,CO_PO_PSO_MAPPING!$AC8,0)</f>
        <v>0</v>
      </c>
      <c r="Q80" s="120"/>
      <c r="R80" s="51">
        <f t="shared" si="11"/>
        <v>6</v>
      </c>
    </row>
    <row r="81" ht="15" customHeight="1" spans="2:18">
      <c r="B81" s="104"/>
      <c r="C81" s="102" t="s">
        <v>54</v>
      </c>
      <c r="D81" s="103">
        <f>IF(OR(CO_PO_PSO_MAPPING!$Y9=1,CO_PO_PSO_MAPPING!$Y9=2),CO_PO_PSO_MAPPING!$U9,0)</f>
        <v>0</v>
      </c>
      <c r="E81" s="103">
        <f>IF(CO_PO_PSO_MAPPING!$Y9=3,CO_PO_PSO_MAPPING!$U9,0)</f>
        <v>0</v>
      </c>
      <c r="F81" s="103">
        <f>IF(CO_PO_PSO_MAPPING!$Y9=4,CO_PO_PSO_MAPPING!$U9,0)</f>
        <v>0</v>
      </c>
      <c r="G81" s="103">
        <f>IF(CO_PO_PSO_MAPPING!$Y9=5,CO_PO_PSO_MAPPING!$U9,0)</f>
        <v>0</v>
      </c>
      <c r="H81" s="103"/>
      <c r="I81" s="51">
        <f t="shared" si="12"/>
        <v>0</v>
      </c>
      <c r="K81" s="112"/>
      <c r="L81" s="113" t="s">
        <v>54</v>
      </c>
      <c r="M81" s="120">
        <f>IF(OR(CO_PO_PSO_MAPPING!$AG9=1,CO_PO_PSO_MAPPING!$AG9=2),CO_PO_PSO_MAPPING!$AC9,0)</f>
        <v>0</v>
      </c>
      <c r="N81" s="120">
        <f>IF(CO_PO_PSO_MAPPING!$AG9=3,CO_PO_PSO_MAPPING!$AC9,0)</f>
        <v>8</v>
      </c>
      <c r="O81" s="120">
        <f>IF(CO_PO_PSO_MAPPING!$AG9=4,CO_PO_PSO_MAPPING!$AC9,0)</f>
        <v>0</v>
      </c>
      <c r="P81" s="120">
        <f>IF(CO_PO_PSO_MAPPING!$AG9=5,CO_PO_PSO_MAPPING!$AC9,0)</f>
        <v>0</v>
      </c>
      <c r="Q81" s="120"/>
      <c r="R81" s="51">
        <f t="shared" si="11"/>
        <v>8</v>
      </c>
    </row>
    <row r="82" ht="15" customHeight="1" spans="2:18">
      <c r="B82" s="104"/>
      <c r="C82" s="102" t="s">
        <v>55</v>
      </c>
      <c r="D82" s="103">
        <f>IF(OR(CO_PO_PSO_MAPPING!$Y10=1,CO_PO_PSO_MAPPING!$Y10=2),CO_PO_PSO_MAPPING!$U10,0)</f>
        <v>0</v>
      </c>
      <c r="E82" s="103">
        <f>IF(CO_PO_PSO_MAPPING!$Y10=3,CO_PO_PSO_MAPPING!$U10,0)</f>
        <v>0</v>
      </c>
      <c r="F82" s="103">
        <f>IF(CO_PO_PSO_MAPPING!$Y10=4,CO_PO_PSO_MAPPING!$U10,0)</f>
        <v>0</v>
      </c>
      <c r="G82" s="103">
        <f>IF(CO_PO_PSO_MAPPING!$Y10=5,CO_PO_PSO_MAPPING!$U10,0)</f>
        <v>0</v>
      </c>
      <c r="H82" s="103"/>
      <c r="I82" s="51">
        <f t="shared" si="12"/>
        <v>0</v>
      </c>
      <c r="K82" s="112"/>
      <c r="L82" s="113" t="s">
        <v>55</v>
      </c>
      <c r="M82" s="120">
        <f>IF(OR(CO_PO_PSO_MAPPING!$AG10=1,CO_PO_PSO_MAPPING!$AG10=2),CO_PO_PSO_MAPPING!$AC10,0)</f>
        <v>0</v>
      </c>
      <c r="N82" s="120">
        <f>IF(CO_PO_PSO_MAPPING!$AG10=3,CO_PO_PSO_MAPPING!$AC10,0)</f>
        <v>6</v>
      </c>
      <c r="O82" s="120">
        <f>IF(CO_PO_PSO_MAPPING!$AG10=4,CO_PO_PSO_MAPPING!$AC10,0)</f>
        <v>0</v>
      </c>
      <c r="P82" s="120">
        <f>IF(CO_PO_PSO_MAPPING!$AG10=5,CO_PO_PSO_MAPPING!$AC10,0)</f>
        <v>0</v>
      </c>
      <c r="Q82" s="120"/>
      <c r="R82" s="51">
        <f t="shared" si="11"/>
        <v>6</v>
      </c>
    </row>
    <row r="83" ht="15" customHeight="1" spans="2:18">
      <c r="B83" s="104"/>
      <c r="C83" s="102" t="s">
        <v>56</v>
      </c>
      <c r="D83" s="103">
        <f>IF(OR(CO_PO_PSO_MAPPING!$Y11=1,CO_PO_PSO_MAPPING!$Y11=2),CO_PO_PSO_MAPPING!$U11,0)</f>
        <v>0</v>
      </c>
      <c r="E83" s="103">
        <f>IF(CO_PO_PSO_MAPPING!$Y11=3,CO_PO_PSO_MAPPING!$U11,0)</f>
        <v>0</v>
      </c>
      <c r="F83" s="103">
        <f>IF(CO_PO_PSO_MAPPING!$Y11=4,CO_PO_PSO_MAPPING!$U11,0)</f>
        <v>0</v>
      </c>
      <c r="G83" s="103">
        <f>IF(CO_PO_PSO_MAPPING!$Y11=5,CO_PO_PSO_MAPPING!$U11,0)</f>
        <v>0</v>
      </c>
      <c r="H83" s="103"/>
      <c r="I83" s="51">
        <f t="shared" si="12"/>
        <v>0</v>
      </c>
      <c r="K83" s="112"/>
      <c r="L83" s="113" t="s">
        <v>56</v>
      </c>
      <c r="M83" s="120">
        <f>IF(OR(CO_PO_PSO_MAPPING!$AG11=1,CO_PO_PSO_MAPPING!$AG11=2),CO_PO_PSO_MAPPING!$AC11,0)</f>
        <v>0</v>
      </c>
      <c r="N83" s="120">
        <f>IF(CO_PO_PSO_MAPPING!$AG11=3,CO_PO_PSO_MAPPING!$AC11,0)</f>
        <v>0</v>
      </c>
      <c r="O83" s="120">
        <f>IF(CO_PO_PSO_MAPPING!$AG11=4,CO_PO_PSO_MAPPING!$AC11,0)</f>
        <v>0</v>
      </c>
      <c r="P83" s="120">
        <f>IF(CO_PO_PSO_MAPPING!$AG11=5,CO_PO_PSO_MAPPING!$AC11,0)</f>
        <v>0</v>
      </c>
      <c r="Q83" s="120"/>
      <c r="R83" s="51">
        <f t="shared" si="11"/>
        <v>0</v>
      </c>
    </row>
    <row r="84" ht="15" customHeight="1" spans="2:18">
      <c r="B84" s="104"/>
      <c r="C84" s="102" t="s">
        <v>57</v>
      </c>
      <c r="D84" s="103">
        <f>IF(OR(CO_PO_PSO_MAPPING!$Y12=1,CO_PO_PSO_MAPPING!$Y12=2),CO_PO_PSO_MAPPING!$U12,0)</f>
        <v>0</v>
      </c>
      <c r="E84" s="103">
        <f>IF(CO_PO_PSO_MAPPING!$Y12=3,CO_PO_PSO_MAPPING!$U12,0)</f>
        <v>10</v>
      </c>
      <c r="F84" s="103">
        <f>IF(CO_PO_PSO_MAPPING!$Y12=4,CO_PO_PSO_MAPPING!$U12,0)</f>
        <v>0</v>
      </c>
      <c r="G84" s="103">
        <f>IF(CO_PO_PSO_MAPPING!$Y12=5,CO_PO_PSO_MAPPING!$U12,0)</f>
        <v>0</v>
      </c>
      <c r="H84" s="103"/>
      <c r="I84" s="51">
        <f t="shared" si="12"/>
        <v>10</v>
      </c>
      <c r="K84" s="112"/>
      <c r="L84" s="111" t="s">
        <v>57</v>
      </c>
      <c r="M84" s="103">
        <f>IF(OR(CO_PO_PSO_MAPPING!$AG12=1,CO_PO_PSO_MAPPING!$AG12=2),CO_PO_PSO_MAPPING!$AC12,0)</f>
        <v>0</v>
      </c>
      <c r="N84" s="103">
        <f>IF(CO_PO_PSO_MAPPING!$AG12=3,CO_PO_PSO_MAPPING!$AC12,0)</f>
        <v>10</v>
      </c>
      <c r="O84" s="103">
        <f>IF(CO_PO_PSO_MAPPING!$AG12=4,CO_PO_PSO_MAPPING!$AC12,0)</f>
        <v>0</v>
      </c>
      <c r="P84" s="103">
        <f>IF(CO_PO_PSO_MAPPING!$AG12=5,CO_PO_PSO_MAPPING!$AC12,0)</f>
        <v>0</v>
      </c>
      <c r="Q84" s="103"/>
      <c r="R84" s="51">
        <f t="shared" si="11"/>
        <v>10</v>
      </c>
    </row>
    <row r="85" ht="15" customHeight="1" spans="2:18">
      <c r="B85" s="104"/>
      <c r="C85" s="102" t="s">
        <v>58</v>
      </c>
      <c r="D85" s="103">
        <f>IF(OR(CO_PO_PSO_MAPPING!$Y13=1,CO_PO_PSO_MAPPING!$Y13=2),CO_PO_PSO_MAPPING!$U13,0)</f>
        <v>0</v>
      </c>
      <c r="E85" s="103">
        <f>IF(CO_PO_PSO_MAPPING!$Y13=3,CO_PO_PSO_MAPPING!$U13,0)</f>
        <v>0</v>
      </c>
      <c r="F85" s="103">
        <f>IF(CO_PO_PSO_MAPPING!$Y13=4,CO_PO_PSO_MAPPING!$U13,0)</f>
        <v>0</v>
      </c>
      <c r="G85" s="103">
        <f>IF(CO_PO_PSO_MAPPING!$Y13=5,CO_PO_PSO_MAPPING!$U13,0)</f>
        <v>0</v>
      </c>
      <c r="H85" s="103"/>
      <c r="I85" s="51">
        <f t="shared" si="12"/>
        <v>0</v>
      </c>
      <c r="K85" s="112"/>
      <c r="L85" s="111" t="s">
        <v>58</v>
      </c>
      <c r="M85" s="103">
        <f>IF(OR(CO_PO_PSO_MAPPING!$AG13=1,CO_PO_PSO_MAPPING!$AG13=2),CO_PO_PSO_MAPPING!$AC13,0)</f>
        <v>0</v>
      </c>
      <c r="N85" s="103">
        <f>IF(CO_PO_PSO_MAPPING!$AG13=3,CO_PO_PSO_MAPPING!$AC13,0)</f>
        <v>10</v>
      </c>
      <c r="O85" s="103">
        <f>IF(CO_PO_PSO_MAPPING!$AG13=4,CO_PO_PSO_MAPPING!$AC13,0)</f>
        <v>0</v>
      </c>
      <c r="P85" s="103">
        <f>IF(CO_PO_PSO_MAPPING!$AG13=5,CO_PO_PSO_MAPPING!$AC13,0)</f>
        <v>0</v>
      </c>
      <c r="Q85" s="103"/>
      <c r="R85" s="51">
        <f t="shared" si="11"/>
        <v>10</v>
      </c>
    </row>
    <row r="86" ht="15" customHeight="1" spans="2:18">
      <c r="B86" s="104"/>
      <c r="C86" s="102" t="s">
        <v>59</v>
      </c>
      <c r="D86" s="103">
        <f>IF(OR(CO_PO_PSO_MAPPING!$Y14=1,CO_PO_PSO_MAPPING!$Y14=2),CO_PO_PSO_MAPPING!$U14,0)</f>
        <v>0</v>
      </c>
      <c r="E86" s="103">
        <f>IF(CO_PO_PSO_MAPPING!$Y14=3,CO_PO_PSO_MAPPING!$U14,0)</f>
        <v>0</v>
      </c>
      <c r="F86" s="103">
        <f>IF(CO_PO_PSO_MAPPING!$Y14=4,CO_PO_PSO_MAPPING!$U14,0)</f>
        <v>0</v>
      </c>
      <c r="G86" s="103">
        <f>IF(CO_PO_PSO_MAPPING!$Y14=5,CO_PO_PSO_MAPPING!$U14,0)</f>
        <v>0</v>
      </c>
      <c r="H86" s="103"/>
      <c r="I86" s="51">
        <f t="shared" ref="I86:I149" si="13">SUM(D86:H86)</f>
        <v>0</v>
      </c>
      <c r="K86" s="112"/>
      <c r="L86" s="111" t="s">
        <v>59</v>
      </c>
      <c r="M86" s="103">
        <f>IF(OR(CO_PO_PSO_MAPPING!$AG14=1,CO_PO_PSO_MAPPING!$AG14=2),CO_PO_PSO_MAPPING!$AC14,0)</f>
        <v>0</v>
      </c>
      <c r="N86" s="103">
        <f>IF(CO_PO_PSO_MAPPING!$AG14=3,CO_PO_PSO_MAPPING!$AC14,0)</f>
        <v>0</v>
      </c>
      <c r="O86" s="103">
        <f>IF(CO_PO_PSO_MAPPING!$AG14=4,CO_PO_PSO_MAPPING!$AC14,0)</f>
        <v>0</v>
      </c>
      <c r="P86" s="103">
        <f>IF(CO_PO_PSO_MAPPING!$AG14=5,CO_PO_PSO_MAPPING!$AC14,0)</f>
        <v>0</v>
      </c>
      <c r="Q86" s="103"/>
      <c r="R86" s="51">
        <f t="shared" si="11"/>
        <v>0</v>
      </c>
    </row>
    <row r="87" ht="15" customHeight="1" spans="2:18">
      <c r="B87" s="104"/>
      <c r="C87" s="102" t="s">
        <v>60</v>
      </c>
      <c r="D87" s="103">
        <f>IF(OR(CO_PO_PSO_MAPPING!$Y15=1,CO_PO_PSO_MAPPING!$Y15=2),CO_PO_PSO_MAPPING!$U15,0)</f>
        <v>0</v>
      </c>
      <c r="E87" s="103">
        <f>IF(CO_PO_PSO_MAPPING!$Y15=3,CO_PO_PSO_MAPPING!$U15,0)</f>
        <v>0</v>
      </c>
      <c r="F87" s="103">
        <f>IF(CO_PO_PSO_MAPPING!$Y15=4,CO_PO_PSO_MAPPING!$U15,0)</f>
        <v>0</v>
      </c>
      <c r="G87" s="103">
        <f>IF(CO_PO_PSO_MAPPING!$Y15=5,CO_PO_PSO_MAPPING!$U15,0)</f>
        <v>0</v>
      </c>
      <c r="H87" s="103"/>
      <c r="I87" s="51">
        <f t="shared" si="13"/>
        <v>0</v>
      </c>
      <c r="K87" s="112"/>
      <c r="L87" s="111" t="s">
        <v>60</v>
      </c>
      <c r="M87" s="103">
        <f>IF(OR(CO_PO_PSO_MAPPING!$AG15=1,CO_PO_PSO_MAPPING!$AG15=2),CO_PO_PSO_MAPPING!$AC15,0)</f>
        <v>0</v>
      </c>
      <c r="N87" s="103">
        <f>IF(CO_PO_PSO_MAPPING!$AG15=3,CO_PO_PSO_MAPPING!$AC15,0)</f>
        <v>0</v>
      </c>
      <c r="O87" s="103">
        <f>IF(CO_PO_PSO_MAPPING!$AG15=4,CO_PO_PSO_MAPPING!$AC15,0)</f>
        <v>0</v>
      </c>
      <c r="P87" s="103">
        <f>IF(CO_PO_PSO_MAPPING!$AG15=5,CO_PO_PSO_MAPPING!$AC15,0)</f>
        <v>0</v>
      </c>
      <c r="Q87" s="103"/>
      <c r="R87" s="51">
        <f t="shared" si="11"/>
        <v>0</v>
      </c>
    </row>
    <row r="88" ht="15" customHeight="1" spans="2:18">
      <c r="B88" s="104"/>
      <c r="C88" s="102" t="s">
        <v>61</v>
      </c>
      <c r="D88" s="103">
        <f>IF(OR(CO_PO_PSO_MAPPING!$Y16=1,CO_PO_PSO_MAPPING!$Y16=2),CO_PO_PSO_MAPPING!$U16,0)</f>
        <v>0</v>
      </c>
      <c r="E88" s="103">
        <f>IF(CO_PO_PSO_MAPPING!$Y16=3,CO_PO_PSO_MAPPING!$U16,0)</f>
        <v>10</v>
      </c>
      <c r="F88" s="103">
        <f>IF(CO_PO_PSO_MAPPING!$Y16=4,CO_PO_PSO_MAPPING!$U16,0)</f>
        <v>0</v>
      </c>
      <c r="G88" s="103">
        <f>IF(CO_PO_PSO_MAPPING!$Y16=5,CO_PO_PSO_MAPPING!$U16,0)</f>
        <v>0</v>
      </c>
      <c r="H88" s="103"/>
      <c r="I88" s="51">
        <f t="shared" si="13"/>
        <v>10</v>
      </c>
      <c r="K88" s="112"/>
      <c r="L88" s="114" t="s">
        <v>61</v>
      </c>
      <c r="M88" s="121">
        <f>IF(OR(CO_PO_PSO_MAPPING!$AG16=1,CO_PO_PSO_MAPPING!$AG16=2),CO_PO_PSO_MAPPING!$AC16,0)</f>
        <v>0</v>
      </c>
      <c r="N88" s="121">
        <f>IF(CO_PO_PSO_MAPPING!$AG16=3,CO_PO_PSO_MAPPING!$AC16,0)</f>
        <v>10</v>
      </c>
      <c r="O88" s="121">
        <f>IF(CO_PO_PSO_MAPPING!$AG16=4,CO_PO_PSO_MAPPING!$AC16,0)</f>
        <v>0</v>
      </c>
      <c r="P88" s="121">
        <f>IF(CO_PO_PSO_MAPPING!$AG16=5,CO_PO_PSO_MAPPING!$AC16,0)</f>
        <v>0</v>
      </c>
      <c r="Q88" s="121"/>
      <c r="R88" s="51">
        <f t="shared" si="11"/>
        <v>10</v>
      </c>
    </row>
    <row r="89" ht="15" customHeight="1" spans="2:18">
      <c r="B89" s="104"/>
      <c r="C89" s="102" t="s">
        <v>62</v>
      </c>
      <c r="D89" s="103">
        <f>IF(OR(CO_PO_PSO_MAPPING!$Y17=1,CO_PO_PSO_MAPPING!$Y17=2),CO_PO_PSO_MAPPING!$U17,0)</f>
        <v>0</v>
      </c>
      <c r="E89" s="103">
        <f>IF(CO_PO_PSO_MAPPING!$Y17=3,CO_PO_PSO_MAPPING!$U17,0)</f>
        <v>0</v>
      </c>
      <c r="F89" s="103">
        <f>IF(CO_PO_PSO_MAPPING!$Y17=4,CO_PO_PSO_MAPPING!$U17,0)</f>
        <v>0</v>
      </c>
      <c r="G89" s="103">
        <f>IF(CO_PO_PSO_MAPPING!$Y17=5,CO_PO_PSO_MAPPING!$U17,0)</f>
        <v>0</v>
      </c>
      <c r="H89" s="103"/>
      <c r="I89" s="51">
        <f t="shared" si="13"/>
        <v>0</v>
      </c>
      <c r="K89" s="112"/>
      <c r="L89" s="114" t="s">
        <v>62</v>
      </c>
      <c r="M89" s="121">
        <f>IF(OR(CO_PO_PSO_MAPPING!$AG17=1,CO_PO_PSO_MAPPING!$AG17=2),CO_PO_PSO_MAPPING!$AC17,0)</f>
        <v>0</v>
      </c>
      <c r="N89" s="121">
        <f>IF(CO_PO_PSO_MAPPING!$AG17=3,CO_PO_PSO_MAPPING!$AC17,0)</f>
        <v>10</v>
      </c>
      <c r="O89" s="121">
        <f>IF(CO_PO_PSO_MAPPING!$AG17=4,CO_PO_PSO_MAPPING!$AC17,0)</f>
        <v>0</v>
      </c>
      <c r="P89" s="121">
        <f>IF(CO_PO_PSO_MAPPING!$AG17=5,CO_PO_PSO_MAPPING!$AC17,0)</f>
        <v>0</v>
      </c>
      <c r="Q89" s="121"/>
      <c r="R89" s="51">
        <f t="shared" si="11"/>
        <v>10</v>
      </c>
    </row>
    <row r="90" ht="15" customHeight="1" spans="2:18">
      <c r="B90" s="104"/>
      <c r="C90" s="102" t="s">
        <v>63</v>
      </c>
      <c r="D90" s="103">
        <f>IF(OR(CO_PO_PSO_MAPPING!$Y18=1,CO_PO_PSO_MAPPING!$Y18=2),CO_PO_PSO_MAPPING!$U18,0)</f>
        <v>0</v>
      </c>
      <c r="E90" s="103">
        <f>IF(CO_PO_PSO_MAPPING!$Y18=3,CO_PO_PSO_MAPPING!$U18,0)</f>
        <v>0</v>
      </c>
      <c r="F90" s="103">
        <f>IF(CO_PO_PSO_MAPPING!$Y18=4,CO_PO_PSO_MAPPING!$U18,0)</f>
        <v>0</v>
      </c>
      <c r="G90" s="103">
        <f>IF(CO_PO_PSO_MAPPING!$Y18=5,CO_PO_PSO_MAPPING!$U18,0)</f>
        <v>0</v>
      </c>
      <c r="H90" s="103"/>
      <c r="I90" s="51">
        <f t="shared" si="13"/>
        <v>0</v>
      </c>
      <c r="K90" s="112"/>
      <c r="L90" s="114" t="s">
        <v>63</v>
      </c>
      <c r="M90" s="121">
        <f>IF(OR(CO_PO_PSO_MAPPING!$AG18=1,CO_PO_PSO_MAPPING!$AG18=2),CO_PO_PSO_MAPPING!$AC18,0)</f>
        <v>0</v>
      </c>
      <c r="N90" s="121">
        <f>IF(CO_PO_PSO_MAPPING!$AG18=3,CO_PO_PSO_MAPPING!$AC18,0)</f>
        <v>0</v>
      </c>
      <c r="O90" s="121">
        <f>IF(CO_PO_PSO_MAPPING!$AG18=4,CO_PO_PSO_MAPPING!$AC18,0)</f>
        <v>0</v>
      </c>
      <c r="P90" s="121">
        <f>IF(CO_PO_PSO_MAPPING!$AG18=5,CO_PO_PSO_MAPPING!$AC18,0)</f>
        <v>0</v>
      </c>
      <c r="Q90" s="121"/>
      <c r="R90" s="51">
        <f t="shared" si="11"/>
        <v>0</v>
      </c>
    </row>
    <row r="91" ht="15" customHeight="1" spans="2:18">
      <c r="B91" s="104"/>
      <c r="C91" s="102" t="s">
        <v>64</v>
      </c>
      <c r="D91" s="103">
        <f>IF(OR(CO_PO_PSO_MAPPING!$Y19=1,CO_PO_PSO_MAPPING!$Y19=2),CO_PO_PSO_MAPPING!$U19,0)</f>
        <v>0</v>
      </c>
      <c r="E91" s="103">
        <f>IF(CO_PO_PSO_MAPPING!$Y19=3,CO_PO_PSO_MAPPING!$U19,0)</f>
        <v>0</v>
      </c>
      <c r="F91" s="103">
        <f>IF(CO_PO_PSO_MAPPING!$Y19=4,CO_PO_PSO_MAPPING!$U19,0)</f>
        <v>0</v>
      </c>
      <c r="G91" s="103">
        <f>IF(CO_PO_PSO_MAPPING!$Y19=5,CO_PO_PSO_MAPPING!$U19,0)</f>
        <v>0</v>
      </c>
      <c r="H91" s="103"/>
      <c r="I91" s="51">
        <f t="shared" si="13"/>
        <v>0</v>
      </c>
      <c r="K91" s="112"/>
      <c r="L91" s="114" t="s">
        <v>64</v>
      </c>
      <c r="M91" s="121">
        <f>IF(OR(CO_PO_PSO_MAPPING!$AG19=1,CO_PO_PSO_MAPPING!$AG19=2),CO_PO_PSO_MAPPING!$AC19,0)</f>
        <v>0</v>
      </c>
      <c r="N91" s="121">
        <f>IF(CO_PO_PSO_MAPPING!$AG19=3,CO_PO_PSO_MAPPING!$AC19,0)</f>
        <v>0</v>
      </c>
      <c r="O91" s="121">
        <f>IF(CO_PO_PSO_MAPPING!$AG19=4,CO_PO_PSO_MAPPING!$AC19,0)</f>
        <v>0</v>
      </c>
      <c r="P91" s="121">
        <f>IF(CO_PO_PSO_MAPPING!$AG19=5,CO_PO_PSO_MAPPING!$AC19,0)</f>
        <v>0</v>
      </c>
      <c r="Q91" s="121"/>
      <c r="R91" s="51">
        <f t="shared" si="11"/>
        <v>0</v>
      </c>
    </row>
    <row r="92" ht="15" customHeight="1" spans="2:18">
      <c r="B92" s="104"/>
      <c r="C92" s="102" t="s">
        <v>65</v>
      </c>
      <c r="D92" s="103">
        <f>IF(OR(CO_PO_PSO_MAPPING!$Y20=1,CO_PO_PSO_MAPPING!$Y20=2),CO_PO_PSO_MAPPING!$U20,0)</f>
        <v>0</v>
      </c>
      <c r="E92" s="103">
        <f>IF(CO_PO_PSO_MAPPING!$Y20=3,CO_PO_PSO_MAPPING!$U20,0)</f>
        <v>10</v>
      </c>
      <c r="F92" s="103">
        <f>IF(CO_PO_PSO_MAPPING!$Y20=4,CO_PO_PSO_MAPPING!$U20,0)</f>
        <v>0</v>
      </c>
      <c r="G92" s="103">
        <f>IF(CO_PO_PSO_MAPPING!$Y20=5,CO_PO_PSO_MAPPING!$U20,0)</f>
        <v>0</v>
      </c>
      <c r="H92" s="103"/>
      <c r="I92" s="51">
        <f t="shared" si="13"/>
        <v>10</v>
      </c>
      <c r="K92" s="112"/>
      <c r="L92" s="115" t="s">
        <v>65</v>
      </c>
      <c r="M92" s="122">
        <f>IF(OR(CO_PO_PSO_MAPPING!$AG20=1,CO_PO_PSO_MAPPING!$AG20=2),CO_PO_PSO_MAPPING!$AC20,0)</f>
        <v>0</v>
      </c>
      <c r="N92" s="122">
        <f>IF(CO_PO_PSO_MAPPING!$AG20=3,CO_PO_PSO_MAPPING!$AC20,0)</f>
        <v>0</v>
      </c>
      <c r="O92" s="122">
        <f>IF(CO_PO_PSO_MAPPING!$AG20=4,CO_PO_PSO_MAPPING!$AC20,0)</f>
        <v>10</v>
      </c>
      <c r="P92" s="122">
        <f>IF(CO_PO_PSO_MAPPING!$AG20=5,CO_PO_PSO_MAPPING!$AC20,0)</f>
        <v>0</v>
      </c>
      <c r="Q92" s="122"/>
      <c r="R92" s="51">
        <f t="shared" si="11"/>
        <v>10</v>
      </c>
    </row>
    <row r="93" ht="15" customHeight="1" spans="2:18">
      <c r="B93" s="104"/>
      <c r="C93" s="102" t="s">
        <v>66</v>
      </c>
      <c r="D93" s="103">
        <f>IF(OR(CO_PO_PSO_MAPPING!$Y21=1,CO_PO_PSO_MAPPING!$Y21=2),CO_PO_PSO_MAPPING!$U21,0)</f>
        <v>0</v>
      </c>
      <c r="E93" s="103">
        <f>IF(CO_PO_PSO_MAPPING!$Y21=3,CO_PO_PSO_MAPPING!$U21,0)</f>
        <v>0</v>
      </c>
      <c r="F93" s="103">
        <f>IF(CO_PO_PSO_MAPPING!$Y21=4,CO_PO_PSO_MAPPING!$U21,0)</f>
        <v>0</v>
      </c>
      <c r="G93" s="103">
        <f>IF(CO_PO_PSO_MAPPING!$Y21=5,CO_PO_PSO_MAPPING!$U21,0)</f>
        <v>0</v>
      </c>
      <c r="H93" s="103"/>
      <c r="I93" s="51">
        <f t="shared" si="13"/>
        <v>0</v>
      </c>
      <c r="K93" s="112"/>
      <c r="L93" s="115" t="s">
        <v>66</v>
      </c>
      <c r="M93" s="122">
        <f>IF(OR(CO_PO_PSO_MAPPING!$AG21=1,CO_PO_PSO_MAPPING!$AG21=2),CO_PO_PSO_MAPPING!$AC21,0)</f>
        <v>0</v>
      </c>
      <c r="N93" s="122">
        <f>IF(CO_PO_PSO_MAPPING!$AG21=3,CO_PO_PSO_MAPPING!$AC21,0)</f>
        <v>0</v>
      </c>
      <c r="O93" s="122">
        <f>IF(CO_PO_PSO_MAPPING!$AG21=4,CO_PO_PSO_MAPPING!$AC21,0)</f>
        <v>10</v>
      </c>
      <c r="P93" s="122">
        <f>IF(CO_PO_PSO_MAPPING!$AG21=5,CO_PO_PSO_MAPPING!$AC21,0)</f>
        <v>0</v>
      </c>
      <c r="Q93" s="122"/>
      <c r="R93" s="51">
        <f t="shared" si="11"/>
        <v>10</v>
      </c>
    </row>
    <row r="94" ht="15" customHeight="1" spans="2:18">
      <c r="B94" s="104"/>
      <c r="C94" s="102" t="s">
        <v>67</v>
      </c>
      <c r="D94" s="103">
        <f>IF(OR(CO_PO_PSO_MAPPING!$Y22=1,CO_PO_PSO_MAPPING!$Y22=2),CO_PO_PSO_MAPPING!$U22,0)</f>
        <v>0</v>
      </c>
      <c r="E94" s="103">
        <f>IF(CO_PO_PSO_MAPPING!$Y22=3,CO_PO_PSO_MAPPING!$U22,0)</f>
        <v>0</v>
      </c>
      <c r="F94" s="103">
        <f>IF(CO_PO_PSO_MAPPING!$Y22=4,CO_PO_PSO_MAPPING!$U22,0)</f>
        <v>0</v>
      </c>
      <c r="G94" s="103">
        <f>IF(CO_PO_PSO_MAPPING!$Y22=5,CO_PO_PSO_MAPPING!$U22,0)</f>
        <v>0</v>
      </c>
      <c r="H94" s="103"/>
      <c r="I94" s="51">
        <f t="shared" si="13"/>
        <v>0</v>
      </c>
      <c r="K94" s="112"/>
      <c r="L94" s="115" t="s">
        <v>67</v>
      </c>
      <c r="M94" s="122">
        <f>IF(OR(CO_PO_PSO_MAPPING!$AG22=1,CO_PO_PSO_MAPPING!$AG22=2),CO_PO_PSO_MAPPING!$AC22,0)</f>
        <v>0</v>
      </c>
      <c r="N94" s="122">
        <f>IF(CO_PO_PSO_MAPPING!$AG22=3,CO_PO_PSO_MAPPING!$AC22,0)</f>
        <v>0</v>
      </c>
      <c r="O94" s="122">
        <f>IF(CO_PO_PSO_MAPPING!$AG22=4,CO_PO_PSO_MAPPING!$AC22,0)</f>
        <v>0</v>
      </c>
      <c r="P94" s="122">
        <f>IF(CO_PO_PSO_MAPPING!$AG22=5,CO_PO_PSO_MAPPING!$AC22,0)</f>
        <v>0</v>
      </c>
      <c r="Q94" s="122"/>
      <c r="R94" s="51">
        <f t="shared" si="11"/>
        <v>0</v>
      </c>
    </row>
    <row r="95" ht="15" customHeight="1" spans="2:18">
      <c r="B95" s="104"/>
      <c r="C95" s="102" t="s">
        <v>68</v>
      </c>
      <c r="D95" s="103">
        <f>IF(OR(CO_PO_PSO_MAPPING!$Y23=1,CO_PO_PSO_MAPPING!$Y23=2),CO_PO_PSO_MAPPING!$U23,0)</f>
        <v>0</v>
      </c>
      <c r="E95" s="103">
        <f>IF(CO_PO_PSO_MAPPING!$Y23=3,CO_PO_PSO_MAPPING!$U23,0)</f>
        <v>0</v>
      </c>
      <c r="F95" s="103">
        <f>IF(CO_PO_PSO_MAPPING!$Y23=4,CO_PO_PSO_MAPPING!$U23,0)</f>
        <v>0</v>
      </c>
      <c r="G95" s="103">
        <f>IF(CO_PO_PSO_MAPPING!$Y23=5,CO_PO_PSO_MAPPING!$U23,0)</f>
        <v>0</v>
      </c>
      <c r="H95" s="103"/>
      <c r="I95" s="51">
        <f t="shared" si="13"/>
        <v>0</v>
      </c>
      <c r="K95" s="112"/>
      <c r="L95" s="115" t="s">
        <v>68</v>
      </c>
      <c r="M95" s="122">
        <f>IF(OR(CO_PO_PSO_MAPPING!$AG23=1,CO_PO_PSO_MAPPING!$AG23=2),CO_PO_PSO_MAPPING!$AC23,0)</f>
        <v>0</v>
      </c>
      <c r="N95" s="122">
        <f>IF(CO_PO_PSO_MAPPING!$AG23=3,CO_PO_PSO_MAPPING!$AC23,0)</f>
        <v>0</v>
      </c>
      <c r="O95" s="122">
        <f>IF(CO_PO_PSO_MAPPING!$AG23=4,CO_PO_PSO_MAPPING!$AC23,0)</f>
        <v>0</v>
      </c>
      <c r="P95" s="122">
        <f>IF(CO_PO_PSO_MAPPING!$AG23=5,CO_PO_PSO_MAPPING!$AC23,0)</f>
        <v>0</v>
      </c>
      <c r="Q95" s="122"/>
      <c r="R95" s="51">
        <f t="shared" si="11"/>
        <v>0</v>
      </c>
    </row>
    <row r="96" ht="15" customHeight="1" spans="2:18">
      <c r="B96" s="104"/>
      <c r="C96" s="102" t="s">
        <v>69</v>
      </c>
      <c r="D96" s="103">
        <f>IF(OR(CO_PO_PSO_MAPPING!$Y24=1,CO_PO_PSO_MAPPING!$Y24=2),CO_PO_PSO_MAPPING!$U24,0)</f>
        <v>0</v>
      </c>
      <c r="E96" s="103">
        <f>IF(CO_PO_PSO_MAPPING!$Y24=3,CO_PO_PSO_MAPPING!$U24,0)</f>
        <v>10</v>
      </c>
      <c r="F96" s="103">
        <f>IF(CO_PO_PSO_MAPPING!$Y24=4,CO_PO_PSO_MAPPING!$U24,0)</f>
        <v>0</v>
      </c>
      <c r="G96" s="103">
        <f>IF(CO_PO_PSO_MAPPING!$Y24=5,CO_PO_PSO_MAPPING!$U24,0)</f>
        <v>0</v>
      </c>
      <c r="H96" s="103"/>
      <c r="I96" s="51">
        <f t="shared" si="13"/>
        <v>10</v>
      </c>
      <c r="K96" s="112"/>
      <c r="L96" s="114" t="s">
        <v>69</v>
      </c>
      <c r="M96" s="121">
        <f>IF(OR(CO_PO_PSO_MAPPING!$AG24=1,CO_PO_PSO_MAPPING!$AG24=2),CO_PO_PSO_MAPPING!$AC24,0)</f>
        <v>0</v>
      </c>
      <c r="N96" s="121">
        <f>IF(CO_PO_PSO_MAPPING!$AG24=3,CO_PO_PSO_MAPPING!$AC24,0)</f>
        <v>10</v>
      </c>
      <c r="O96" s="121">
        <f>IF(CO_PO_PSO_MAPPING!$AG24=4,CO_PO_PSO_MAPPING!$AC24,0)</f>
        <v>0</v>
      </c>
      <c r="P96" s="121">
        <f>IF(CO_PO_PSO_MAPPING!$AG24=5,CO_PO_PSO_MAPPING!$AC24,0)</f>
        <v>0</v>
      </c>
      <c r="Q96" s="121"/>
      <c r="R96" s="51">
        <f t="shared" si="11"/>
        <v>10</v>
      </c>
    </row>
    <row r="97" ht="15" customHeight="1" spans="2:18">
      <c r="B97" s="104"/>
      <c r="C97" s="102" t="s">
        <v>70</v>
      </c>
      <c r="D97" s="103">
        <f>IF(OR(CO_PO_PSO_MAPPING!$Y25=1,CO_PO_PSO_MAPPING!$Y25=2),CO_PO_PSO_MAPPING!$U25,0)</f>
        <v>0</v>
      </c>
      <c r="E97" s="103">
        <f>IF(CO_PO_PSO_MAPPING!$Y25=3,CO_PO_PSO_MAPPING!$U25,0)</f>
        <v>0</v>
      </c>
      <c r="F97" s="103">
        <f>IF(CO_PO_PSO_MAPPING!$Y25=4,CO_PO_PSO_MAPPING!$U25,0)</f>
        <v>0</v>
      </c>
      <c r="G97" s="103">
        <f>IF(CO_PO_PSO_MAPPING!$Y25=5,CO_PO_PSO_MAPPING!$U25,0)</f>
        <v>0</v>
      </c>
      <c r="H97" s="103"/>
      <c r="I97" s="51">
        <f t="shared" si="13"/>
        <v>0</v>
      </c>
      <c r="K97" s="112"/>
      <c r="L97" s="114" t="s">
        <v>70</v>
      </c>
      <c r="M97" s="121">
        <f>IF(OR(CO_PO_PSO_MAPPING!$AG25=1,CO_PO_PSO_MAPPING!$AG25=2),CO_PO_PSO_MAPPING!$AC25,0)</f>
        <v>0</v>
      </c>
      <c r="N97" s="121">
        <f>IF(CO_PO_PSO_MAPPING!$AG25=3,CO_PO_PSO_MAPPING!$AC25,0)</f>
        <v>0</v>
      </c>
      <c r="O97" s="121">
        <f>IF(CO_PO_PSO_MAPPING!$AG25=4,CO_PO_PSO_MAPPING!$AC25,0)</f>
        <v>10</v>
      </c>
      <c r="P97" s="121">
        <f>IF(CO_PO_PSO_MAPPING!$AG25=5,CO_PO_PSO_MAPPING!$AC25,0)</f>
        <v>0</v>
      </c>
      <c r="Q97" s="121"/>
      <c r="R97" s="51">
        <f t="shared" si="11"/>
        <v>10</v>
      </c>
    </row>
    <row r="98" ht="15" customHeight="1" spans="2:18">
      <c r="B98" s="104"/>
      <c r="C98" s="102" t="s">
        <v>71</v>
      </c>
      <c r="D98" s="103">
        <f>IF(OR(CO_PO_PSO_MAPPING!$Y26=1,CO_PO_PSO_MAPPING!$Y26=2),CO_PO_PSO_MAPPING!$U26,0)</f>
        <v>0</v>
      </c>
      <c r="E98" s="103">
        <f>IF(CO_PO_PSO_MAPPING!$Y26=3,CO_PO_PSO_MAPPING!$U26,0)</f>
        <v>0</v>
      </c>
      <c r="F98" s="103">
        <f>IF(CO_PO_PSO_MAPPING!$Y26=4,CO_PO_PSO_MAPPING!$U26,0)</f>
        <v>0</v>
      </c>
      <c r="G98" s="103">
        <f>IF(CO_PO_PSO_MAPPING!$Y26=5,CO_PO_PSO_MAPPING!$U26,0)</f>
        <v>0</v>
      </c>
      <c r="H98" s="103"/>
      <c r="I98" s="51">
        <f t="shared" si="13"/>
        <v>0</v>
      </c>
      <c r="K98" s="112"/>
      <c r="L98" s="114" t="s">
        <v>71</v>
      </c>
      <c r="M98" s="121">
        <f>IF(OR(CO_PO_PSO_MAPPING!$AG26=1,CO_PO_PSO_MAPPING!$AG26=2),CO_PO_PSO_MAPPING!$AC26,0)</f>
        <v>0</v>
      </c>
      <c r="N98" s="121">
        <f>IF(CO_PO_PSO_MAPPING!$AG26=3,CO_PO_PSO_MAPPING!$AC26,0)</f>
        <v>0</v>
      </c>
      <c r="O98" s="121">
        <f>IF(CO_PO_PSO_MAPPING!$AG26=4,CO_PO_PSO_MAPPING!$AC26,0)</f>
        <v>0</v>
      </c>
      <c r="P98" s="121">
        <f>IF(CO_PO_PSO_MAPPING!$AG26=5,CO_PO_PSO_MAPPING!$AC26,0)</f>
        <v>0</v>
      </c>
      <c r="Q98" s="121"/>
      <c r="R98" s="51">
        <f t="shared" si="11"/>
        <v>0</v>
      </c>
    </row>
    <row r="99" ht="15" customHeight="1" spans="2:18">
      <c r="B99" s="104"/>
      <c r="C99" s="102" t="s">
        <v>72</v>
      </c>
      <c r="D99" s="103">
        <f>IF(OR(CO_PO_PSO_MAPPING!$Y27=1,CO_PO_PSO_MAPPING!$Y27=2),CO_PO_PSO_MAPPING!$U27,0)</f>
        <v>0</v>
      </c>
      <c r="E99" s="103">
        <f>IF(CO_PO_PSO_MAPPING!$Y27=3,CO_PO_PSO_MAPPING!$U27,0)</f>
        <v>0</v>
      </c>
      <c r="F99" s="103">
        <f>IF(CO_PO_PSO_MAPPING!$Y27=4,CO_PO_PSO_MAPPING!$U27,0)</f>
        <v>0</v>
      </c>
      <c r="G99" s="103">
        <f>IF(CO_PO_PSO_MAPPING!$Y27=5,CO_PO_PSO_MAPPING!$U27,0)</f>
        <v>0</v>
      </c>
      <c r="H99" s="103"/>
      <c r="I99" s="51">
        <f t="shared" si="13"/>
        <v>0</v>
      </c>
      <c r="K99" s="112"/>
      <c r="L99" s="114" t="s">
        <v>72</v>
      </c>
      <c r="M99" s="121">
        <f>IF(OR(CO_PO_PSO_MAPPING!$AG27=1,CO_PO_PSO_MAPPING!$AG27=2),CO_PO_PSO_MAPPING!$AC27,0)</f>
        <v>0</v>
      </c>
      <c r="N99" s="121">
        <f>IF(CO_PO_PSO_MAPPING!$AG27=3,CO_PO_PSO_MAPPING!$AC27,0)</f>
        <v>0</v>
      </c>
      <c r="O99" s="121">
        <f>IF(CO_PO_PSO_MAPPING!$AG27=4,CO_PO_PSO_MAPPING!$AC27,0)</f>
        <v>0</v>
      </c>
      <c r="P99" s="121">
        <f>IF(CO_PO_PSO_MAPPING!$AG27=5,CO_PO_PSO_MAPPING!$AC27,0)</f>
        <v>0</v>
      </c>
      <c r="Q99" s="121"/>
      <c r="R99" s="51">
        <f t="shared" si="11"/>
        <v>0</v>
      </c>
    </row>
    <row r="100" ht="15" customHeight="1" spans="2:18">
      <c r="B100" s="104"/>
      <c r="C100" s="102" t="s">
        <v>73</v>
      </c>
      <c r="D100" s="103">
        <f>IF(OR(CO_PO_PSO_MAPPING!$Y28=1,CO_PO_PSO_MAPPING!$Y28=2),CO_PO_PSO_MAPPING!$U28,0)</f>
        <v>0</v>
      </c>
      <c r="E100" s="103">
        <f>IF(CO_PO_PSO_MAPPING!$Y28=3,CO_PO_PSO_MAPPING!$U28,0)</f>
        <v>0</v>
      </c>
      <c r="F100" s="103">
        <f>IF(CO_PO_PSO_MAPPING!$Y28=4,CO_PO_PSO_MAPPING!$U28,0)</f>
        <v>10</v>
      </c>
      <c r="G100" s="103">
        <f>IF(CO_PO_PSO_MAPPING!$Y28=5,CO_PO_PSO_MAPPING!$U28,0)</f>
        <v>0</v>
      </c>
      <c r="H100" s="103"/>
      <c r="I100" s="51">
        <f t="shared" si="13"/>
        <v>10</v>
      </c>
      <c r="K100" s="112"/>
      <c r="L100" s="116" t="s">
        <v>73</v>
      </c>
      <c r="M100" s="123">
        <f>IF(OR(CO_PO_PSO_MAPPING!$AG28=1,CO_PO_PSO_MAPPING!$AG28=2),CO_PO_PSO_MAPPING!$AC28,0)</f>
        <v>0</v>
      </c>
      <c r="N100" s="123">
        <f>IF(CO_PO_PSO_MAPPING!$AG28=3,CO_PO_PSO_MAPPING!$AC28,0)</f>
        <v>6</v>
      </c>
      <c r="O100" s="123">
        <f>IF(CO_PO_PSO_MAPPING!$AG28=4,CO_PO_PSO_MAPPING!$AC28,0)</f>
        <v>0</v>
      </c>
      <c r="P100" s="123">
        <f>IF(CO_PO_PSO_MAPPING!$AG28=5,CO_PO_PSO_MAPPING!$AC28,0)</f>
        <v>0</v>
      </c>
      <c r="Q100" s="123"/>
      <c r="R100" s="51">
        <f t="shared" si="11"/>
        <v>6</v>
      </c>
    </row>
    <row r="101" ht="15" customHeight="1" spans="2:18">
      <c r="B101" s="104"/>
      <c r="C101" s="102" t="s">
        <v>74</v>
      </c>
      <c r="D101" s="103">
        <f>IF(OR(CO_PO_PSO_MAPPING!$Y29=1,CO_PO_PSO_MAPPING!$Y29=2),CO_PO_PSO_MAPPING!$U29,0)</f>
        <v>0</v>
      </c>
      <c r="E101" s="103">
        <f>IF(CO_PO_PSO_MAPPING!$Y29=3,CO_PO_PSO_MAPPING!$U29,0)</f>
        <v>0</v>
      </c>
      <c r="F101" s="103">
        <f>IF(CO_PO_PSO_MAPPING!$Y29=4,CO_PO_PSO_MAPPING!$U29,0)</f>
        <v>0</v>
      </c>
      <c r="G101" s="103">
        <f>IF(CO_PO_PSO_MAPPING!$Y29=5,CO_PO_PSO_MAPPING!$U29,0)</f>
        <v>0</v>
      </c>
      <c r="H101" s="103"/>
      <c r="I101" s="51">
        <f t="shared" si="13"/>
        <v>0</v>
      </c>
      <c r="K101" s="112"/>
      <c r="L101" s="116" t="s">
        <v>74</v>
      </c>
      <c r="M101" s="123">
        <f>IF(OR(CO_PO_PSO_MAPPING!$AG29=1,CO_PO_PSO_MAPPING!$AG29=2),CO_PO_PSO_MAPPING!$AC29,0)</f>
        <v>0</v>
      </c>
      <c r="N101" s="123">
        <f>IF(CO_PO_PSO_MAPPING!$AG29=3,CO_PO_PSO_MAPPING!$AC29,0)</f>
        <v>6</v>
      </c>
      <c r="O101" s="123">
        <f>IF(CO_PO_PSO_MAPPING!$AG29=4,CO_PO_PSO_MAPPING!$AC29,0)</f>
        <v>0</v>
      </c>
      <c r="P101" s="123">
        <f>IF(CO_PO_PSO_MAPPING!$AG29=5,CO_PO_PSO_MAPPING!$AC29,0)</f>
        <v>0</v>
      </c>
      <c r="Q101" s="123"/>
      <c r="R101" s="51">
        <f t="shared" si="11"/>
        <v>6</v>
      </c>
    </row>
    <row r="102" ht="15" customHeight="1" spans="2:18">
      <c r="B102" s="104"/>
      <c r="C102" s="102" t="s">
        <v>75</v>
      </c>
      <c r="D102" s="103">
        <f>IF(OR(CO_PO_PSO_MAPPING!$Y30=1,CO_PO_PSO_MAPPING!$Y30=2),CO_PO_PSO_MAPPING!$U30,0)</f>
        <v>0</v>
      </c>
      <c r="E102" s="103">
        <f>IF(CO_PO_PSO_MAPPING!$Y30=3,CO_PO_PSO_MAPPING!$U30,0)</f>
        <v>0</v>
      </c>
      <c r="F102" s="103">
        <f>IF(CO_PO_PSO_MAPPING!$Y30=4,CO_PO_PSO_MAPPING!$U30,0)</f>
        <v>0</v>
      </c>
      <c r="G102" s="103">
        <f>IF(CO_PO_PSO_MAPPING!$Y30=5,CO_PO_PSO_MAPPING!$U30,0)</f>
        <v>0</v>
      </c>
      <c r="H102" s="103"/>
      <c r="I102" s="51">
        <f t="shared" si="13"/>
        <v>0</v>
      </c>
      <c r="K102" s="112"/>
      <c r="L102" s="116" t="s">
        <v>75</v>
      </c>
      <c r="M102" s="123">
        <f>IF(OR(CO_PO_PSO_MAPPING!$AG30=1,CO_PO_PSO_MAPPING!$AG30=2),CO_PO_PSO_MAPPING!$AC30,0)</f>
        <v>0</v>
      </c>
      <c r="N102" s="123">
        <f>IF(CO_PO_PSO_MAPPING!$AG30=3,CO_PO_PSO_MAPPING!$AC30,0)</f>
        <v>0</v>
      </c>
      <c r="O102" s="123">
        <f>IF(CO_PO_PSO_MAPPING!$AG30=4,CO_PO_PSO_MAPPING!$AC30,0)</f>
        <v>8</v>
      </c>
      <c r="P102" s="123">
        <f>IF(CO_PO_PSO_MAPPING!$AG30=5,CO_PO_PSO_MAPPING!$AC30,0)</f>
        <v>0</v>
      </c>
      <c r="Q102" s="123"/>
      <c r="R102" s="51">
        <f t="shared" si="11"/>
        <v>8</v>
      </c>
    </row>
    <row r="103" ht="15" customHeight="1" spans="2:18">
      <c r="B103" s="104"/>
      <c r="C103" s="102" t="s">
        <v>76</v>
      </c>
      <c r="D103" s="103">
        <f>IF(OR(CO_PO_PSO_MAPPING!$Y31=1,CO_PO_PSO_MAPPING!$Y31=2),CO_PO_PSO_MAPPING!$U31,0)</f>
        <v>0</v>
      </c>
      <c r="E103" s="103">
        <f>IF(CO_PO_PSO_MAPPING!$Y31=3,CO_PO_PSO_MAPPING!$U31,0)</f>
        <v>0</v>
      </c>
      <c r="F103" s="103">
        <f>IF(CO_PO_PSO_MAPPING!$Y31=4,CO_PO_PSO_MAPPING!$U31,0)</f>
        <v>0</v>
      </c>
      <c r="G103" s="103">
        <f>IF(CO_PO_PSO_MAPPING!$Y31=5,CO_PO_PSO_MAPPING!$U31,0)</f>
        <v>0</v>
      </c>
      <c r="H103" s="103"/>
      <c r="I103" s="51">
        <f t="shared" si="13"/>
        <v>0</v>
      </c>
      <c r="K103" s="112"/>
      <c r="L103" s="116" t="s">
        <v>76</v>
      </c>
      <c r="M103" s="123">
        <f>IF(OR(CO_PO_PSO_MAPPING!$AG31=1,CO_PO_PSO_MAPPING!$AG31=2),CO_PO_PSO_MAPPING!$AC31,0)</f>
        <v>0</v>
      </c>
      <c r="N103" s="123">
        <f>IF(CO_PO_PSO_MAPPING!$AG31=3,CO_PO_PSO_MAPPING!$AC31,0)</f>
        <v>0</v>
      </c>
      <c r="O103" s="123">
        <f>IF(CO_PO_PSO_MAPPING!$AG31=4,CO_PO_PSO_MAPPING!$AC31,0)</f>
        <v>0</v>
      </c>
      <c r="P103" s="123">
        <f>IF(CO_PO_PSO_MAPPING!$AG31=5,CO_PO_PSO_MAPPING!$AC31,0)</f>
        <v>0</v>
      </c>
      <c r="Q103" s="123"/>
      <c r="R103" s="51">
        <f t="shared" si="11"/>
        <v>0</v>
      </c>
    </row>
    <row r="104" ht="15" customHeight="1" spans="2:18">
      <c r="B104" s="104"/>
      <c r="C104" s="102" t="s">
        <v>77</v>
      </c>
      <c r="D104" s="103">
        <f>IF(OR(CO_PO_PSO_MAPPING!$Y32=1,CO_PO_PSO_MAPPING!$Y32=2),CO_PO_PSO_MAPPING!$U32,0)</f>
        <v>0</v>
      </c>
      <c r="E104" s="103">
        <f>IF(CO_PO_PSO_MAPPING!$Y32=3,CO_PO_PSO_MAPPING!$U32,0)</f>
        <v>0</v>
      </c>
      <c r="F104" s="103">
        <f>IF(CO_PO_PSO_MAPPING!$Y32=4,CO_PO_PSO_MAPPING!$U32,0)</f>
        <v>10</v>
      </c>
      <c r="G104" s="103">
        <f>IF(CO_PO_PSO_MAPPING!$Y32=5,CO_PO_PSO_MAPPING!$U32,0)</f>
        <v>0</v>
      </c>
      <c r="H104" s="103"/>
      <c r="I104" s="51">
        <f t="shared" si="13"/>
        <v>10</v>
      </c>
      <c r="K104" s="112"/>
      <c r="L104" s="117" t="s">
        <v>77</v>
      </c>
      <c r="M104" s="123">
        <f>IF(OR(CO_PO_PSO_MAPPING!$AG32=1,CO_PO_PSO_MAPPING!$AG32=2),CO_PO_PSO_MAPPING!$AC32,0)</f>
        <v>0</v>
      </c>
      <c r="N104" s="123">
        <f>IF(CO_PO_PSO_MAPPING!$AG32=3,CO_PO_PSO_MAPPING!$AC32,0)</f>
        <v>6</v>
      </c>
      <c r="O104" s="123">
        <f>IF(CO_PO_PSO_MAPPING!$AG32=4,CO_PO_PSO_MAPPING!$AC32,0)</f>
        <v>0</v>
      </c>
      <c r="P104" s="123">
        <f>IF(CO_PO_PSO_MAPPING!$AG32=5,CO_PO_PSO_MAPPING!$AC32,0)</f>
        <v>0</v>
      </c>
      <c r="Q104" s="123"/>
      <c r="R104" s="51">
        <f t="shared" ref="R104:R107" si="14">SUM(M104:Q104)</f>
        <v>6</v>
      </c>
    </row>
    <row r="105" ht="15" customHeight="1" spans="2:18">
      <c r="B105" s="104"/>
      <c r="C105" s="102" t="s">
        <v>78</v>
      </c>
      <c r="D105" s="103">
        <f>IF(OR(CO_PO_PSO_MAPPING!$Y33=1,CO_PO_PSO_MAPPING!$Y33=2),CO_PO_PSO_MAPPING!$U33,0)</f>
        <v>0</v>
      </c>
      <c r="E105" s="103">
        <f>IF(CO_PO_PSO_MAPPING!$Y33=3,CO_PO_PSO_MAPPING!$U33,0)</f>
        <v>0</v>
      </c>
      <c r="F105" s="103">
        <f>IF(CO_PO_PSO_MAPPING!$Y33=4,CO_PO_PSO_MAPPING!$U33,0)</f>
        <v>0</v>
      </c>
      <c r="G105" s="103">
        <f>IF(CO_PO_PSO_MAPPING!$Y33=5,CO_PO_PSO_MAPPING!$U33,0)</f>
        <v>0</v>
      </c>
      <c r="H105" s="103"/>
      <c r="I105" s="51">
        <f t="shared" si="13"/>
        <v>0</v>
      </c>
      <c r="K105" s="112"/>
      <c r="L105" s="117" t="s">
        <v>78</v>
      </c>
      <c r="M105" s="123">
        <f>IF(OR(CO_PO_PSO_MAPPING!$AG33=1,CO_PO_PSO_MAPPING!$AG33=2),CO_PO_PSO_MAPPING!$AC33,0)</f>
        <v>0</v>
      </c>
      <c r="N105" s="123">
        <f>IF(CO_PO_PSO_MAPPING!$AG33=3,CO_PO_PSO_MAPPING!$AC33,0)</f>
        <v>6</v>
      </c>
      <c r="O105" s="123">
        <f>IF(CO_PO_PSO_MAPPING!$AG33=4,CO_PO_PSO_MAPPING!$AC33,0)</f>
        <v>0</v>
      </c>
      <c r="P105" s="123">
        <f>IF(CO_PO_PSO_MAPPING!$AG33=5,CO_PO_PSO_MAPPING!$AC33,0)</f>
        <v>0</v>
      </c>
      <c r="Q105" s="123"/>
      <c r="R105" s="51">
        <f t="shared" si="14"/>
        <v>6</v>
      </c>
    </row>
    <row r="106" ht="15" customHeight="1" spans="2:18">
      <c r="B106" s="104"/>
      <c r="C106" s="102" t="s">
        <v>79</v>
      </c>
      <c r="D106" s="103">
        <f>IF(OR(CO_PO_PSO_MAPPING!$Y34=1,CO_PO_PSO_MAPPING!$Y34=2),CO_PO_PSO_MAPPING!$U34,0)</f>
        <v>0</v>
      </c>
      <c r="E106" s="103">
        <f>IF(CO_PO_PSO_MAPPING!$Y34=3,CO_PO_PSO_MAPPING!$U34,0)</f>
        <v>0</v>
      </c>
      <c r="F106" s="103">
        <f>IF(CO_PO_PSO_MAPPING!$Y34=4,CO_PO_PSO_MAPPING!$U34,0)</f>
        <v>0</v>
      </c>
      <c r="G106" s="103">
        <f>IF(CO_PO_PSO_MAPPING!$Y34=5,CO_PO_PSO_MAPPING!$U34,0)</f>
        <v>0</v>
      </c>
      <c r="H106" s="103"/>
      <c r="I106" s="51">
        <f t="shared" si="13"/>
        <v>0</v>
      </c>
      <c r="K106" s="112"/>
      <c r="L106" s="117" t="s">
        <v>79</v>
      </c>
      <c r="M106" s="123">
        <f>IF(OR(CO_PO_PSO_MAPPING!$AG34=1,CO_PO_PSO_MAPPING!$AG34=2),CO_PO_PSO_MAPPING!$AC34,0)</f>
        <v>0</v>
      </c>
      <c r="N106" s="123">
        <f>IF(CO_PO_PSO_MAPPING!$AG34=3,CO_PO_PSO_MAPPING!$AC34,0)</f>
        <v>8</v>
      </c>
      <c r="O106" s="123">
        <f>IF(CO_PO_PSO_MAPPING!$AG34=4,CO_PO_PSO_MAPPING!$AC34,0)</f>
        <v>0</v>
      </c>
      <c r="P106" s="123">
        <f>IF(CO_PO_PSO_MAPPING!$AG34=5,CO_PO_PSO_MAPPING!$AC34,0)</f>
        <v>0</v>
      </c>
      <c r="Q106" s="123"/>
      <c r="R106" s="51">
        <f t="shared" si="14"/>
        <v>8</v>
      </c>
    </row>
    <row r="107" ht="15" customHeight="1" spans="2:18">
      <c r="B107" s="104"/>
      <c r="C107" s="102" t="s">
        <v>80</v>
      </c>
      <c r="D107" s="103">
        <f>IF(OR(CO_PO_PSO_MAPPING!$Y35=1,CO_PO_PSO_MAPPING!$Y35=2),CO_PO_PSO_MAPPING!$U35,0)</f>
        <v>0</v>
      </c>
      <c r="E107" s="103">
        <f>IF(CO_PO_PSO_MAPPING!$Y35=3,CO_PO_PSO_MAPPING!$U35,0)</f>
        <v>0</v>
      </c>
      <c r="F107" s="103">
        <f>IF(CO_PO_PSO_MAPPING!$Y35=4,CO_PO_PSO_MAPPING!$U35,0)</f>
        <v>0</v>
      </c>
      <c r="G107" s="103">
        <f>IF(CO_PO_PSO_MAPPING!$Y35=5,CO_PO_PSO_MAPPING!$U35,0)</f>
        <v>0</v>
      </c>
      <c r="H107" s="103"/>
      <c r="I107" s="51">
        <f t="shared" si="13"/>
        <v>0</v>
      </c>
      <c r="K107" s="112"/>
      <c r="L107" s="117" t="s">
        <v>80</v>
      </c>
      <c r="M107" s="123">
        <f>IF(OR(CO_PO_PSO_MAPPING!$AG35=1,CO_PO_PSO_MAPPING!$AG35=2),CO_PO_PSO_MAPPING!$AC35,0)</f>
        <v>0</v>
      </c>
      <c r="N107" s="123">
        <f>IF(CO_PO_PSO_MAPPING!$AG35=3,CO_PO_PSO_MAPPING!$AC35,0)</f>
        <v>0</v>
      </c>
      <c r="O107" s="123">
        <f>IF(CO_PO_PSO_MAPPING!$AG35=4,CO_PO_PSO_MAPPING!$AC35,0)</f>
        <v>0</v>
      </c>
      <c r="P107" s="123">
        <f>IF(CO_PO_PSO_MAPPING!$AG35=5,CO_PO_PSO_MAPPING!$AC35,0)</f>
        <v>0</v>
      </c>
      <c r="Q107" s="123"/>
      <c r="R107" s="51">
        <f t="shared" si="14"/>
        <v>0</v>
      </c>
    </row>
    <row r="108" ht="28.5" customHeight="1" spans="2:18">
      <c r="B108" s="101" t="s">
        <v>406</v>
      </c>
      <c r="C108" s="105" t="s">
        <v>49</v>
      </c>
      <c r="D108" s="103">
        <f>IF(OR(CO_PO_PSO_MAPPING!$Y36=1,CO_PO_PSO_MAPPING!$Y36=2),CO_PO_PSO_MAPPING!$U36,0)</f>
        <v>10</v>
      </c>
      <c r="E108" s="103">
        <f>IF(CO_PO_PSO_MAPPING!$Y36=3,CO_PO_PSO_MAPPING!$U36,0)</f>
        <v>0</v>
      </c>
      <c r="F108" s="103">
        <f>IF(CO_PO_PSO_MAPPING!$Y36=4,CO_PO_PSO_MAPPING!$U36,0)</f>
        <v>0</v>
      </c>
      <c r="G108" s="103">
        <f>IF(CO_PO_PSO_MAPPING!$Y36=5,CO_PO_PSO_MAPPING!$U36,0)</f>
        <v>0</v>
      </c>
      <c r="H108" s="103"/>
      <c r="I108" s="51">
        <f t="shared" si="13"/>
        <v>10</v>
      </c>
      <c r="K108" s="112"/>
      <c r="L108" s="118" t="s">
        <v>459</v>
      </c>
      <c r="M108" s="124">
        <f>SUM(M76:M107)</f>
        <v>12</v>
      </c>
      <c r="N108" s="124">
        <f t="shared" ref="N108:R108" si="15">SUM(N76:N107)</f>
        <v>110</v>
      </c>
      <c r="O108" s="124">
        <f t="shared" si="15"/>
        <v>38</v>
      </c>
      <c r="P108" s="124">
        <f t="shared" si="15"/>
        <v>0</v>
      </c>
      <c r="Q108" s="124">
        <f t="shared" si="15"/>
        <v>0</v>
      </c>
      <c r="R108" s="124">
        <f t="shared" si="15"/>
        <v>160</v>
      </c>
    </row>
    <row r="109" ht="15" customHeight="1" spans="2:9">
      <c r="B109" s="104"/>
      <c r="C109" s="105" t="s">
        <v>50</v>
      </c>
      <c r="D109" s="103">
        <f>IF(OR(CO_PO_PSO_MAPPING!$Y37=1,CO_PO_PSO_MAPPING!$Y37=2),CO_PO_PSO_MAPPING!$U37,0)</f>
        <v>0</v>
      </c>
      <c r="E109" s="103">
        <f>IF(CO_PO_PSO_MAPPING!$Y37=3,CO_PO_PSO_MAPPING!$U37,0)</f>
        <v>0</v>
      </c>
      <c r="F109" s="103">
        <f>IF(CO_PO_PSO_MAPPING!$Y37=4,CO_PO_PSO_MAPPING!$U37,0)</f>
        <v>0</v>
      </c>
      <c r="G109" s="103">
        <f>IF(CO_PO_PSO_MAPPING!$Y37=5,CO_PO_PSO_MAPPING!$U37,0)</f>
        <v>0</v>
      </c>
      <c r="H109" s="103"/>
      <c r="I109" s="51">
        <f t="shared" si="13"/>
        <v>0</v>
      </c>
    </row>
    <row r="110" ht="15" customHeight="1" spans="2:9">
      <c r="B110" s="104"/>
      <c r="C110" s="105" t="s">
        <v>51</v>
      </c>
      <c r="D110" s="103">
        <f>IF(OR(CO_PO_PSO_MAPPING!$Y38=1,CO_PO_PSO_MAPPING!$Y38=2),CO_PO_PSO_MAPPING!$U38,0)</f>
        <v>0</v>
      </c>
      <c r="E110" s="103">
        <f>IF(CO_PO_PSO_MAPPING!$Y38=3,CO_PO_PSO_MAPPING!$U38,0)</f>
        <v>0</v>
      </c>
      <c r="F110" s="103">
        <f>IF(CO_PO_PSO_MAPPING!$Y38=4,CO_PO_PSO_MAPPING!$U38,0)</f>
        <v>0</v>
      </c>
      <c r="G110" s="103">
        <f>IF(CO_PO_PSO_MAPPING!$Y38=5,CO_PO_PSO_MAPPING!$U38,0)</f>
        <v>0</v>
      </c>
      <c r="H110" s="103"/>
      <c r="I110" s="51">
        <f t="shared" si="13"/>
        <v>0</v>
      </c>
    </row>
    <row r="111" ht="15" customHeight="1" spans="2:9">
      <c r="B111" s="104"/>
      <c r="C111" s="105" t="s">
        <v>52</v>
      </c>
      <c r="D111" s="103">
        <f>IF(OR(CO_PO_PSO_MAPPING!$Y39=1,CO_PO_PSO_MAPPING!$Y39=2),CO_PO_PSO_MAPPING!$U39,0)</f>
        <v>0</v>
      </c>
      <c r="E111" s="103">
        <f>IF(CO_PO_PSO_MAPPING!$Y39=3,CO_PO_PSO_MAPPING!$U39,0)</f>
        <v>0</v>
      </c>
      <c r="F111" s="103">
        <f>IF(CO_PO_PSO_MAPPING!$Y39=4,CO_PO_PSO_MAPPING!$U39,0)</f>
        <v>0</v>
      </c>
      <c r="G111" s="103">
        <f>IF(CO_PO_PSO_MAPPING!$Y39=5,CO_PO_PSO_MAPPING!$U39,0)</f>
        <v>0</v>
      </c>
      <c r="H111" s="103"/>
      <c r="I111" s="51">
        <f t="shared" si="13"/>
        <v>0</v>
      </c>
    </row>
    <row r="112" ht="15" customHeight="1" spans="2:9">
      <c r="B112" s="104"/>
      <c r="C112" s="105" t="s">
        <v>53</v>
      </c>
      <c r="D112" s="103">
        <f>IF(OR(CO_PO_PSO_MAPPING!$Y40=1,CO_PO_PSO_MAPPING!$Y40=2),CO_PO_PSO_MAPPING!$U40,0)</f>
        <v>10</v>
      </c>
      <c r="E112" s="103">
        <f>IF(CO_PO_PSO_MAPPING!$Y40=3,CO_PO_PSO_MAPPING!$U40,0)</f>
        <v>0</v>
      </c>
      <c r="F112" s="103">
        <f>IF(CO_PO_PSO_MAPPING!$Y40=4,CO_PO_PSO_MAPPING!$U40,0)</f>
        <v>0</v>
      </c>
      <c r="G112" s="103">
        <f>IF(CO_PO_PSO_MAPPING!$Y40=5,CO_PO_PSO_MAPPING!$U40,0)</f>
        <v>0</v>
      </c>
      <c r="H112" s="103"/>
      <c r="I112" s="51">
        <f t="shared" si="13"/>
        <v>10</v>
      </c>
    </row>
    <row r="113" ht="15" customHeight="1" spans="2:9">
      <c r="B113" s="104"/>
      <c r="C113" s="105" t="s">
        <v>54</v>
      </c>
      <c r="D113" s="103">
        <f>IF(OR(CO_PO_PSO_MAPPING!$Y41=1,CO_PO_PSO_MAPPING!$Y41=2),CO_PO_PSO_MAPPING!$U41,0)</f>
        <v>0</v>
      </c>
      <c r="E113" s="103">
        <f>IF(CO_PO_PSO_MAPPING!$Y41=3,CO_PO_PSO_MAPPING!$U41,0)</f>
        <v>0</v>
      </c>
      <c r="F113" s="103">
        <f>IF(CO_PO_PSO_MAPPING!$Y41=4,CO_PO_PSO_MAPPING!$U41,0)</f>
        <v>0</v>
      </c>
      <c r="G113" s="103">
        <f>IF(CO_PO_PSO_MAPPING!$Y41=5,CO_PO_PSO_MAPPING!$U41,0)</f>
        <v>0</v>
      </c>
      <c r="H113" s="103"/>
      <c r="I113" s="51">
        <f t="shared" si="13"/>
        <v>0</v>
      </c>
    </row>
    <row r="114" ht="15" customHeight="1" spans="2:9">
      <c r="B114" s="104"/>
      <c r="C114" s="105" t="s">
        <v>55</v>
      </c>
      <c r="D114" s="103">
        <f>IF(OR(CO_PO_PSO_MAPPING!$Y42=1,CO_PO_PSO_MAPPING!$Y42=2),CO_PO_PSO_MAPPING!$U42,0)</f>
        <v>0</v>
      </c>
      <c r="E114" s="103">
        <f>IF(CO_PO_PSO_MAPPING!$Y42=3,CO_PO_PSO_MAPPING!$U42,0)</f>
        <v>0</v>
      </c>
      <c r="F114" s="103">
        <f>IF(CO_PO_PSO_MAPPING!$Y42=4,CO_PO_PSO_MAPPING!$U42,0)</f>
        <v>0</v>
      </c>
      <c r="G114" s="103">
        <f>IF(CO_PO_PSO_MAPPING!$Y42=5,CO_PO_PSO_MAPPING!$U42,0)</f>
        <v>0</v>
      </c>
      <c r="H114" s="103"/>
      <c r="I114" s="51">
        <f t="shared" si="13"/>
        <v>0</v>
      </c>
    </row>
    <row r="115" ht="15" customHeight="1" spans="2:9">
      <c r="B115" s="104"/>
      <c r="C115" s="105" t="s">
        <v>56</v>
      </c>
      <c r="D115" s="103">
        <f>IF(OR(CO_PO_PSO_MAPPING!$Y43=1,CO_PO_PSO_MAPPING!$Y43=2),CO_PO_PSO_MAPPING!$U43,0)</f>
        <v>0</v>
      </c>
      <c r="E115" s="103">
        <f>IF(CO_PO_PSO_MAPPING!$Y43=3,CO_PO_PSO_MAPPING!$U43,0)</f>
        <v>0</v>
      </c>
      <c r="F115" s="103">
        <f>IF(CO_PO_PSO_MAPPING!$Y43=4,CO_PO_PSO_MAPPING!$U43,0)</f>
        <v>0</v>
      </c>
      <c r="G115" s="103">
        <f>IF(CO_PO_PSO_MAPPING!$Y43=5,CO_PO_PSO_MAPPING!$U43,0)</f>
        <v>0</v>
      </c>
      <c r="H115" s="103"/>
      <c r="I115" s="51">
        <f t="shared" si="13"/>
        <v>0</v>
      </c>
    </row>
    <row r="116" ht="15" customHeight="1" spans="2:9">
      <c r="B116" s="104"/>
      <c r="C116" s="105" t="s">
        <v>57</v>
      </c>
      <c r="D116" s="103">
        <f>IF(OR(CO_PO_PSO_MAPPING!$Y44=1,CO_PO_PSO_MAPPING!$Y44=2),CO_PO_PSO_MAPPING!$U44,0)</f>
        <v>0</v>
      </c>
      <c r="E116" s="103">
        <f>IF(CO_PO_PSO_MAPPING!$Y44=3,CO_PO_PSO_MAPPING!$U44,0)</f>
        <v>10</v>
      </c>
      <c r="F116" s="103">
        <f>IF(CO_PO_PSO_MAPPING!$Y44=4,CO_PO_PSO_MAPPING!$U44,0)</f>
        <v>0</v>
      </c>
      <c r="G116" s="103">
        <f>IF(CO_PO_PSO_MAPPING!$Y44=5,CO_PO_PSO_MAPPING!$U44,0)</f>
        <v>0</v>
      </c>
      <c r="H116" s="103"/>
      <c r="I116" s="51">
        <f t="shared" si="13"/>
        <v>10</v>
      </c>
    </row>
    <row r="117" ht="15" customHeight="1" spans="2:9">
      <c r="B117" s="104"/>
      <c r="C117" s="105" t="s">
        <v>58</v>
      </c>
      <c r="D117" s="103">
        <f>IF(OR(CO_PO_PSO_MAPPING!$Y45=1,CO_PO_PSO_MAPPING!$Y45=2),CO_PO_PSO_MAPPING!$U45,0)</f>
        <v>0</v>
      </c>
      <c r="E117" s="103">
        <f>IF(CO_PO_PSO_MAPPING!$Y45=3,CO_PO_PSO_MAPPING!$U45,0)</f>
        <v>0</v>
      </c>
      <c r="F117" s="103">
        <f>IF(CO_PO_PSO_MAPPING!$Y45=4,CO_PO_PSO_MAPPING!$U45,0)</f>
        <v>0</v>
      </c>
      <c r="G117" s="103">
        <f>IF(CO_PO_PSO_MAPPING!$Y45=5,CO_PO_PSO_MAPPING!$U45,0)</f>
        <v>0</v>
      </c>
      <c r="H117" s="103"/>
      <c r="I117" s="51">
        <f t="shared" si="13"/>
        <v>0</v>
      </c>
    </row>
    <row r="118" ht="15" customHeight="1" spans="2:9">
      <c r="B118" s="104"/>
      <c r="C118" s="105" t="s">
        <v>59</v>
      </c>
      <c r="D118" s="103">
        <f>IF(OR(CO_PO_PSO_MAPPING!$Y46=1,CO_PO_PSO_MAPPING!$Y46=2),CO_PO_PSO_MAPPING!$U46,0)</f>
        <v>0</v>
      </c>
      <c r="E118" s="103">
        <f>IF(CO_PO_PSO_MAPPING!$Y46=3,CO_PO_PSO_MAPPING!$U46,0)</f>
        <v>0</v>
      </c>
      <c r="F118" s="103">
        <f>IF(CO_PO_PSO_MAPPING!$Y46=4,CO_PO_PSO_MAPPING!$U46,0)</f>
        <v>0</v>
      </c>
      <c r="G118" s="103">
        <f>IF(CO_PO_PSO_MAPPING!$Y46=5,CO_PO_PSO_MAPPING!$U46,0)</f>
        <v>0</v>
      </c>
      <c r="H118" s="103"/>
      <c r="I118" s="51">
        <f t="shared" si="13"/>
        <v>0</v>
      </c>
    </row>
    <row r="119" ht="15" customHeight="1" spans="2:9">
      <c r="B119" s="104"/>
      <c r="C119" s="105" t="s">
        <v>60</v>
      </c>
      <c r="D119" s="103">
        <f>IF(OR(CO_PO_PSO_MAPPING!$Y47=1,CO_PO_PSO_MAPPING!$Y47=2),CO_PO_PSO_MAPPING!$U47,0)</f>
        <v>0</v>
      </c>
      <c r="E119" s="103">
        <f>IF(CO_PO_PSO_MAPPING!$Y47=3,CO_PO_PSO_MAPPING!$U47,0)</f>
        <v>0</v>
      </c>
      <c r="F119" s="103">
        <f>IF(CO_PO_PSO_MAPPING!$Y47=4,CO_PO_PSO_MAPPING!$U47,0)</f>
        <v>0</v>
      </c>
      <c r="G119" s="103">
        <f>IF(CO_PO_PSO_MAPPING!$Y47=5,CO_PO_PSO_MAPPING!$U47,0)</f>
        <v>0</v>
      </c>
      <c r="H119" s="103"/>
      <c r="I119" s="51">
        <f t="shared" si="13"/>
        <v>0</v>
      </c>
    </row>
    <row r="120" ht="15" customHeight="1" spans="2:9">
      <c r="B120" s="104"/>
      <c r="C120" s="105" t="s">
        <v>61</v>
      </c>
      <c r="D120" s="103">
        <f>IF(OR(CO_PO_PSO_MAPPING!$Y48=1,CO_PO_PSO_MAPPING!$Y48=2),CO_PO_PSO_MAPPING!$U48,0)</f>
        <v>0</v>
      </c>
      <c r="E120" s="103">
        <f>IF(CO_PO_PSO_MAPPING!$Y48=3,CO_PO_PSO_MAPPING!$U48,0)</f>
        <v>10</v>
      </c>
      <c r="F120" s="103">
        <f>IF(CO_PO_PSO_MAPPING!$Y48=4,CO_PO_PSO_MAPPING!$U48,0)</f>
        <v>0</v>
      </c>
      <c r="G120" s="103">
        <f>IF(CO_PO_PSO_MAPPING!$Y48=5,CO_PO_PSO_MAPPING!$U48,0)</f>
        <v>0</v>
      </c>
      <c r="H120" s="103"/>
      <c r="I120" s="51">
        <f t="shared" si="13"/>
        <v>10</v>
      </c>
    </row>
    <row r="121" ht="15" customHeight="1" spans="2:9">
      <c r="B121" s="104"/>
      <c r="C121" s="105" t="s">
        <v>62</v>
      </c>
      <c r="D121" s="103">
        <f>IF(OR(CO_PO_PSO_MAPPING!$Y49=1,CO_PO_PSO_MAPPING!$Y49=2),CO_PO_PSO_MAPPING!$U49,0)</f>
        <v>0</v>
      </c>
      <c r="E121" s="103">
        <f>IF(CO_PO_PSO_MAPPING!$Y49=3,CO_PO_PSO_MAPPING!$U49,0)</f>
        <v>0</v>
      </c>
      <c r="F121" s="103">
        <f>IF(CO_PO_PSO_MAPPING!$Y49=4,CO_PO_PSO_MAPPING!$U49,0)</f>
        <v>0</v>
      </c>
      <c r="G121" s="103">
        <f>IF(CO_PO_PSO_MAPPING!$Y49=5,CO_PO_PSO_MAPPING!$U49,0)</f>
        <v>0</v>
      </c>
      <c r="H121" s="103"/>
      <c r="I121" s="51">
        <f t="shared" si="13"/>
        <v>0</v>
      </c>
    </row>
    <row r="122" ht="15" customHeight="1" spans="2:9">
      <c r="B122" s="104"/>
      <c r="C122" s="105" t="s">
        <v>63</v>
      </c>
      <c r="D122" s="103">
        <f>IF(OR(CO_PO_PSO_MAPPING!$Y50=1,CO_PO_PSO_MAPPING!$Y50=2),CO_PO_PSO_MAPPING!$U50,0)</f>
        <v>0</v>
      </c>
      <c r="E122" s="103">
        <f>IF(CO_PO_PSO_MAPPING!$Y50=3,CO_PO_PSO_MAPPING!$U50,0)</f>
        <v>0</v>
      </c>
      <c r="F122" s="103">
        <f>IF(CO_PO_PSO_MAPPING!$Y50=4,CO_PO_PSO_MAPPING!$U50,0)</f>
        <v>0</v>
      </c>
      <c r="G122" s="103">
        <f>IF(CO_PO_PSO_MAPPING!$Y50=5,CO_PO_PSO_MAPPING!$U50,0)</f>
        <v>0</v>
      </c>
      <c r="H122" s="103"/>
      <c r="I122" s="51">
        <f t="shared" si="13"/>
        <v>0</v>
      </c>
    </row>
    <row r="123" ht="15" customHeight="1" spans="2:9">
      <c r="B123" s="104"/>
      <c r="C123" s="105" t="s">
        <v>64</v>
      </c>
      <c r="D123" s="103">
        <f>IF(OR(CO_PO_PSO_MAPPING!$Y51=1,CO_PO_PSO_MAPPING!$Y51=2),CO_PO_PSO_MAPPING!$U51,0)</f>
        <v>0</v>
      </c>
      <c r="E123" s="103">
        <f>IF(CO_PO_PSO_MAPPING!$Y51=3,CO_PO_PSO_MAPPING!$U51,0)</f>
        <v>0</v>
      </c>
      <c r="F123" s="103">
        <f>IF(CO_PO_PSO_MAPPING!$Y51=4,CO_PO_PSO_MAPPING!$U51,0)</f>
        <v>0</v>
      </c>
      <c r="G123" s="103">
        <f>IF(CO_PO_PSO_MAPPING!$Y51=5,CO_PO_PSO_MAPPING!$U51,0)</f>
        <v>0</v>
      </c>
      <c r="H123" s="103"/>
      <c r="I123" s="51">
        <f t="shared" si="13"/>
        <v>0</v>
      </c>
    </row>
    <row r="124" ht="15" customHeight="1" spans="2:9">
      <c r="B124" s="104"/>
      <c r="C124" s="105" t="s">
        <v>65</v>
      </c>
      <c r="D124" s="103">
        <f>IF(OR(CO_PO_PSO_MAPPING!$Y52=1,CO_PO_PSO_MAPPING!$Y52=2),CO_PO_PSO_MAPPING!$U52,0)</f>
        <v>0</v>
      </c>
      <c r="E124" s="103">
        <f>IF(CO_PO_PSO_MAPPING!$Y52=3,CO_PO_PSO_MAPPING!$U52,0)</f>
        <v>10</v>
      </c>
      <c r="F124" s="103">
        <f>IF(CO_PO_PSO_MAPPING!$Y52=4,CO_PO_PSO_MAPPING!$U52,0)</f>
        <v>0</v>
      </c>
      <c r="G124" s="103">
        <f>IF(CO_PO_PSO_MAPPING!$Y52=5,CO_PO_PSO_MAPPING!$U52,0)</f>
        <v>0</v>
      </c>
      <c r="H124" s="103"/>
      <c r="I124" s="51">
        <f t="shared" si="13"/>
        <v>10</v>
      </c>
    </row>
    <row r="125" ht="15" customHeight="1" spans="2:9">
      <c r="B125" s="104"/>
      <c r="C125" s="105" t="s">
        <v>66</v>
      </c>
      <c r="D125" s="103">
        <f>IF(OR(CO_PO_PSO_MAPPING!$Y53=1,CO_PO_PSO_MAPPING!$Y53=2),CO_PO_PSO_MAPPING!$U53,0)</f>
        <v>0</v>
      </c>
      <c r="E125" s="103">
        <f>IF(CO_PO_PSO_MAPPING!$Y53=3,CO_PO_PSO_MAPPING!$U53,0)</f>
        <v>0</v>
      </c>
      <c r="F125" s="103">
        <f>IF(CO_PO_PSO_MAPPING!$Y53=4,CO_PO_PSO_MAPPING!$U53,0)</f>
        <v>0</v>
      </c>
      <c r="G125" s="103">
        <f>IF(CO_PO_PSO_MAPPING!$Y53=5,CO_PO_PSO_MAPPING!$U53,0)</f>
        <v>0</v>
      </c>
      <c r="H125" s="103"/>
      <c r="I125" s="51">
        <f t="shared" si="13"/>
        <v>0</v>
      </c>
    </row>
    <row r="126" ht="15" customHeight="1" spans="2:9">
      <c r="B126" s="104"/>
      <c r="C126" s="105" t="s">
        <v>67</v>
      </c>
      <c r="D126" s="103">
        <f>IF(OR(CO_PO_PSO_MAPPING!$Y54=1,CO_PO_PSO_MAPPING!$Y54=2),CO_PO_PSO_MAPPING!$U54,0)</f>
        <v>0</v>
      </c>
      <c r="E126" s="103">
        <f>IF(CO_PO_PSO_MAPPING!$Y54=3,CO_PO_PSO_MAPPING!$U54,0)</f>
        <v>0</v>
      </c>
      <c r="F126" s="103">
        <f>IF(CO_PO_PSO_MAPPING!$Y54=4,CO_PO_PSO_MAPPING!$U54,0)</f>
        <v>0</v>
      </c>
      <c r="G126" s="103">
        <f>IF(CO_PO_PSO_MAPPING!$Y54=5,CO_PO_PSO_MAPPING!$U54,0)</f>
        <v>0</v>
      </c>
      <c r="H126" s="103"/>
      <c r="I126" s="51">
        <f t="shared" si="13"/>
        <v>0</v>
      </c>
    </row>
    <row r="127" ht="15" customHeight="1" spans="2:9">
      <c r="B127" s="104"/>
      <c r="C127" s="105" t="s">
        <v>68</v>
      </c>
      <c r="D127" s="103">
        <f>IF(OR(CO_PO_PSO_MAPPING!$Y55=1,CO_PO_PSO_MAPPING!$Y55=2),CO_PO_PSO_MAPPING!$U55,0)</f>
        <v>0</v>
      </c>
      <c r="E127" s="103">
        <f>IF(CO_PO_PSO_MAPPING!$Y55=3,CO_PO_PSO_MAPPING!$U55,0)</f>
        <v>0</v>
      </c>
      <c r="F127" s="103">
        <f>IF(CO_PO_PSO_MAPPING!$Y55=4,CO_PO_PSO_MAPPING!$U55,0)</f>
        <v>0</v>
      </c>
      <c r="G127" s="103">
        <f>IF(CO_PO_PSO_MAPPING!$Y55=5,CO_PO_PSO_MAPPING!$U55,0)</f>
        <v>0</v>
      </c>
      <c r="H127" s="103"/>
      <c r="I127" s="51">
        <f t="shared" si="13"/>
        <v>0</v>
      </c>
    </row>
    <row r="128" ht="15" customHeight="1" spans="2:9">
      <c r="B128" s="104"/>
      <c r="C128" s="105" t="s">
        <v>69</v>
      </c>
      <c r="D128" s="103">
        <f>IF(OR(CO_PO_PSO_MAPPING!$Y56=1,CO_PO_PSO_MAPPING!$Y56=2),CO_PO_PSO_MAPPING!$U56,0)</f>
        <v>0</v>
      </c>
      <c r="E128" s="103">
        <f>IF(CO_PO_PSO_MAPPING!$Y56=3,CO_PO_PSO_MAPPING!$U56,0)</f>
        <v>10</v>
      </c>
      <c r="F128" s="103">
        <f>IF(CO_PO_PSO_MAPPING!$Y56=4,CO_PO_PSO_MAPPING!$U56,0)</f>
        <v>0</v>
      </c>
      <c r="G128" s="103">
        <f>IF(CO_PO_PSO_MAPPING!$Y56=5,CO_PO_PSO_MAPPING!$U56,0)</f>
        <v>0</v>
      </c>
      <c r="H128" s="103"/>
      <c r="I128" s="51">
        <f t="shared" si="13"/>
        <v>10</v>
      </c>
    </row>
    <row r="129" ht="15" customHeight="1" spans="2:9">
      <c r="B129" s="104"/>
      <c r="C129" s="105" t="s">
        <v>70</v>
      </c>
      <c r="D129" s="103">
        <f>IF(OR(CO_PO_PSO_MAPPING!$Y57=1,CO_PO_PSO_MAPPING!$Y57=2),CO_PO_PSO_MAPPING!$U57,0)</f>
        <v>0</v>
      </c>
      <c r="E129" s="103">
        <f>IF(CO_PO_PSO_MAPPING!$Y57=3,CO_PO_PSO_MAPPING!$U57,0)</f>
        <v>0</v>
      </c>
      <c r="F129" s="103">
        <f>IF(CO_PO_PSO_MAPPING!$Y57=4,CO_PO_PSO_MAPPING!$U57,0)</f>
        <v>0</v>
      </c>
      <c r="G129" s="103">
        <f>IF(CO_PO_PSO_MAPPING!$Y57=5,CO_PO_PSO_MAPPING!$U57,0)</f>
        <v>0</v>
      </c>
      <c r="H129" s="103"/>
      <c r="I129" s="51">
        <f t="shared" si="13"/>
        <v>0</v>
      </c>
    </row>
    <row r="130" ht="15" customHeight="1" spans="2:9">
      <c r="B130" s="104"/>
      <c r="C130" s="105" t="s">
        <v>71</v>
      </c>
      <c r="D130" s="103">
        <f>IF(OR(CO_PO_PSO_MAPPING!$Y58=1,CO_PO_PSO_MAPPING!$Y58=2),CO_PO_PSO_MAPPING!$U58,0)</f>
        <v>0</v>
      </c>
      <c r="E130" s="103">
        <f>IF(CO_PO_PSO_MAPPING!$Y58=3,CO_PO_PSO_MAPPING!$U58,0)</f>
        <v>0</v>
      </c>
      <c r="F130" s="103">
        <f>IF(CO_PO_PSO_MAPPING!$Y58=4,CO_PO_PSO_MAPPING!$U58,0)</f>
        <v>0</v>
      </c>
      <c r="G130" s="103">
        <f>IF(CO_PO_PSO_MAPPING!$Y58=5,CO_PO_PSO_MAPPING!$U58,0)</f>
        <v>0</v>
      </c>
      <c r="H130" s="103"/>
      <c r="I130" s="51">
        <f t="shared" si="13"/>
        <v>0</v>
      </c>
    </row>
    <row r="131" ht="15" customHeight="1" spans="2:9">
      <c r="B131" s="104"/>
      <c r="C131" s="105" t="s">
        <v>72</v>
      </c>
      <c r="D131" s="103">
        <f>IF(OR(CO_PO_PSO_MAPPING!$Y59=1,CO_PO_PSO_MAPPING!$Y59=2),CO_PO_PSO_MAPPING!$U59,0)</f>
        <v>0</v>
      </c>
      <c r="E131" s="103">
        <f>IF(CO_PO_PSO_MAPPING!$Y59=3,CO_PO_PSO_MAPPING!$U59,0)</f>
        <v>0</v>
      </c>
      <c r="F131" s="103">
        <f>IF(CO_PO_PSO_MAPPING!$Y59=4,CO_PO_PSO_MAPPING!$U59,0)</f>
        <v>0</v>
      </c>
      <c r="G131" s="103">
        <f>IF(CO_PO_PSO_MAPPING!$Y59=5,CO_PO_PSO_MAPPING!$U59,0)</f>
        <v>0</v>
      </c>
      <c r="H131" s="103"/>
      <c r="I131" s="51">
        <f t="shared" si="13"/>
        <v>0</v>
      </c>
    </row>
    <row r="132" ht="15" customHeight="1" spans="2:9">
      <c r="B132" s="104"/>
      <c r="C132" s="105" t="s">
        <v>73</v>
      </c>
      <c r="D132" s="103">
        <f>IF(OR(CO_PO_PSO_MAPPING!$Y60=1,CO_PO_PSO_MAPPING!$Y60=2),CO_PO_PSO_MAPPING!$U60,0)</f>
        <v>0</v>
      </c>
      <c r="E132" s="103">
        <f>IF(CO_PO_PSO_MAPPING!$Y60=3,CO_PO_PSO_MAPPING!$U60,0)</f>
        <v>0</v>
      </c>
      <c r="F132" s="103">
        <f>IF(CO_PO_PSO_MAPPING!$Y60=4,CO_PO_PSO_MAPPING!$U60,0)</f>
        <v>10</v>
      </c>
      <c r="G132" s="103">
        <f>IF(CO_PO_PSO_MAPPING!$Y60=5,CO_PO_PSO_MAPPING!$U60,0)</f>
        <v>0</v>
      </c>
      <c r="H132" s="103"/>
      <c r="I132" s="51">
        <f t="shared" si="13"/>
        <v>10</v>
      </c>
    </row>
    <row r="133" ht="15" customHeight="1" spans="2:9">
      <c r="B133" s="104"/>
      <c r="C133" s="105" t="s">
        <v>74</v>
      </c>
      <c r="D133" s="103">
        <f>IF(OR(CO_PO_PSO_MAPPING!$Y61=1,CO_PO_PSO_MAPPING!$Y61=2),CO_PO_PSO_MAPPING!$U61,0)</f>
        <v>0</v>
      </c>
      <c r="E133" s="103">
        <f>IF(CO_PO_PSO_MAPPING!$Y61=3,CO_PO_PSO_MAPPING!$U61,0)</f>
        <v>0</v>
      </c>
      <c r="F133" s="103">
        <f>IF(CO_PO_PSO_MAPPING!$Y61=4,CO_PO_PSO_MAPPING!$U61,0)</f>
        <v>0</v>
      </c>
      <c r="G133" s="103">
        <f>IF(CO_PO_PSO_MAPPING!$Y61=5,CO_PO_PSO_MAPPING!$U61,0)</f>
        <v>0</v>
      </c>
      <c r="H133" s="103"/>
      <c r="I133" s="51">
        <f t="shared" si="13"/>
        <v>0</v>
      </c>
    </row>
    <row r="134" ht="15" customHeight="1" spans="2:9">
      <c r="B134" s="104"/>
      <c r="C134" s="105" t="s">
        <v>75</v>
      </c>
      <c r="D134" s="103">
        <f>IF(OR(CO_PO_PSO_MAPPING!$Y62=1,CO_PO_PSO_MAPPING!$Y62=2),CO_PO_PSO_MAPPING!$U62,0)</f>
        <v>0</v>
      </c>
      <c r="E134" s="103">
        <f>IF(CO_PO_PSO_MAPPING!$Y62=3,CO_PO_PSO_MAPPING!$U62,0)</f>
        <v>0</v>
      </c>
      <c r="F134" s="103">
        <f>IF(CO_PO_PSO_MAPPING!$Y62=4,CO_PO_PSO_MAPPING!$U62,0)</f>
        <v>0</v>
      </c>
      <c r="G134" s="103">
        <f>IF(CO_PO_PSO_MAPPING!$Y62=5,CO_PO_PSO_MAPPING!$U62,0)</f>
        <v>0</v>
      </c>
      <c r="H134" s="103"/>
      <c r="I134" s="51">
        <f t="shared" si="13"/>
        <v>0</v>
      </c>
    </row>
    <row r="135" ht="15" customHeight="1" spans="2:9">
      <c r="B135" s="104"/>
      <c r="C135" s="105" t="s">
        <v>76</v>
      </c>
      <c r="D135" s="103">
        <f>IF(OR(CO_PO_PSO_MAPPING!$Y63=1,CO_PO_PSO_MAPPING!$Y63=2),CO_PO_PSO_MAPPING!$U63,0)</f>
        <v>0</v>
      </c>
      <c r="E135" s="103">
        <f>IF(CO_PO_PSO_MAPPING!$Y63=3,CO_PO_PSO_MAPPING!$U63,0)</f>
        <v>0</v>
      </c>
      <c r="F135" s="103">
        <f>IF(CO_PO_PSO_MAPPING!$Y63=4,CO_PO_PSO_MAPPING!$U63,0)</f>
        <v>0</v>
      </c>
      <c r="G135" s="103">
        <f>IF(CO_PO_PSO_MAPPING!$Y63=5,CO_PO_PSO_MAPPING!$U63,0)</f>
        <v>0</v>
      </c>
      <c r="H135" s="103"/>
      <c r="I135" s="51">
        <f t="shared" si="13"/>
        <v>0</v>
      </c>
    </row>
    <row r="136" ht="15" customHeight="1" spans="2:9">
      <c r="B136" s="104"/>
      <c r="C136" s="105" t="s">
        <v>77</v>
      </c>
      <c r="D136" s="103">
        <f>IF(OR(CO_PO_PSO_MAPPING!$Y64=1,CO_PO_PSO_MAPPING!$Y64=2),CO_PO_PSO_MAPPING!$U64,0)</f>
        <v>0</v>
      </c>
      <c r="E136" s="103">
        <f>IF(CO_PO_PSO_MAPPING!$Y64=3,CO_PO_PSO_MAPPING!$U64,0)</f>
        <v>0</v>
      </c>
      <c r="F136" s="103">
        <f>IF(CO_PO_PSO_MAPPING!$Y64=4,CO_PO_PSO_MAPPING!$U64,0)</f>
        <v>10</v>
      </c>
      <c r="G136" s="103">
        <f>IF(CO_PO_PSO_MAPPING!$Y64=5,CO_PO_PSO_MAPPING!$U64,0)</f>
        <v>0</v>
      </c>
      <c r="H136" s="103"/>
      <c r="I136" s="51">
        <f t="shared" si="13"/>
        <v>10</v>
      </c>
    </row>
    <row r="137" ht="15" customHeight="1" spans="2:9">
      <c r="B137" s="104"/>
      <c r="C137" s="105" t="s">
        <v>78</v>
      </c>
      <c r="D137" s="103">
        <f>IF(OR(CO_PO_PSO_MAPPING!$Y65=1,CO_PO_PSO_MAPPING!$Y65=2),CO_PO_PSO_MAPPING!$U65,0)</f>
        <v>0</v>
      </c>
      <c r="E137" s="103">
        <f>IF(CO_PO_PSO_MAPPING!$Y65=3,CO_PO_PSO_MAPPING!$U65,0)</f>
        <v>0</v>
      </c>
      <c r="F137" s="103">
        <f>IF(CO_PO_PSO_MAPPING!$Y65=4,CO_PO_PSO_MAPPING!$U65,0)</f>
        <v>0</v>
      </c>
      <c r="G137" s="103">
        <f>IF(CO_PO_PSO_MAPPING!$Y65=5,CO_PO_PSO_MAPPING!$U65,0)</f>
        <v>0</v>
      </c>
      <c r="H137" s="103"/>
      <c r="I137" s="51">
        <f t="shared" si="13"/>
        <v>0</v>
      </c>
    </row>
    <row r="138" ht="15" customHeight="1" spans="2:9">
      <c r="B138" s="104"/>
      <c r="C138" s="105" t="s">
        <v>79</v>
      </c>
      <c r="D138" s="103">
        <f>IF(OR(CO_PO_PSO_MAPPING!$Y66=1,CO_PO_PSO_MAPPING!$Y66=2),CO_PO_PSO_MAPPING!$U66,0)</f>
        <v>0</v>
      </c>
      <c r="E138" s="103">
        <f>IF(CO_PO_PSO_MAPPING!$Y66=3,CO_PO_PSO_MAPPING!$U66,0)</f>
        <v>0</v>
      </c>
      <c r="F138" s="103">
        <f>IF(CO_PO_PSO_MAPPING!$Y66=4,CO_PO_PSO_MAPPING!$U66,0)</f>
        <v>0</v>
      </c>
      <c r="G138" s="103">
        <f>IF(CO_PO_PSO_MAPPING!$Y66=5,CO_PO_PSO_MAPPING!$U66,0)</f>
        <v>0</v>
      </c>
      <c r="H138" s="103"/>
      <c r="I138" s="51">
        <f t="shared" si="13"/>
        <v>0</v>
      </c>
    </row>
    <row r="139" ht="15" customHeight="1" spans="2:9">
      <c r="B139" s="104"/>
      <c r="C139" s="105" t="s">
        <v>80</v>
      </c>
      <c r="D139" s="103">
        <f>IF(OR(CO_PO_PSO_MAPPING!$Y67=1,CO_PO_PSO_MAPPING!$Y67=2),CO_PO_PSO_MAPPING!$U67,0)</f>
        <v>0</v>
      </c>
      <c r="E139" s="103">
        <f>IF(CO_PO_PSO_MAPPING!$Y67=3,CO_PO_PSO_MAPPING!$U67,0)</f>
        <v>0</v>
      </c>
      <c r="F139" s="103">
        <f>IF(CO_PO_PSO_MAPPING!$Y67=4,CO_PO_PSO_MAPPING!$U67,0)</f>
        <v>0</v>
      </c>
      <c r="G139" s="103">
        <f>IF(CO_PO_PSO_MAPPING!$Y67=5,CO_PO_PSO_MAPPING!$U67,0)</f>
        <v>0</v>
      </c>
      <c r="H139" s="103"/>
      <c r="I139" s="51">
        <f t="shared" si="13"/>
        <v>0</v>
      </c>
    </row>
    <row r="140" ht="15" customHeight="1" spans="2:9">
      <c r="B140" s="132" t="s">
        <v>407</v>
      </c>
      <c r="C140" s="133" t="s">
        <v>49</v>
      </c>
      <c r="D140" s="103">
        <f>IF(OR(CO_PO_PSO_MAPPING!$Y68=1,CO_PO_PSO_MAPPING!$Y68=2),CO_PO_PSO_MAPPING!$U68,0)</f>
        <v>10</v>
      </c>
      <c r="E140" s="103">
        <f>IF(CO_PO_PSO_MAPPING!$Y68=3,CO_PO_PSO_MAPPING!$U68,0)</f>
        <v>0</v>
      </c>
      <c r="F140" s="103">
        <f>IF(CO_PO_PSO_MAPPING!$Y68=4,CO_PO_PSO_MAPPING!$U68,0)</f>
        <v>0</v>
      </c>
      <c r="G140" s="103">
        <f>IF(CO_PO_PSO_MAPPING!$Y68=5,CO_PO_PSO_MAPPING!$U68,0)</f>
        <v>0</v>
      </c>
      <c r="H140" s="103"/>
      <c r="I140" s="51">
        <f t="shared" si="13"/>
        <v>10</v>
      </c>
    </row>
    <row r="141" ht="15" customHeight="1" spans="2:9">
      <c r="B141" s="132"/>
      <c r="C141" s="133" t="s">
        <v>50</v>
      </c>
      <c r="D141" s="103">
        <f>IF(OR(CO_PO_PSO_MAPPING!$Y69=1,CO_PO_PSO_MAPPING!$Y69=2),CO_PO_PSO_MAPPING!$U69,0)</f>
        <v>0</v>
      </c>
      <c r="E141" s="103">
        <f>IF(CO_PO_PSO_MAPPING!$Y69=3,CO_PO_PSO_MAPPING!$U69,0)</f>
        <v>0</v>
      </c>
      <c r="F141" s="103">
        <f>IF(CO_PO_PSO_MAPPING!$Y69=4,CO_PO_PSO_MAPPING!$U69,0)</f>
        <v>0</v>
      </c>
      <c r="G141" s="103">
        <f>IF(CO_PO_PSO_MAPPING!$Y69=5,CO_PO_PSO_MAPPING!$U69,0)</f>
        <v>0</v>
      </c>
      <c r="H141" s="103"/>
      <c r="I141" s="51">
        <f t="shared" si="13"/>
        <v>0</v>
      </c>
    </row>
    <row r="142" ht="15" customHeight="1" spans="2:9">
      <c r="B142" s="132"/>
      <c r="C142" s="133" t="s">
        <v>51</v>
      </c>
      <c r="D142" s="103">
        <f>IF(OR(CO_PO_PSO_MAPPING!$Y70=1,CO_PO_PSO_MAPPING!$Y70=2),CO_PO_PSO_MAPPING!$U70,0)</f>
        <v>0</v>
      </c>
      <c r="E142" s="103">
        <f>IF(CO_PO_PSO_MAPPING!$Y70=3,CO_PO_PSO_MAPPING!$U70,0)</f>
        <v>0</v>
      </c>
      <c r="F142" s="103">
        <f>IF(CO_PO_PSO_MAPPING!$Y70=4,CO_PO_PSO_MAPPING!$U70,0)</f>
        <v>0</v>
      </c>
      <c r="G142" s="103">
        <f>IF(CO_PO_PSO_MAPPING!$Y70=5,CO_PO_PSO_MAPPING!$U70,0)</f>
        <v>0</v>
      </c>
      <c r="H142" s="103"/>
      <c r="I142" s="51">
        <f t="shared" si="13"/>
        <v>0</v>
      </c>
    </row>
    <row r="143" ht="15" customHeight="1" spans="2:9">
      <c r="B143" s="132"/>
      <c r="C143" s="133" t="s">
        <v>52</v>
      </c>
      <c r="D143" s="103">
        <f>IF(OR(CO_PO_PSO_MAPPING!$Y71=1,CO_PO_PSO_MAPPING!$Y71=2),CO_PO_PSO_MAPPING!$U71,0)</f>
        <v>0</v>
      </c>
      <c r="E143" s="103">
        <f>IF(CO_PO_PSO_MAPPING!$Y71=3,CO_PO_PSO_MAPPING!$U71,0)</f>
        <v>0</v>
      </c>
      <c r="F143" s="103">
        <f>IF(CO_PO_PSO_MAPPING!$Y71=4,CO_PO_PSO_MAPPING!$U71,0)</f>
        <v>0</v>
      </c>
      <c r="G143" s="103">
        <f>IF(CO_PO_PSO_MAPPING!$Y71=5,CO_PO_PSO_MAPPING!$U71,0)</f>
        <v>0</v>
      </c>
      <c r="H143" s="103"/>
      <c r="I143" s="51">
        <f t="shared" si="13"/>
        <v>0</v>
      </c>
    </row>
    <row r="144" ht="15" customHeight="1" spans="2:9">
      <c r="B144" s="132"/>
      <c r="C144" s="133" t="s">
        <v>53</v>
      </c>
      <c r="D144" s="103">
        <f>IF(OR(CO_PO_PSO_MAPPING!$Y72=1,CO_PO_PSO_MAPPING!$Y72=2),CO_PO_PSO_MAPPING!$U72,0)</f>
        <v>10</v>
      </c>
      <c r="E144" s="103">
        <f>IF(CO_PO_PSO_MAPPING!$Y72=3,CO_PO_PSO_MAPPING!$U72,0)</f>
        <v>0</v>
      </c>
      <c r="F144" s="103">
        <f>IF(CO_PO_PSO_MAPPING!$Y72=4,CO_PO_PSO_MAPPING!$U72,0)</f>
        <v>0</v>
      </c>
      <c r="G144" s="103">
        <f>IF(CO_PO_PSO_MAPPING!$Y72=5,CO_PO_PSO_MAPPING!$U72,0)</f>
        <v>0</v>
      </c>
      <c r="H144" s="103"/>
      <c r="I144" s="51">
        <f t="shared" si="13"/>
        <v>10</v>
      </c>
    </row>
    <row r="145" ht="15" customHeight="1" spans="2:9">
      <c r="B145" s="132"/>
      <c r="C145" s="133" t="s">
        <v>54</v>
      </c>
      <c r="D145" s="103">
        <f>IF(OR(CO_PO_PSO_MAPPING!$Y73=1,CO_PO_PSO_MAPPING!$Y73=2),CO_PO_PSO_MAPPING!$U73,0)</f>
        <v>0</v>
      </c>
      <c r="E145" s="103">
        <f>IF(CO_PO_PSO_MAPPING!$Y73=3,CO_PO_PSO_MAPPING!$U73,0)</f>
        <v>0</v>
      </c>
      <c r="F145" s="103">
        <f>IF(CO_PO_PSO_MAPPING!$Y73=4,CO_PO_PSO_MAPPING!$U73,0)</f>
        <v>0</v>
      </c>
      <c r="G145" s="103">
        <f>IF(CO_PO_PSO_MAPPING!$Y73=5,CO_PO_PSO_MAPPING!$U73,0)</f>
        <v>0</v>
      </c>
      <c r="H145" s="103"/>
      <c r="I145" s="51">
        <f t="shared" si="13"/>
        <v>0</v>
      </c>
    </row>
    <row r="146" ht="15" customHeight="1" spans="2:9">
      <c r="B146" s="132"/>
      <c r="C146" s="133" t="s">
        <v>55</v>
      </c>
      <c r="D146" s="103">
        <f>IF(OR(CO_PO_PSO_MAPPING!$Y74=1,CO_PO_PSO_MAPPING!$Y74=2),CO_PO_PSO_MAPPING!$U74,0)</f>
        <v>0</v>
      </c>
      <c r="E146" s="103">
        <f>IF(CO_PO_PSO_MAPPING!$Y74=3,CO_PO_PSO_MAPPING!$U74,0)</f>
        <v>0</v>
      </c>
      <c r="F146" s="103">
        <f>IF(CO_PO_PSO_MAPPING!$Y74=4,CO_PO_PSO_MAPPING!$U74,0)</f>
        <v>0</v>
      </c>
      <c r="G146" s="103">
        <f>IF(CO_PO_PSO_MAPPING!$Y74=5,CO_PO_PSO_MAPPING!$U74,0)</f>
        <v>0</v>
      </c>
      <c r="H146" s="103"/>
      <c r="I146" s="51">
        <f t="shared" si="13"/>
        <v>0</v>
      </c>
    </row>
    <row r="147" ht="15" customHeight="1" spans="2:9">
      <c r="B147" s="132"/>
      <c r="C147" s="133" t="s">
        <v>56</v>
      </c>
      <c r="D147" s="103">
        <f>IF(OR(CO_PO_PSO_MAPPING!$Y75=1,CO_PO_PSO_MAPPING!$Y75=2),CO_PO_PSO_MAPPING!$U75,0)</f>
        <v>0</v>
      </c>
      <c r="E147" s="103">
        <f>IF(CO_PO_PSO_MAPPING!$Y75=3,CO_PO_PSO_MAPPING!$U75,0)</f>
        <v>0</v>
      </c>
      <c r="F147" s="103">
        <f>IF(CO_PO_PSO_MAPPING!$Y75=4,CO_PO_PSO_MAPPING!$U75,0)</f>
        <v>0</v>
      </c>
      <c r="G147" s="103">
        <f>IF(CO_PO_PSO_MAPPING!$Y75=5,CO_PO_PSO_MAPPING!$U75,0)</f>
        <v>0</v>
      </c>
      <c r="H147" s="103"/>
      <c r="I147" s="51">
        <f t="shared" si="13"/>
        <v>0</v>
      </c>
    </row>
    <row r="148" ht="15" customHeight="1" spans="2:9">
      <c r="B148" s="132"/>
      <c r="C148" s="133" t="s">
        <v>57</v>
      </c>
      <c r="D148" s="103">
        <f>IF(OR(CO_PO_PSO_MAPPING!$Y76=1,CO_PO_PSO_MAPPING!$Y76=2),CO_PO_PSO_MAPPING!$U76,0)</f>
        <v>0</v>
      </c>
      <c r="E148" s="103">
        <f>IF(CO_PO_PSO_MAPPING!$Y76=3,CO_PO_PSO_MAPPING!$U76,0)</f>
        <v>10</v>
      </c>
      <c r="F148" s="103">
        <f>IF(CO_PO_PSO_MAPPING!$Y76=4,CO_PO_PSO_MAPPING!$U76,0)</f>
        <v>0</v>
      </c>
      <c r="G148" s="103">
        <f>IF(CO_PO_PSO_MAPPING!$Y76=5,CO_PO_PSO_MAPPING!$U76,0)</f>
        <v>0</v>
      </c>
      <c r="H148" s="103"/>
      <c r="I148" s="51">
        <f t="shared" si="13"/>
        <v>10</v>
      </c>
    </row>
    <row r="149" ht="15" customHeight="1" spans="2:9">
      <c r="B149" s="132"/>
      <c r="C149" s="133" t="s">
        <v>58</v>
      </c>
      <c r="D149" s="103">
        <f>IF(OR(CO_PO_PSO_MAPPING!$Y77=1,CO_PO_PSO_MAPPING!$Y77=2),CO_PO_PSO_MAPPING!$U77,0)</f>
        <v>0</v>
      </c>
      <c r="E149" s="103">
        <f>IF(CO_PO_PSO_MAPPING!$Y77=3,CO_PO_PSO_MAPPING!$U77,0)</f>
        <v>0</v>
      </c>
      <c r="F149" s="103">
        <f>IF(CO_PO_PSO_MAPPING!$Y77=4,CO_PO_PSO_MAPPING!$U77,0)</f>
        <v>0</v>
      </c>
      <c r="G149" s="103">
        <f>IF(CO_PO_PSO_MAPPING!$Y77=5,CO_PO_PSO_MAPPING!$U77,0)</f>
        <v>0</v>
      </c>
      <c r="H149" s="103"/>
      <c r="I149" s="51">
        <f t="shared" si="13"/>
        <v>0</v>
      </c>
    </row>
    <row r="150" ht="15" customHeight="1" spans="2:9">
      <c r="B150" s="132"/>
      <c r="C150" s="133" t="s">
        <v>59</v>
      </c>
      <c r="D150" s="103">
        <f>IF(OR(CO_PO_PSO_MAPPING!$Y78=1,CO_PO_PSO_MAPPING!$Y78=2),CO_PO_PSO_MAPPING!$U78,0)</f>
        <v>0</v>
      </c>
      <c r="E150" s="103">
        <f>IF(CO_PO_PSO_MAPPING!$Y78=3,CO_PO_PSO_MAPPING!$U78,0)</f>
        <v>0</v>
      </c>
      <c r="F150" s="103">
        <f>IF(CO_PO_PSO_MAPPING!$Y78=4,CO_PO_PSO_MAPPING!$U78,0)</f>
        <v>0</v>
      </c>
      <c r="G150" s="103">
        <f>IF(CO_PO_PSO_MAPPING!$Y78=5,CO_PO_PSO_MAPPING!$U78,0)</f>
        <v>0</v>
      </c>
      <c r="H150" s="103"/>
      <c r="I150" s="51">
        <f t="shared" ref="I150:I171" si="16">SUM(D150:H150)</f>
        <v>0</v>
      </c>
    </row>
    <row r="151" ht="15" customHeight="1" spans="2:9">
      <c r="B151" s="132"/>
      <c r="C151" s="133" t="s">
        <v>60</v>
      </c>
      <c r="D151" s="103">
        <f>IF(OR(CO_PO_PSO_MAPPING!$Y79=1,CO_PO_PSO_MAPPING!$Y79=2),CO_PO_PSO_MAPPING!$U79,0)</f>
        <v>0</v>
      </c>
      <c r="E151" s="103">
        <f>IF(CO_PO_PSO_MAPPING!$Y79=3,CO_PO_PSO_MAPPING!$U79,0)</f>
        <v>0</v>
      </c>
      <c r="F151" s="103">
        <f>IF(CO_PO_PSO_MAPPING!$Y79=4,CO_PO_PSO_MAPPING!$U79,0)</f>
        <v>0</v>
      </c>
      <c r="G151" s="103">
        <f>IF(CO_PO_PSO_MAPPING!$Y79=5,CO_PO_PSO_MAPPING!$U79,0)</f>
        <v>0</v>
      </c>
      <c r="H151" s="103"/>
      <c r="I151" s="51">
        <f t="shared" si="16"/>
        <v>0</v>
      </c>
    </row>
    <row r="152" ht="15" customHeight="1" spans="2:9">
      <c r="B152" s="132"/>
      <c r="C152" s="133" t="s">
        <v>61</v>
      </c>
      <c r="D152" s="103">
        <f>IF(OR(CO_PO_PSO_MAPPING!$Y80=1,CO_PO_PSO_MAPPING!$Y80=2),CO_PO_PSO_MAPPING!$U80,0)</f>
        <v>0</v>
      </c>
      <c r="E152" s="103">
        <f>IF(CO_PO_PSO_MAPPING!$Y80=3,CO_PO_PSO_MAPPING!$U80,0)</f>
        <v>10</v>
      </c>
      <c r="F152" s="103">
        <f>IF(CO_PO_PSO_MAPPING!$Y80=4,CO_PO_PSO_MAPPING!$U80,0)</f>
        <v>0</v>
      </c>
      <c r="G152" s="103">
        <f>IF(CO_PO_PSO_MAPPING!$Y80=5,CO_PO_PSO_MAPPING!$U80,0)</f>
        <v>0</v>
      </c>
      <c r="H152" s="103"/>
      <c r="I152" s="51">
        <f t="shared" si="16"/>
        <v>10</v>
      </c>
    </row>
    <row r="153" ht="15" customHeight="1" spans="2:9">
      <c r="B153" s="132"/>
      <c r="C153" s="133" t="s">
        <v>62</v>
      </c>
      <c r="D153" s="103">
        <f>IF(OR(CO_PO_PSO_MAPPING!$Y81=1,CO_PO_PSO_MAPPING!$Y81=2),CO_PO_PSO_MAPPING!$U81,0)</f>
        <v>0</v>
      </c>
      <c r="E153" s="103">
        <f>IF(CO_PO_PSO_MAPPING!$Y81=3,CO_PO_PSO_MAPPING!$U81,0)</f>
        <v>0</v>
      </c>
      <c r="F153" s="103">
        <f>IF(CO_PO_PSO_MAPPING!$Y81=4,CO_PO_PSO_MAPPING!$U81,0)</f>
        <v>0</v>
      </c>
      <c r="G153" s="103">
        <f>IF(CO_PO_PSO_MAPPING!$Y81=5,CO_PO_PSO_MAPPING!$U81,0)</f>
        <v>0</v>
      </c>
      <c r="H153" s="103"/>
      <c r="I153" s="51">
        <f t="shared" si="16"/>
        <v>0</v>
      </c>
    </row>
    <row r="154" ht="15" customHeight="1" spans="2:9">
      <c r="B154" s="132"/>
      <c r="C154" s="133" t="s">
        <v>63</v>
      </c>
      <c r="D154" s="103">
        <f>IF(OR(CO_PO_PSO_MAPPING!$Y82=1,CO_PO_PSO_MAPPING!$Y82=2),CO_PO_PSO_MAPPING!$U82,0)</f>
        <v>0</v>
      </c>
      <c r="E154" s="103">
        <f>IF(CO_PO_PSO_MAPPING!$Y82=3,CO_PO_PSO_MAPPING!$U82,0)</f>
        <v>0</v>
      </c>
      <c r="F154" s="103">
        <f>IF(CO_PO_PSO_MAPPING!$Y82=4,CO_PO_PSO_MAPPING!$U82,0)</f>
        <v>0</v>
      </c>
      <c r="G154" s="103">
        <f>IF(CO_PO_PSO_MAPPING!$Y82=5,CO_PO_PSO_MAPPING!$U82,0)</f>
        <v>0</v>
      </c>
      <c r="H154" s="103"/>
      <c r="I154" s="51">
        <f t="shared" si="16"/>
        <v>0</v>
      </c>
    </row>
    <row r="155" ht="15" customHeight="1" spans="2:9">
      <c r="B155" s="132"/>
      <c r="C155" s="133" t="s">
        <v>64</v>
      </c>
      <c r="D155" s="103">
        <f>IF(OR(CO_PO_PSO_MAPPING!$Y83=1,CO_PO_PSO_MAPPING!$Y83=2),CO_PO_PSO_MAPPING!$U83,0)</f>
        <v>0</v>
      </c>
      <c r="E155" s="103">
        <f>IF(CO_PO_PSO_MAPPING!$Y83=3,CO_PO_PSO_MAPPING!$U83,0)</f>
        <v>0</v>
      </c>
      <c r="F155" s="103">
        <f>IF(CO_PO_PSO_MAPPING!$Y83=4,CO_PO_PSO_MAPPING!$U83,0)</f>
        <v>0</v>
      </c>
      <c r="G155" s="103">
        <f>IF(CO_PO_PSO_MAPPING!$Y83=5,CO_PO_PSO_MAPPING!$U83,0)</f>
        <v>0</v>
      </c>
      <c r="H155" s="103"/>
      <c r="I155" s="51">
        <f t="shared" si="16"/>
        <v>0</v>
      </c>
    </row>
    <row r="156" ht="15" customHeight="1" spans="2:9">
      <c r="B156" s="132"/>
      <c r="C156" s="133" t="s">
        <v>65</v>
      </c>
      <c r="D156" s="103">
        <f>IF(OR(CO_PO_PSO_MAPPING!$Y84=1,CO_PO_PSO_MAPPING!$Y84=2),CO_PO_PSO_MAPPING!$U84,0)</f>
        <v>0</v>
      </c>
      <c r="E156" s="103">
        <f>IF(CO_PO_PSO_MAPPING!$Y84=3,CO_PO_PSO_MAPPING!$U84,0)</f>
        <v>10</v>
      </c>
      <c r="F156" s="103">
        <f>IF(CO_PO_PSO_MAPPING!$Y84=4,CO_PO_PSO_MAPPING!$U84,0)</f>
        <v>0</v>
      </c>
      <c r="G156" s="103">
        <f>IF(CO_PO_PSO_MAPPING!$Y84=5,CO_PO_PSO_MAPPING!$U84,0)</f>
        <v>0</v>
      </c>
      <c r="H156" s="103"/>
      <c r="I156" s="51">
        <f t="shared" si="16"/>
        <v>10</v>
      </c>
    </row>
    <row r="157" ht="15" customHeight="1" spans="2:9">
      <c r="B157" s="132"/>
      <c r="C157" s="133" t="s">
        <v>66</v>
      </c>
      <c r="D157" s="103">
        <f>IF(OR(CO_PO_PSO_MAPPING!$Y85=1,CO_PO_PSO_MAPPING!$Y85=2),CO_PO_PSO_MAPPING!$U85,0)</f>
        <v>0</v>
      </c>
      <c r="E157" s="103">
        <f>IF(CO_PO_PSO_MAPPING!$Y85=3,CO_PO_PSO_MAPPING!$U85,0)</f>
        <v>0</v>
      </c>
      <c r="F157" s="103">
        <f>IF(CO_PO_PSO_MAPPING!$Y85=4,CO_PO_PSO_MAPPING!$U85,0)</f>
        <v>0</v>
      </c>
      <c r="G157" s="103">
        <f>IF(CO_PO_PSO_MAPPING!$Y85=5,CO_PO_PSO_MAPPING!$U85,0)</f>
        <v>0</v>
      </c>
      <c r="H157" s="103"/>
      <c r="I157" s="51">
        <f t="shared" si="16"/>
        <v>0</v>
      </c>
    </row>
    <row r="158" ht="15" customHeight="1" spans="2:9">
      <c r="B158" s="132"/>
      <c r="C158" s="133" t="s">
        <v>67</v>
      </c>
      <c r="D158" s="103">
        <f>IF(OR(CO_PO_PSO_MAPPING!$Y86=1,CO_PO_PSO_MAPPING!$Y86=2),CO_PO_PSO_MAPPING!$U86,0)</f>
        <v>0</v>
      </c>
      <c r="E158" s="103">
        <f>IF(CO_PO_PSO_MAPPING!$Y86=3,CO_PO_PSO_MAPPING!$U86,0)</f>
        <v>0</v>
      </c>
      <c r="F158" s="103">
        <f>IF(CO_PO_PSO_MAPPING!$Y86=4,CO_PO_PSO_MAPPING!$U86,0)</f>
        <v>0</v>
      </c>
      <c r="G158" s="103">
        <f>IF(CO_PO_PSO_MAPPING!$Y86=5,CO_PO_PSO_MAPPING!$U86,0)</f>
        <v>0</v>
      </c>
      <c r="H158" s="103"/>
      <c r="I158" s="51">
        <f t="shared" si="16"/>
        <v>0</v>
      </c>
    </row>
    <row r="159" ht="15" customHeight="1" spans="2:9">
      <c r="B159" s="132"/>
      <c r="C159" s="133" t="s">
        <v>68</v>
      </c>
      <c r="D159" s="103">
        <f>IF(OR(CO_PO_PSO_MAPPING!$Y87=1,CO_PO_PSO_MAPPING!$Y87=2),CO_PO_PSO_MAPPING!$U87,0)</f>
        <v>0</v>
      </c>
      <c r="E159" s="103">
        <f>IF(CO_PO_PSO_MAPPING!$Y87=3,CO_PO_PSO_MAPPING!$U87,0)</f>
        <v>0</v>
      </c>
      <c r="F159" s="103">
        <f>IF(CO_PO_PSO_MAPPING!$Y87=4,CO_PO_PSO_MAPPING!$U87,0)</f>
        <v>0</v>
      </c>
      <c r="G159" s="103">
        <f>IF(CO_PO_PSO_MAPPING!$Y87=5,CO_PO_PSO_MAPPING!$U87,0)</f>
        <v>0</v>
      </c>
      <c r="H159" s="103"/>
      <c r="I159" s="51">
        <f t="shared" si="16"/>
        <v>0</v>
      </c>
    </row>
    <row r="160" ht="15" customHeight="1" spans="2:9">
      <c r="B160" s="132"/>
      <c r="C160" s="133" t="s">
        <v>69</v>
      </c>
      <c r="D160" s="103">
        <f>IF(OR(CO_PO_PSO_MAPPING!$Y88=1,CO_PO_PSO_MAPPING!$Y88=2),CO_PO_PSO_MAPPING!$U88,0)</f>
        <v>0</v>
      </c>
      <c r="E160" s="103">
        <f>IF(CO_PO_PSO_MAPPING!$Y88=3,CO_PO_PSO_MAPPING!$U88,0)</f>
        <v>10</v>
      </c>
      <c r="F160" s="103">
        <f>IF(CO_PO_PSO_MAPPING!$Y88=4,CO_PO_PSO_MAPPING!$U88,0)</f>
        <v>0</v>
      </c>
      <c r="G160" s="103">
        <f>IF(CO_PO_PSO_MAPPING!$Y88=5,CO_PO_PSO_MAPPING!$U88,0)</f>
        <v>0</v>
      </c>
      <c r="H160" s="103"/>
      <c r="I160" s="51">
        <f t="shared" si="16"/>
        <v>10</v>
      </c>
    </row>
    <row r="161" ht="15" customHeight="1" spans="2:9">
      <c r="B161" s="132"/>
      <c r="C161" s="133" t="s">
        <v>70</v>
      </c>
      <c r="D161" s="103">
        <f>IF(OR(CO_PO_PSO_MAPPING!$Y89=1,CO_PO_PSO_MAPPING!$Y89=2),CO_PO_PSO_MAPPING!$U89,0)</f>
        <v>0</v>
      </c>
      <c r="E161" s="103">
        <f>IF(CO_PO_PSO_MAPPING!$Y89=3,CO_PO_PSO_MAPPING!$U89,0)</f>
        <v>0</v>
      </c>
      <c r="F161" s="103">
        <f>IF(CO_PO_PSO_MAPPING!$Y89=4,CO_PO_PSO_MAPPING!$U89,0)</f>
        <v>0</v>
      </c>
      <c r="G161" s="103">
        <f>IF(CO_PO_PSO_MAPPING!$Y89=5,CO_PO_PSO_MAPPING!$U89,0)</f>
        <v>0</v>
      </c>
      <c r="H161" s="103"/>
      <c r="I161" s="51">
        <f t="shared" si="16"/>
        <v>0</v>
      </c>
    </row>
    <row r="162" ht="15" customHeight="1" spans="2:9">
      <c r="B162" s="132"/>
      <c r="C162" s="133" t="s">
        <v>71</v>
      </c>
      <c r="D162" s="103">
        <f>IF(OR(CO_PO_PSO_MAPPING!$Y90=1,CO_PO_PSO_MAPPING!$Y90=2),CO_PO_PSO_MAPPING!$U90,0)</f>
        <v>0</v>
      </c>
      <c r="E162" s="103">
        <f>IF(CO_PO_PSO_MAPPING!$Y90=3,CO_PO_PSO_MAPPING!$U90,0)</f>
        <v>0</v>
      </c>
      <c r="F162" s="103">
        <f>IF(CO_PO_PSO_MAPPING!$Y90=4,CO_PO_PSO_MAPPING!$U90,0)</f>
        <v>0</v>
      </c>
      <c r="G162" s="103">
        <f>IF(CO_PO_PSO_MAPPING!$Y90=5,CO_PO_PSO_MAPPING!$U90,0)</f>
        <v>0</v>
      </c>
      <c r="H162" s="103"/>
      <c r="I162" s="51">
        <f t="shared" si="16"/>
        <v>0</v>
      </c>
    </row>
    <row r="163" ht="15" customHeight="1" spans="2:9">
      <c r="B163" s="132"/>
      <c r="C163" s="133" t="s">
        <v>72</v>
      </c>
      <c r="D163" s="103">
        <f>IF(OR(CO_PO_PSO_MAPPING!$Y91=1,CO_PO_PSO_MAPPING!$Y91=2),CO_PO_PSO_MAPPING!$U91,0)</f>
        <v>0</v>
      </c>
      <c r="E163" s="103">
        <f>IF(CO_PO_PSO_MAPPING!$Y91=3,CO_PO_PSO_MAPPING!$U91,0)</f>
        <v>0</v>
      </c>
      <c r="F163" s="103">
        <f>IF(CO_PO_PSO_MAPPING!$Y91=4,CO_PO_PSO_MAPPING!$U91,0)</f>
        <v>0</v>
      </c>
      <c r="G163" s="103">
        <f>IF(CO_PO_PSO_MAPPING!$Y91=5,CO_PO_PSO_MAPPING!$U91,0)</f>
        <v>0</v>
      </c>
      <c r="H163" s="103"/>
      <c r="I163" s="51">
        <f t="shared" si="16"/>
        <v>0</v>
      </c>
    </row>
    <row r="164" ht="15" customHeight="1" spans="2:9">
      <c r="B164" s="132"/>
      <c r="C164" s="133" t="s">
        <v>73</v>
      </c>
      <c r="D164" s="103">
        <f>IF(OR(CO_PO_PSO_MAPPING!$Y92=1,CO_PO_PSO_MAPPING!$Y92=2),CO_PO_PSO_MAPPING!$U92,0)</f>
        <v>0</v>
      </c>
      <c r="E164" s="103">
        <f>IF(CO_PO_PSO_MAPPING!$Y92=3,CO_PO_PSO_MAPPING!$U92,0)</f>
        <v>0</v>
      </c>
      <c r="F164" s="103">
        <f>IF(CO_PO_PSO_MAPPING!$Y92=4,CO_PO_PSO_MAPPING!$U92,0)</f>
        <v>10</v>
      </c>
      <c r="G164" s="103">
        <f>IF(CO_PO_PSO_MAPPING!$Y92=5,CO_PO_PSO_MAPPING!$U92,0)</f>
        <v>0</v>
      </c>
      <c r="H164" s="103"/>
      <c r="I164" s="51">
        <f t="shared" si="16"/>
        <v>10</v>
      </c>
    </row>
    <row r="165" ht="15" customHeight="1" spans="2:9">
      <c r="B165" s="132"/>
      <c r="C165" s="133" t="s">
        <v>74</v>
      </c>
      <c r="D165" s="103">
        <f>IF(OR(CO_PO_PSO_MAPPING!$Y93=1,CO_PO_PSO_MAPPING!$Y93=2),CO_PO_PSO_MAPPING!$U93,0)</f>
        <v>0</v>
      </c>
      <c r="E165" s="103">
        <f>IF(CO_PO_PSO_MAPPING!$Y93=3,CO_PO_PSO_MAPPING!$U93,0)</f>
        <v>0</v>
      </c>
      <c r="F165" s="103">
        <f>IF(CO_PO_PSO_MAPPING!$Y93=4,CO_PO_PSO_MAPPING!$U93,0)</f>
        <v>0</v>
      </c>
      <c r="G165" s="103">
        <f>IF(CO_PO_PSO_MAPPING!$Y93=5,CO_PO_PSO_MAPPING!$U93,0)</f>
        <v>0</v>
      </c>
      <c r="H165" s="103"/>
      <c r="I165" s="51">
        <f t="shared" si="16"/>
        <v>0</v>
      </c>
    </row>
    <row r="166" ht="15" customHeight="1" spans="2:9">
      <c r="B166" s="132"/>
      <c r="C166" s="133" t="s">
        <v>75</v>
      </c>
      <c r="D166" s="103">
        <f>IF(OR(CO_PO_PSO_MAPPING!$Y94=1,CO_PO_PSO_MAPPING!$Y94=2),CO_PO_PSO_MAPPING!$U94,0)</f>
        <v>0</v>
      </c>
      <c r="E166" s="103">
        <f>IF(CO_PO_PSO_MAPPING!$Y94=3,CO_PO_PSO_MAPPING!$U94,0)</f>
        <v>0</v>
      </c>
      <c r="F166" s="103">
        <f>IF(CO_PO_PSO_MAPPING!$Y94=4,CO_PO_PSO_MAPPING!$U94,0)</f>
        <v>0</v>
      </c>
      <c r="G166" s="103">
        <f>IF(CO_PO_PSO_MAPPING!$Y94=5,CO_PO_PSO_MAPPING!$U94,0)</f>
        <v>0</v>
      </c>
      <c r="H166" s="103"/>
      <c r="I166" s="51">
        <f t="shared" si="16"/>
        <v>0</v>
      </c>
    </row>
    <row r="167" ht="15" customHeight="1" spans="2:9">
      <c r="B167" s="132"/>
      <c r="C167" s="133" t="s">
        <v>76</v>
      </c>
      <c r="D167" s="103">
        <f>IF(OR(CO_PO_PSO_MAPPING!$Y95=1,CO_PO_PSO_MAPPING!$Y95=2),CO_PO_PSO_MAPPING!$U95,0)</f>
        <v>0</v>
      </c>
      <c r="E167" s="103">
        <f>IF(CO_PO_PSO_MAPPING!$Y95=3,CO_PO_PSO_MAPPING!$U95,0)</f>
        <v>0</v>
      </c>
      <c r="F167" s="103">
        <f>IF(CO_PO_PSO_MAPPING!$Y95=4,CO_PO_PSO_MAPPING!$U95,0)</f>
        <v>0</v>
      </c>
      <c r="G167" s="103">
        <f>IF(CO_PO_PSO_MAPPING!$Y95=5,CO_PO_PSO_MAPPING!$U95,0)</f>
        <v>0</v>
      </c>
      <c r="H167" s="103"/>
      <c r="I167" s="51">
        <f t="shared" si="16"/>
        <v>0</v>
      </c>
    </row>
    <row r="168" ht="15" customHeight="1" spans="2:9">
      <c r="B168" s="132"/>
      <c r="C168" s="133" t="s">
        <v>77</v>
      </c>
      <c r="D168" s="103">
        <f>IF(OR(CO_PO_PSO_MAPPING!$Y96=1,CO_PO_PSO_MAPPING!$Y96=2),CO_PO_PSO_MAPPING!$U96,0)</f>
        <v>0</v>
      </c>
      <c r="E168" s="103">
        <f>IF(CO_PO_PSO_MAPPING!$Y96=3,CO_PO_PSO_MAPPING!$U96,0)</f>
        <v>0</v>
      </c>
      <c r="F168" s="103">
        <f>IF(CO_PO_PSO_MAPPING!$Y96=4,CO_PO_PSO_MAPPING!$U96,0)</f>
        <v>10</v>
      </c>
      <c r="G168" s="103">
        <f>IF(CO_PO_PSO_MAPPING!$Y96=5,CO_PO_PSO_MAPPING!$U96,0)</f>
        <v>0</v>
      </c>
      <c r="H168" s="103"/>
      <c r="I168" s="51">
        <f t="shared" si="16"/>
        <v>10</v>
      </c>
    </row>
    <row r="169" ht="15" customHeight="1" spans="2:9">
      <c r="B169" s="132"/>
      <c r="C169" s="133" t="s">
        <v>78</v>
      </c>
      <c r="D169" s="103">
        <f>IF(OR(CO_PO_PSO_MAPPING!$Y97=1,CO_PO_PSO_MAPPING!$Y97=2),CO_PO_PSO_MAPPING!$U97,0)</f>
        <v>0</v>
      </c>
      <c r="E169" s="103">
        <f>IF(CO_PO_PSO_MAPPING!$Y97=3,CO_PO_PSO_MAPPING!$U97,0)</f>
        <v>0</v>
      </c>
      <c r="F169" s="103">
        <f>IF(CO_PO_PSO_MAPPING!$Y97=4,CO_PO_PSO_MAPPING!$U97,0)</f>
        <v>0</v>
      </c>
      <c r="G169" s="103">
        <f>IF(CO_PO_PSO_MAPPING!$Y97=5,CO_PO_PSO_MAPPING!$U97,0)</f>
        <v>0</v>
      </c>
      <c r="H169" s="103"/>
      <c r="I169" s="51">
        <f t="shared" si="16"/>
        <v>0</v>
      </c>
    </row>
    <row r="170" ht="15" customHeight="1" spans="2:9">
      <c r="B170" s="132"/>
      <c r="C170" s="133" t="s">
        <v>79</v>
      </c>
      <c r="D170" s="103">
        <f>IF(OR(CO_PO_PSO_MAPPING!$Y98=1,CO_PO_PSO_MAPPING!$Y98=2),CO_PO_PSO_MAPPING!$U98,0)</f>
        <v>0</v>
      </c>
      <c r="E170" s="103">
        <f>IF(CO_PO_PSO_MAPPING!$Y98=3,CO_PO_PSO_MAPPING!$U98,0)</f>
        <v>0</v>
      </c>
      <c r="F170" s="103">
        <f>IF(CO_PO_PSO_MAPPING!$Y98=4,CO_PO_PSO_MAPPING!$U98,0)</f>
        <v>0</v>
      </c>
      <c r="G170" s="103">
        <f>IF(CO_PO_PSO_MAPPING!$Y98=5,CO_PO_PSO_MAPPING!$U98,0)</f>
        <v>0</v>
      </c>
      <c r="H170" s="103"/>
      <c r="I170" s="51">
        <f t="shared" si="16"/>
        <v>0</v>
      </c>
    </row>
    <row r="171" ht="15" customHeight="1" spans="2:9">
      <c r="B171" s="132"/>
      <c r="C171" s="133" t="s">
        <v>80</v>
      </c>
      <c r="D171" s="103">
        <f>IF(OR(CO_PO_PSO_MAPPING!$Y99=1,CO_PO_PSO_MAPPING!$Y99=2),CO_PO_PSO_MAPPING!$U99,0)</f>
        <v>0</v>
      </c>
      <c r="E171" s="103">
        <f>IF(CO_PO_PSO_MAPPING!$Y99=3,CO_PO_PSO_MAPPING!$U99,0)</f>
        <v>0</v>
      </c>
      <c r="F171" s="103">
        <f>IF(CO_PO_PSO_MAPPING!$Y99=4,CO_PO_PSO_MAPPING!$U99,0)</f>
        <v>0</v>
      </c>
      <c r="G171" s="103">
        <f>IF(CO_PO_PSO_MAPPING!$Y99=5,CO_PO_PSO_MAPPING!$U99,0)</f>
        <v>0</v>
      </c>
      <c r="H171" s="103"/>
      <c r="I171" s="51">
        <f t="shared" si="16"/>
        <v>0</v>
      </c>
    </row>
    <row r="172" ht="15" customHeight="1" spans="2:9">
      <c r="B172" s="134" t="s">
        <v>25</v>
      </c>
      <c r="C172" s="135"/>
      <c r="D172" s="103">
        <f>IF(OR(CO_PO_PSO_MAPPING!$Y100=1,CO_PO_PSO_MAPPING!$Y100=2),CO_PO_PSO_MAPPING!$U100,0)</f>
        <v>0</v>
      </c>
      <c r="E172" s="103">
        <f>IF(CO_PO_PSO_MAPPING!$Y100=3,CO_PO_PSO_MAPPING!$U100,0)</f>
        <v>10</v>
      </c>
      <c r="F172" s="103">
        <f>IF(CO_PO_PSO_MAPPING!$Y100=4,CO_PO_PSO_MAPPING!$U100,0)</f>
        <v>0</v>
      </c>
      <c r="G172" s="103">
        <f>IF(CO_PO_PSO_MAPPING!$Y100=5,CO_PO_PSO_MAPPING!$U100,0)</f>
        <v>0</v>
      </c>
      <c r="H172" s="103"/>
      <c r="I172" s="51">
        <f t="shared" ref="I172:I175" si="17">SUM(D172:H172)</f>
        <v>10</v>
      </c>
    </row>
    <row r="173" ht="15" customHeight="1" spans="2:9">
      <c r="B173" s="134" t="s">
        <v>26</v>
      </c>
      <c r="C173" s="135"/>
      <c r="D173" s="103">
        <f>IF(OR(CO_PO_PSO_MAPPING!$Y101=1,CO_PO_PSO_MAPPING!$Y101=2),CO_PO_PSO_MAPPING!$U101,0)</f>
        <v>0</v>
      </c>
      <c r="E173" s="103">
        <f>IF(CO_PO_PSO_MAPPING!$Y101=3,CO_PO_PSO_MAPPING!$U101,0)</f>
        <v>0</v>
      </c>
      <c r="F173" s="103">
        <f>IF(CO_PO_PSO_MAPPING!$Y101=4,CO_PO_PSO_MAPPING!$U101,0)</f>
        <v>10</v>
      </c>
      <c r="G173" s="103">
        <f>IF(CO_PO_PSO_MAPPING!$Y101=5,CO_PO_PSO_MAPPING!$U101,0)</f>
        <v>0</v>
      </c>
      <c r="H173" s="103"/>
      <c r="I173" s="51">
        <f t="shared" si="17"/>
        <v>10</v>
      </c>
    </row>
    <row r="174" ht="15" customHeight="1" spans="2:9">
      <c r="B174" s="134" t="s">
        <v>410</v>
      </c>
      <c r="C174" s="135"/>
      <c r="D174" s="103">
        <f>IF(OR(CO_PO_PSO_MAPPING!$Y102=1,CO_PO_PSO_MAPPING!$Y102=2),CO_PO_PSO_MAPPING!$U102,0)</f>
        <v>0</v>
      </c>
      <c r="E174" s="103">
        <f>IF(CO_PO_PSO_MAPPING!$Y102=3,CO_PO_PSO_MAPPING!$U102,0)</f>
        <v>0</v>
      </c>
      <c r="F174" s="103">
        <f>IF(CO_PO_PSO_MAPPING!$Y102=4,CO_PO_PSO_MAPPING!$U102,0)</f>
        <v>0</v>
      </c>
      <c r="G174" s="103">
        <f>IF(CO_PO_PSO_MAPPING!$Y102=5,CO_PO_PSO_MAPPING!$U102,0)</f>
        <v>50</v>
      </c>
      <c r="H174" s="103"/>
      <c r="I174" s="51">
        <f t="shared" si="17"/>
        <v>50</v>
      </c>
    </row>
    <row r="175" ht="15" customHeight="1" spans="2:9">
      <c r="B175" s="134" t="s">
        <v>411</v>
      </c>
      <c r="C175" s="135"/>
      <c r="D175" s="103">
        <f>IF(OR(CO_PO_PSO_MAPPING!$Y103=1,CO_PO_PSO_MAPPING!$Y103=2),CO_PO_PSO_MAPPING!$U103,0)</f>
        <v>0</v>
      </c>
      <c r="E175" s="103">
        <f>IF(CO_PO_PSO_MAPPING!$Y103=3,CO_PO_PSO_MAPPING!$U103,0)</f>
        <v>0</v>
      </c>
      <c r="F175" s="103">
        <f>IF(CO_PO_PSO_MAPPING!$Y103=4,CO_PO_PSO_MAPPING!$U103,0)</f>
        <v>0</v>
      </c>
      <c r="G175" s="103">
        <f>IF(CO_PO_PSO_MAPPING!$Y103=5,CO_PO_PSO_MAPPING!$U103,0)</f>
        <v>0</v>
      </c>
      <c r="H175" s="103"/>
      <c r="I175" s="51">
        <f t="shared" si="17"/>
        <v>0</v>
      </c>
    </row>
    <row r="176" ht="15" customHeight="1" spans="2:9">
      <c r="B176" s="136" t="s">
        <v>446</v>
      </c>
      <c r="C176" s="137"/>
      <c r="D176" s="138">
        <f>SUM(D76:D175)</f>
        <v>60</v>
      </c>
      <c r="E176" s="138">
        <f t="shared" ref="E176:I176" si="18">SUM(E76:E175)</f>
        <v>130</v>
      </c>
      <c r="F176" s="138">
        <f t="shared" si="18"/>
        <v>70</v>
      </c>
      <c r="G176" s="138">
        <f t="shared" si="18"/>
        <v>50</v>
      </c>
      <c r="H176" s="138">
        <f t="shared" si="18"/>
        <v>0</v>
      </c>
      <c r="I176" s="138">
        <f t="shared" si="18"/>
        <v>310</v>
      </c>
    </row>
    <row r="177" ht="44.25" customHeight="1"/>
    <row r="178" s="11" customFormat="1" ht="23.2" spans="2:17">
      <c r="B178" s="126"/>
      <c r="C178" s="139">
        <v>1</v>
      </c>
      <c r="D178" s="139">
        <v>2</v>
      </c>
      <c r="E178" s="139">
        <v>3</v>
      </c>
      <c r="F178" s="139">
        <v>4</v>
      </c>
      <c r="G178" s="139">
        <v>5</v>
      </c>
      <c r="H178" s="139">
        <v>6</v>
      </c>
      <c r="I178" s="139">
        <v>7</v>
      </c>
      <c r="J178" s="139">
        <v>8</v>
      </c>
      <c r="K178" s="139">
        <v>9</v>
      </c>
      <c r="L178" s="139">
        <v>10</v>
      </c>
      <c r="M178" s="139">
        <v>11</v>
      </c>
      <c r="N178" s="139">
        <v>12</v>
      </c>
      <c r="O178" s="139">
        <v>1</v>
      </c>
      <c r="P178" s="139">
        <v>2</v>
      </c>
      <c r="Q178" s="148">
        <v>3</v>
      </c>
    </row>
    <row r="179" ht="23.2" spans="2:17">
      <c r="B179" s="140" t="s">
        <v>460</v>
      </c>
      <c r="C179" s="141">
        <f ca="1">IFERROR(IF(C$17&gt;0,ROUND(C$17,2),""),"")</f>
        <v>68.99</v>
      </c>
      <c r="D179" s="141">
        <f ca="1" t="shared" ref="D179:Q179" si="19">IFERROR(IF(D$17&gt;0,ROUND(D$17,2),""),"")</f>
        <v>60.92</v>
      </c>
      <c r="E179" s="141">
        <f ca="1" t="shared" si="19"/>
        <v>64.12</v>
      </c>
      <c r="F179" s="141">
        <f ca="1" t="shared" si="19"/>
        <v>51.39</v>
      </c>
      <c r="G179" s="141">
        <f ca="1" t="shared" si="19"/>
        <v>73.25</v>
      </c>
      <c r="H179" s="141">
        <f ca="1" t="shared" si="19"/>
        <v>68.48</v>
      </c>
      <c r="I179" s="141" t="str">
        <f ca="1" t="shared" si="19"/>
        <v/>
      </c>
      <c r="J179" s="141" t="str">
        <f ca="1" t="shared" si="19"/>
        <v/>
      </c>
      <c r="K179" s="141" t="str">
        <f ca="1" t="shared" si="19"/>
        <v/>
      </c>
      <c r="L179" s="141" t="str">
        <f ca="1" t="shared" si="19"/>
        <v/>
      </c>
      <c r="M179" s="141" t="str">
        <f t="shared" si="19"/>
        <v/>
      </c>
      <c r="N179" s="141" t="str">
        <f t="shared" si="19"/>
        <v/>
      </c>
      <c r="O179" s="141" t="str">
        <f t="shared" si="19"/>
        <v/>
      </c>
      <c r="P179" s="141" t="str">
        <f t="shared" si="19"/>
        <v/>
      </c>
      <c r="Q179" s="141" t="str">
        <f t="shared" si="19"/>
        <v/>
      </c>
    </row>
    <row r="180" ht="47" spans="2:17">
      <c r="B180" s="142" t="s">
        <v>461</v>
      </c>
      <c r="C180" s="143">
        <f ca="1">IFERROR(IF(C$71&gt;0,ROUND(C$71,2),""),"")</f>
        <v>60.92</v>
      </c>
      <c r="D180" s="143">
        <f ca="1" t="shared" ref="D180:Q180" si="20">IFERROR(IF(D$71&gt;0,ROUND(D$71,2),""),"")</f>
        <v>64.12</v>
      </c>
      <c r="E180" s="143">
        <f ca="1" t="shared" si="20"/>
        <v>64.12</v>
      </c>
      <c r="F180" s="143">
        <f ca="1" t="shared" si="20"/>
        <v>64.12</v>
      </c>
      <c r="G180" s="143">
        <f ca="1" t="shared" si="20"/>
        <v>63.53</v>
      </c>
      <c r="H180" s="143" t="str">
        <f ca="1" t="shared" si="20"/>
        <v/>
      </c>
      <c r="I180" s="143" t="str">
        <f ca="1" t="shared" si="20"/>
        <v/>
      </c>
      <c r="J180" s="143" t="str">
        <f ca="1" t="shared" si="20"/>
        <v/>
      </c>
      <c r="K180" s="143">
        <f ca="1" t="shared" si="20"/>
        <v>63.64</v>
      </c>
      <c r="L180" s="143">
        <f ca="1" t="shared" si="20"/>
        <v>68.48</v>
      </c>
      <c r="M180" s="143">
        <f ca="1" t="shared" si="20"/>
        <v>58.23</v>
      </c>
      <c r="N180" s="143">
        <f ca="1" t="shared" si="20"/>
        <v>68.99</v>
      </c>
      <c r="O180" s="143">
        <f ca="1" t="shared" si="20"/>
        <v>63.06</v>
      </c>
      <c r="P180" s="146" t="str">
        <f ca="1" t="shared" si="20"/>
        <v/>
      </c>
      <c r="Q180" s="146" t="str">
        <f ca="1" t="shared" si="20"/>
        <v/>
      </c>
    </row>
    <row r="181" ht="47" spans="2:17">
      <c r="B181" s="144" t="s">
        <v>462</v>
      </c>
      <c r="C181" s="145">
        <f ca="1">IFERROR(C180*0.03,"")</f>
        <v>1.8276</v>
      </c>
      <c r="D181" s="145">
        <f ca="1" t="shared" ref="D181:Q181" si="21">IFERROR(D180*0.03,"")</f>
        <v>1.9236</v>
      </c>
      <c r="E181" s="145">
        <f ca="1" t="shared" si="21"/>
        <v>1.9236</v>
      </c>
      <c r="F181" s="145">
        <f ca="1" t="shared" si="21"/>
        <v>1.9236</v>
      </c>
      <c r="G181" s="145">
        <f ca="1" t="shared" si="21"/>
        <v>1.9059</v>
      </c>
      <c r="H181" s="145" t="str">
        <f ca="1" t="shared" si="21"/>
        <v/>
      </c>
      <c r="I181" s="145" t="str">
        <f ca="1" t="shared" si="21"/>
        <v/>
      </c>
      <c r="J181" s="145" t="str">
        <f ca="1" t="shared" si="21"/>
        <v/>
      </c>
      <c r="K181" s="145">
        <f ca="1" t="shared" si="21"/>
        <v>1.9092</v>
      </c>
      <c r="L181" s="145">
        <f ca="1" t="shared" si="21"/>
        <v>2.0544</v>
      </c>
      <c r="M181" s="145">
        <f ca="1" t="shared" si="21"/>
        <v>1.7469</v>
      </c>
      <c r="N181" s="145">
        <f ca="1" t="shared" si="21"/>
        <v>2.0697</v>
      </c>
      <c r="O181" s="145">
        <f ca="1" t="shared" si="21"/>
        <v>1.8918</v>
      </c>
      <c r="P181" s="147" t="str">
        <f ca="1" t="shared" si="21"/>
        <v/>
      </c>
      <c r="Q181" s="147" t="str">
        <f ca="1" t="shared" si="21"/>
        <v/>
      </c>
    </row>
  </sheetData>
  <mergeCells count="8">
    <mergeCell ref="I42:J42"/>
    <mergeCell ref="B70:Q70"/>
    <mergeCell ref="B75:C75"/>
    <mergeCell ref="K75:L75"/>
    <mergeCell ref="B76:B107"/>
    <mergeCell ref="B108:B139"/>
    <mergeCell ref="B140:B171"/>
    <mergeCell ref="K76:K108"/>
  </mergeCells>
  <conditionalFormatting sqref="C7:L7 C11:L11 C16:L16">
    <cfRule type="notContainsBlanks" dxfId="15" priority="1" stopIfTrue="1">
      <formula>LEN(TRIM(C7))&gt;0</formula>
    </cfRule>
  </conditionalFormatting>
  <conditionalFormatting sqref="C12:L12 C14:L14 C17:L17">
    <cfRule type="notContainsBlanks" dxfId="16" priority="2" stopIfTrue="1">
      <formula>LEN(TRIM(C12))&gt;0</formula>
    </cfRule>
  </conditionalFormatting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15" zoomScaleNormal="115" workbookViewId="0">
      <selection activeCell="D4" sqref="$A1:$XFD1048576"/>
    </sheetView>
  </sheetViews>
  <sheetFormatPr defaultColWidth="9" defaultRowHeight="16.8" outlineLevelCol="1"/>
  <sheetData>
    <row r="1" ht="36" spans="1:2">
      <c r="A1" s="1" t="s">
        <v>47</v>
      </c>
      <c r="B1" s="2" t="s">
        <v>86</v>
      </c>
    </row>
    <row r="2" ht="17.6" spans="1:2">
      <c r="A2" s="3" t="s">
        <v>88</v>
      </c>
      <c r="B2" s="4">
        <v>76</v>
      </c>
    </row>
    <row r="3" ht="17.6" spans="1:2">
      <c r="A3" s="3" t="s">
        <v>91</v>
      </c>
      <c r="B3" s="4">
        <v>77</v>
      </c>
    </row>
    <row r="4" ht="17.6" spans="1:2">
      <c r="A4" s="3" t="s">
        <v>94</v>
      </c>
      <c r="B4" s="4">
        <v>60</v>
      </c>
    </row>
    <row r="5" ht="17.6" spans="1:2">
      <c r="A5" s="3" t="s">
        <v>97</v>
      </c>
      <c r="B5" s="4">
        <v>65</v>
      </c>
    </row>
    <row r="6" ht="17.6" spans="1:2">
      <c r="A6" s="3" t="s">
        <v>99</v>
      </c>
      <c r="B6" s="4">
        <v>91</v>
      </c>
    </row>
    <row r="7" ht="17.6" spans="1:2">
      <c r="A7" s="3" t="s">
        <v>101</v>
      </c>
      <c r="B7" s="4">
        <v>53</v>
      </c>
    </row>
    <row r="8" ht="17.6" spans="1:2">
      <c r="A8" s="3" t="s">
        <v>104</v>
      </c>
      <c r="B8" s="4">
        <v>57</v>
      </c>
    </row>
    <row r="9" ht="17.6" spans="1:2">
      <c r="A9" s="3" t="s">
        <v>106</v>
      </c>
      <c r="B9" s="4">
        <v>61</v>
      </c>
    </row>
    <row r="10" ht="17.6" spans="1:2">
      <c r="A10" s="3" t="s">
        <v>108</v>
      </c>
      <c r="B10" s="4">
        <v>41</v>
      </c>
    </row>
    <row r="11" ht="17.6" spans="1:2">
      <c r="A11" s="3" t="s">
        <v>111</v>
      </c>
      <c r="B11" s="4">
        <v>82</v>
      </c>
    </row>
    <row r="12" ht="17.6" spans="1:2">
      <c r="A12" s="3" t="s">
        <v>113</v>
      </c>
      <c r="B12" s="4">
        <v>65</v>
      </c>
    </row>
    <row r="13" ht="17.6" spans="1:2">
      <c r="A13" s="3" t="s">
        <v>115</v>
      </c>
      <c r="B13" s="4">
        <v>86</v>
      </c>
    </row>
    <row r="14" ht="17.6" spans="1:2">
      <c r="A14" s="3" t="s">
        <v>117</v>
      </c>
      <c r="B14" s="4">
        <v>92</v>
      </c>
    </row>
    <row r="15" ht="17.6" spans="1:2">
      <c r="A15" s="3" t="s">
        <v>119</v>
      </c>
      <c r="B15" s="4">
        <v>88</v>
      </c>
    </row>
    <row r="16" ht="17.6" spans="1:2">
      <c r="A16" s="3" t="s">
        <v>122</v>
      </c>
      <c r="B16" s="4">
        <v>83</v>
      </c>
    </row>
    <row r="17" ht="17.6" spans="1:2">
      <c r="A17" s="3" t="s">
        <v>124</v>
      </c>
      <c r="B17" s="4">
        <v>82</v>
      </c>
    </row>
    <row r="18" ht="17.6" spans="1:2">
      <c r="A18" s="3" t="s">
        <v>126</v>
      </c>
      <c r="B18" s="4">
        <v>77</v>
      </c>
    </row>
    <row r="19" ht="17.6" spans="1:2">
      <c r="A19" s="3" t="s">
        <v>128</v>
      </c>
      <c r="B19" s="4">
        <v>83</v>
      </c>
    </row>
    <row r="20" ht="17.6" spans="1:2">
      <c r="A20" s="3" t="s">
        <v>130</v>
      </c>
      <c r="B20" s="4">
        <v>80</v>
      </c>
    </row>
    <row r="21" ht="17.6" spans="1:2">
      <c r="A21" s="3" t="s">
        <v>132</v>
      </c>
      <c r="B21" s="4">
        <v>56</v>
      </c>
    </row>
    <row r="22" ht="17.6" spans="1:2">
      <c r="A22" s="3" t="s">
        <v>134</v>
      </c>
      <c r="B22" s="4">
        <v>65</v>
      </c>
    </row>
    <row r="23" ht="17.6" spans="1:2">
      <c r="A23" s="3" t="s">
        <v>136</v>
      </c>
      <c r="B23" s="4">
        <v>78</v>
      </c>
    </row>
    <row r="24" ht="17.6" spans="1:2">
      <c r="A24" s="3" t="s">
        <v>138</v>
      </c>
      <c r="B24" s="4">
        <v>56</v>
      </c>
    </row>
    <row r="25" ht="17.6" spans="1:2">
      <c r="A25" s="3" t="s">
        <v>140</v>
      </c>
      <c r="B25" s="4">
        <v>65</v>
      </c>
    </row>
    <row r="26" ht="17.6" spans="1:2">
      <c r="A26" s="3" t="s">
        <v>142</v>
      </c>
      <c r="B26" s="4">
        <v>51</v>
      </c>
    </row>
    <row r="27" ht="17.6" spans="1:2">
      <c r="A27" s="3" t="s">
        <v>144</v>
      </c>
      <c r="B27" s="4">
        <v>62</v>
      </c>
    </row>
    <row r="28" ht="17.6" spans="1:2">
      <c r="A28" s="3" t="s">
        <v>146</v>
      </c>
      <c r="B28" s="4">
        <v>63</v>
      </c>
    </row>
    <row r="29" ht="17.6" spans="1:2">
      <c r="A29" s="3" t="s">
        <v>148</v>
      </c>
      <c r="B29" s="4">
        <v>67</v>
      </c>
    </row>
    <row r="30" ht="17.6" spans="1:2">
      <c r="A30" s="3" t="s">
        <v>150</v>
      </c>
      <c r="B30" s="4">
        <v>55</v>
      </c>
    </row>
    <row r="31" ht="17.6" spans="1:2">
      <c r="A31" s="3" t="s">
        <v>153</v>
      </c>
      <c r="B31" s="4">
        <v>62</v>
      </c>
    </row>
    <row r="32" ht="17.6" spans="1:2">
      <c r="A32" s="3" t="s">
        <v>155</v>
      </c>
      <c r="B32" s="4">
        <v>51</v>
      </c>
    </row>
    <row r="33" ht="17.6" spans="1:2">
      <c r="A33" s="3" t="s">
        <v>157</v>
      </c>
      <c r="B33" s="4">
        <v>64</v>
      </c>
    </row>
    <row r="34" ht="17.6" spans="1:2">
      <c r="A34" s="3" t="s">
        <v>159</v>
      </c>
      <c r="B34" s="4">
        <v>67</v>
      </c>
    </row>
    <row r="35" ht="17.6" spans="1:2">
      <c r="A35" s="3" t="s">
        <v>161</v>
      </c>
      <c r="B35" s="4">
        <v>70</v>
      </c>
    </row>
    <row r="36" ht="17.6" spans="1:2">
      <c r="A36" s="3" t="s">
        <v>163</v>
      </c>
      <c r="B36" s="4">
        <v>69</v>
      </c>
    </row>
    <row r="37" ht="17.6" spans="1:2">
      <c r="A37" s="3" t="s">
        <v>165</v>
      </c>
      <c r="B37" s="4">
        <v>65</v>
      </c>
    </row>
    <row r="38" ht="17.6" spans="1:2">
      <c r="A38" s="3" t="s">
        <v>167</v>
      </c>
      <c r="B38" s="4">
        <v>80</v>
      </c>
    </row>
    <row r="39" ht="17.6" spans="1:2">
      <c r="A39" s="3" t="s">
        <v>169</v>
      </c>
      <c r="B39" s="4">
        <v>59</v>
      </c>
    </row>
    <row r="40" ht="17.6" spans="1:2">
      <c r="A40" s="3" t="s">
        <v>171</v>
      </c>
      <c r="B40" s="4">
        <v>33</v>
      </c>
    </row>
    <row r="41" ht="17.6" spans="1:2">
      <c r="A41" s="3" t="s">
        <v>174</v>
      </c>
      <c r="B41" s="4">
        <v>69</v>
      </c>
    </row>
    <row r="42" ht="17.6" spans="1:2">
      <c r="A42" s="3" t="s">
        <v>176</v>
      </c>
      <c r="B42" s="4">
        <v>77</v>
      </c>
    </row>
    <row r="43" ht="17.6" spans="1:2">
      <c r="A43" s="3" t="s">
        <v>178</v>
      </c>
      <c r="B43" s="4">
        <v>77</v>
      </c>
    </row>
    <row r="44" ht="17.6" spans="1:2">
      <c r="A44" s="3" t="s">
        <v>180</v>
      </c>
      <c r="B44" s="4">
        <v>67</v>
      </c>
    </row>
    <row r="45" ht="17.6" spans="1:2">
      <c r="A45" s="3" t="s">
        <v>182</v>
      </c>
      <c r="B45" s="4">
        <v>82</v>
      </c>
    </row>
    <row r="46" ht="17.6" spans="1:2">
      <c r="A46" s="3" t="s">
        <v>184</v>
      </c>
      <c r="B46" s="4">
        <v>62</v>
      </c>
    </row>
    <row r="47" ht="17.6" spans="1:2">
      <c r="A47" s="3" t="s">
        <v>186</v>
      </c>
      <c r="B47" s="4">
        <v>78</v>
      </c>
    </row>
    <row r="48" ht="17.6" spans="1:2">
      <c r="A48" s="3" t="s">
        <v>188</v>
      </c>
      <c r="B48" s="4">
        <v>74</v>
      </c>
    </row>
    <row r="49" ht="17.6" spans="1:2">
      <c r="A49" s="3" t="s">
        <v>190</v>
      </c>
      <c r="B49" s="4">
        <v>65</v>
      </c>
    </row>
    <row r="50" ht="17.6" spans="1:2">
      <c r="A50" s="3" t="s">
        <v>192</v>
      </c>
      <c r="B50" s="4">
        <v>75</v>
      </c>
    </row>
    <row r="51" ht="17.6" spans="1:2">
      <c r="A51" s="3" t="s">
        <v>194</v>
      </c>
      <c r="B51" s="4">
        <v>69</v>
      </c>
    </row>
    <row r="52" ht="17.6" spans="1:2">
      <c r="A52" s="3" t="s">
        <v>196</v>
      </c>
      <c r="B52" s="4">
        <v>71</v>
      </c>
    </row>
    <row r="53" ht="17.6" spans="1:2">
      <c r="A53" s="3" t="s">
        <v>198</v>
      </c>
      <c r="B53" s="4">
        <v>81</v>
      </c>
    </row>
    <row r="54" ht="17.6" spans="1:2">
      <c r="A54" s="3" t="s">
        <v>200</v>
      </c>
      <c r="B54" s="4">
        <v>65</v>
      </c>
    </row>
    <row r="55" ht="17.6" spans="1:2">
      <c r="A55" s="3" t="s">
        <v>202</v>
      </c>
      <c r="B55" s="4">
        <v>78</v>
      </c>
    </row>
    <row r="56" ht="17.6" spans="1:2">
      <c r="A56" s="3" t="s">
        <v>204</v>
      </c>
      <c r="B56" s="4">
        <v>70</v>
      </c>
    </row>
    <row r="57" ht="17.6" spans="1:2">
      <c r="A57" s="3" t="s">
        <v>206</v>
      </c>
      <c r="B57" s="4">
        <v>67</v>
      </c>
    </row>
    <row r="58" ht="17.6" spans="1:2">
      <c r="A58" s="3" t="s">
        <v>208</v>
      </c>
      <c r="B58" s="4">
        <v>30</v>
      </c>
    </row>
    <row r="59" ht="17.6" spans="1:2">
      <c r="A59" s="3" t="s">
        <v>210</v>
      </c>
      <c r="B59" s="4">
        <v>82</v>
      </c>
    </row>
    <row r="60" ht="17.6" spans="1:2">
      <c r="A60" s="3" t="s">
        <v>212</v>
      </c>
      <c r="B60" s="4">
        <v>68</v>
      </c>
    </row>
    <row r="61" ht="17.6" spans="1:2">
      <c r="A61" s="3" t="s">
        <v>214</v>
      </c>
      <c r="B61" s="4">
        <v>72</v>
      </c>
    </row>
    <row r="62" ht="17.6" spans="1:2">
      <c r="A62" s="3" t="s">
        <v>216</v>
      </c>
      <c r="B62" s="4">
        <v>51</v>
      </c>
    </row>
    <row r="63" ht="17.6" spans="1:2">
      <c r="A63" s="3" t="s">
        <v>218</v>
      </c>
      <c r="B63" s="4">
        <v>52</v>
      </c>
    </row>
    <row r="64" ht="17.6" spans="1:2">
      <c r="A64" s="3" t="s">
        <v>220</v>
      </c>
      <c r="B64" s="4">
        <v>52</v>
      </c>
    </row>
    <row r="65" ht="17.6" spans="1:2">
      <c r="A65" s="3" t="s">
        <v>222</v>
      </c>
      <c r="B65" s="4">
        <v>83</v>
      </c>
    </row>
    <row r="66" ht="17.6" spans="1:2">
      <c r="A66" s="3" t="s">
        <v>224</v>
      </c>
      <c r="B66" s="4">
        <v>46</v>
      </c>
    </row>
    <row r="67" ht="17.6" spans="1:2">
      <c r="A67" s="3" t="s">
        <v>226</v>
      </c>
      <c r="B67" s="4">
        <v>70</v>
      </c>
    </row>
    <row r="68" ht="17.6" spans="1:2">
      <c r="A68" s="3" t="s">
        <v>228</v>
      </c>
      <c r="B68" s="4">
        <v>45</v>
      </c>
    </row>
    <row r="69" ht="18.35" spans="1:2">
      <c r="A69" s="5" t="s">
        <v>230</v>
      </c>
      <c r="B69" s="4">
        <v>47</v>
      </c>
    </row>
    <row r="70" ht="17.6" spans="1:2">
      <c r="A70" s="6"/>
      <c r="B70" s="4"/>
    </row>
    <row r="71" ht="17.6" spans="1:2">
      <c r="A71" s="6"/>
      <c r="B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2015-06-06T10:47:00Z</dcterms:created>
  <dcterms:modified xsi:type="dcterms:W3CDTF">2026-04-14T09:31:26Z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BB82184B6FCCFB4D16BCDD69C283A4A0_43</vt:lpwstr>
  </property>
  <property fmtid="{D5CDD505-2E9C-101B-9397-08002B2CF9AE}" pid="3" name="KSOProductBuildVer">
    <vt:lpwstr>1033-12.1.21937.21937</vt:lpwstr>
  </property>
</Properties>
</file>