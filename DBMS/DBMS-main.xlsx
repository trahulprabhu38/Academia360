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shma\Desktop\2021-FINAL ATTAINMENT-04-02-2026\"/>
    </mc:Choice>
  </mc:AlternateContent>
  <xr:revisionPtr revIDLastSave="0" documentId="13_ncr:1_{F0427D2E-31DC-4D6C-A8EE-02BD559670EA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Theory" sheetId="2" r:id="rId1"/>
    <sheet name="Lab" sheetId="3" r:id="rId2"/>
    <sheet name="CIA MARKS" sheetId="12" state="hidden" r:id="rId3"/>
    <sheet name="CSV" sheetId="13" state="hidden" r:id="rId4"/>
    <sheet name="CES" sheetId="4" r:id="rId5"/>
    <sheet name="Quiz1" sheetId="8" state="hidden" r:id="rId6"/>
    <sheet name="Quiz2" sheetId="7" state="hidden" r:id="rId7"/>
    <sheet name="CO_PO_PSO_MAPPING" sheetId="5" r:id="rId8"/>
    <sheet name="CO_PO_ASSESSMENT" sheetId="6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C85" i="2" l="1"/>
  <c r="DC84" i="2"/>
  <c r="DC86" i="2" s="1"/>
  <c r="DD85" i="2"/>
  <c r="DD84" i="2"/>
  <c r="DD86" i="2" s="1"/>
  <c r="CW85" i="2" l="1"/>
  <c r="CV85" i="2"/>
  <c r="CW84" i="2"/>
  <c r="CV84" i="2"/>
  <c r="CV86" i="2" s="1"/>
  <c r="CK85" i="2"/>
  <c r="CK84" i="2"/>
  <c r="CK86" i="2" s="1"/>
  <c r="CC84" i="2"/>
  <c r="CC86" i="2" s="1"/>
  <c r="CB84" i="2"/>
  <c r="CC85" i="2"/>
  <c r="AZ85" i="2"/>
  <c r="AZ84" i="2"/>
  <c r="AW85" i="2"/>
  <c r="AW84" i="2"/>
  <c r="Y85" i="2"/>
  <c r="Y84" i="2"/>
  <c r="Y86" i="2" s="1"/>
  <c r="D3" i="4"/>
  <c r="D2" i="4"/>
  <c r="A2" i="4"/>
  <c r="Q85" i="2"/>
  <c r="D97" i="3"/>
  <c r="E97" i="3"/>
  <c r="G97" i="3"/>
  <c r="J97" i="3"/>
  <c r="L97" i="3"/>
  <c r="N97" i="3"/>
  <c r="O97" i="3"/>
  <c r="G89" i="3" a="1"/>
  <c r="G89" i="3" s="1"/>
  <c r="F89" i="3" a="1"/>
  <c r="F89" i="3" s="1"/>
  <c r="E89" i="3" a="1"/>
  <c r="E89" i="3" s="1"/>
  <c r="D89" i="3" a="1"/>
  <c r="D89" i="3" s="1"/>
  <c r="CW86" i="2" l="1"/>
  <c r="AZ86" i="2"/>
  <c r="AW86" i="2"/>
  <c r="D25" i="6"/>
  <c r="E25" i="6"/>
  <c r="F25" i="6"/>
  <c r="G25" i="6"/>
  <c r="H25" i="6"/>
  <c r="I25" i="6"/>
  <c r="J25" i="6"/>
  <c r="K25" i="6"/>
  <c r="C25" i="6"/>
  <c r="L25" i="6" l="1"/>
  <c r="H89" i="4"/>
  <c r="G24" i="5" s="1"/>
  <c r="G89" i="4"/>
  <c r="F89" i="4"/>
  <c r="E24" i="5" s="1"/>
  <c r="E89" i="4"/>
  <c r="D24" i="5" s="1"/>
  <c r="D89" i="4"/>
  <c r="C24" i="5" s="1"/>
  <c r="H88" i="4"/>
  <c r="G23" i="5" s="1"/>
  <c r="G88" i="4"/>
  <c r="F23" i="5" s="1"/>
  <c r="F88" i="4"/>
  <c r="E23" i="5" s="1"/>
  <c r="E88" i="4"/>
  <c r="D23" i="5" s="1"/>
  <c r="D88" i="4"/>
  <c r="H87" i="4"/>
  <c r="G22" i="5" s="1"/>
  <c r="G87" i="4"/>
  <c r="F22" i="5" s="1"/>
  <c r="F87" i="4"/>
  <c r="E22" i="5" s="1"/>
  <c r="E87" i="4"/>
  <c r="D22" i="5" s="1"/>
  <c r="D87" i="4"/>
  <c r="C22" i="5" s="1"/>
  <c r="H86" i="4"/>
  <c r="G21" i="5" s="1"/>
  <c r="G86" i="4"/>
  <c r="F21" i="5" s="1"/>
  <c r="F86" i="4"/>
  <c r="E21" i="5" s="1"/>
  <c r="E86" i="4"/>
  <c r="D21" i="5" s="1"/>
  <c r="D86" i="4"/>
  <c r="C21" i="5" s="1"/>
  <c r="H85" i="4"/>
  <c r="G20" i="5" s="1"/>
  <c r="G85" i="4"/>
  <c r="F20" i="5" s="1"/>
  <c r="F85" i="4"/>
  <c r="E20" i="5" s="1"/>
  <c r="E85" i="4"/>
  <c r="D20" i="5" s="1"/>
  <c r="D85" i="4"/>
  <c r="C20" i="5" s="1"/>
  <c r="H84" i="4"/>
  <c r="G19" i="5" s="1"/>
  <c r="G84" i="4"/>
  <c r="F19" i="5" s="1"/>
  <c r="E84" i="4"/>
  <c r="D19" i="5" s="1"/>
  <c r="D84" i="4"/>
  <c r="C19" i="5" s="1"/>
  <c r="F84" i="4"/>
  <c r="E19" i="5" s="1"/>
  <c r="M81" i="4"/>
  <c r="L81" i="4"/>
  <c r="K81" i="4"/>
  <c r="J81" i="4"/>
  <c r="I81" i="4"/>
  <c r="D80" i="4"/>
  <c r="M78" i="4"/>
  <c r="M79" i="4" s="1"/>
  <c r="L78" i="4"/>
  <c r="L79" i="4" s="1"/>
  <c r="H81" i="4" s="1"/>
  <c r="K78" i="4"/>
  <c r="K79" i="4" s="1"/>
  <c r="J78" i="4"/>
  <c r="J79" i="4" s="1"/>
  <c r="I78" i="4"/>
  <c r="I79" i="4" s="1"/>
  <c r="H78" i="4"/>
  <c r="H79" i="4" s="1"/>
  <c r="G78" i="4"/>
  <c r="G79" i="4" s="1"/>
  <c r="F78" i="4"/>
  <c r="F79" i="4" s="1"/>
  <c r="E81" i="4" s="1"/>
  <c r="E78" i="4"/>
  <c r="E79" i="4" s="1"/>
  <c r="D78" i="4"/>
  <c r="D79" i="4" s="1"/>
  <c r="I88" i="4" l="1"/>
  <c r="J88" i="4" s="1"/>
  <c r="K88" i="4" s="1"/>
  <c r="F81" i="4"/>
  <c r="G81" i="4"/>
  <c r="D81" i="4"/>
  <c r="I89" i="4"/>
  <c r="J89" i="4" s="1"/>
  <c r="K89" i="4" s="1"/>
  <c r="F24" i="5"/>
  <c r="I87" i="4"/>
  <c r="J87" i="4" s="1"/>
  <c r="K87" i="4" s="1"/>
  <c r="I86" i="4"/>
  <c r="J86" i="4" s="1"/>
  <c r="K86" i="4" s="1"/>
  <c r="I85" i="4"/>
  <c r="J85" i="4" s="1"/>
  <c r="K85" i="4" s="1"/>
  <c r="C23" i="5"/>
  <c r="I84" i="4"/>
  <c r="P50" i="6"/>
  <c r="Q50" i="6" s="1"/>
  <c r="P51" i="6"/>
  <c r="Q51" i="6" s="1"/>
  <c r="P52" i="6"/>
  <c r="Q52" i="6" s="1"/>
  <c r="P53" i="6"/>
  <c r="Q53" i="6" s="1"/>
  <c r="B58" i="6"/>
  <c r="B59" i="6"/>
  <c r="B60" i="6"/>
  <c r="B61" i="6"/>
  <c r="B62" i="6"/>
  <c r="B63" i="6"/>
  <c r="B64" i="6"/>
  <c r="B65" i="6"/>
  <c r="B66" i="6"/>
  <c r="B57" i="6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J84" i="4" l="1"/>
  <c r="DJ18" i="2"/>
  <c r="DJ19" i="2"/>
  <c r="DJ20" i="2"/>
  <c r="DJ21" i="2"/>
  <c r="DJ22" i="2"/>
  <c r="DJ23" i="2"/>
  <c r="DJ24" i="2"/>
  <c r="DJ25" i="2"/>
  <c r="DJ26" i="2"/>
  <c r="DJ27" i="2"/>
  <c r="DJ28" i="2"/>
  <c r="DJ29" i="2"/>
  <c r="DJ30" i="2"/>
  <c r="DJ31" i="2"/>
  <c r="DJ32" i="2"/>
  <c r="DJ33" i="2"/>
  <c r="DJ34" i="2"/>
  <c r="DJ35" i="2"/>
  <c r="DJ36" i="2"/>
  <c r="DJ37" i="2"/>
  <c r="DJ38" i="2"/>
  <c r="DJ39" i="2"/>
  <c r="DJ40" i="2"/>
  <c r="DJ41" i="2"/>
  <c r="DJ42" i="2"/>
  <c r="DJ43" i="2"/>
  <c r="DJ44" i="2"/>
  <c r="DJ45" i="2"/>
  <c r="DJ46" i="2"/>
  <c r="DJ47" i="2"/>
  <c r="DJ48" i="2"/>
  <c r="DJ49" i="2"/>
  <c r="DJ50" i="2"/>
  <c r="DJ51" i="2"/>
  <c r="DJ52" i="2"/>
  <c r="DJ53" i="2"/>
  <c r="DJ54" i="2"/>
  <c r="DJ55" i="2"/>
  <c r="DJ56" i="2"/>
  <c r="DJ57" i="2"/>
  <c r="DJ58" i="2"/>
  <c r="DJ59" i="2"/>
  <c r="DJ60" i="2"/>
  <c r="DJ61" i="2"/>
  <c r="DJ62" i="2"/>
  <c r="DJ63" i="2"/>
  <c r="DJ64" i="2"/>
  <c r="DJ65" i="2"/>
  <c r="DJ66" i="2"/>
  <c r="DJ67" i="2"/>
  <c r="DJ68" i="2"/>
  <c r="DJ69" i="2"/>
  <c r="DJ70" i="2"/>
  <c r="DJ71" i="2"/>
  <c r="DJ72" i="2"/>
  <c r="DJ73" i="2"/>
  <c r="DJ74" i="2"/>
  <c r="DJ75" i="2"/>
  <c r="DJ76" i="2"/>
  <c r="DJ77" i="2"/>
  <c r="DJ78" i="2"/>
  <c r="DJ79" i="2"/>
  <c r="DJ80" i="2"/>
  <c r="DJ81" i="2"/>
  <c r="DJ82" i="2"/>
  <c r="DJ83" i="2"/>
  <c r="DJ17" i="2"/>
  <c r="DE86" i="2"/>
  <c r="C2" i="12"/>
  <c r="C3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15" i="12"/>
  <c r="Q84" i="2"/>
  <c r="Q86" i="2" s="1"/>
  <c r="R86" i="2"/>
  <c r="AD84" i="2"/>
  <c r="AD86" i="2" s="1"/>
  <c r="AE84" i="2"/>
  <c r="AE86" i="2" s="1"/>
  <c r="AD85" i="2"/>
  <c r="AE85" i="2"/>
  <c r="K84" i="4" l="1"/>
  <c r="W5" i="13" a="1"/>
  <c r="W5" i="13" s="1"/>
  <c r="V5" i="13" a="1"/>
  <c r="V5" i="13" s="1"/>
  <c r="U5" i="13" a="1"/>
  <c r="U5" i="13" s="1"/>
  <c r="T5" i="13" a="1"/>
  <c r="T5" i="13" s="1"/>
  <c r="X73" i="13"/>
  <c r="X74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5" i="13"/>
  <c r="EK13" i="12"/>
  <c r="EE13" i="12"/>
  <c r="EF13" i="12"/>
  <c r="ED13" i="12"/>
  <c r="EA13" i="12"/>
  <c r="EB13" i="12"/>
  <c r="DZ13" i="12"/>
  <c r="DV13" i="12"/>
  <c r="DU13" i="12"/>
  <c r="DE13" i="12"/>
  <c r="DF13" i="12"/>
  <c r="DG13" i="12"/>
  <c r="DH13" i="12"/>
  <c r="DI13" i="12"/>
  <c r="DJ13" i="12"/>
  <c r="DK13" i="12"/>
  <c r="DD13" i="12"/>
  <c r="CV13" i="12"/>
  <c r="CW13" i="12"/>
  <c r="CX13" i="12"/>
  <c r="CY13" i="12"/>
  <c r="CZ13" i="12"/>
  <c r="DA13" i="12"/>
  <c r="DB13" i="12"/>
  <c r="CU13" i="12"/>
  <c r="CM13" i="12"/>
  <c r="CN13" i="12"/>
  <c r="CO13" i="12"/>
  <c r="CP13" i="12"/>
  <c r="CQ13" i="12"/>
  <c r="CR13" i="12"/>
  <c r="CS13" i="12"/>
  <c r="CL13" i="12"/>
  <c r="CH13" i="12"/>
  <c r="CI13" i="12"/>
  <c r="CJ13" i="12"/>
  <c r="CG13" i="12"/>
  <c r="CC13" i="12"/>
  <c r="CD13" i="12"/>
  <c r="CE13" i="12"/>
  <c r="CB13" i="12"/>
  <c r="BS13" i="12"/>
  <c r="BT13" i="12"/>
  <c r="BU13" i="12"/>
  <c r="BV13" i="12"/>
  <c r="BW13" i="12"/>
  <c r="BX13" i="12"/>
  <c r="BY13" i="12"/>
  <c r="BR13" i="12"/>
  <c r="BJ13" i="12"/>
  <c r="BK13" i="12"/>
  <c r="BL13" i="12"/>
  <c r="BM13" i="12"/>
  <c r="BN13" i="12"/>
  <c r="BO13" i="12"/>
  <c r="BP13" i="12"/>
  <c r="BI13" i="12"/>
  <c r="BA13" i="12"/>
  <c r="BB13" i="12"/>
  <c r="BC13" i="12"/>
  <c r="BD13" i="12"/>
  <c r="BE13" i="12"/>
  <c r="BF13" i="12"/>
  <c r="BG13" i="12"/>
  <c r="AZ13" i="12"/>
  <c r="AV13" i="12"/>
  <c r="AW13" i="12"/>
  <c r="AX13" i="12"/>
  <c r="AU13" i="12"/>
  <c r="AQ13" i="12"/>
  <c r="AR13" i="12"/>
  <c r="AS13" i="12"/>
  <c r="AP13" i="12"/>
  <c r="AG13" i="12"/>
  <c r="AH13" i="12"/>
  <c r="AI13" i="12"/>
  <c r="AJ13" i="12"/>
  <c r="AK13" i="12"/>
  <c r="AL13" i="12"/>
  <c r="AM13" i="12"/>
  <c r="AF13" i="12"/>
  <c r="X13" i="12"/>
  <c r="Y13" i="12"/>
  <c r="Z13" i="12"/>
  <c r="AA13" i="12"/>
  <c r="AB13" i="12"/>
  <c r="AC13" i="12"/>
  <c r="AD13" i="12"/>
  <c r="W13" i="12"/>
  <c r="O13" i="12"/>
  <c r="P13" i="12"/>
  <c r="Q13" i="12"/>
  <c r="R13" i="12"/>
  <c r="S13" i="12"/>
  <c r="T13" i="12"/>
  <c r="U13" i="12"/>
  <c r="N13" i="12"/>
  <c r="J13" i="12"/>
  <c r="K13" i="12"/>
  <c r="L13" i="12"/>
  <c r="I13" i="12"/>
  <c r="E13" i="12"/>
  <c r="F13" i="12"/>
  <c r="G13" i="12"/>
  <c r="DE11" i="12"/>
  <c r="DF11" i="12"/>
  <c r="DG11" i="12"/>
  <c r="DH11" i="12"/>
  <c r="DI11" i="12"/>
  <c r="DJ11" i="12"/>
  <c r="DK11" i="12"/>
  <c r="DD11" i="12"/>
  <c r="CV11" i="12"/>
  <c r="CW11" i="12"/>
  <c r="CX11" i="12"/>
  <c r="CY11" i="12"/>
  <c r="CZ11" i="12"/>
  <c r="DA11" i="12"/>
  <c r="DB11" i="12"/>
  <c r="CU11" i="12"/>
  <c r="CM11" i="12"/>
  <c r="CN11" i="12"/>
  <c r="CO11" i="12"/>
  <c r="CP11" i="12"/>
  <c r="CQ11" i="12"/>
  <c r="CR11" i="12"/>
  <c r="CS11" i="12"/>
  <c r="CL11" i="12"/>
  <c r="CH11" i="12"/>
  <c r="CI11" i="12"/>
  <c r="CJ11" i="12"/>
  <c r="CG11" i="12"/>
  <c r="CC11" i="12"/>
  <c r="CD11" i="12"/>
  <c r="CE11" i="12"/>
  <c r="CB11" i="12"/>
  <c r="BS11" i="12"/>
  <c r="BT11" i="12"/>
  <c r="BU11" i="12"/>
  <c r="BV11" i="12"/>
  <c r="BW11" i="12"/>
  <c r="BX11" i="12"/>
  <c r="BY11" i="12"/>
  <c r="BR11" i="12"/>
  <c r="BJ11" i="12"/>
  <c r="BK11" i="12"/>
  <c r="BL11" i="12"/>
  <c r="BM11" i="12"/>
  <c r="BN11" i="12"/>
  <c r="BO11" i="12"/>
  <c r="BP11" i="12"/>
  <c r="BI11" i="12"/>
  <c r="BA11" i="12"/>
  <c r="BB11" i="12"/>
  <c r="BC11" i="12"/>
  <c r="BD11" i="12"/>
  <c r="BE11" i="12"/>
  <c r="BF11" i="12"/>
  <c r="BG11" i="12"/>
  <c r="AZ11" i="12"/>
  <c r="AV11" i="12"/>
  <c r="AW11" i="12"/>
  <c r="AX11" i="12"/>
  <c r="AQ11" i="12"/>
  <c r="AR11" i="12"/>
  <c r="AS11" i="12"/>
  <c r="AU11" i="12"/>
  <c r="AP11" i="12"/>
  <c r="AG11" i="12"/>
  <c r="AH11" i="12"/>
  <c r="AI11" i="12"/>
  <c r="AJ11" i="12"/>
  <c r="AK11" i="12"/>
  <c r="AL11" i="12"/>
  <c r="AM11" i="12"/>
  <c r="AF11" i="12"/>
  <c r="X11" i="12"/>
  <c r="Y11" i="12"/>
  <c r="Z11" i="12"/>
  <c r="AA11" i="12"/>
  <c r="AB11" i="12"/>
  <c r="AC11" i="12"/>
  <c r="AD11" i="12"/>
  <c r="W11" i="12"/>
  <c r="O11" i="12"/>
  <c r="P11" i="12"/>
  <c r="Q11" i="12"/>
  <c r="R11" i="12"/>
  <c r="S11" i="12"/>
  <c r="T11" i="12"/>
  <c r="U11" i="12"/>
  <c r="N11" i="12"/>
  <c r="J11" i="12"/>
  <c r="K11" i="12"/>
  <c r="L11" i="12"/>
  <c r="I11" i="12"/>
  <c r="E11" i="12"/>
  <c r="F11" i="12"/>
  <c r="G11" i="12"/>
  <c r="D11" i="12"/>
  <c r="DE10" i="12"/>
  <c r="DF10" i="12"/>
  <c r="DG10" i="12"/>
  <c r="DH10" i="12"/>
  <c r="DI10" i="12"/>
  <c r="DJ10" i="12"/>
  <c r="DK10" i="12"/>
  <c r="DD10" i="12"/>
  <c r="CV10" i="12"/>
  <c r="CW10" i="12"/>
  <c r="CX10" i="12"/>
  <c r="CY10" i="12"/>
  <c r="CZ10" i="12"/>
  <c r="DA10" i="12"/>
  <c r="DB10" i="12"/>
  <c r="CU10" i="12"/>
  <c r="CM10" i="12"/>
  <c r="CN10" i="12"/>
  <c r="CO10" i="12"/>
  <c r="CP10" i="12"/>
  <c r="CQ10" i="12"/>
  <c r="CR10" i="12"/>
  <c r="CS10" i="12"/>
  <c r="CL10" i="12"/>
  <c r="CH10" i="12"/>
  <c r="CI10" i="12"/>
  <c r="CJ10" i="12"/>
  <c r="CG10" i="12"/>
  <c r="CC10" i="12"/>
  <c r="CD10" i="12"/>
  <c r="CE10" i="12"/>
  <c r="CB10" i="12"/>
  <c r="BS10" i="12"/>
  <c r="BT10" i="12"/>
  <c r="BU10" i="12"/>
  <c r="BV10" i="12"/>
  <c r="BW10" i="12"/>
  <c r="BX10" i="12"/>
  <c r="BY10" i="12"/>
  <c r="BR10" i="12"/>
  <c r="BJ10" i="12"/>
  <c r="BK10" i="12"/>
  <c r="BL10" i="12"/>
  <c r="BM10" i="12"/>
  <c r="BN10" i="12"/>
  <c r="BO10" i="12"/>
  <c r="BP10" i="12"/>
  <c r="BI10" i="12"/>
  <c r="BA10" i="12"/>
  <c r="BB10" i="12"/>
  <c r="BC10" i="12"/>
  <c r="BD10" i="12"/>
  <c r="BE10" i="12"/>
  <c r="BF10" i="12"/>
  <c r="BG10" i="12"/>
  <c r="AZ10" i="12"/>
  <c r="AV10" i="12"/>
  <c r="AW10" i="12"/>
  <c r="AX10" i="12"/>
  <c r="AU10" i="12"/>
  <c r="AQ10" i="12"/>
  <c r="AR10" i="12"/>
  <c r="AS10" i="12"/>
  <c r="AP10" i="12"/>
  <c r="AG10" i="12"/>
  <c r="AH10" i="12"/>
  <c r="AI10" i="12"/>
  <c r="AJ10" i="12"/>
  <c r="AK10" i="12"/>
  <c r="AL10" i="12"/>
  <c r="AM10" i="12"/>
  <c r="AF10" i="12"/>
  <c r="X10" i="12"/>
  <c r="Y10" i="12"/>
  <c r="Z10" i="12"/>
  <c r="AA10" i="12"/>
  <c r="AB10" i="12"/>
  <c r="AC10" i="12"/>
  <c r="AD10" i="12"/>
  <c r="W10" i="12"/>
  <c r="O10" i="12"/>
  <c r="P10" i="12"/>
  <c r="Q10" i="12"/>
  <c r="R10" i="12"/>
  <c r="S10" i="12"/>
  <c r="T10" i="12"/>
  <c r="U10" i="12"/>
  <c r="N10" i="12"/>
  <c r="J10" i="12"/>
  <c r="K10" i="12"/>
  <c r="L10" i="12"/>
  <c r="I10" i="12"/>
  <c r="F10" i="12"/>
  <c r="G10" i="12"/>
  <c r="E10" i="12"/>
  <c r="D10" i="12"/>
  <c r="A8" i="12"/>
  <c r="D7" i="12"/>
  <c r="A9" i="12"/>
  <c r="A7" i="12"/>
  <c r="A6" i="12"/>
  <c r="A5" i="12"/>
  <c r="C4" i="12"/>
  <c r="A4" i="12"/>
  <c r="A3" i="12"/>
  <c r="A2" i="12"/>
  <c r="I4" i="6"/>
  <c r="G4" i="6"/>
  <c r="I2" i="6"/>
  <c r="G2" i="6"/>
  <c r="DS83" i="2"/>
  <c r="DS82" i="2"/>
  <c r="DS81" i="2"/>
  <c r="DS80" i="2"/>
  <c r="DS79" i="2"/>
  <c r="DS78" i="2"/>
  <c r="DS77" i="2"/>
  <c r="DS76" i="2"/>
  <c r="DS75" i="2"/>
  <c r="DS74" i="2"/>
  <c r="DS73" i="2"/>
  <c r="DS72" i="2"/>
  <c r="DS71" i="2"/>
  <c r="DS70" i="2"/>
  <c r="DS69" i="2"/>
  <c r="DS68" i="2"/>
  <c r="DS67" i="2"/>
  <c r="DS66" i="2"/>
  <c r="DS65" i="2"/>
  <c r="DS64" i="2"/>
  <c r="DS63" i="2"/>
  <c r="DS62" i="2"/>
  <c r="DS61" i="2"/>
  <c r="DS60" i="2"/>
  <c r="DS59" i="2"/>
  <c r="DS58" i="2"/>
  <c r="DS57" i="2"/>
  <c r="DS56" i="2"/>
  <c r="DS55" i="2"/>
  <c r="DS54" i="2"/>
  <c r="DS53" i="2"/>
  <c r="DS52" i="2"/>
  <c r="DS51" i="2"/>
  <c r="DS50" i="2"/>
  <c r="DS49" i="2"/>
  <c r="DS48" i="2"/>
  <c r="DS47" i="2"/>
  <c r="DS46" i="2"/>
  <c r="DS45" i="2"/>
  <c r="DS44" i="2"/>
  <c r="DS43" i="2"/>
  <c r="DS42" i="2"/>
  <c r="DS41" i="2"/>
  <c r="DS40" i="2"/>
  <c r="DS39" i="2"/>
  <c r="DS38" i="2"/>
  <c r="DS37" i="2"/>
  <c r="DS36" i="2"/>
  <c r="DS35" i="2"/>
  <c r="DS34" i="2"/>
  <c r="DS33" i="2"/>
  <c r="DS32" i="2"/>
  <c r="DS31" i="2"/>
  <c r="DS30" i="2"/>
  <c r="DS29" i="2"/>
  <c r="DS28" i="2"/>
  <c r="DS27" i="2"/>
  <c r="DS26" i="2"/>
  <c r="DS25" i="2"/>
  <c r="DS24" i="2"/>
  <c r="DS23" i="2"/>
  <c r="DS22" i="2"/>
  <c r="DS21" i="2"/>
  <c r="DS20" i="2"/>
  <c r="DS19" i="2"/>
  <c r="DS18" i="2"/>
  <c r="DS17" i="2"/>
  <c r="DS16" i="2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Y72" i="13" s="1"/>
  <c r="B73" i="13"/>
  <c r="Y73" i="13" s="1"/>
  <c r="B74" i="13"/>
  <c r="Y74" i="13" s="1"/>
  <c r="B5" i="13"/>
  <c r="ER15" i="12"/>
  <c r="C14" i="12"/>
  <c r="BI14" i="12" s="1"/>
  <c r="B14" i="12"/>
  <c r="DH27" i="2"/>
  <c r="DH26" i="2"/>
  <c r="DH25" i="2"/>
  <c r="DH24" i="2"/>
  <c r="DH23" i="2"/>
  <c r="DH22" i="2"/>
  <c r="DH21" i="2"/>
  <c r="DH20" i="2"/>
  <c r="DH19" i="2"/>
  <c r="DH18" i="2"/>
  <c r="DH17" i="2"/>
  <c r="H8" i="6"/>
  <c r="X72" i="13" l="1"/>
  <c r="Z72" i="13" s="1"/>
  <c r="AR14" i="12"/>
  <c r="AV14" i="12"/>
  <c r="DV15" i="12"/>
  <c r="BJ14" i="12"/>
  <c r="BE14" i="12"/>
  <c r="F6" i="13"/>
  <c r="AX14" i="12"/>
  <c r="BF14" i="12"/>
  <c r="BN14" i="12"/>
  <c r="CH14" i="12"/>
  <c r="AS14" i="12"/>
  <c r="AP14" i="12"/>
  <c r="CI14" i="12"/>
  <c r="DG14" i="12"/>
  <c r="AU14" i="12"/>
  <c r="AZ14" i="12"/>
  <c r="ER14" i="12"/>
  <c r="F5" i="13" s="1"/>
  <c r="EO14" i="12"/>
  <c r="CV14" i="12"/>
  <c r="BT14" i="12"/>
  <c r="CS14" i="12"/>
  <c r="BS14" i="12"/>
  <c r="ES14" i="12"/>
  <c r="EQ14" i="12"/>
  <c r="BM14" i="12"/>
  <c r="BA14" i="12"/>
  <c r="AW14" i="12"/>
  <c r="AQ14" i="12"/>
  <c r="EQ15" i="12"/>
  <c r="ES15" i="12"/>
  <c r="EP14" i="12"/>
  <c r="EP15" i="12"/>
  <c r="Z74" i="13"/>
  <c r="R73" i="13"/>
  <c r="R69" i="13"/>
  <c r="R65" i="13"/>
  <c r="R61" i="13"/>
  <c r="R57" i="13"/>
  <c r="R53" i="13"/>
  <c r="R49" i="13"/>
  <c r="R45" i="13"/>
  <c r="R41" i="13"/>
  <c r="R37" i="13"/>
  <c r="R33" i="13"/>
  <c r="R29" i="13"/>
  <c r="R25" i="13"/>
  <c r="R21" i="13"/>
  <c r="R17" i="13"/>
  <c r="R13" i="13"/>
  <c r="R9" i="13"/>
  <c r="R5" i="13"/>
  <c r="R63" i="13"/>
  <c r="R59" i="13"/>
  <c r="R55" i="13"/>
  <c r="R51" i="13"/>
  <c r="R47" i="13"/>
  <c r="R43" i="13"/>
  <c r="R39" i="13"/>
  <c r="R35" i="13"/>
  <c r="R31" i="13"/>
  <c r="R27" i="13"/>
  <c r="R23" i="13"/>
  <c r="R19" i="13"/>
  <c r="R15" i="13"/>
  <c r="R11" i="13"/>
  <c r="R7" i="13"/>
  <c r="R74" i="13"/>
  <c r="R70" i="13"/>
  <c r="R66" i="13"/>
  <c r="R62" i="13"/>
  <c r="R58" i="13"/>
  <c r="R54" i="13"/>
  <c r="R50" i="13"/>
  <c r="R46" i="13"/>
  <c r="R42" i="13"/>
  <c r="R38" i="13"/>
  <c r="R34" i="13"/>
  <c r="R30" i="13"/>
  <c r="R26" i="13"/>
  <c r="R22" i="13"/>
  <c r="R18" i="13"/>
  <c r="R14" i="13"/>
  <c r="R10" i="13"/>
  <c r="R6" i="13"/>
  <c r="R72" i="13"/>
  <c r="R68" i="13"/>
  <c r="R64" i="13"/>
  <c r="R60" i="13"/>
  <c r="R56" i="13"/>
  <c r="R52" i="13"/>
  <c r="R48" i="13"/>
  <c r="R44" i="13"/>
  <c r="R40" i="13"/>
  <c r="R36" i="13"/>
  <c r="R32" i="13"/>
  <c r="R28" i="13"/>
  <c r="R24" i="13"/>
  <c r="R20" i="13"/>
  <c r="R16" i="13"/>
  <c r="R12" i="13"/>
  <c r="R8" i="13"/>
  <c r="Z73" i="13"/>
  <c r="R71" i="13"/>
  <c r="R67" i="13"/>
  <c r="DK14" i="12"/>
  <c r="DD14" i="12"/>
  <c r="CY14" i="12"/>
  <c r="CU14" i="12"/>
  <c r="CP14" i="12"/>
  <c r="CL14" i="12"/>
  <c r="CG14" i="12"/>
  <c r="CB14" i="12"/>
  <c r="DV14" i="12"/>
  <c r="CX14" i="12"/>
  <c r="CR14" i="12"/>
  <c r="CM14" i="12"/>
  <c r="CE14" i="12"/>
  <c r="BV14" i="12"/>
  <c r="BR14" i="12"/>
  <c r="BP14" i="12"/>
  <c r="BL14" i="12"/>
  <c r="BD14" i="12"/>
  <c r="DH14" i="12"/>
  <c r="DB14" i="12"/>
  <c r="CW14" i="12"/>
  <c r="CQ14" i="12"/>
  <c r="CJ14" i="12"/>
  <c r="CD14" i="12"/>
  <c r="BU14" i="12"/>
  <c r="BO14" i="12"/>
  <c r="BK14" i="12"/>
  <c r="BG14" i="12"/>
  <c r="BC14" i="12"/>
  <c r="BB14" i="12"/>
  <c r="BW14" i="12"/>
  <c r="BY14" i="12"/>
  <c r="CN14" i="12"/>
  <c r="CZ14" i="12"/>
  <c r="BX14" i="12"/>
  <c r="CC14" i="12"/>
  <c r="CO14" i="12"/>
  <c r="DA14" i="12"/>
  <c r="DJ14" i="12"/>
  <c r="DF14" i="12"/>
  <c r="DI14" i="12"/>
  <c r="DE14" i="12"/>
  <c r="EM15" i="12"/>
  <c r="EM14" i="12"/>
  <c r="EN14" i="12"/>
  <c r="CN15" i="12"/>
  <c r="EO15" i="12"/>
  <c r="EN15" i="12"/>
  <c r="AV15" i="12"/>
  <c r="BC15" i="12"/>
  <c r="AS15" i="12"/>
  <c r="CZ15" i="12"/>
  <c r="BG15" i="12"/>
  <c r="AR15" i="12"/>
  <c r="AU15" i="12"/>
  <c r="BB15" i="12"/>
  <c r="BF15" i="12"/>
  <c r="BP15" i="12"/>
  <c r="BW15" i="12"/>
  <c r="CD15" i="12"/>
  <c r="DG15" i="12"/>
  <c r="DK15" i="12"/>
  <c r="DD15" i="12"/>
  <c r="DH15" i="12"/>
  <c r="CX15" i="12"/>
  <c r="DB15" i="12"/>
  <c r="CO15" i="12"/>
  <c r="CS15" i="12"/>
  <c r="DE15" i="12"/>
  <c r="DI15" i="12"/>
  <c r="CU15" i="12"/>
  <c r="CY15" i="12"/>
  <c r="CL15" i="12"/>
  <c r="CP15" i="12"/>
  <c r="DA15" i="12"/>
  <c r="CQ15" i="12"/>
  <c r="CG15" i="12"/>
  <c r="DF15" i="12"/>
  <c r="CV15" i="12"/>
  <c r="CR15" i="12"/>
  <c r="CH15" i="12"/>
  <c r="DJ15" i="12"/>
  <c r="CW15" i="12"/>
  <c r="CM15" i="12"/>
  <c r="CI15" i="12"/>
  <c r="CE15" i="12"/>
  <c r="BT15" i="12"/>
  <c r="BX15" i="12"/>
  <c r="BI15" i="12"/>
  <c r="BM15" i="12"/>
  <c r="CB15" i="12"/>
  <c r="BU15" i="12"/>
  <c r="BY15" i="12"/>
  <c r="BJ15" i="12"/>
  <c r="BN15" i="12"/>
  <c r="CC15" i="12"/>
  <c r="BR15" i="12"/>
  <c r="BV15" i="12"/>
  <c r="BK15" i="12"/>
  <c r="BO15" i="12"/>
  <c r="AQ15" i="12"/>
  <c r="AX15" i="12"/>
  <c r="BA15" i="12"/>
  <c r="BE15" i="12"/>
  <c r="BL15" i="12"/>
  <c r="BS15" i="12"/>
  <c r="AF15" i="12"/>
  <c r="AG15" i="12"/>
  <c r="AP15" i="12"/>
  <c r="AW15" i="12"/>
  <c r="AZ15" i="12"/>
  <c r="BD15" i="12"/>
  <c r="CJ15" i="12"/>
  <c r="AK15" i="12"/>
  <c r="AL15" i="12"/>
  <c r="AM15" i="12"/>
  <c r="AM14" i="12"/>
  <c r="AL14" i="12"/>
  <c r="AK14" i="12"/>
  <c r="AJ15" i="12"/>
  <c r="AJ14" i="12"/>
  <c r="AH15" i="12"/>
  <c r="AI15" i="12"/>
  <c r="AI14" i="12"/>
  <c r="AH14" i="12"/>
  <c r="AG14" i="12"/>
  <c r="AF14" i="12"/>
  <c r="AB15" i="12"/>
  <c r="AC15" i="12"/>
  <c r="AD15" i="12"/>
  <c r="AD14" i="12"/>
  <c r="AC14" i="12"/>
  <c r="AB14" i="12"/>
  <c r="AA15" i="12"/>
  <c r="AA14" i="12"/>
  <c r="Z15" i="12"/>
  <c r="Z14" i="12"/>
  <c r="Y15" i="12"/>
  <c r="Y14" i="12"/>
  <c r="X15" i="12"/>
  <c r="X14" i="12"/>
  <c r="W15" i="12"/>
  <c r="W14" i="12"/>
  <c r="O36" i="13" l="1"/>
  <c r="O48" i="13"/>
  <c r="G6" i="13"/>
  <c r="M6" i="13" s="1"/>
  <c r="O6" i="13"/>
  <c r="O54" i="13"/>
  <c r="O67" i="13"/>
  <c r="O59" i="13"/>
  <c r="O52" i="13"/>
  <c r="O10" i="13"/>
  <c r="O58" i="13"/>
  <c r="O39" i="13"/>
  <c r="O8" i="13"/>
  <c r="O56" i="13"/>
  <c r="O14" i="13"/>
  <c r="O62" i="13"/>
  <c r="O51" i="13"/>
  <c r="O68" i="13"/>
  <c r="O20" i="13"/>
  <c r="O26" i="13"/>
  <c r="O74" i="13"/>
  <c r="O27" i="13"/>
  <c r="O35" i="13"/>
  <c r="O11" i="13"/>
  <c r="O19" i="13"/>
  <c r="O38" i="13"/>
  <c r="O15" i="13"/>
  <c r="O42" i="13"/>
  <c r="O7" i="13"/>
  <c r="O47" i="13"/>
  <c r="O55" i="13"/>
  <c r="O63" i="13"/>
  <c r="O44" i="13"/>
  <c r="O50" i="13"/>
  <c r="O23" i="13"/>
  <c r="O71" i="13"/>
  <c r="O12" i="13"/>
  <c r="O18" i="13"/>
  <c r="O66" i="13"/>
  <c r="O43" i="13"/>
  <c r="O16" i="13"/>
  <c r="O24" i="13"/>
  <c r="O30" i="13"/>
  <c r="G5" i="13"/>
  <c r="M5" i="13" s="1"/>
  <c r="O5" i="13"/>
  <c r="O32" i="13"/>
  <c r="O40" i="13"/>
  <c r="O46" i="13"/>
  <c r="O64" i="13"/>
  <c r="O22" i="13"/>
  <c r="O70" i="13"/>
  <c r="O28" i="13"/>
  <c r="O34" i="13"/>
  <c r="O31" i="13"/>
  <c r="ET15" i="12"/>
  <c r="ET14" i="12"/>
  <c r="AY15" i="12"/>
  <c r="BZ15" i="12"/>
  <c r="BH15" i="12"/>
  <c r="AT15" i="12"/>
  <c r="BQ15" i="12"/>
  <c r="CK15" i="12"/>
  <c r="CT15" i="12"/>
  <c r="DL15" i="12"/>
  <c r="DC15" i="12"/>
  <c r="CF15" i="12"/>
  <c r="AE15" i="12"/>
  <c r="AN15" i="12"/>
  <c r="U15" i="12"/>
  <c r="T15" i="12"/>
  <c r="S15" i="12"/>
  <c r="R15" i="12"/>
  <c r="Q15" i="12"/>
  <c r="P15" i="12"/>
  <c r="U14" i="12"/>
  <c r="T14" i="12"/>
  <c r="S14" i="12"/>
  <c r="R14" i="12"/>
  <c r="Q14" i="12"/>
  <c r="P14" i="12"/>
  <c r="O15" i="12"/>
  <c r="O14" i="12"/>
  <c r="N15" i="12"/>
  <c r="N14" i="12"/>
  <c r="L15" i="12"/>
  <c r="L14" i="12"/>
  <c r="K15" i="12"/>
  <c r="K14" i="12"/>
  <c r="J15" i="12"/>
  <c r="J14" i="12"/>
  <c r="I15" i="12"/>
  <c r="I14" i="12"/>
  <c r="G14" i="12"/>
  <c r="G15" i="12"/>
  <c r="F15" i="12"/>
  <c r="F14" i="12"/>
  <c r="E15" i="12"/>
  <c r="E14" i="12"/>
  <c r="D15" i="12"/>
  <c r="D14" i="12"/>
  <c r="K83" i="3"/>
  <c r="K82" i="3"/>
  <c r="K84" i="3" s="1"/>
  <c r="Z4" i="13"/>
  <c r="Z3" i="13"/>
  <c r="R4" i="13"/>
  <c r="R3" i="13"/>
  <c r="DM15" i="12" l="1"/>
  <c r="DP15" i="12" s="1"/>
  <c r="CA15" i="12"/>
  <c r="DO15" i="12" s="1"/>
  <c r="H15" i="12"/>
  <c r="M15" i="12"/>
  <c r="V15" i="12"/>
  <c r="M4" i="13"/>
  <c r="M3" i="13"/>
  <c r="DW13" i="12"/>
  <c r="ET13" i="12"/>
  <c r="H174" i="6"/>
  <c r="AD36" i="5"/>
  <c r="D170" i="6"/>
  <c r="F170" i="6"/>
  <c r="G170" i="6"/>
  <c r="D171" i="6"/>
  <c r="F171" i="6"/>
  <c r="G171" i="6"/>
  <c r="D172" i="6"/>
  <c r="E172" i="6"/>
  <c r="F172" i="6"/>
  <c r="D173" i="6"/>
  <c r="E173" i="6"/>
  <c r="F173" i="6"/>
  <c r="G173" i="6"/>
  <c r="D80" i="6"/>
  <c r="E80" i="6"/>
  <c r="F80" i="6"/>
  <c r="G80" i="6"/>
  <c r="D81" i="6"/>
  <c r="E81" i="6"/>
  <c r="F81" i="6"/>
  <c r="G81" i="6"/>
  <c r="D82" i="6"/>
  <c r="F82" i="6"/>
  <c r="G82" i="6"/>
  <c r="D83" i="6"/>
  <c r="F83" i="6"/>
  <c r="G83" i="6"/>
  <c r="D84" i="6"/>
  <c r="E84" i="6"/>
  <c r="F84" i="6"/>
  <c r="G84" i="6"/>
  <c r="D85" i="6"/>
  <c r="E85" i="6"/>
  <c r="F85" i="6"/>
  <c r="G85" i="6"/>
  <c r="D86" i="6"/>
  <c r="F86" i="6"/>
  <c r="G86" i="6"/>
  <c r="D87" i="6"/>
  <c r="F87" i="6"/>
  <c r="G87" i="6"/>
  <c r="D88" i="6"/>
  <c r="E88" i="6"/>
  <c r="F88" i="6"/>
  <c r="G88" i="6"/>
  <c r="D89" i="6"/>
  <c r="E89" i="6"/>
  <c r="F89" i="6"/>
  <c r="G89" i="6"/>
  <c r="D90" i="6"/>
  <c r="F90" i="6"/>
  <c r="G90" i="6"/>
  <c r="D91" i="6"/>
  <c r="E91" i="6"/>
  <c r="F91" i="6"/>
  <c r="G91" i="6"/>
  <c r="D92" i="6"/>
  <c r="E92" i="6"/>
  <c r="F92" i="6"/>
  <c r="G92" i="6"/>
  <c r="D93" i="6"/>
  <c r="E93" i="6"/>
  <c r="F93" i="6"/>
  <c r="G93" i="6"/>
  <c r="D94" i="6"/>
  <c r="F94" i="6"/>
  <c r="G94" i="6"/>
  <c r="D95" i="6"/>
  <c r="E95" i="6"/>
  <c r="F95" i="6"/>
  <c r="G95" i="6"/>
  <c r="D96" i="6"/>
  <c r="E96" i="6"/>
  <c r="F96" i="6"/>
  <c r="G96" i="6"/>
  <c r="D97" i="6"/>
  <c r="E97" i="6"/>
  <c r="F97" i="6"/>
  <c r="G97" i="6"/>
  <c r="D98" i="6"/>
  <c r="E98" i="6"/>
  <c r="G98" i="6"/>
  <c r="D99" i="6"/>
  <c r="E99" i="6"/>
  <c r="F99" i="6"/>
  <c r="G99" i="6"/>
  <c r="D100" i="6"/>
  <c r="E100" i="6"/>
  <c r="F100" i="6"/>
  <c r="G100" i="6"/>
  <c r="D101" i="6"/>
  <c r="E101" i="6"/>
  <c r="F101" i="6"/>
  <c r="G101" i="6"/>
  <c r="D102" i="6"/>
  <c r="E102" i="6"/>
  <c r="G102" i="6"/>
  <c r="D103" i="6"/>
  <c r="E103" i="6"/>
  <c r="F103" i="6"/>
  <c r="G103" i="6"/>
  <c r="D104" i="6"/>
  <c r="E104" i="6"/>
  <c r="F104" i="6"/>
  <c r="G104" i="6"/>
  <c r="D105" i="6"/>
  <c r="E105" i="6"/>
  <c r="F105" i="6"/>
  <c r="G105" i="6"/>
  <c r="E106" i="6"/>
  <c r="F106" i="6"/>
  <c r="G106" i="6"/>
  <c r="E107" i="6"/>
  <c r="F107" i="6"/>
  <c r="G107" i="6"/>
  <c r="D108" i="6"/>
  <c r="E108" i="6"/>
  <c r="F108" i="6"/>
  <c r="G108" i="6"/>
  <c r="D109" i="6"/>
  <c r="E109" i="6"/>
  <c r="F109" i="6"/>
  <c r="G109" i="6"/>
  <c r="D110" i="6"/>
  <c r="F110" i="6"/>
  <c r="G110" i="6"/>
  <c r="D111" i="6"/>
  <c r="F111" i="6"/>
  <c r="G111" i="6"/>
  <c r="D112" i="6"/>
  <c r="E112" i="6"/>
  <c r="F112" i="6"/>
  <c r="G112" i="6"/>
  <c r="D113" i="6"/>
  <c r="E113" i="6"/>
  <c r="F113" i="6"/>
  <c r="G113" i="6"/>
  <c r="D114" i="6"/>
  <c r="F114" i="6"/>
  <c r="G114" i="6"/>
  <c r="D115" i="6"/>
  <c r="E115" i="6"/>
  <c r="F115" i="6"/>
  <c r="G115" i="6"/>
  <c r="D116" i="6"/>
  <c r="E116" i="6"/>
  <c r="F116" i="6"/>
  <c r="G116" i="6"/>
  <c r="D117" i="6"/>
  <c r="E117" i="6"/>
  <c r="F117" i="6"/>
  <c r="G117" i="6"/>
  <c r="D118" i="6"/>
  <c r="F118" i="6"/>
  <c r="G118" i="6"/>
  <c r="D119" i="6"/>
  <c r="E119" i="6"/>
  <c r="F119" i="6"/>
  <c r="G119" i="6"/>
  <c r="D120" i="6"/>
  <c r="E120" i="6"/>
  <c r="F120" i="6"/>
  <c r="G120" i="6"/>
  <c r="D121" i="6"/>
  <c r="E121" i="6"/>
  <c r="F121" i="6"/>
  <c r="G121" i="6"/>
  <c r="D122" i="6"/>
  <c r="F122" i="6"/>
  <c r="G122" i="6"/>
  <c r="D123" i="6"/>
  <c r="E123" i="6"/>
  <c r="F123" i="6"/>
  <c r="G123" i="6"/>
  <c r="D124" i="6"/>
  <c r="E124" i="6"/>
  <c r="F124" i="6"/>
  <c r="G124" i="6"/>
  <c r="D125" i="6"/>
  <c r="E125" i="6"/>
  <c r="F125" i="6"/>
  <c r="G125" i="6"/>
  <c r="D126" i="6"/>
  <c r="F126" i="6"/>
  <c r="G126" i="6"/>
  <c r="D127" i="6"/>
  <c r="E127" i="6"/>
  <c r="F127" i="6"/>
  <c r="G127" i="6"/>
  <c r="D128" i="6"/>
  <c r="E128" i="6"/>
  <c r="F128" i="6"/>
  <c r="G128" i="6"/>
  <c r="D129" i="6"/>
  <c r="E129" i="6"/>
  <c r="F129" i="6"/>
  <c r="G129" i="6"/>
  <c r="D130" i="6"/>
  <c r="F130" i="6"/>
  <c r="G130" i="6"/>
  <c r="D131" i="6"/>
  <c r="E131" i="6"/>
  <c r="F131" i="6"/>
  <c r="G131" i="6"/>
  <c r="D132" i="6"/>
  <c r="E132" i="6"/>
  <c r="F132" i="6"/>
  <c r="G132" i="6"/>
  <c r="D133" i="6"/>
  <c r="E133" i="6"/>
  <c r="F133" i="6"/>
  <c r="G133" i="6"/>
  <c r="D134" i="6"/>
  <c r="F134" i="6"/>
  <c r="G134" i="6"/>
  <c r="D135" i="6"/>
  <c r="E135" i="6"/>
  <c r="F135" i="6"/>
  <c r="G135" i="6"/>
  <c r="D136" i="6"/>
  <c r="E136" i="6"/>
  <c r="F136" i="6"/>
  <c r="G136" i="6"/>
  <c r="D137" i="6"/>
  <c r="E137" i="6"/>
  <c r="F137" i="6"/>
  <c r="G137" i="6"/>
  <c r="E138" i="6"/>
  <c r="F138" i="6"/>
  <c r="G138" i="6"/>
  <c r="E139" i="6"/>
  <c r="F139" i="6"/>
  <c r="G139" i="6"/>
  <c r="D140" i="6"/>
  <c r="E140" i="6"/>
  <c r="F140" i="6"/>
  <c r="G140" i="6"/>
  <c r="D141" i="6"/>
  <c r="E141" i="6"/>
  <c r="F141" i="6"/>
  <c r="G141" i="6"/>
  <c r="D142" i="6"/>
  <c r="F142" i="6"/>
  <c r="G142" i="6"/>
  <c r="D143" i="6"/>
  <c r="F143" i="6"/>
  <c r="G143" i="6"/>
  <c r="D144" i="6"/>
  <c r="E144" i="6"/>
  <c r="F144" i="6"/>
  <c r="G144" i="6"/>
  <c r="D145" i="6"/>
  <c r="E145" i="6"/>
  <c r="F145" i="6"/>
  <c r="G145" i="6"/>
  <c r="D146" i="6"/>
  <c r="E146" i="6"/>
  <c r="G146" i="6"/>
  <c r="D147" i="6"/>
  <c r="E147" i="6"/>
  <c r="F147" i="6"/>
  <c r="G147" i="6"/>
  <c r="D148" i="6"/>
  <c r="E148" i="6"/>
  <c r="F148" i="6"/>
  <c r="G148" i="6"/>
  <c r="D149" i="6"/>
  <c r="E149" i="6"/>
  <c r="F149" i="6"/>
  <c r="G149" i="6"/>
  <c r="D150" i="6"/>
  <c r="E150" i="6"/>
  <c r="G150" i="6"/>
  <c r="D151" i="6"/>
  <c r="E151" i="6"/>
  <c r="F151" i="6"/>
  <c r="G151" i="6"/>
  <c r="D152" i="6"/>
  <c r="E152" i="6"/>
  <c r="F152" i="6"/>
  <c r="G152" i="6"/>
  <c r="D153" i="6"/>
  <c r="E153" i="6"/>
  <c r="F153" i="6"/>
  <c r="G153" i="6"/>
  <c r="D154" i="6"/>
  <c r="E154" i="6"/>
  <c r="G154" i="6"/>
  <c r="D155" i="6"/>
  <c r="E155" i="6"/>
  <c r="F155" i="6"/>
  <c r="G155" i="6"/>
  <c r="D156" i="6"/>
  <c r="E156" i="6"/>
  <c r="F156" i="6"/>
  <c r="G156" i="6"/>
  <c r="D157" i="6"/>
  <c r="E157" i="6"/>
  <c r="F157" i="6"/>
  <c r="G157" i="6"/>
  <c r="D158" i="6"/>
  <c r="E158" i="6"/>
  <c r="G158" i="6"/>
  <c r="D159" i="6"/>
  <c r="E159" i="6"/>
  <c r="F159" i="6"/>
  <c r="G159" i="6"/>
  <c r="D160" i="6"/>
  <c r="E160" i="6"/>
  <c r="F160" i="6"/>
  <c r="G160" i="6"/>
  <c r="D161" i="6"/>
  <c r="E161" i="6"/>
  <c r="F161" i="6"/>
  <c r="G161" i="6"/>
  <c r="D162" i="6"/>
  <c r="E162" i="6"/>
  <c r="G162" i="6"/>
  <c r="D163" i="6"/>
  <c r="E163" i="6"/>
  <c r="F163" i="6"/>
  <c r="G163" i="6"/>
  <c r="D164" i="6"/>
  <c r="E164" i="6"/>
  <c r="F164" i="6"/>
  <c r="G164" i="6"/>
  <c r="D165" i="6"/>
  <c r="E165" i="6"/>
  <c r="F165" i="6"/>
  <c r="G165" i="6"/>
  <c r="D166" i="6"/>
  <c r="E166" i="6"/>
  <c r="G166" i="6"/>
  <c r="D167" i="6"/>
  <c r="E167" i="6"/>
  <c r="F167" i="6"/>
  <c r="G167" i="6"/>
  <c r="D168" i="6"/>
  <c r="E168" i="6"/>
  <c r="F168" i="6"/>
  <c r="G168" i="6"/>
  <c r="D169" i="6"/>
  <c r="E169" i="6"/>
  <c r="F169" i="6"/>
  <c r="G169" i="6"/>
  <c r="D77" i="6"/>
  <c r="E77" i="6"/>
  <c r="F77" i="6"/>
  <c r="G77" i="6"/>
  <c r="D78" i="6"/>
  <c r="F78" i="6"/>
  <c r="G78" i="6"/>
  <c r="D79" i="6"/>
  <c r="F79" i="6"/>
  <c r="G79" i="6"/>
  <c r="E75" i="6"/>
  <c r="F75" i="6"/>
  <c r="G75" i="6"/>
  <c r="D76" i="6"/>
  <c r="E76" i="6"/>
  <c r="F76" i="6"/>
  <c r="G76" i="6"/>
  <c r="E51" i="6"/>
  <c r="F51" i="6"/>
  <c r="G51" i="6"/>
  <c r="H51" i="6"/>
  <c r="I51" i="6"/>
  <c r="J51" i="6"/>
  <c r="K51" i="6"/>
  <c r="L51" i="6"/>
  <c r="DJ16" i="2"/>
  <c r="DJ15" i="2"/>
  <c r="DI15" i="2"/>
  <c r="DH15" i="2"/>
  <c r="DG15" i="2"/>
  <c r="D84" i="2"/>
  <c r="EG13" i="12"/>
  <c r="EC13" i="12"/>
  <c r="DL14" i="12"/>
  <c r="DL13" i="12"/>
  <c r="DC14" i="12"/>
  <c r="DC13" i="12"/>
  <c r="CT14" i="12"/>
  <c r="CT13" i="12"/>
  <c r="CK14" i="12"/>
  <c r="CK13" i="12"/>
  <c r="CF14" i="12"/>
  <c r="CF13" i="12"/>
  <c r="BZ14" i="12"/>
  <c r="BZ13" i="12"/>
  <c r="BQ14" i="12"/>
  <c r="BQ13" i="12"/>
  <c r="BH14" i="12"/>
  <c r="BH13" i="12"/>
  <c r="AY14" i="12"/>
  <c r="AY13" i="12"/>
  <c r="AT14" i="12"/>
  <c r="AT13" i="12"/>
  <c r="M14" i="12"/>
  <c r="M13" i="12"/>
  <c r="H14" i="12"/>
  <c r="AN14" i="12"/>
  <c r="AE14" i="12"/>
  <c r="V14" i="12"/>
  <c r="AN13" i="12"/>
  <c r="AE13" i="12"/>
  <c r="V13" i="12"/>
  <c r="DS15" i="12" l="1"/>
  <c r="DR15" i="12"/>
  <c r="AO15" i="12"/>
  <c r="DN15" i="12" s="1"/>
  <c r="DM14" i="12"/>
  <c r="DP14" i="12" s="1"/>
  <c r="CA13" i="12"/>
  <c r="DO13" i="12" s="1"/>
  <c r="DR13" i="12" s="1"/>
  <c r="DM13" i="12"/>
  <c r="DP13" i="12" s="1"/>
  <c r="AO14" i="12"/>
  <c r="DN14" i="12" s="1"/>
  <c r="CA14" i="12"/>
  <c r="DO14" i="12" s="1"/>
  <c r="EH13" i="12"/>
  <c r="DH16" i="2" s="1"/>
  <c r="I115" i="6"/>
  <c r="I129" i="6"/>
  <c r="I95" i="6"/>
  <c r="I159" i="6"/>
  <c r="I135" i="6"/>
  <c r="I116" i="6"/>
  <c r="I91" i="6"/>
  <c r="I103" i="6"/>
  <c r="I167" i="6"/>
  <c r="I151" i="6"/>
  <c r="I121" i="6"/>
  <c r="I101" i="6"/>
  <c r="I163" i="6"/>
  <c r="I147" i="6"/>
  <c r="I97" i="6"/>
  <c r="I155" i="6"/>
  <c r="I125" i="6"/>
  <c r="I119" i="6"/>
  <c r="I92" i="6"/>
  <c r="I80" i="6"/>
  <c r="I77" i="6"/>
  <c r="I168" i="6"/>
  <c r="I128" i="6"/>
  <c r="I124" i="6"/>
  <c r="I120" i="6"/>
  <c r="I93" i="6"/>
  <c r="I88" i="6"/>
  <c r="I84" i="6"/>
  <c r="I76" i="6"/>
  <c r="I169" i="6"/>
  <c r="I165" i="6"/>
  <c r="I161" i="6"/>
  <c r="I157" i="6"/>
  <c r="I153" i="6"/>
  <c r="I149" i="6"/>
  <c r="I145" i="6"/>
  <c r="I141" i="6"/>
  <c r="I137" i="6"/>
  <c r="I133" i="6"/>
  <c r="I99" i="6"/>
  <c r="I89" i="6"/>
  <c r="I85" i="6"/>
  <c r="I81" i="6"/>
  <c r="I164" i="6"/>
  <c r="I160" i="6"/>
  <c r="I156" i="6"/>
  <c r="I152" i="6"/>
  <c r="I148" i="6"/>
  <c r="I144" i="6"/>
  <c r="I140" i="6"/>
  <c r="I136" i="6"/>
  <c r="I132" i="6"/>
  <c r="I117" i="6"/>
  <c r="I112" i="6"/>
  <c r="I108" i="6"/>
  <c r="I104" i="6"/>
  <c r="I100" i="6"/>
  <c r="I96" i="6"/>
  <c r="I131" i="6"/>
  <c r="I127" i="6"/>
  <c r="I123" i="6"/>
  <c r="I113" i="6"/>
  <c r="I109" i="6"/>
  <c r="I105" i="6"/>
  <c r="I173" i="6"/>
  <c r="EI13" i="12" l="1"/>
  <c r="DQ15" i="12"/>
  <c r="DT15" i="12" s="1"/>
  <c r="DS14" i="12"/>
  <c r="DR14" i="12"/>
  <c r="DQ14" i="12"/>
  <c r="H6" i="13" l="1"/>
  <c r="X6" i="13"/>
  <c r="DT14" i="12"/>
  <c r="D13" i="12"/>
  <c r="H13" i="12" s="1"/>
  <c r="AO13" i="12" s="1"/>
  <c r="DN13" i="12" s="1"/>
  <c r="H5" i="13" l="1"/>
  <c r="X5" i="13"/>
  <c r="DQ13" i="12"/>
  <c r="DS13" i="12"/>
  <c r="DT13" i="12" l="1"/>
  <c r="DX13" i="12" s="1"/>
  <c r="X102" i="5"/>
  <c r="W102" i="5"/>
  <c r="O85" i="7"/>
  <c r="N85" i="7"/>
  <c r="M85" i="7"/>
  <c r="L85" i="7"/>
  <c r="K85" i="7"/>
  <c r="J85" i="7"/>
  <c r="I85" i="7"/>
  <c r="H85" i="7"/>
  <c r="G85" i="7"/>
  <c r="F85" i="7"/>
  <c r="E85" i="7"/>
  <c r="D85" i="7"/>
  <c r="M80" i="7"/>
  <c r="L80" i="7"/>
  <c r="K80" i="7"/>
  <c r="J80" i="7"/>
  <c r="I80" i="7"/>
  <c r="CE75" i="7"/>
  <c r="CD75" i="7"/>
  <c r="CC75" i="7"/>
  <c r="CB75" i="7"/>
  <c r="CA75" i="7"/>
  <c r="BZ75" i="7"/>
  <c r="BY75" i="7"/>
  <c r="BX75" i="7"/>
  <c r="BW75" i="7"/>
  <c r="BV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E74" i="7"/>
  <c r="CE76" i="7" s="1"/>
  <c r="CD74" i="7"/>
  <c r="CD76" i="7" s="1"/>
  <c r="CC74" i="7"/>
  <c r="CC76" i="7" s="1"/>
  <c r="CB74" i="7"/>
  <c r="CB76" i="7" s="1"/>
  <c r="CA74" i="7"/>
  <c r="CA76" i="7" s="1"/>
  <c r="BZ74" i="7"/>
  <c r="BZ76" i="7" s="1"/>
  <c r="BY74" i="7"/>
  <c r="BY76" i="7" s="1"/>
  <c r="BX74" i="7"/>
  <c r="BX76" i="7" s="1"/>
  <c r="BW74" i="7"/>
  <c r="BW76" i="7" s="1"/>
  <c r="BV74" i="7"/>
  <c r="BV76" i="7" s="1"/>
  <c r="BU74" i="7"/>
  <c r="BU76" i="7" s="1"/>
  <c r="BT74" i="7"/>
  <c r="BT76" i="7" s="1"/>
  <c r="BS74" i="7"/>
  <c r="BS76" i="7" s="1"/>
  <c r="BR74" i="7"/>
  <c r="BR76" i="7" s="1"/>
  <c r="BQ74" i="7"/>
  <c r="BQ76" i="7" s="1"/>
  <c r="BP74" i="7"/>
  <c r="BP76" i="7" s="1"/>
  <c r="BO74" i="7"/>
  <c r="BO76" i="7" s="1"/>
  <c r="BN74" i="7"/>
  <c r="BN76" i="7" s="1"/>
  <c r="BM74" i="7"/>
  <c r="BM76" i="7" s="1"/>
  <c r="BL74" i="7"/>
  <c r="BL76" i="7" s="1"/>
  <c r="BK74" i="7"/>
  <c r="BK76" i="7" s="1"/>
  <c r="BJ74" i="7"/>
  <c r="BJ76" i="7" s="1"/>
  <c r="BI74" i="7"/>
  <c r="BI76" i="7" s="1"/>
  <c r="BH74" i="7"/>
  <c r="BH76" i="7" s="1"/>
  <c r="BG74" i="7"/>
  <c r="BG76" i="7" s="1"/>
  <c r="BF74" i="7"/>
  <c r="BF76" i="7" s="1"/>
  <c r="BE74" i="7"/>
  <c r="BE76" i="7" s="1"/>
  <c r="BD74" i="7"/>
  <c r="BD76" i="7" s="1"/>
  <c r="BC74" i="7"/>
  <c r="BC76" i="7" s="1"/>
  <c r="BB74" i="7"/>
  <c r="BB76" i="7" s="1"/>
  <c r="BA74" i="7"/>
  <c r="BA76" i="7" s="1"/>
  <c r="AZ74" i="7"/>
  <c r="AZ76" i="7" s="1"/>
  <c r="AY74" i="7"/>
  <c r="AY76" i="7" s="1"/>
  <c r="AX74" i="7"/>
  <c r="AX76" i="7" s="1"/>
  <c r="AW74" i="7"/>
  <c r="AW76" i="7" s="1"/>
  <c r="AV74" i="7"/>
  <c r="AV76" i="7" s="1"/>
  <c r="AU74" i="7"/>
  <c r="AU76" i="7" s="1"/>
  <c r="AT74" i="7"/>
  <c r="AT76" i="7" s="1"/>
  <c r="AS74" i="7"/>
  <c r="AS76" i="7" s="1"/>
  <c r="AR74" i="7"/>
  <c r="AR76" i="7" s="1"/>
  <c r="AQ74" i="7"/>
  <c r="AQ76" i="7" s="1"/>
  <c r="AP74" i="7"/>
  <c r="AP76" i="7" s="1"/>
  <c r="AO74" i="7"/>
  <c r="AO76" i="7" s="1"/>
  <c r="AN74" i="7"/>
  <c r="AN76" i="7" s="1"/>
  <c r="AM74" i="7"/>
  <c r="AM76" i="7" s="1"/>
  <c r="AL74" i="7"/>
  <c r="AL76" i="7" s="1"/>
  <c r="AK74" i="7"/>
  <c r="AK76" i="7" s="1"/>
  <c r="AJ74" i="7"/>
  <c r="AJ76" i="7" s="1"/>
  <c r="AI74" i="7"/>
  <c r="AI76" i="7" s="1"/>
  <c r="AH74" i="7"/>
  <c r="AH76" i="7" s="1"/>
  <c r="AG74" i="7"/>
  <c r="AG76" i="7" s="1"/>
  <c r="AF74" i="7"/>
  <c r="AF76" i="7" s="1"/>
  <c r="AE74" i="7"/>
  <c r="AE76" i="7" s="1"/>
  <c r="AD74" i="7"/>
  <c r="AD76" i="7" s="1"/>
  <c r="AC74" i="7"/>
  <c r="AC76" i="7" s="1"/>
  <c r="AB74" i="7"/>
  <c r="AB76" i="7" s="1"/>
  <c r="AA74" i="7"/>
  <c r="AA76" i="7" s="1"/>
  <c r="Z74" i="7"/>
  <c r="Z76" i="7" s="1"/>
  <c r="Y74" i="7"/>
  <c r="Y76" i="7" s="1"/>
  <c r="X74" i="7"/>
  <c r="X76" i="7" s="1"/>
  <c r="W74" i="7"/>
  <c r="W76" i="7" s="1"/>
  <c r="V74" i="7"/>
  <c r="V76" i="7" s="1"/>
  <c r="U74" i="7"/>
  <c r="U76" i="7" s="1"/>
  <c r="T74" i="7"/>
  <c r="T76" i="7" s="1"/>
  <c r="S74" i="7"/>
  <c r="S76" i="7" s="1"/>
  <c r="R74" i="7"/>
  <c r="R76" i="7" s="1"/>
  <c r="Q74" i="7"/>
  <c r="Q76" i="7" s="1"/>
  <c r="P74" i="7"/>
  <c r="P76" i="7" s="1"/>
  <c r="O74" i="7"/>
  <c r="O76" i="7" s="1"/>
  <c r="N74" i="7"/>
  <c r="N76" i="7" s="1"/>
  <c r="M74" i="7"/>
  <c r="M76" i="7" s="1"/>
  <c r="L74" i="7"/>
  <c r="L76" i="7" s="1"/>
  <c r="K74" i="7"/>
  <c r="K76" i="7" s="1"/>
  <c r="J74" i="7"/>
  <c r="J76" i="7" s="1"/>
  <c r="I74" i="7"/>
  <c r="I76" i="7" s="1"/>
  <c r="H74" i="7"/>
  <c r="H76" i="7" s="1"/>
  <c r="G74" i="7"/>
  <c r="G76" i="7" s="1"/>
  <c r="F74" i="7"/>
  <c r="F76" i="7" s="1"/>
  <c r="E74" i="7"/>
  <c r="E76" i="7" s="1"/>
  <c r="E80" i="7" s="1"/>
  <c r="D74" i="7"/>
  <c r="D76" i="7" s="1"/>
  <c r="O85" i="8"/>
  <c r="N85" i="8"/>
  <c r="M85" i="8"/>
  <c r="L85" i="8"/>
  <c r="K85" i="8"/>
  <c r="J85" i="8"/>
  <c r="I85" i="8"/>
  <c r="H85" i="8"/>
  <c r="G85" i="8"/>
  <c r="E85" i="8"/>
  <c r="M80" i="8"/>
  <c r="L80" i="8"/>
  <c r="K80" i="8"/>
  <c r="J80" i="8"/>
  <c r="I80" i="8"/>
  <c r="H80" i="8"/>
  <c r="G80" i="8"/>
  <c r="CE75" i="8"/>
  <c r="CD75" i="8"/>
  <c r="CC75" i="8"/>
  <c r="CB75" i="8"/>
  <c r="CA75" i="8"/>
  <c r="BZ75" i="8"/>
  <c r="BY75" i="8"/>
  <c r="BX75" i="8"/>
  <c r="BW75" i="8"/>
  <c r="BV75" i="8"/>
  <c r="BU75" i="8"/>
  <c r="BT75" i="8"/>
  <c r="BS75" i="8"/>
  <c r="BR75" i="8"/>
  <c r="BQ75" i="8"/>
  <c r="BP75" i="8"/>
  <c r="BO75" i="8"/>
  <c r="BN75" i="8"/>
  <c r="BM75" i="8"/>
  <c r="BL75" i="8"/>
  <c r="BK75" i="8"/>
  <c r="BJ75" i="8"/>
  <c r="BI75" i="8"/>
  <c r="BH75" i="8"/>
  <c r="BG75" i="8"/>
  <c r="BF75" i="8"/>
  <c r="BE75" i="8"/>
  <c r="BD75" i="8"/>
  <c r="BC75" i="8"/>
  <c r="BB75" i="8"/>
  <c r="BA75" i="8"/>
  <c r="AZ75" i="8"/>
  <c r="AY75" i="8"/>
  <c r="AX75" i="8"/>
  <c r="AW75" i="8"/>
  <c r="AV75" i="8"/>
  <c r="AU75" i="8"/>
  <c r="AT75" i="8"/>
  <c r="AS75" i="8"/>
  <c r="AR75" i="8"/>
  <c r="AQ75" i="8"/>
  <c r="AP75" i="8"/>
  <c r="AO75" i="8"/>
  <c r="AN75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E74" i="8"/>
  <c r="CE76" i="8" s="1"/>
  <c r="CD74" i="8"/>
  <c r="CD76" i="8" s="1"/>
  <c r="CC74" i="8"/>
  <c r="CC76" i="8" s="1"/>
  <c r="CB74" i="8"/>
  <c r="CB76" i="8" s="1"/>
  <c r="CA74" i="8"/>
  <c r="CA76" i="8" s="1"/>
  <c r="BZ74" i="8"/>
  <c r="BZ76" i="8" s="1"/>
  <c r="BY74" i="8"/>
  <c r="BY76" i="8" s="1"/>
  <c r="BX74" i="8"/>
  <c r="BX76" i="8" s="1"/>
  <c r="BW74" i="8"/>
  <c r="BW76" i="8" s="1"/>
  <c r="BV74" i="8"/>
  <c r="BV76" i="8" s="1"/>
  <c r="BU74" i="8"/>
  <c r="BU76" i="8" s="1"/>
  <c r="BT74" i="8"/>
  <c r="BT76" i="8" s="1"/>
  <c r="BS74" i="8"/>
  <c r="BS76" i="8" s="1"/>
  <c r="BR74" i="8"/>
  <c r="BR76" i="8" s="1"/>
  <c r="BQ74" i="8"/>
  <c r="BQ76" i="8" s="1"/>
  <c r="BP74" i="8"/>
  <c r="BP76" i="8" s="1"/>
  <c r="BO74" i="8"/>
  <c r="BO76" i="8" s="1"/>
  <c r="BN74" i="8"/>
  <c r="BN76" i="8" s="1"/>
  <c r="BM74" i="8"/>
  <c r="BM76" i="8" s="1"/>
  <c r="BL74" i="8"/>
  <c r="BL76" i="8" s="1"/>
  <c r="BK74" i="8"/>
  <c r="BK76" i="8" s="1"/>
  <c r="BJ74" i="8"/>
  <c r="BJ76" i="8" s="1"/>
  <c r="BI74" i="8"/>
  <c r="BI76" i="8" s="1"/>
  <c r="BH74" i="8"/>
  <c r="BH76" i="8" s="1"/>
  <c r="BG74" i="8"/>
  <c r="BG76" i="8" s="1"/>
  <c r="BF74" i="8"/>
  <c r="BF76" i="8" s="1"/>
  <c r="BE74" i="8"/>
  <c r="BE76" i="8" s="1"/>
  <c r="BD74" i="8"/>
  <c r="BD76" i="8" s="1"/>
  <c r="BC74" i="8"/>
  <c r="BC76" i="8" s="1"/>
  <c r="BB74" i="8"/>
  <c r="BB76" i="8" s="1"/>
  <c r="BA74" i="8"/>
  <c r="BA76" i="8" s="1"/>
  <c r="AZ74" i="8"/>
  <c r="AZ76" i="8" s="1"/>
  <c r="AY74" i="8"/>
  <c r="AY76" i="8" s="1"/>
  <c r="AX74" i="8"/>
  <c r="AX76" i="8" s="1"/>
  <c r="AW74" i="8"/>
  <c r="AW76" i="8" s="1"/>
  <c r="AV74" i="8"/>
  <c r="AV76" i="8" s="1"/>
  <c r="AU74" i="8"/>
  <c r="AU76" i="8" s="1"/>
  <c r="AT74" i="8"/>
  <c r="AT76" i="8" s="1"/>
  <c r="AS74" i="8"/>
  <c r="AS76" i="8" s="1"/>
  <c r="AR74" i="8"/>
  <c r="AR76" i="8" s="1"/>
  <c r="AQ74" i="8"/>
  <c r="AQ76" i="8" s="1"/>
  <c r="AP74" i="8"/>
  <c r="AP76" i="8" s="1"/>
  <c r="AO74" i="8"/>
  <c r="AO76" i="8" s="1"/>
  <c r="AN74" i="8"/>
  <c r="AN76" i="8" s="1"/>
  <c r="AM74" i="8"/>
  <c r="AM76" i="8" s="1"/>
  <c r="AL74" i="8"/>
  <c r="AL76" i="8" s="1"/>
  <c r="AK74" i="8"/>
  <c r="AK76" i="8" s="1"/>
  <c r="AJ74" i="8"/>
  <c r="AJ76" i="8" s="1"/>
  <c r="AI74" i="8"/>
  <c r="AI76" i="8" s="1"/>
  <c r="AH74" i="8"/>
  <c r="AH76" i="8" s="1"/>
  <c r="AG74" i="8"/>
  <c r="AG76" i="8" s="1"/>
  <c r="AF74" i="8"/>
  <c r="AF76" i="8" s="1"/>
  <c r="AE74" i="8"/>
  <c r="AE76" i="8" s="1"/>
  <c r="AD74" i="8"/>
  <c r="AD76" i="8" s="1"/>
  <c r="AC74" i="8"/>
  <c r="AC76" i="8" s="1"/>
  <c r="AB74" i="8"/>
  <c r="AB76" i="8" s="1"/>
  <c r="AA74" i="8"/>
  <c r="AA76" i="8" s="1"/>
  <c r="Z74" i="8"/>
  <c r="Z76" i="8" s="1"/>
  <c r="Y74" i="8"/>
  <c r="Y76" i="8" s="1"/>
  <c r="X74" i="8"/>
  <c r="X76" i="8" s="1"/>
  <c r="W74" i="8"/>
  <c r="W76" i="8" s="1"/>
  <c r="V74" i="8"/>
  <c r="V76" i="8" s="1"/>
  <c r="U74" i="8"/>
  <c r="U76" i="8" s="1"/>
  <c r="T74" i="8"/>
  <c r="T76" i="8" s="1"/>
  <c r="S74" i="8"/>
  <c r="S76" i="8" s="1"/>
  <c r="R74" i="8"/>
  <c r="R76" i="8" s="1"/>
  <c r="Q74" i="8"/>
  <c r="Q76" i="8" s="1"/>
  <c r="P74" i="8"/>
  <c r="P76" i="8" s="1"/>
  <c r="O74" i="8"/>
  <c r="O76" i="8" s="1"/>
  <c r="N74" i="8"/>
  <c r="N76" i="8" s="1"/>
  <c r="M74" i="8"/>
  <c r="M76" i="8" s="1"/>
  <c r="L74" i="8"/>
  <c r="L76" i="8" s="1"/>
  <c r="K74" i="8"/>
  <c r="K76" i="8" s="1"/>
  <c r="J74" i="8"/>
  <c r="J76" i="8" s="1"/>
  <c r="I74" i="8"/>
  <c r="I76" i="8" s="1"/>
  <c r="H74" i="8"/>
  <c r="H76" i="8" s="1"/>
  <c r="G74" i="8"/>
  <c r="G76" i="8" s="1"/>
  <c r="F74" i="8"/>
  <c r="F76" i="8" s="1"/>
  <c r="E74" i="8"/>
  <c r="E76" i="8" s="1"/>
  <c r="D74" i="8"/>
  <c r="D76" i="8" s="1"/>
  <c r="Q106" i="6"/>
  <c r="M102" i="6"/>
  <c r="N102" i="6"/>
  <c r="O102" i="6"/>
  <c r="P102" i="6"/>
  <c r="M103" i="6"/>
  <c r="N103" i="6"/>
  <c r="O103" i="6"/>
  <c r="P103" i="6"/>
  <c r="M104" i="6"/>
  <c r="N104" i="6"/>
  <c r="O104" i="6"/>
  <c r="P104" i="6"/>
  <c r="M105" i="6"/>
  <c r="N105" i="6"/>
  <c r="O105" i="6"/>
  <c r="P105" i="6"/>
  <c r="P101" i="6"/>
  <c r="O101" i="6"/>
  <c r="N101" i="6"/>
  <c r="M101" i="6"/>
  <c r="P100" i="6"/>
  <c r="O100" i="6"/>
  <c r="N100" i="6"/>
  <c r="M100" i="6"/>
  <c r="P99" i="6"/>
  <c r="O99" i="6"/>
  <c r="N99" i="6"/>
  <c r="M99" i="6"/>
  <c r="P98" i="6"/>
  <c r="O98" i="6"/>
  <c r="N98" i="6"/>
  <c r="M98" i="6"/>
  <c r="P97" i="6"/>
  <c r="O97" i="6"/>
  <c r="N97" i="6"/>
  <c r="M97" i="6"/>
  <c r="P96" i="6"/>
  <c r="O96" i="6"/>
  <c r="N96" i="6"/>
  <c r="M96" i="6"/>
  <c r="P95" i="6"/>
  <c r="O95" i="6"/>
  <c r="N95" i="6"/>
  <c r="M95" i="6"/>
  <c r="P94" i="6"/>
  <c r="O94" i="6"/>
  <c r="N94" i="6"/>
  <c r="M94" i="6"/>
  <c r="P93" i="6"/>
  <c r="O93" i="6"/>
  <c r="N93" i="6"/>
  <c r="M93" i="6"/>
  <c r="P92" i="6"/>
  <c r="O92" i="6"/>
  <c r="N92" i="6"/>
  <c r="M92" i="6"/>
  <c r="P91" i="6"/>
  <c r="O91" i="6"/>
  <c r="N91" i="6"/>
  <c r="M91" i="6"/>
  <c r="P90" i="6"/>
  <c r="O90" i="6"/>
  <c r="N90" i="6"/>
  <c r="M90" i="6"/>
  <c r="P89" i="6"/>
  <c r="O89" i="6"/>
  <c r="N89" i="6"/>
  <c r="M89" i="6"/>
  <c r="P88" i="6"/>
  <c r="O88" i="6"/>
  <c r="N88" i="6"/>
  <c r="M88" i="6"/>
  <c r="P87" i="6"/>
  <c r="O87" i="6"/>
  <c r="N87" i="6"/>
  <c r="M87" i="6"/>
  <c r="P86" i="6"/>
  <c r="O86" i="6"/>
  <c r="N86" i="6"/>
  <c r="M86" i="6"/>
  <c r="P85" i="6"/>
  <c r="O85" i="6"/>
  <c r="N85" i="6"/>
  <c r="M85" i="6"/>
  <c r="P84" i="6"/>
  <c r="O84" i="6"/>
  <c r="N84" i="6"/>
  <c r="M84" i="6"/>
  <c r="P83" i="6"/>
  <c r="O83" i="6"/>
  <c r="N83" i="6"/>
  <c r="M83" i="6"/>
  <c r="P82" i="6"/>
  <c r="O82" i="6"/>
  <c r="N82" i="6"/>
  <c r="M82" i="6"/>
  <c r="P81" i="6"/>
  <c r="O81" i="6"/>
  <c r="N81" i="6"/>
  <c r="M81" i="6"/>
  <c r="P80" i="6"/>
  <c r="O80" i="6"/>
  <c r="N80" i="6"/>
  <c r="M80" i="6"/>
  <c r="P79" i="6"/>
  <c r="O79" i="6"/>
  <c r="N79" i="6"/>
  <c r="M79" i="6"/>
  <c r="P78" i="6"/>
  <c r="O78" i="6"/>
  <c r="N78" i="6"/>
  <c r="M78" i="6"/>
  <c r="P77" i="6"/>
  <c r="O77" i="6"/>
  <c r="N77" i="6"/>
  <c r="M77" i="6"/>
  <c r="P76" i="6"/>
  <c r="O76" i="6"/>
  <c r="N76" i="6"/>
  <c r="M76" i="6"/>
  <c r="P75" i="6"/>
  <c r="O75" i="6"/>
  <c r="N75" i="6"/>
  <c r="M75" i="6"/>
  <c r="P74" i="6"/>
  <c r="O74" i="6"/>
  <c r="N74" i="6"/>
  <c r="M74" i="6"/>
  <c r="G74" i="6"/>
  <c r="F74" i="6"/>
  <c r="E74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Q62" i="6"/>
  <c r="P62" i="6"/>
  <c r="N62" i="6"/>
  <c r="M62" i="6"/>
  <c r="K62" i="6"/>
  <c r="I62" i="6"/>
  <c r="G62" i="6"/>
  <c r="F62" i="6"/>
  <c r="E62" i="6"/>
  <c r="D62" i="6"/>
  <c r="C62" i="6"/>
  <c r="M61" i="6"/>
  <c r="I61" i="6"/>
  <c r="C61" i="6"/>
  <c r="M60" i="6"/>
  <c r="L60" i="6"/>
  <c r="H60" i="6"/>
  <c r="E60" i="6"/>
  <c r="C60" i="6"/>
  <c r="M59" i="6"/>
  <c r="L59" i="6"/>
  <c r="I59" i="6"/>
  <c r="E59" i="6"/>
  <c r="Q58" i="6"/>
  <c r="M58" i="6"/>
  <c r="L58" i="6"/>
  <c r="K58" i="6"/>
  <c r="J58" i="6"/>
  <c r="I58" i="6"/>
  <c r="F58" i="6"/>
  <c r="D58" i="6"/>
  <c r="Q57" i="6"/>
  <c r="M57" i="6"/>
  <c r="K57" i="6"/>
  <c r="J57" i="6"/>
  <c r="I57" i="6"/>
  <c r="H57" i="6"/>
  <c r="G57" i="6"/>
  <c r="F57" i="6"/>
  <c r="D57" i="6"/>
  <c r="L14" i="6"/>
  <c r="K14" i="6"/>
  <c r="J14" i="6"/>
  <c r="I14" i="6"/>
  <c r="D51" i="6"/>
  <c r="C51" i="6"/>
  <c r="B51" i="6"/>
  <c r="B50" i="6"/>
  <c r="B49" i="6"/>
  <c r="B48" i="6"/>
  <c r="B47" i="6"/>
  <c r="B46" i="6"/>
  <c r="B45" i="6"/>
  <c r="Q177" i="6"/>
  <c r="P177" i="6"/>
  <c r="O177" i="6"/>
  <c r="N177" i="6"/>
  <c r="M177" i="6"/>
  <c r="J7" i="3"/>
  <c r="W4" i="5"/>
  <c r="W101" i="5"/>
  <c r="K49" i="6" s="1"/>
  <c r="W100" i="5"/>
  <c r="J48" i="6" s="1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V101" i="5"/>
  <c r="E171" i="6" s="1"/>
  <c r="I171" i="6" s="1"/>
  <c r="V100" i="5"/>
  <c r="E170" i="6" s="1"/>
  <c r="I170" i="6" s="1"/>
  <c r="V99" i="5"/>
  <c r="V98" i="5"/>
  <c r="V97" i="5"/>
  <c r="V96" i="5"/>
  <c r="F166" i="6" s="1"/>
  <c r="I166" i="6" s="1"/>
  <c r="V95" i="5"/>
  <c r="V94" i="5"/>
  <c r="V93" i="5"/>
  <c r="V92" i="5"/>
  <c r="F162" i="6" s="1"/>
  <c r="I162" i="6" s="1"/>
  <c r="V91" i="5"/>
  <c r="V90" i="5"/>
  <c r="V89" i="5"/>
  <c r="V88" i="5"/>
  <c r="F158" i="6" s="1"/>
  <c r="I158" i="6" s="1"/>
  <c r="V87" i="5"/>
  <c r="V86" i="5"/>
  <c r="V85" i="5"/>
  <c r="V84" i="5"/>
  <c r="F154" i="6" s="1"/>
  <c r="I154" i="6" s="1"/>
  <c r="V83" i="5"/>
  <c r="V82" i="5"/>
  <c r="V81" i="5"/>
  <c r="V80" i="5"/>
  <c r="F150" i="6" s="1"/>
  <c r="I150" i="6" s="1"/>
  <c r="V79" i="5"/>
  <c r="V78" i="5"/>
  <c r="V77" i="5"/>
  <c r="V76" i="5"/>
  <c r="F146" i="6" s="1"/>
  <c r="I146" i="6" s="1"/>
  <c r="V75" i="5"/>
  <c r="V74" i="5"/>
  <c r="V73" i="5"/>
  <c r="E143" i="6" s="1"/>
  <c r="I143" i="6" s="1"/>
  <c r="V72" i="5"/>
  <c r="E142" i="6" s="1"/>
  <c r="I142" i="6" s="1"/>
  <c r="V71" i="5"/>
  <c r="V70" i="5"/>
  <c r="V69" i="5"/>
  <c r="D139" i="6" s="1"/>
  <c r="I139" i="6" s="1"/>
  <c r="V68" i="5"/>
  <c r="D138" i="6" s="1"/>
  <c r="I138" i="6" s="1"/>
  <c r="V67" i="5"/>
  <c r="V66" i="5"/>
  <c r="V65" i="5"/>
  <c r="V64" i="5"/>
  <c r="E134" i="6" s="1"/>
  <c r="I134" i="6" s="1"/>
  <c r="V63" i="5"/>
  <c r="V62" i="5"/>
  <c r="V61" i="5"/>
  <c r="V60" i="5"/>
  <c r="E130" i="6" s="1"/>
  <c r="I130" i="6" s="1"/>
  <c r="V59" i="5"/>
  <c r="V58" i="5"/>
  <c r="V57" i="5"/>
  <c r="V56" i="5"/>
  <c r="E126" i="6" s="1"/>
  <c r="I126" i="6" s="1"/>
  <c r="V55" i="5"/>
  <c r="V54" i="5"/>
  <c r="V53" i="5"/>
  <c r="V52" i="5"/>
  <c r="E122" i="6" s="1"/>
  <c r="I122" i="6" s="1"/>
  <c r="V51" i="5"/>
  <c r="V50" i="5"/>
  <c r="V49" i="5"/>
  <c r="V48" i="5"/>
  <c r="E118" i="6" s="1"/>
  <c r="I118" i="6" s="1"/>
  <c r="V47" i="5"/>
  <c r="V46" i="5"/>
  <c r="V45" i="5"/>
  <c r="V44" i="5"/>
  <c r="E114" i="6" s="1"/>
  <c r="I114" i="6" s="1"/>
  <c r="V43" i="5"/>
  <c r="V42" i="5"/>
  <c r="V41" i="5"/>
  <c r="E111" i="6" s="1"/>
  <c r="I111" i="6" s="1"/>
  <c r="V40" i="5"/>
  <c r="E110" i="6" s="1"/>
  <c r="I110" i="6" s="1"/>
  <c r="V39" i="5"/>
  <c r="V38" i="5"/>
  <c r="V37" i="5"/>
  <c r="D107" i="6" s="1"/>
  <c r="I107" i="6" s="1"/>
  <c r="V36" i="5"/>
  <c r="D106" i="6" s="1"/>
  <c r="I106" i="6" s="1"/>
  <c r="V35" i="5"/>
  <c r="V34" i="5"/>
  <c r="V33" i="5"/>
  <c r="V32" i="5"/>
  <c r="F102" i="6" s="1"/>
  <c r="I102" i="6" s="1"/>
  <c r="V31" i="5"/>
  <c r="V30" i="5"/>
  <c r="V29" i="5"/>
  <c r="V28" i="5"/>
  <c r="F98" i="6" s="1"/>
  <c r="I98" i="6" s="1"/>
  <c r="V27" i="5"/>
  <c r="V26" i="5"/>
  <c r="V25" i="5"/>
  <c r="V24" i="5"/>
  <c r="E94" i="6" s="1"/>
  <c r="I94" i="6" s="1"/>
  <c r="V23" i="5"/>
  <c r="V22" i="5"/>
  <c r="V21" i="5"/>
  <c r="V20" i="5"/>
  <c r="E90" i="6" s="1"/>
  <c r="I90" i="6" s="1"/>
  <c r="V19" i="5"/>
  <c r="V18" i="5"/>
  <c r="V17" i="5"/>
  <c r="E87" i="6" s="1"/>
  <c r="I87" i="6" s="1"/>
  <c r="V16" i="5"/>
  <c r="E86" i="6" s="1"/>
  <c r="I86" i="6" s="1"/>
  <c r="V15" i="5"/>
  <c r="V14" i="5"/>
  <c r="V13" i="5"/>
  <c r="E83" i="6" s="1"/>
  <c r="I83" i="6" s="1"/>
  <c r="V12" i="5"/>
  <c r="E82" i="6" s="1"/>
  <c r="I82" i="6" s="1"/>
  <c r="V11" i="5"/>
  <c r="V10" i="5"/>
  <c r="V9" i="5"/>
  <c r="E79" i="6" s="1"/>
  <c r="I79" i="6" s="1"/>
  <c r="V8" i="5"/>
  <c r="E78" i="6" s="1"/>
  <c r="I78" i="6" s="1"/>
  <c r="V7" i="5"/>
  <c r="V6" i="5"/>
  <c r="V5" i="5"/>
  <c r="D75" i="6" s="1"/>
  <c r="I75" i="6" s="1"/>
  <c r="V4" i="5"/>
  <c r="D74" i="6" s="1"/>
  <c r="D14" i="5"/>
  <c r="S13" i="5"/>
  <c r="S12" i="5"/>
  <c r="S11" i="5"/>
  <c r="S10" i="5"/>
  <c r="S9" i="5"/>
  <c r="S8" i="5"/>
  <c r="S7" i="5"/>
  <c r="S6" i="5"/>
  <c r="S5" i="5"/>
  <c r="S4" i="5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9" i="3"/>
  <c r="I82" i="3"/>
  <c r="H82" i="3"/>
  <c r="F82" i="3"/>
  <c r="E82" i="3"/>
  <c r="D82" i="3"/>
  <c r="I7" i="3"/>
  <c r="I83" i="3" s="1"/>
  <c r="H7" i="3"/>
  <c r="H83" i="3" s="1"/>
  <c r="G7" i="3"/>
  <c r="F7" i="3"/>
  <c r="F83" i="3" s="1"/>
  <c r="E7" i="3"/>
  <c r="E83" i="3" s="1"/>
  <c r="D7" i="3"/>
  <c r="D83" i="3" s="1"/>
  <c r="DE85" i="2"/>
  <c r="B85" i="2"/>
  <c r="AH82" i="12" s="1"/>
  <c r="DE84" i="2"/>
  <c r="CN84" i="2"/>
  <c r="DD81" i="12" s="1"/>
  <c r="CJ84" i="2"/>
  <c r="CY81" i="12" s="1"/>
  <c r="CF84" i="2"/>
  <c r="CU81" i="12" s="1"/>
  <c r="BX84" i="2"/>
  <c r="BT84" i="2"/>
  <c r="BP84" i="2"/>
  <c r="BV81" i="12"/>
  <c r="BH84" i="2"/>
  <c r="BD84" i="2"/>
  <c r="BI81" i="12"/>
  <c r="AV84" i="2"/>
  <c r="BD81" i="12" s="1"/>
  <c r="AR84" i="2"/>
  <c r="AZ81" i="12" s="1"/>
  <c r="AN84" i="2"/>
  <c r="AJ84" i="2"/>
  <c r="AB84" i="2"/>
  <c r="X84" i="2"/>
  <c r="AA81" i="12" s="1"/>
  <c r="T84" i="2"/>
  <c r="P84" i="2"/>
  <c r="R81" i="12" s="1"/>
  <c r="O81" i="12"/>
  <c r="L84" i="2"/>
  <c r="N81" i="12" s="1"/>
  <c r="I84" i="2"/>
  <c r="H84" i="2"/>
  <c r="DV82" i="12"/>
  <c r="DH82" i="12"/>
  <c r="CN85" i="2"/>
  <c r="CJ85" i="2"/>
  <c r="CF85" i="2"/>
  <c r="CB85" i="2"/>
  <c r="CB86" i="2" s="1"/>
  <c r="BX85" i="2"/>
  <c r="BT85" i="2"/>
  <c r="BP85" i="2"/>
  <c r="BV82" i="12"/>
  <c r="BH85" i="2"/>
  <c r="BD85" i="2"/>
  <c r="BM82" i="12" s="1"/>
  <c r="AV85" i="2"/>
  <c r="AR85" i="2"/>
  <c r="AN85" i="2"/>
  <c r="AJ85" i="2"/>
  <c r="AB85" i="2"/>
  <c r="X85" i="2"/>
  <c r="AA82" i="12" s="1"/>
  <c r="T85" i="2"/>
  <c r="W82" i="12" s="1"/>
  <c r="S82" i="12"/>
  <c r="P85" i="2"/>
  <c r="L85" i="2"/>
  <c r="I85" i="2"/>
  <c r="H85" i="2"/>
  <c r="D85" i="2"/>
  <c r="K8" i="6"/>
  <c r="J8" i="6"/>
  <c r="I8" i="6"/>
  <c r="L8" i="6"/>
  <c r="H80" i="7" l="1"/>
  <c r="G80" i="7"/>
  <c r="AF82" i="12"/>
  <c r="CB82" i="12"/>
  <c r="CF82" i="12" s="1"/>
  <c r="S81" i="12"/>
  <c r="BM81" i="12"/>
  <c r="DH81" i="12"/>
  <c r="DL81" i="12" s="1"/>
  <c r="AJ82" i="12"/>
  <c r="CC82" i="12"/>
  <c r="W81" i="12"/>
  <c r="BR81" i="12"/>
  <c r="BZ81" i="12" s="1"/>
  <c r="DV81" i="12"/>
  <c r="E82" i="12"/>
  <c r="AQ82" i="12"/>
  <c r="CH82" i="12"/>
  <c r="AF81" i="12"/>
  <c r="CB81" i="12"/>
  <c r="CF81" i="12" s="1"/>
  <c r="I82" i="12"/>
  <c r="CC81" i="12"/>
  <c r="ES22" i="12"/>
  <c r="ER35" i="12"/>
  <c r="ER47" i="12"/>
  <c r="ER59" i="12"/>
  <c r="ER71" i="12"/>
  <c r="ER83" i="12"/>
  <c r="AX72" i="12"/>
  <c r="AP24" i="12"/>
  <c r="CB37" i="12"/>
  <c r="AU49" i="12"/>
  <c r="CG61" i="12"/>
  <c r="ES38" i="12"/>
  <c r="ES62" i="12"/>
  <c r="AP20" i="12"/>
  <c r="ES81" i="12"/>
  <c r="AR21" i="12"/>
  <c r="ES70" i="12"/>
  <c r="AW36" i="12"/>
  <c r="ER23" i="12"/>
  <c r="BJ36" i="12"/>
  <c r="BO48" i="12"/>
  <c r="BO60" i="12"/>
  <c r="CI72" i="12"/>
  <c r="BF73" i="12"/>
  <c r="AS25" i="12"/>
  <c r="ES50" i="12"/>
  <c r="ES74" i="12"/>
  <c r="DV45" i="12"/>
  <c r="ES34" i="12"/>
  <c r="ES82" i="12"/>
  <c r="ES26" i="12"/>
  <c r="ER39" i="12"/>
  <c r="ER51" i="12"/>
  <c r="ER63" i="12"/>
  <c r="ER75" i="12"/>
  <c r="BL40" i="12"/>
  <c r="BN52" i="12"/>
  <c r="BN76" i="12"/>
  <c r="ER43" i="12"/>
  <c r="ER67" i="12"/>
  <c r="AF57" i="12"/>
  <c r="ER27" i="12"/>
  <c r="BU64" i="12"/>
  <c r="ES18" i="12"/>
  <c r="ER79" i="12"/>
  <c r="BY32" i="12"/>
  <c r="CO44" i="12"/>
  <c r="AU80" i="12"/>
  <c r="BY33" i="12"/>
  <c r="ES46" i="12"/>
  <c r="CI16" i="12"/>
  <c r="BN29" i="12"/>
  <c r="BX41" i="12"/>
  <c r="CP53" i="12"/>
  <c r="BT65" i="12"/>
  <c r="AX77" i="12"/>
  <c r="AQ17" i="12"/>
  <c r="ES42" i="12"/>
  <c r="ES54" i="12"/>
  <c r="ES66" i="12"/>
  <c r="ES78" i="12"/>
  <c r="ES30" i="12"/>
  <c r="ER31" i="12"/>
  <c r="ER55" i="12"/>
  <c r="ER19" i="12"/>
  <c r="AQ56" i="12"/>
  <c r="AZ68" i="12"/>
  <c r="ES69" i="12"/>
  <c r="ES58" i="12"/>
  <c r="AG36" i="12"/>
  <c r="BO72" i="12"/>
  <c r="BN68" i="12"/>
  <c r="AQ40" i="12"/>
  <c r="AP32" i="12"/>
  <c r="EP77" i="12"/>
  <c r="ER30" i="12"/>
  <c r="AV80" i="12"/>
  <c r="CQ52" i="12"/>
  <c r="BY28" i="12"/>
  <c r="AR72" i="12"/>
  <c r="BN72" i="12"/>
  <c r="BS72" i="12"/>
  <c r="EQ56" i="12"/>
  <c r="ES40" i="12"/>
  <c r="G31" i="13" s="1"/>
  <c r="BM20" i="12"/>
  <c r="BJ68" i="12"/>
  <c r="AQ52" i="12"/>
  <c r="AX64" i="12"/>
  <c r="BC60" i="12"/>
  <c r="BP80" i="12"/>
  <c r="ER76" i="12"/>
  <c r="AQ76" i="12"/>
  <c r="CV44" i="12"/>
  <c r="BY36" i="12"/>
  <c r="BL24" i="12"/>
  <c r="AQ80" i="12"/>
  <c r="BD52" i="12"/>
  <c r="AG56" i="12"/>
  <c r="AR68" i="12"/>
  <c r="AW48" i="12"/>
  <c r="BA28" i="12"/>
  <c r="BK60" i="12"/>
  <c r="BL64" i="12"/>
  <c r="BC48" i="12"/>
  <c r="BG32" i="12"/>
  <c r="EQ16" i="12"/>
  <c r="EP57" i="12"/>
  <c r="EQ47" i="12"/>
  <c r="ER69" i="12"/>
  <c r="ER21" i="12"/>
  <c r="ES43" i="12"/>
  <c r="G34" i="13" s="1"/>
  <c r="EQ82" i="12"/>
  <c r="EQ34" i="12"/>
  <c r="EQ73" i="12"/>
  <c r="EQ25" i="12"/>
  <c r="ES37" i="12"/>
  <c r="G28" i="13" s="1"/>
  <c r="EP68" i="12"/>
  <c r="EP20" i="12"/>
  <c r="EP43" i="12"/>
  <c r="EP38" i="12"/>
  <c r="EO54" i="12"/>
  <c r="EO75" i="12"/>
  <c r="EM51" i="12"/>
  <c r="AR22" i="12"/>
  <c r="BG43" i="12"/>
  <c r="AW75" i="12"/>
  <c r="BU79" i="12"/>
  <c r="DV55" i="12"/>
  <c r="AU26" i="12"/>
  <c r="BP37" i="12"/>
  <c r="BF81" i="12"/>
  <c r="CR80" i="12"/>
  <c r="BE80" i="12"/>
  <c r="CQ76" i="12"/>
  <c r="BV76" i="12"/>
  <c r="CO72" i="12"/>
  <c r="DH72" i="12"/>
  <c r="CJ68" i="12"/>
  <c r="BF68" i="12"/>
  <c r="DE64" i="12"/>
  <c r="BS64" i="12"/>
  <c r="BJ64" i="12"/>
  <c r="CU60" i="12"/>
  <c r="CM60" i="12"/>
  <c r="CG56" i="12"/>
  <c r="BB56" i="12"/>
  <c r="DI52" i="12"/>
  <c r="CL52" i="12"/>
  <c r="BI52" i="12"/>
  <c r="DV48" i="12"/>
  <c r="CQ33" i="12"/>
  <c r="BF76" i="12"/>
  <c r="AG68" i="12"/>
  <c r="AU64" i="12"/>
  <c r="BD32" i="12"/>
  <c r="ER82" i="12"/>
  <c r="EP45" i="12"/>
  <c r="AS80" i="12"/>
  <c r="CE52" i="12"/>
  <c r="BP28" i="12"/>
  <c r="AR40" i="12"/>
  <c r="BP60" i="12"/>
  <c r="BK72" i="12"/>
  <c r="CR56" i="12"/>
  <c r="CC40" i="12"/>
  <c r="BP20" i="12"/>
  <c r="AR52" i="12"/>
  <c r="BM56" i="12"/>
  <c r="AQ32" i="12"/>
  <c r="AW60" i="12"/>
  <c r="BA52" i="12"/>
  <c r="BJ72" i="12"/>
  <c r="CC76" i="12"/>
  <c r="ER60" i="12"/>
  <c r="BY44" i="12"/>
  <c r="BN36" i="12"/>
  <c r="EQ24" i="12"/>
  <c r="AQ36" i="12"/>
  <c r="BF20" i="12"/>
  <c r="AG40" i="12"/>
  <c r="AR56" i="12"/>
  <c r="AU44" i="12"/>
  <c r="AZ16" i="12"/>
  <c r="BO52" i="12"/>
  <c r="BF64" i="12"/>
  <c r="AV48" i="12"/>
  <c r="BB32" i="12"/>
  <c r="BJ16" i="12"/>
  <c r="EP41" i="12"/>
  <c r="EQ43" i="12"/>
  <c r="ER65" i="12"/>
  <c r="ER17" i="12"/>
  <c r="ES39" i="12"/>
  <c r="G30" i="13" s="1"/>
  <c r="EQ78" i="12"/>
  <c r="EQ30" i="12"/>
  <c r="EQ69" i="12"/>
  <c r="EQ21" i="12"/>
  <c r="ES33" i="12"/>
  <c r="G24" i="13" s="1"/>
  <c r="EP64" i="12"/>
  <c r="EP16" i="12"/>
  <c r="EP39" i="12"/>
  <c r="EP82" i="12"/>
  <c r="EP34" i="12"/>
  <c r="BN42" i="12"/>
  <c r="EM67" i="12"/>
  <c r="EM43" i="12"/>
  <c r="AZ54" i="12"/>
  <c r="BF23" i="12"/>
  <c r="AU51" i="12"/>
  <c r="DV67" i="12"/>
  <c r="DV39" i="12"/>
  <c r="AZ22" i="12"/>
  <c r="AW73" i="12"/>
  <c r="BR21" i="12"/>
  <c r="DD80" i="12"/>
  <c r="CB80" i="12"/>
  <c r="AZ80" i="12"/>
  <c r="CG76" i="12"/>
  <c r="BI76" i="12"/>
  <c r="CG72" i="12"/>
  <c r="CS72" i="12"/>
  <c r="DV68" i="12"/>
  <c r="BB68" i="12"/>
  <c r="DH64" i="12"/>
  <c r="BW64" i="12"/>
  <c r="BN64" i="12"/>
  <c r="CQ60" i="12"/>
  <c r="CB60" i="12"/>
  <c r="CD56" i="12"/>
  <c r="DD56" i="12"/>
  <c r="CU52" i="12"/>
  <c r="CJ52" i="12"/>
  <c r="CQ20" i="12"/>
  <c r="AR76" i="12"/>
  <c r="AG52" i="12"/>
  <c r="AR32" i="12"/>
  <c r="AZ56" i="12"/>
  <c r="ER66" i="12"/>
  <c r="ER74" i="12"/>
  <c r="ER68" i="12"/>
  <c r="BT52" i="12"/>
  <c r="ES28" i="12"/>
  <c r="G19" i="13" s="1"/>
  <c r="BJ52" i="12"/>
  <c r="BG72" i="12"/>
  <c r="BT56" i="12"/>
  <c r="BY40" i="12"/>
  <c r="ES20" i="12"/>
  <c r="G11" i="13" s="1"/>
  <c r="AR20" i="12"/>
  <c r="BL28" i="12"/>
  <c r="AR80" i="12"/>
  <c r="AU56" i="12"/>
  <c r="AZ40" i="12"/>
  <c r="BP64" i="12"/>
  <c r="BS76" i="12"/>
  <c r="BS60" i="12"/>
  <c r="ES44" i="12"/>
  <c r="G35" i="13" s="1"/>
  <c r="ES36" i="12"/>
  <c r="G27" i="13" s="1"/>
  <c r="DB24" i="12"/>
  <c r="AS60" i="12"/>
  <c r="BW48" i="12"/>
  <c r="AG24" i="12"/>
  <c r="AS44" i="12"/>
  <c r="AX36" i="12"/>
  <c r="BG76" i="12"/>
  <c r="BI44" i="12"/>
  <c r="BC64" i="12"/>
  <c r="AS48" i="12"/>
  <c r="AV32" i="12"/>
  <c r="BG16" i="12"/>
  <c r="EP25" i="12"/>
  <c r="EQ39" i="12"/>
  <c r="ER61" i="12"/>
  <c r="ES83" i="12"/>
  <c r="G74" i="13" s="1"/>
  <c r="ES35" i="12"/>
  <c r="G26" i="13" s="1"/>
  <c r="EQ74" i="12"/>
  <c r="EQ26" i="12"/>
  <c r="EQ65" i="12"/>
  <c r="EQ17" i="12"/>
  <c r="ES29" i="12"/>
  <c r="G20" i="13" s="1"/>
  <c r="EP60" i="12"/>
  <c r="EP83" i="12"/>
  <c r="EP35" i="12"/>
  <c r="EP78" i="12"/>
  <c r="EP30" i="12"/>
  <c r="BG34" i="12"/>
  <c r="AR46" i="12"/>
  <c r="EM35" i="12"/>
  <c r="AF18" i="12"/>
  <c r="DV27" i="12"/>
  <c r="AW27" i="12"/>
  <c r="DV51" i="12"/>
  <c r="DV23" i="12"/>
  <c r="BE67" i="12"/>
  <c r="AP25" i="12"/>
  <c r="BE21" i="12"/>
  <c r="DH80" i="12"/>
  <c r="BT80" i="12"/>
  <c r="DD76" i="12"/>
  <c r="BU76" i="12"/>
  <c r="BM76" i="12"/>
  <c r="CE72" i="12"/>
  <c r="BR72" i="12"/>
  <c r="DD68" i="12"/>
  <c r="DA68" i="12"/>
  <c r="CM64" i="12"/>
  <c r="BI64" i="12"/>
  <c r="BD64" i="12"/>
  <c r="CI60" i="12"/>
  <c r="BU60" i="12"/>
  <c r="CM56" i="12"/>
  <c r="CY56" i="12"/>
  <c r="CM52" i="12"/>
  <c r="BU52" i="12"/>
  <c r="BG52" i="12"/>
  <c r="CM48" i="12"/>
  <c r="AU48" i="12"/>
  <c r="BE64" i="12"/>
  <c r="BP40" i="12"/>
  <c r="AS20" i="12"/>
  <c r="AQ16" i="12"/>
  <c r="CE64" i="12"/>
  <c r="AX56" i="12"/>
  <c r="ER34" i="12"/>
  <c r="ER42" i="12"/>
  <c r="CL68" i="12"/>
  <c r="ES52" i="12"/>
  <c r="G43" i="13" s="1"/>
  <c r="AV28" i="12"/>
  <c r="AU52" i="12"/>
  <c r="BW80" i="12"/>
  <c r="AV72" i="12"/>
  <c r="BE56" i="12"/>
  <c r="CB40" i="12"/>
  <c r="CC20" i="12"/>
  <c r="AW56" i="12"/>
  <c r="AF24" i="12"/>
  <c r="AR60" i="12"/>
  <c r="AW44" i="12"/>
  <c r="AZ20" i="12"/>
  <c r="BP48" i="12"/>
  <c r="CL76" i="12"/>
  <c r="BV60" i="12"/>
  <c r="EQ44" i="12"/>
  <c r="AV36" i="12"/>
  <c r="BE24" i="12"/>
  <c r="AX76" i="12"/>
  <c r="AF40" i="12"/>
  <c r="AP72" i="12"/>
  <c r="AR24" i="12"/>
  <c r="AU28" i="12"/>
  <c r="BD56" i="12"/>
  <c r="BL20" i="12"/>
  <c r="AS64" i="12"/>
  <c r="CX32" i="12"/>
  <c r="ER16" i="12"/>
  <c r="AX16" i="12"/>
  <c r="EQ79" i="12"/>
  <c r="EQ31" i="12"/>
  <c r="ER53" i="12"/>
  <c r="ES75" i="12"/>
  <c r="G66" i="13" s="1"/>
  <c r="ES27" i="12"/>
  <c r="G18" i="13" s="1"/>
  <c r="EQ66" i="12"/>
  <c r="EQ18" i="12"/>
  <c r="EQ57" i="12"/>
  <c r="ES73" i="12"/>
  <c r="G64" i="13" s="1"/>
  <c r="ES21" i="12"/>
  <c r="G12" i="13" s="1"/>
  <c r="EP52" i="12"/>
  <c r="EP75" i="12"/>
  <c r="EP27" i="12"/>
  <c r="EP70" i="12"/>
  <c r="EP22" i="12"/>
  <c r="EO22" i="12"/>
  <c r="BE52" i="12"/>
  <c r="AU20" i="12"/>
  <c r="AZ76" i="12"/>
  <c r="AG20" i="12"/>
  <c r="BC44" i="12"/>
  <c r="ER18" i="12"/>
  <c r="ER26" i="12"/>
  <c r="BT68" i="12"/>
  <c r="EQ52" i="12"/>
  <c r="AQ28" i="12"/>
  <c r="AU36" i="12"/>
  <c r="AS72" i="12"/>
  <c r="BA56" i="12"/>
  <c r="BX40" i="12"/>
  <c r="BY20" i="12"/>
  <c r="AW40" i="12"/>
  <c r="AG60" i="12"/>
  <c r="AR48" i="12"/>
  <c r="AU40" i="12"/>
  <c r="BF80" i="12"/>
  <c r="BM44" i="12"/>
  <c r="CD76" i="12"/>
  <c r="ES60" i="12"/>
  <c r="G51" i="13" s="1"/>
  <c r="CH44" i="12"/>
  <c r="AP36" i="12"/>
  <c r="BC24" i="12"/>
  <c r="AX60" i="12"/>
  <c r="AG76" i="12"/>
  <c r="AP56" i="12"/>
  <c r="AV20" i="12"/>
  <c r="BF44" i="12"/>
  <c r="CC68" i="12"/>
  <c r="ER48" i="12"/>
  <c r="BN32" i="12"/>
  <c r="CJ16" i="12"/>
  <c r="AS16" i="12"/>
  <c r="EQ75" i="12"/>
  <c r="EQ27" i="12"/>
  <c r="ER49" i="12"/>
  <c r="ES71" i="12"/>
  <c r="G62" i="13" s="1"/>
  <c r="ES23" i="12"/>
  <c r="G14" i="13" s="1"/>
  <c r="EQ62" i="12"/>
  <c r="EP81" i="12"/>
  <c r="EQ53" i="12"/>
  <c r="ES65" i="12"/>
  <c r="G56" i="13" s="1"/>
  <c r="ES17" i="12"/>
  <c r="G8" i="13" s="1"/>
  <c r="EP48" i="12"/>
  <c r="EP71" i="12"/>
  <c r="EP23" i="12"/>
  <c r="EP66" i="12"/>
  <c r="EP18" i="12"/>
  <c r="BB82" i="12"/>
  <c r="AZ36" i="12"/>
  <c r="AR64" i="12"/>
  <c r="DV20" i="12"/>
  <c r="AP52" i="12"/>
  <c r="BI20" i="12"/>
  <c r="AR44" i="12"/>
  <c r="ER54" i="12"/>
  <c r="EQ80" i="12"/>
  <c r="AV52" i="12"/>
  <c r="ER72" i="12"/>
  <c r="AV56" i="12"/>
  <c r="ER20" i="12"/>
  <c r="BA20" i="12"/>
  <c r="AS36" i="12"/>
  <c r="AZ72" i="12"/>
  <c r="BL60" i="12"/>
  <c r="EQ36" i="12"/>
  <c r="AG32" i="12"/>
  <c r="AF52" i="12"/>
  <c r="BB48" i="12"/>
  <c r="DI64" i="12"/>
  <c r="CH32" i="12"/>
  <c r="BK16" i="12"/>
  <c r="EQ19" i="12"/>
  <c r="ES79" i="12"/>
  <c r="G70" i="13" s="1"/>
  <c r="EP37" i="12"/>
  <c r="EP33" i="12"/>
  <c r="ES61" i="12"/>
  <c r="G52" i="13" s="1"/>
  <c r="EP72" i="12"/>
  <c r="EP55" i="12"/>
  <c r="EP62" i="12"/>
  <c r="EO70" i="12"/>
  <c r="AF66" i="12"/>
  <c r="BN59" i="12"/>
  <c r="BG75" i="12"/>
  <c r="BU47" i="12"/>
  <c r="BI67" i="12"/>
  <c r="AV61" i="12"/>
  <c r="BX80" i="12"/>
  <c r="CJ76" i="12"/>
  <c r="CI76" i="12"/>
  <c r="DG72" i="12"/>
  <c r="BF72" i="12"/>
  <c r="BV68" i="12"/>
  <c r="CR64" i="12"/>
  <c r="DD64" i="12"/>
  <c r="CD60" i="12"/>
  <c r="BY60" i="12"/>
  <c r="CC56" i="12"/>
  <c r="BG56" i="12"/>
  <c r="BY52" i="12"/>
  <c r="DI48" i="12"/>
  <c r="BI48" i="12"/>
  <c r="BA48" i="12"/>
  <c r="CB44" i="12"/>
  <c r="BK44" i="12"/>
  <c r="CR40" i="12"/>
  <c r="CV40" i="12"/>
  <c r="CS36" i="12"/>
  <c r="BK36" i="12"/>
  <c r="BC36" i="12"/>
  <c r="CC32" i="12"/>
  <c r="BT32" i="12"/>
  <c r="CJ28" i="12"/>
  <c r="DV28" i="12"/>
  <c r="CY24" i="12"/>
  <c r="BV24" i="12"/>
  <c r="BA24" i="12"/>
  <c r="CI20" i="12"/>
  <c r="BE20" i="12"/>
  <c r="BX16" i="12"/>
  <c r="CG16" i="12"/>
  <c r="BC33" i="12"/>
  <c r="BW72" i="12"/>
  <c r="BU24" i="12"/>
  <c r="CI52" i="12"/>
  <c r="DB20" i="12"/>
  <c r="BY57" i="12"/>
  <c r="AQ77" i="12"/>
  <c r="BT72" i="12"/>
  <c r="BT24" i="12"/>
  <c r="CH52" i="12"/>
  <c r="CX16" i="12"/>
  <c r="EN69" i="12"/>
  <c r="BB61" i="12"/>
  <c r="AZ53" i="12"/>
  <c r="BN56" i="12"/>
  <c r="ER50" i="12"/>
  <c r="BL80" i="12"/>
  <c r="ER28" i="12"/>
  <c r="AU68" i="12"/>
  <c r="ES72" i="12"/>
  <c r="G63" i="13" s="1"/>
  <c r="AS56" i="12"/>
  <c r="EQ20" i="12"/>
  <c r="BG60" i="12"/>
  <c r="AR28" i="12"/>
  <c r="BB28" i="12"/>
  <c r="CH72" i="12"/>
  <c r="AV60" i="12"/>
  <c r="ER24" i="12"/>
  <c r="AP64" i="12"/>
  <c r="AF36" i="12"/>
  <c r="AW80" i="12"/>
  <c r="BA36" i="12"/>
  <c r="ES64" i="12"/>
  <c r="G55" i="13" s="1"/>
  <c r="BO32" i="12"/>
  <c r="BA16" i="12"/>
  <c r="ES67" i="12"/>
  <c r="G58" i="13" s="1"/>
  <c r="EP21" i="12"/>
  <c r="EP17" i="12"/>
  <c r="ES57" i="12"/>
  <c r="G48" i="13" s="1"/>
  <c r="EP56" i="12"/>
  <c r="EP51" i="12"/>
  <c r="EP58" i="12"/>
  <c r="AZ26" i="12"/>
  <c r="AX24" i="12"/>
  <c r="BG80" i="12"/>
  <c r="DJ28" i="12"/>
  <c r="AW16" i="12"/>
  <c r="BX72" i="12"/>
  <c r="ER40" i="12"/>
  <c r="DJ20" i="12"/>
  <c r="BG28" i="12"/>
  <c r="AR16" i="12"/>
  <c r="BE68" i="12"/>
  <c r="AQ60" i="12"/>
  <c r="CD24" i="12"/>
  <c r="AS28" i="12"/>
  <c r="AF20" i="12"/>
  <c r="AU76" i="12"/>
  <c r="BD68" i="12"/>
  <c r="CS64" i="12"/>
  <c r="ES32" i="12"/>
  <c r="G23" i="13" s="1"/>
  <c r="EP73" i="12"/>
  <c r="ER81" i="12"/>
  <c r="ES63" i="12"/>
  <c r="G54" i="13" s="1"/>
  <c r="EQ70" i="12"/>
  <c r="EQ81" i="12"/>
  <c r="ES53" i="12"/>
  <c r="G44" i="13" s="1"/>
  <c r="EP44" i="12"/>
  <c r="EP47" i="12"/>
  <c r="EP54" i="12"/>
  <c r="AR74" i="12"/>
  <c r="AR34" i="12"/>
  <c r="AF50" i="12"/>
  <c r="BF58" i="12"/>
  <c r="AF34" i="12"/>
  <c r="BS27" i="12"/>
  <c r="AX29" i="12"/>
  <c r="BN80" i="12"/>
  <c r="CM76" i="12"/>
  <c r="BR76" i="12"/>
  <c r="CD72" i="12"/>
  <c r="DE68" i="12"/>
  <c r="BP68" i="12"/>
  <c r="DB64" i="12"/>
  <c r="CG64" i="12"/>
  <c r="DH60" i="12"/>
  <c r="BN60" i="12"/>
  <c r="BY56" i="12"/>
  <c r="DE52" i="12"/>
  <c r="BP52" i="12"/>
  <c r="CG48" i="12"/>
  <c r="BG48" i="12"/>
  <c r="DE44" i="12"/>
  <c r="BV44" i="12"/>
  <c r="BD44" i="12"/>
  <c r="CE40" i="12"/>
  <c r="BB24" i="12"/>
  <c r="DB68" i="12"/>
  <c r="BO28" i="12"/>
  <c r="BB72" i="12"/>
  <c r="EQ72" i="12"/>
  <c r="BM40" i="12"/>
  <c r="CB20" i="12"/>
  <c r="BO76" i="12"/>
  <c r="AX80" i="12"/>
  <c r="BF60" i="12"/>
  <c r="DK76" i="12"/>
  <c r="ER44" i="12"/>
  <c r="BY24" i="12"/>
  <c r="AX44" i="12"/>
  <c r="AG72" i="12"/>
  <c r="AX68" i="12"/>
  <c r="BD36" i="12"/>
  <c r="EQ64" i="12"/>
  <c r="EQ32" i="12"/>
  <c r="EQ83" i="12"/>
  <c r="ER77" i="12"/>
  <c r="ES59" i="12"/>
  <c r="G50" i="13" s="1"/>
  <c r="EQ58" i="12"/>
  <c r="EQ77" i="12"/>
  <c r="ES49" i="12"/>
  <c r="G40" i="13" s="1"/>
  <c r="EP40" i="12"/>
  <c r="EP31" i="12"/>
  <c r="EP50" i="12"/>
  <c r="AR66" i="12"/>
  <c r="AU78" i="12"/>
  <c r="AG67" i="12"/>
  <c r="BP79" i="12"/>
  <c r="AG51" i="12"/>
  <c r="DV79" i="12"/>
  <c r="BB41" i="12"/>
  <c r="CQ80" i="12"/>
  <c r="BD80" i="12"/>
  <c r="CH76" i="12"/>
  <c r="BE76" i="12"/>
  <c r="BU72" i="12"/>
  <c r="DI68" i="12"/>
  <c r="CQ68" i="12"/>
  <c r="CQ64" i="12"/>
  <c r="CD64" i="12"/>
  <c r="DI60" i="12"/>
  <c r="BE60" i="12"/>
  <c r="BK56" i="12"/>
  <c r="CR52" i="12"/>
  <c r="BF52" i="12"/>
  <c r="CD48" i="12"/>
  <c r="AZ48" i="12"/>
  <c r="CZ44" i="12"/>
  <c r="BJ44" i="12"/>
  <c r="BA44" i="12"/>
  <c r="DJ40" i="12"/>
  <c r="BW40" i="12"/>
  <c r="DV36" i="12"/>
  <c r="BB36" i="12"/>
  <c r="DI32" i="12"/>
  <c r="CI32" i="12"/>
  <c r="BM32" i="12"/>
  <c r="CW28" i="12"/>
  <c r="CI28" i="12"/>
  <c r="CE24" i="12"/>
  <c r="BF24" i="12"/>
  <c r="DK20" i="12"/>
  <c r="BJ20" i="12"/>
  <c r="DH16" i="12"/>
  <c r="CC16" i="12"/>
  <c r="BY16" i="12"/>
  <c r="AQ49" i="12"/>
  <c r="BR60" i="12"/>
  <c r="CO80" i="12"/>
  <c r="DI36" i="12"/>
  <c r="BB49" i="12"/>
  <c r="AR41" i="12"/>
  <c r="BW60" i="12"/>
  <c r="CN80" i="12"/>
  <c r="DK28" i="12"/>
  <c r="CN69" i="12"/>
  <c r="BY61" i="12"/>
  <c r="AF64" i="12"/>
  <c r="AU32" i="12"/>
  <c r="EP61" i="12"/>
  <c r="BY68" i="12"/>
  <c r="CC28" i="12"/>
  <c r="BB44" i="12"/>
  <c r="BA72" i="12"/>
  <c r="DI40" i="12"/>
  <c r="BW20" i="12"/>
  <c r="AF56" i="12"/>
  <c r="AW76" i="12"/>
  <c r="BE48" i="12"/>
  <c r="BX76" i="12"/>
  <c r="BX44" i="12"/>
  <c r="BO24" i="12"/>
  <c r="AX28" i="12"/>
  <c r="AP16" i="12"/>
  <c r="AW64" i="12"/>
  <c r="BD24" i="12"/>
  <c r="AV64" i="12"/>
  <c r="CM32" i="12"/>
  <c r="EQ71" i="12"/>
  <c r="ER73" i="12"/>
  <c r="ES55" i="12"/>
  <c r="G46" i="13" s="1"/>
  <c r="EQ54" i="12"/>
  <c r="EQ61" i="12"/>
  <c r="ES45" i="12"/>
  <c r="G36" i="13" s="1"/>
  <c r="EP36" i="12"/>
  <c r="EP19" i="12"/>
  <c r="EP46" i="12"/>
  <c r="DI58" i="12"/>
  <c r="EM59" i="12"/>
  <c r="AZ66" i="12"/>
  <c r="AP35" i="12"/>
  <c r="BP47" i="12"/>
  <c r="AP23" i="12"/>
  <c r="DV63" i="12"/>
  <c r="BP81" i="12"/>
  <c r="CJ80" i="12"/>
  <c r="CC80" i="12"/>
  <c r="CE76" i="12"/>
  <c r="BA76" i="12"/>
  <c r="BY72" i="12"/>
  <c r="CW68" i="12"/>
  <c r="CI68" i="12"/>
  <c r="CI64" i="12"/>
  <c r="BT64" i="12"/>
  <c r="CL60" i="12"/>
  <c r="BB60" i="12"/>
  <c r="BO56" i="12"/>
  <c r="CG52" i="12"/>
  <c r="BC52" i="12"/>
  <c r="CR48" i="12"/>
  <c r="CV48" i="12"/>
  <c r="CM44" i="12"/>
  <c r="BN44" i="12"/>
  <c r="EM40" i="12"/>
  <c r="CQ40" i="12"/>
  <c r="BG20" i="12"/>
  <c r="BE44" i="12"/>
  <c r="ER78" i="12"/>
  <c r="ES68" i="12"/>
  <c r="G59" i="13" s="1"/>
  <c r="EQ28" i="12"/>
  <c r="ER56" i="12"/>
  <c r="CN40" i="12"/>
  <c r="AG64" i="12"/>
  <c r="AG28" i="12"/>
  <c r="AU72" i="12"/>
  <c r="BG36" i="12"/>
  <c r="ES76" i="12"/>
  <c r="G67" i="13" s="1"/>
  <c r="CJ44" i="12"/>
  <c r="BP24" i="12"/>
  <c r="BB80" i="12"/>
  <c r="AP40" i="12"/>
  <c r="AU60" i="12"/>
  <c r="BM80" i="12"/>
  <c r="ES48" i="12"/>
  <c r="G39" i="13" s="1"/>
  <c r="BJ32" i="12"/>
  <c r="EQ67" i="12"/>
  <c r="ER57" i="12"/>
  <c r="ES51" i="12"/>
  <c r="G42" i="13" s="1"/>
  <c r="BK32" i="12"/>
  <c r="ER38" i="12"/>
  <c r="AV68" i="12"/>
  <c r="BD40" i="12"/>
  <c r="EQ40" i="12"/>
  <c r="BD28" i="12"/>
  <c r="CH60" i="12"/>
  <c r="AF76" i="12"/>
  <c r="AS76" i="12"/>
  <c r="BI36" i="12"/>
  <c r="BV16" i="12"/>
  <c r="EQ51" i="12"/>
  <c r="ES19" i="12"/>
  <c r="G10" i="13" s="1"/>
  <c r="EQ45" i="12"/>
  <c r="EP76" i="12"/>
  <c r="EO83" i="12"/>
  <c r="BN18" i="12"/>
  <c r="DV75" i="12"/>
  <c r="BG59" i="12"/>
  <c r="BM35" i="12"/>
  <c r="CG29" i="12"/>
  <c r="CE80" i="12"/>
  <c r="BY76" i="12"/>
  <c r="DK72" i="12"/>
  <c r="CP68" i="12"/>
  <c r="BG68" i="12"/>
  <c r="BA64" i="12"/>
  <c r="BD60" i="12"/>
  <c r="CO56" i="12"/>
  <c r="CC52" i="12"/>
  <c r="CB48" i="12"/>
  <c r="BN48" i="12"/>
  <c r="AZ44" i="12"/>
  <c r="DE40" i="12"/>
  <c r="BK40" i="12"/>
  <c r="CD36" i="12"/>
  <c r="BW36" i="12"/>
  <c r="CO32" i="12"/>
  <c r="BX32" i="12"/>
  <c r="CG28" i="12"/>
  <c r="BJ28" i="12"/>
  <c r="BW24" i="12"/>
  <c r="BN24" i="12"/>
  <c r="CD20" i="12"/>
  <c r="DV16" i="12"/>
  <c r="BL16" i="12"/>
  <c r="AV16" i="12"/>
  <c r="BS80" i="12"/>
  <c r="BS20" i="12"/>
  <c r="CJ24" i="12"/>
  <c r="DV56" i="12"/>
  <c r="BM17" i="12"/>
  <c r="BU28" i="12"/>
  <c r="CI36" i="12"/>
  <c r="DV64" i="12"/>
  <c r="AX69" i="12"/>
  <c r="DV53" i="12"/>
  <c r="AZ45" i="12"/>
  <c r="CN37" i="12"/>
  <c r="DV21" i="12"/>
  <c r="AF41" i="12"/>
  <c r="AP45" i="12"/>
  <c r="AV73" i="12"/>
  <c r="BA65" i="12"/>
  <c r="BJ65" i="12"/>
  <c r="CR61" i="12"/>
  <c r="AQ21" i="12"/>
  <c r="AU73" i="12"/>
  <c r="BB69" i="12"/>
  <c r="BN61" i="12"/>
  <c r="BU81" i="12"/>
  <c r="BP73" i="12"/>
  <c r="CB65" i="12"/>
  <c r="AX49" i="12"/>
  <c r="BA41" i="12"/>
  <c r="BA25" i="12"/>
  <c r="AV17" i="12"/>
  <c r="AG77" i="12"/>
  <c r="AQ73" i="12"/>
  <c r="AS37" i="12"/>
  <c r="AV25" i="12"/>
  <c r="BE53" i="12"/>
  <c r="CB41" i="12"/>
  <c r="AQ78" i="12"/>
  <c r="AZ74" i="12"/>
  <c r="AF80" i="12"/>
  <c r="EP29" i="12"/>
  <c r="ER52" i="12"/>
  <c r="BI40" i="12"/>
  <c r="AP76" i="12"/>
  <c r="BF16" i="12"/>
  <c r="EQ60" i="12"/>
  <c r="AG80" i="12"/>
  <c r="AR36" i="12"/>
  <c r="DI56" i="12"/>
  <c r="BO16" i="12"/>
  <c r="EQ35" i="12"/>
  <c r="EQ41" i="12"/>
  <c r="EP32" i="12"/>
  <c r="AQ58" i="12"/>
  <c r="AQ26" i="12"/>
  <c r="BP83" i="12"/>
  <c r="DV47" i="12"/>
  <c r="DG80" i="12"/>
  <c r="BL76" i="12"/>
  <c r="DB72" i="12"/>
  <c r="CB68" i="12"/>
  <c r="BC68" i="12"/>
  <c r="DE60" i="12"/>
  <c r="BA60" i="12"/>
  <c r="CI56" i="12"/>
  <c r="DD52" i="12"/>
  <c r="CU48" i="12"/>
  <c r="BD48" i="12"/>
  <c r="DI44" i="12"/>
  <c r="CL40" i="12"/>
  <c r="BO40" i="12"/>
  <c r="CW36" i="12"/>
  <c r="BL36" i="12"/>
  <c r="CJ32" i="12"/>
  <c r="BI32" i="12"/>
  <c r="CD28" i="12"/>
  <c r="BN28" i="12"/>
  <c r="DF24" i="12"/>
  <c r="BG24" i="12"/>
  <c r="BU20" i="12"/>
  <c r="DG16" i="12"/>
  <c r="BP16" i="12"/>
  <c r="CB69" i="12"/>
  <c r="BW76" i="12"/>
  <c r="CN72" i="12"/>
  <c r="DV44" i="12"/>
  <c r="AP33" i="12"/>
  <c r="BR80" i="12"/>
  <c r="BR20" i="12"/>
  <c r="CG24" i="12"/>
  <c r="BC80" i="12"/>
  <c r="ER22" i="12"/>
  <c r="BW52" i="12"/>
  <c r="BP44" i="12"/>
  <c r="BG40" i="12"/>
  <c r="AP60" i="12"/>
  <c r="BI56" i="12"/>
  <c r="BL44" i="12"/>
  <c r="BB52" i="12"/>
  <c r="ER64" i="12"/>
  <c r="ES16" i="12"/>
  <c r="G7" i="13" s="1"/>
  <c r="EQ23" i="12"/>
  <c r="EP69" i="12"/>
  <c r="EQ37" i="12"/>
  <c r="EP28" i="12"/>
  <c r="EP74" i="12"/>
  <c r="BG26" i="12"/>
  <c r="AR75" i="12"/>
  <c r="BK55" i="12"/>
  <c r="DV31" i="12"/>
  <c r="BJ80" i="12"/>
  <c r="BP76" i="12"/>
  <c r="CQ72" i="12"/>
  <c r="CM68" i="12"/>
  <c r="CJ64" i="12"/>
  <c r="DD60" i="12"/>
  <c r="BJ60" i="12"/>
  <c r="BR56" i="12"/>
  <c r="BL52" i="12"/>
  <c r="CH48" i="12"/>
  <c r="DF44" i="12"/>
  <c r="CL44" i="12"/>
  <c r="CH40" i="12"/>
  <c r="BF40" i="12"/>
  <c r="CP36" i="12"/>
  <c r="BP36" i="12"/>
  <c r="DJ32" i="12"/>
  <c r="BF32" i="12"/>
  <c r="BS28" i="12"/>
  <c r="BF28" i="12"/>
  <c r="CP24" i="12"/>
  <c r="AW24" i="12"/>
  <c r="BN20" i="12"/>
  <c r="CM16" i="12"/>
  <c r="BD16" i="12"/>
  <c r="BS69" i="12"/>
  <c r="BX68" i="12"/>
  <c r="CS60" i="12"/>
  <c r="DV77" i="12"/>
  <c r="AV69" i="12"/>
  <c r="BT76" i="12"/>
  <c r="CS68" i="12"/>
  <c r="CE77" i="12"/>
  <c r="BA69" i="12"/>
  <c r="BR53" i="12"/>
  <c r="AS45" i="12"/>
  <c r="BB37" i="12"/>
  <c r="CG21" i="12"/>
  <c r="AG73" i="12"/>
  <c r="AQ69" i="12"/>
  <c r="AV65" i="12"/>
  <c r="BC45" i="12"/>
  <c r="BL37" i="12"/>
  <c r="DV57" i="12"/>
  <c r="AQ45" i="12"/>
  <c r="AX53" i="12"/>
  <c r="BB57" i="12"/>
  <c r="BR77" i="12"/>
  <c r="BA81" i="12"/>
  <c r="BA73" i="12"/>
  <c r="CO57" i="12"/>
  <c r="CB49" i="12"/>
  <c r="BN33" i="12"/>
  <c r="AR25" i="12"/>
  <c r="DV17" i="12"/>
  <c r="AG49" i="12"/>
  <c r="AQ37" i="12"/>
  <c r="AW69" i="12"/>
  <c r="BC73" i="12"/>
  <c r="BG21" i="12"/>
  <c r="BK48" i="12"/>
  <c r="BR64" i="12"/>
  <c r="ER62" i="12"/>
  <c r="AF60" i="12"/>
  <c r="CS48" i="12"/>
  <c r="AV40" i="12"/>
  <c r="AQ72" i="12"/>
  <c r="BV80" i="12"/>
  <c r="AQ44" i="12"/>
  <c r="BD72" i="12"/>
  <c r="AW32" i="12"/>
  <c r="CY48" i="12"/>
  <c r="ER45" i="12"/>
  <c r="EQ50" i="12"/>
  <c r="EQ29" i="12"/>
  <c r="EP79" i="12"/>
  <c r="EP26" i="12"/>
  <c r="AQ42" i="12"/>
  <c r="AU19" i="12"/>
  <c r="DV71" i="12"/>
  <c r="AU53" i="12"/>
  <c r="BY80" i="12"/>
  <c r="DA76" i="12"/>
  <c r="BP72" i="12"/>
  <c r="CD68" i="12"/>
  <c r="CX64" i="12"/>
  <c r="CO60" i="12"/>
  <c r="CV56" i="12"/>
  <c r="BL56" i="12"/>
  <c r="CB52" i="12"/>
  <c r="BU48" i="12"/>
  <c r="CG44" i="12"/>
  <c r="BS44" i="12"/>
  <c r="BR40" i="12"/>
  <c r="DF36" i="12"/>
  <c r="BR36" i="12"/>
  <c r="DF32" i="12"/>
  <c r="BS32" i="12"/>
  <c r="DG28" i="12"/>
  <c r="BI28" i="12"/>
  <c r="DG24" i="12"/>
  <c r="BI24" i="12"/>
  <c r="CX20" i="12"/>
  <c r="BB20" i="12"/>
  <c r="DK16" i="12"/>
  <c r="DD16" i="12"/>
  <c r="AF65" i="12"/>
  <c r="BS56" i="12"/>
  <c r="CB16" i="12"/>
  <c r="CM40" i="12"/>
  <c r="BO77" i="12"/>
  <c r="AG53" i="12"/>
  <c r="BV64" i="12"/>
  <c r="CP44" i="12"/>
  <c r="BC77" i="12"/>
  <c r="BU61" i="12"/>
  <c r="AW53" i="12"/>
  <c r="BA45" i="12"/>
  <c r="AS52" i="12"/>
  <c r="AQ64" i="12"/>
  <c r="ER46" i="12"/>
  <c r="AF44" i="12"/>
  <c r="CU64" i="12"/>
  <c r="AS40" i="12"/>
  <c r="AS68" i="12"/>
  <c r="BT48" i="12"/>
  <c r="ER36" i="12"/>
  <c r="AF72" i="12"/>
  <c r="EQ48" i="12"/>
  <c r="ER41" i="12"/>
  <c r="EQ46" i="12"/>
  <c r="ES77" i="12"/>
  <c r="G68" i="13" s="1"/>
  <c r="EP67" i="12"/>
  <c r="CL54" i="12"/>
  <c r="AZ75" i="12"/>
  <c r="AQ74" i="12"/>
  <c r="BB77" i="12"/>
  <c r="BK80" i="12"/>
  <c r="CS76" i="12"/>
  <c r="BE72" i="12"/>
  <c r="BR68" i="12"/>
  <c r="CN64" i="12"/>
  <c r="CG60" i="12"/>
  <c r="CN56" i="12"/>
  <c r="BP56" i="12"/>
  <c r="BR52" i="12"/>
  <c r="BY48" i="12"/>
  <c r="CD44" i="12"/>
  <c r="BW44" i="12"/>
  <c r="BV40" i="12"/>
  <c r="DJ36" i="12"/>
  <c r="BV36" i="12"/>
  <c r="DV32" i="12"/>
  <c r="BW32" i="12"/>
  <c r="DF28" i="12"/>
  <c r="BM28" i="12"/>
  <c r="DV24" i="12"/>
  <c r="BM24" i="12"/>
  <c r="CP20" i="12"/>
  <c r="CY20" i="12"/>
  <c r="CY16" i="12"/>
  <c r="CR16" i="12"/>
  <c r="AF21" i="12"/>
  <c r="BS52" i="12"/>
  <c r="CC72" i="12"/>
  <c r="CR28" i="12"/>
  <c r="CV57" i="12"/>
  <c r="AQ57" i="12"/>
  <c r="BX56" i="12"/>
  <c r="CD80" i="12"/>
  <c r="CO36" i="12"/>
  <c r="AW77" i="12"/>
  <c r="BD61" i="12"/>
  <c r="CL53" i="12"/>
  <c r="EN37" i="12"/>
  <c r="BR32" i="12"/>
  <c r="BK52" i="12"/>
  <c r="ES56" i="12"/>
  <c r="G47" i="13" s="1"/>
  <c r="AX48" i="12"/>
  <c r="AV76" i="12"/>
  <c r="AQ68" i="12"/>
  <c r="DE48" i="12"/>
  <c r="EQ59" i="12"/>
  <c r="EQ38" i="12"/>
  <c r="EP24" i="12"/>
  <c r="AZ59" i="12"/>
  <c r="BE51" i="12"/>
  <c r="DV76" i="12"/>
  <c r="BI72" i="12"/>
  <c r="CC64" i="12"/>
  <c r="BM60" i="12"/>
  <c r="DH52" i="12"/>
  <c r="CN48" i="12"/>
  <c r="CC44" i="12"/>
  <c r="CJ40" i="12"/>
  <c r="DE36" i="12"/>
  <c r="BL32" i="12"/>
  <c r="BR28" i="12"/>
  <c r="CX24" i="12"/>
  <c r="CL20" i="12"/>
  <c r="CH16" i="12"/>
  <c r="BE16" i="12"/>
  <c r="BU40" i="12"/>
  <c r="CJ36" i="12"/>
  <c r="AW25" i="12"/>
  <c r="BX52" i="12"/>
  <c r="CD32" i="12"/>
  <c r="BG77" i="12"/>
  <c r="BC61" i="12"/>
  <c r="DV37" i="12"/>
  <c r="AR29" i="12"/>
  <c r="AF69" i="12"/>
  <c r="AP37" i="12"/>
  <c r="AX37" i="12"/>
  <c r="BE81" i="12"/>
  <c r="CB57" i="12"/>
  <c r="AP17" i="12"/>
  <c r="AX61" i="12"/>
  <c r="BB45" i="12"/>
  <c r="CG45" i="12"/>
  <c r="AZ73" i="12"/>
  <c r="CZ65" i="12"/>
  <c r="DV49" i="12"/>
  <c r="AW33" i="12"/>
  <c r="BB25" i="12"/>
  <c r="AF73" i="12"/>
  <c r="AP49" i="12"/>
  <c r="AR17" i="12"/>
  <c r="BA57" i="12"/>
  <c r="BJ33" i="12"/>
  <c r="BF74" i="12"/>
  <c r="AU66" i="12"/>
  <c r="BN34" i="12"/>
  <c r="DV42" i="12"/>
  <c r="AU74" i="12"/>
  <c r="BS82" i="12"/>
  <c r="AF78" i="12"/>
  <c r="AU70" i="12"/>
  <c r="CL80" i="12"/>
  <c r="CL56" i="12"/>
  <c r="CM36" i="12"/>
  <c r="CY64" i="12"/>
  <c r="CU16" i="12"/>
  <c r="DE80" i="12"/>
  <c r="DF76" i="12"/>
  <c r="AF32" i="12"/>
  <c r="AF28" i="12"/>
  <c r="BW56" i="12"/>
  <c r="AX32" i="12"/>
  <c r="AV44" i="12"/>
  <c r="AQ48" i="12"/>
  <c r="BL48" i="12"/>
  <c r="EQ55" i="12"/>
  <c r="EQ22" i="12"/>
  <c r="EP63" i="12"/>
  <c r="EM27" i="12"/>
  <c r="AZ38" i="12"/>
  <c r="AV45" i="12"/>
  <c r="CW76" i="12"/>
  <c r="BM72" i="12"/>
  <c r="BM64" i="12"/>
  <c r="DE56" i="12"/>
  <c r="CV52" i="12"/>
  <c r="CI48" i="12"/>
  <c r="BO44" i="12"/>
  <c r="BS40" i="12"/>
  <c r="CR36" i="12"/>
  <c r="BP32" i="12"/>
  <c r="BW28" i="12"/>
  <c r="CI24" i="12"/>
  <c r="CG20" i="12"/>
  <c r="CE16" i="12"/>
  <c r="BC16" i="12"/>
  <c r="BU36" i="12"/>
  <c r="CO48" i="12"/>
  <c r="BC25" i="12"/>
  <c r="BX48" i="12"/>
  <c r="CG80" i="12"/>
  <c r="AZ77" i="12"/>
  <c r="EN53" i="12"/>
  <c r="CG37" i="12"/>
  <c r="BJ29" i="12"/>
  <c r="AF49" i="12"/>
  <c r="AQ61" i="12"/>
  <c r="AX33" i="12"/>
  <c r="BG73" i="12"/>
  <c r="CC25" i="12"/>
  <c r="AP29" i="12"/>
  <c r="AW49" i="12"/>
  <c r="BC37" i="12"/>
  <c r="DV61" i="12"/>
  <c r="AX73" i="12"/>
  <c r="CR65" i="12"/>
  <c r="BJ49" i="12"/>
  <c r="DV33" i="12"/>
  <c r="CS17" i="12"/>
  <c r="AF45" i="12"/>
  <c r="AP41" i="12"/>
  <c r="AX65" i="12"/>
  <c r="BC49" i="12"/>
  <c r="BW69" i="12"/>
  <c r="AF70" i="12"/>
  <c r="AU54" i="12"/>
  <c r="BT78" i="12"/>
  <c r="DV38" i="12"/>
  <c r="AU62" i="12"/>
  <c r="BT70" i="12"/>
  <c r="AF62" i="12"/>
  <c r="AU50" i="12"/>
  <c r="CR76" i="12"/>
  <c r="CS52" i="12"/>
  <c r="CR32" i="12"/>
  <c r="CY60" i="12"/>
  <c r="DF40" i="12"/>
  <c r="DI80" i="12"/>
  <c r="DJ76" i="12"/>
  <c r="DF68" i="12"/>
  <c r="DG64" i="12"/>
  <c r="DA60" i="12"/>
  <c r="DJ52" i="12"/>
  <c r="DD48" i="12"/>
  <c r="DG40" i="12"/>
  <c r="DB36" i="12"/>
  <c r="CZ32" i="12"/>
  <c r="CM28" i="12"/>
  <c r="DA24" i="12"/>
  <c r="CW20" i="12"/>
  <c r="CW16" i="12"/>
  <c r="DI81" i="12"/>
  <c r="CJ81" i="12"/>
  <c r="CZ77" i="12"/>
  <c r="CL77" i="12"/>
  <c r="CD77" i="12"/>
  <c r="CB73" i="12"/>
  <c r="BX73" i="12"/>
  <c r="CZ69" i="12"/>
  <c r="BI80" i="12"/>
  <c r="AG48" i="12"/>
  <c r="BJ56" i="12"/>
  <c r="AW28" i="12"/>
  <c r="BX36" i="12"/>
  <c r="AQ24" i="12"/>
  <c r="BF48" i="12"/>
  <c r="EP65" i="12"/>
  <c r="EP59" i="12"/>
  <c r="DV19" i="12"/>
  <c r="BF62" i="12"/>
  <c r="BF41" i="12"/>
  <c r="DK80" i="12"/>
  <c r="BD76" i="12"/>
  <c r="BC72" i="12"/>
  <c r="BG64" i="12"/>
  <c r="CS56" i="12"/>
  <c r="CP52" i="12"/>
  <c r="BR48" i="12"/>
  <c r="DV40" i="12"/>
  <c r="BB40" i="12"/>
  <c r="CH36" i="12"/>
  <c r="BE32" i="12"/>
  <c r="BE28" i="12"/>
  <c r="BS24" i="12"/>
  <c r="CE20" i="12"/>
  <c r="BT16" i="12"/>
  <c r="BG33" i="12"/>
  <c r="BV32" i="12"/>
  <c r="CV80" i="12"/>
  <c r="AZ17" i="12"/>
  <c r="BT44" i="12"/>
  <c r="CH64" i="12"/>
  <c r="DV69" i="12"/>
  <c r="CG53" i="12"/>
  <c r="BX37" i="12"/>
  <c r="BG29" i="12"/>
  <c r="AG81" i="12"/>
  <c r="AQ41" i="12"/>
  <c r="AV29" i="12"/>
  <c r="BE49" i="12"/>
  <c r="CG49" i="12"/>
  <c r="AQ53" i="12"/>
  <c r="AX45" i="12"/>
  <c r="BC29" i="12"/>
  <c r="DV29" i="12"/>
  <c r="CJ73" i="12"/>
  <c r="BC65" i="12"/>
  <c r="BA49" i="12"/>
  <c r="CC33" i="12"/>
  <c r="DD17" i="12"/>
  <c r="AF37" i="12"/>
  <c r="AQ65" i="12"/>
  <c r="AW61" i="12"/>
  <c r="BC41" i="12"/>
  <c r="BR49" i="12"/>
  <c r="AF54" i="12"/>
  <c r="AU34" i="12"/>
  <c r="BT54" i="12"/>
  <c r="DV34" i="12"/>
  <c r="AU42" i="12"/>
  <c r="BX34" i="12"/>
  <c r="AF46" i="12"/>
  <c r="AU38" i="12"/>
  <c r="CN76" i="12"/>
  <c r="CO52" i="12"/>
  <c r="CN32" i="12"/>
  <c r="CZ56" i="12"/>
  <c r="DK77" i="12"/>
  <c r="CX80" i="12"/>
  <c r="CV76" i="12"/>
  <c r="DJ68" i="12"/>
  <c r="DK64" i="12"/>
  <c r="EM56" i="12"/>
  <c r="CW52" i="12"/>
  <c r="DH48" i="12"/>
  <c r="DK40" i="12"/>
  <c r="DD36" i="12"/>
  <c r="DD28" i="12"/>
  <c r="CQ28" i="12"/>
  <c r="CN24" i="12"/>
  <c r="DA20" i="12"/>
  <c r="DA16" i="12"/>
  <c r="EO81" i="12"/>
  <c r="CE81" i="12"/>
  <c r="AW52" i="12"/>
  <c r="CP76" i="12"/>
  <c r="AP28" i="12"/>
  <c r="AG16" i="12"/>
  <c r="AU16" i="12"/>
  <c r="ES24" i="12"/>
  <c r="G15" i="13" s="1"/>
  <c r="AX52" i="12"/>
  <c r="AS32" i="12"/>
  <c r="ER33" i="12"/>
  <c r="EQ49" i="12"/>
  <c r="EO38" i="12"/>
  <c r="BT62" i="12"/>
  <c r="AP19" i="12"/>
  <c r="AG61" i="12"/>
  <c r="CM80" i="12"/>
  <c r="DD72" i="12"/>
  <c r="CH68" i="12"/>
  <c r="CO64" i="12"/>
  <c r="CE56" i="12"/>
  <c r="BV52" i="12"/>
  <c r="BJ48" i="12"/>
  <c r="CP40" i="12"/>
  <c r="CN36" i="12"/>
  <c r="BF36" i="12"/>
  <c r="CS32" i="12"/>
  <c r="CX28" i="12"/>
  <c r="AZ24" i="12"/>
  <c r="BX20" i="12"/>
  <c r="CQ16" i="12"/>
  <c r="AR37" i="12"/>
  <c r="CZ40" i="12"/>
  <c r="AS69" i="12"/>
  <c r="BT36" i="12"/>
  <c r="CO24" i="12"/>
  <c r="CG69" i="12"/>
  <c r="BV53" i="12"/>
  <c r="BA37" i="12"/>
  <c r="CS21" i="12"/>
  <c r="AG37" i="12"/>
  <c r="AR73" i="12"/>
  <c r="AW21" i="12"/>
  <c r="BF25" i="12"/>
  <c r="CN45" i="12"/>
  <c r="AS81" i="12"/>
  <c r="AW37" i="12"/>
  <c r="BE65" i="12"/>
  <c r="BG81" i="12"/>
  <c r="BE73" i="12"/>
  <c r="BC57" i="12"/>
  <c r="BL41" i="12"/>
  <c r="BB33" i="12"/>
  <c r="BD17" i="12"/>
  <c r="AG69" i="12"/>
  <c r="AR81" i="12"/>
  <c r="AV53" i="12"/>
  <c r="AZ29" i="12"/>
  <c r="BV21" i="12"/>
  <c r="AF22" i="12"/>
  <c r="AZ62" i="12"/>
  <c r="DV74" i="12"/>
  <c r="DV26" i="12"/>
  <c r="AZ70" i="12"/>
  <c r="EM44" i="12"/>
  <c r="AP22" i="12"/>
  <c r="AZ78" i="12"/>
  <c r="CL72" i="12"/>
  <c r="CP48" i="12"/>
  <c r="CQ25" i="12"/>
  <c r="AX40" i="12"/>
  <c r="ER70" i="12"/>
  <c r="AP48" i="12"/>
  <c r="BA80" i="12"/>
  <c r="BK24" i="12"/>
  <c r="BU16" i="12"/>
  <c r="ER29" i="12"/>
  <c r="EQ33" i="12"/>
  <c r="DV59" i="12"/>
  <c r="AU35" i="12"/>
  <c r="BB73" i="12"/>
  <c r="CS80" i="12"/>
  <c r="DA72" i="12"/>
  <c r="BL68" i="12"/>
  <c r="BX64" i="12"/>
  <c r="CU56" i="12"/>
  <c r="BM52" i="12"/>
  <c r="CS44" i="12"/>
  <c r="CG40" i="12"/>
  <c r="CG36" i="12"/>
  <c r="CL32" i="12"/>
  <c r="CB32" i="12"/>
  <c r="CO28" i="12"/>
  <c r="DK24" i="12"/>
  <c r="BD20" i="12"/>
  <c r="BR16" i="12"/>
  <c r="AS33" i="12"/>
  <c r="DH76" i="12"/>
  <c r="AW65" i="12"/>
  <c r="BU32" i="12"/>
  <c r="CW72" i="12"/>
  <c r="AZ69" i="12"/>
  <c r="BA53" i="12"/>
  <c r="AV37" i="12"/>
  <c r="BL21" i="12"/>
  <c r="AG29" i="12"/>
  <c r="AR69" i="12"/>
  <c r="AW17" i="12"/>
  <c r="BK77" i="12"/>
  <c r="DV25" i="12"/>
  <c r="AS77" i="12"/>
  <c r="AV33" i="12"/>
  <c r="BG53" i="12"/>
  <c r="AX81" i="12"/>
  <c r="CN65" i="12"/>
  <c r="AW57" i="12"/>
  <c r="AZ41" i="12"/>
  <c r="CV25" i="12"/>
  <c r="BB17" i="12"/>
  <c r="AG41" i="12"/>
  <c r="AR77" i="12"/>
  <c r="AV49" i="12"/>
  <c r="BA21" i="12"/>
  <c r="CE73" i="12"/>
  <c r="AQ62" i="12"/>
  <c r="AZ50" i="12"/>
  <c r="DV70" i="12"/>
  <c r="DV22" i="12"/>
  <c r="AZ46" i="12"/>
  <c r="AF74" i="12"/>
  <c r="AP18" i="12"/>
  <c r="AZ58" i="12"/>
  <c r="CR68" i="12"/>
  <c r="CL48" i="12"/>
  <c r="CL24" i="12"/>
  <c r="BK64" i="12"/>
  <c r="ER58" i="12"/>
  <c r="BK28" i="12"/>
  <c r="AU24" i="12"/>
  <c r="BB76" i="12"/>
  <c r="BN16" i="12"/>
  <c r="ER25" i="12"/>
  <c r="ES41" i="12"/>
  <c r="G32" i="13" s="1"/>
  <c r="ES80" i="12"/>
  <c r="G71" i="13" s="1"/>
  <c r="BM36" i="12"/>
  <c r="BO64" i="12"/>
  <c r="EP53" i="12"/>
  <c r="DV35" i="12"/>
  <c r="CM72" i="12"/>
  <c r="CB64" i="12"/>
  <c r="BC56" i="12"/>
  <c r="CW44" i="12"/>
  <c r="CV36" i="12"/>
  <c r="CW32" i="12"/>
  <c r="AZ28" i="12"/>
  <c r="CJ20" i="12"/>
  <c r="BM16" i="12"/>
  <c r="CE60" i="12"/>
  <c r="AF29" i="12"/>
  <c r="CC60" i="12"/>
  <c r="AU61" i="12"/>
  <c r="BF37" i="12"/>
  <c r="AF77" i="12"/>
  <c r="AV77" i="12"/>
  <c r="BK25" i="12"/>
  <c r="AQ25" i="12"/>
  <c r="AZ65" i="12"/>
  <c r="CR73" i="12"/>
  <c r="CG57" i="12"/>
  <c r="BA33" i="12"/>
  <c r="BI17" i="12"/>
  <c r="AR57" i="12"/>
  <c r="AZ37" i="12"/>
  <c r="DV41" i="12"/>
  <c r="BF70" i="12"/>
  <c r="DV18" i="12"/>
  <c r="BN26" i="12"/>
  <c r="AR50" i="12"/>
  <c r="CP64" i="12"/>
  <c r="CS28" i="12"/>
  <c r="DB32" i="12"/>
  <c r="DV80" i="12"/>
  <c r="DI72" i="12"/>
  <c r="CV68" i="12"/>
  <c r="EM60" i="12"/>
  <c r="EM52" i="12"/>
  <c r="CX48" i="12"/>
  <c r="DD40" i="12"/>
  <c r="DK32" i="12"/>
  <c r="DE28" i="12"/>
  <c r="DI24" i="12"/>
  <c r="CO20" i="12"/>
  <c r="EM76" i="12"/>
  <c r="CD81" i="12"/>
  <c r="BT81" i="12"/>
  <c r="BL77" i="12"/>
  <c r="CQ77" i="12"/>
  <c r="CG73" i="12"/>
  <c r="BJ73" i="12"/>
  <c r="EO69" i="12"/>
  <c r="CL69" i="12"/>
  <c r="BR69" i="12"/>
  <c r="BU65" i="12"/>
  <c r="BP65" i="12"/>
  <c r="BD65" i="12"/>
  <c r="BO61" i="12"/>
  <c r="BP61" i="12"/>
  <c r="EM57" i="12"/>
  <c r="CM57" i="12"/>
  <c r="CE57" i="12"/>
  <c r="CH53" i="12"/>
  <c r="BT53" i="12"/>
  <c r="BP53" i="12"/>
  <c r="BK49" i="12"/>
  <c r="EN49" i="12"/>
  <c r="EO45" i="12"/>
  <c r="CI45" i="12"/>
  <c r="BW45" i="12"/>
  <c r="CC41" i="12"/>
  <c r="BV41" i="12"/>
  <c r="CZ37" i="12"/>
  <c r="CQ37" i="12"/>
  <c r="BS37" i="12"/>
  <c r="BR33" i="12"/>
  <c r="BL33" i="12"/>
  <c r="CZ29" i="12"/>
  <c r="EN29" i="12"/>
  <c r="CB29" i="12"/>
  <c r="CR25" i="12"/>
  <c r="BT25" i="12"/>
  <c r="BG25" i="12"/>
  <c r="BF21" i="12"/>
  <c r="CB21" i="12"/>
  <c r="BS17" i="12"/>
  <c r="EN17" i="12"/>
  <c r="EN80" i="12"/>
  <c r="EN74" i="12"/>
  <c r="EM58" i="12"/>
  <c r="EM38" i="12"/>
  <c r="EO18" i="12"/>
  <c r="EO40" i="12"/>
  <c r="EN48" i="12"/>
  <c r="EM71" i="12"/>
  <c r="BR71" i="12"/>
  <c r="BI47" i="12"/>
  <c r="AF23" i="12"/>
  <c r="EN59" i="12"/>
  <c r="EM16" i="12"/>
  <c r="CW77" i="12"/>
  <c r="CW73" i="12"/>
  <c r="CW69" i="12"/>
  <c r="CW65" i="12"/>
  <c r="CW61" i="12"/>
  <c r="CW57" i="12"/>
  <c r="CW53" i="12"/>
  <c r="CW49" i="12"/>
  <c r="DI45" i="12"/>
  <c r="CY45" i="12"/>
  <c r="DK41" i="12"/>
  <c r="DB37" i="12"/>
  <c r="DJ33" i="12"/>
  <c r="CP29" i="12"/>
  <c r="DA25" i="12"/>
  <c r="DI21" i="12"/>
  <c r="CU21" i="12"/>
  <c r="DB17" i="12"/>
  <c r="AV63" i="12"/>
  <c r="BA39" i="12"/>
  <c r="BS19" i="12"/>
  <c r="AF51" i="12"/>
  <c r="AR59" i="12"/>
  <c r="EQ68" i="12"/>
  <c r="AW72" i="12"/>
  <c r="AS24" i="12"/>
  <c r="ER32" i="12"/>
  <c r="EQ42" i="12"/>
  <c r="BS67" i="12"/>
  <c r="CR72" i="12"/>
  <c r="AZ64" i="12"/>
  <c r="CD52" i="12"/>
  <c r="CQ44" i="12"/>
  <c r="CE36" i="12"/>
  <c r="CP32" i="12"/>
  <c r="CS24" i="12"/>
  <c r="BV20" i="12"/>
  <c r="AS65" i="12"/>
  <c r="CC48" i="12"/>
  <c r="AV57" i="12"/>
  <c r="CE44" i="12"/>
  <c r="CN61" i="12"/>
  <c r="CC29" i="12"/>
  <c r="AG45" i="12"/>
  <c r="AU69" i="12"/>
  <c r="BV77" i="12"/>
  <c r="AS61" i="12"/>
  <c r="BB53" i="12"/>
  <c r="BR73" i="12"/>
  <c r="BF57" i="12"/>
  <c r="BU33" i="12"/>
  <c r="BF17" i="12"/>
  <c r="AR53" i="12"/>
  <c r="BD77" i="12"/>
  <c r="BN74" i="12"/>
  <c r="BF66" i="12"/>
  <c r="AF42" i="12"/>
  <c r="CI70" i="12"/>
  <c r="AR38" i="12"/>
  <c r="CL64" i="12"/>
  <c r="CM20" i="12"/>
  <c r="DB28" i="12"/>
  <c r="DB80" i="12"/>
  <c r="CU72" i="12"/>
  <c r="CZ68" i="12"/>
  <c r="DG60" i="12"/>
  <c r="DF52" i="12"/>
  <c r="DB48" i="12"/>
  <c r="DH40" i="12"/>
  <c r="CU32" i="12"/>
  <c r="DI28" i="12"/>
  <c r="CW24" i="12"/>
  <c r="CS20" i="12"/>
  <c r="BW81" i="12"/>
  <c r="BY81" i="12"/>
  <c r="BP77" i="12"/>
  <c r="CI77" i="12"/>
  <c r="BS73" i="12"/>
  <c r="BN73" i="12"/>
  <c r="DK69" i="12"/>
  <c r="CP69" i="12"/>
  <c r="BV69" i="12"/>
  <c r="BY65" i="12"/>
  <c r="EN65" i="12"/>
  <c r="CZ61" i="12"/>
  <c r="BG61" i="12"/>
  <c r="CM61" i="12"/>
  <c r="EN57" i="12"/>
  <c r="CQ57" i="12"/>
  <c r="BT57" i="12"/>
  <c r="CC53" i="12"/>
  <c r="BX53" i="12"/>
  <c r="BD53" i="12"/>
  <c r="BO49" i="12"/>
  <c r="CO49" i="12"/>
  <c r="CO45" i="12"/>
  <c r="CD45" i="12"/>
  <c r="BJ45" i="12"/>
  <c r="BU41" i="12"/>
  <c r="BJ41" i="12"/>
  <c r="EM37" i="12"/>
  <c r="CI37" i="12"/>
  <c r="BW37" i="12"/>
  <c r="BV33" i="12"/>
  <c r="BP33" i="12"/>
  <c r="EM29" i="12"/>
  <c r="CV29" i="12"/>
  <c r="BT29" i="12"/>
  <c r="CH25" i="12"/>
  <c r="BX25" i="12"/>
  <c r="CZ21" i="12"/>
  <c r="DH21" i="12"/>
  <c r="BU21" i="12"/>
  <c r="BK68" i="12"/>
  <c r="AV24" i="12"/>
  <c r="BA32" i="12"/>
  <c r="EP49" i="12"/>
  <c r="EP42" i="12"/>
  <c r="AR62" i="12"/>
  <c r="CJ72" i="12"/>
  <c r="DB60" i="12"/>
  <c r="DV52" i="12"/>
  <c r="CI44" i="12"/>
  <c r="CZ36" i="12"/>
  <c r="BC32" i="12"/>
  <c r="CH24" i="12"/>
  <c r="BK20" i="12"/>
  <c r="AU41" i="12"/>
  <c r="CB36" i="12"/>
  <c r="AX17" i="12"/>
  <c r="CP60" i="12"/>
  <c r="BJ61" i="12"/>
  <c r="BY29" i="12"/>
  <c r="AG21" i="12"/>
  <c r="AU57" i="12"/>
  <c r="BU57" i="12"/>
  <c r="AS57" i="12"/>
  <c r="BE77" i="12"/>
  <c r="BL73" i="12"/>
  <c r="AZ57" i="12"/>
  <c r="BR25" i="12"/>
  <c r="BC17" i="12"/>
  <c r="AR49" i="12"/>
  <c r="BG69" i="12"/>
  <c r="AF38" i="12"/>
  <c r="BN66" i="12"/>
  <c r="AQ66" i="12"/>
  <c r="AF58" i="12"/>
  <c r="AR26" i="12"/>
  <c r="CR60" i="12"/>
  <c r="CN16" i="12"/>
  <c r="CU24" i="12"/>
  <c r="DF80" i="12"/>
  <c r="CY72" i="12"/>
  <c r="DF64" i="12"/>
  <c r="DK60" i="12"/>
  <c r="DA52" i="12"/>
  <c r="DG44" i="12"/>
  <c r="CU40" i="12"/>
  <c r="CY32" i="12"/>
  <c r="CV28" i="12"/>
  <c r="CR24" i="12"/>
  <c r="DE16" i="12"/>
  <c r="EO46" i="12"/>
  <c r="BL81" i="12"/>
  <c r="BJ81" i="12"/>
  <c r="EN77" i="12"/>
  <c r="BU77" i="12"/>
  <c r="BW73" i="12"/>
  <c r="CZ73" i="12"/>
  <c r="CV69" i="12"/>
  <c r="CI69" i="12"/>
  <c r="BK69" i="12"/>
  <c r="BK65" i="12"/>
  <c r="DK65" i="12"/>
  <c r="EM61" i="12"/>
  <c r="EN61" i="12"/>
  <c r="CQ61" i="12"/>
  <c r="CZ57" i="12"/>
  <c r="CI57" i="12"/>
  <c r="BX57" i="12"/>
  <c r="BS53" i="12"/>
  <c r="BK53" i="12"/>
  <c r="DH49" i="12"/>
  <c r="BD49" i="12"/>
  <c r="CS49" i="12"/>
  <c r="CH45" i="12"/>
  <c r="BR45" i="12"/>
  <c r="BN45" i="12"/>
  <c r="BY41" i="12"/>
  <c r="BN41" i="12"/>
  <c r="EO37" i="12"/>
  <c r="CD37" i="12"/>
  <c r="BK37" i="12"/>
  <c r="BK33" i="12"/>
  <c r="EN33" i="12"/>
  <c r="EO29" i="12"/>
  <c r="CQ29" i="12"/>
  <c r="AF48" i="12"/>
  <c r="AP80" i="12"/>
  <c r="BB64" i="12"/>
  <c r="AG44" i="12"/>
  <c r="ES25" i="12"/>
  <c r="G16" i="13" s="1"/>
  <c r="AR43" i="12"/>
  <c r="BL72" i="12"/>
  <c r="DV60" i="12"/>
  <c r="CN52" i="12"/>
  <c r="BR44" i="12"/>
  <c r="CL36" i="12"/>
  <c r="AZ32" i="12"/>
  <c r="DJ24" i="12"/>
  <c r="BO20" i="12"/>
  <c r="AX21" i="12"/>
  <c r="CH80" i="12"/>
  <c r="AZ61" i="12"/>
  <c r="CY52" i="12"/>
  <c r="BF61" i="12"/>
  <c r="BE29" i="12"/>
  <c r="AP21" i="12"/>
  <c r="AX25" i="12"/>
  <c r="BT45" i="12"/>
  <c r="AS53" i="12"/>
  <c r="BF45" i="12"/>
  <c r="BD73" i="12"/>
  <c r="DD49" i="12"/>
  <c r="BO25" i="12"/>
  <c r="AF17" i="12"/>
  <c r="AR45" i="12"/>
  <c r="BE33" i="12"/>
  <c r="AQ46" i="12"/>
  <c r="BN50" i="12"/>
  <c r="AR54" i="12"/>
  <c r="AF26" i="12"/>
  <c r="AU18" i="12"/>
  <c r="CN60" i="12"/>
  <c r="CW80" i="12"/>
  <c r="CU20" i="12"/>
  <c r="DJ80" i="12"/>
  <c r="DF72" i="12"/>
  <c r="DJ64" i="12"/>
  <c r="CW60" i="12"/>
  <c r="DG52" i="12"/>
  <c r="DK44" i="12"/>
  <c r="CY40" i="12"/>
  <c r="DD32" i="12"/>
  <c r="CZ28" i="12"/>
  <c r="EM20" i="12"/>
  <c r="DI16" i="12"/>
  <c r="CB35" i="12"/>
  <c r="DB81" i="12"/>
  <c r="BO81" i="12"/>
  <c r="CP77" i="12"/>
  <c r="BY77" i="12"/>
  <c r="BI73" i="12"/>
  <c r="CM73" i="12"/>
  <c r="CO69" i="12"/>
  <c r="CD69" i="12"/>
  <c r="BO69" i="12"/>
  <c r="BO65" i="12"/>
  <c r="CV65" i="12"/>
  <c r="EO61" i="12"/>
  <c r="DK61" i="12"/>
  <c r="CJ61" i="12"/>
  <c r="CL57" i="12"/>
  <c r="CD57" i="12"/>
  <c r="BK57" i="12"/>
  <c r="BW53" i="12"/>
  <c r="BO53" i="12"/>
  <c r="EO49" i="12"/>
  <c r="CZ49" i="12"/>
  <c r="CJ49" i="12"/>
  <c r="CC45" i="12"/>
  <c r="BV45" i="12"/>
  <c r="BG45" i="12"/>
  <c r="BI41" i="12"/>
  <c r="CZ41" i="12"/>
  <c r="CV37" i="12"/>
  <c r="BR37" i="12"/>
  <c r="BO37" i="12"/>
  <c r="BO33" i="12"/>
  <c r="CV33" i="12"/>
  <c r="DH29" i="12"/>
  <c r="CI29" i="12"/>
  <c r="BI29" i="12"/>
  <c r="BS25" i="12"/>
  <c r="BM25" i="12"/>
  <c r="EO21" i="12"/>
  <c r="CI21" i="12"/>
  <c r="BK21" i="12"/>
  <c r="BN17" i="12"/>
  <c r="CB17" i="12"/>
  <c r="EN72" i="12"/>
  <c r="EN70" i="12"/>
  <c r="EN50" i="12"/>
  <c r="EM34" i="12"/>
  <c r="EO62" i="12"/>
  <c r="EO28" i="12"/>
  <c r="EN36" i="12"/>
  <c r="EM47" i="12"/>
  <c r="EO67" i="12"/>
  <c r="EO43" i="12"/>
  <c r="EO19" i="12"/>
  <c r="EN47" i="12"/>
  <c r="CX81" i="12"/>
  <c r="DI77" i="12"/>
  <c r="DI73" i="12"/>
  <c r="DI69" i="12"/>
  <c r="DI65" i="12"/>
  <c r="DI61" i="12"/>
  <c r="DJ57" i="12"/>
  <c r="DJ53" i="12"/>
  <c r="DF49" i="12"/>
  <c r="CL45" i="12"/>
  <c r="CW41" i="12"/>
  <c r="DE37" i="12"/>
  <c r="CU37" i="12"/>
  <c r="DG33" i="12"/>
  <c r="CX29" i="12"/>
  <c r="DF25" i="12"/>
  <c r="CL21" i="12"/>
  <c r="DE17" i="12"/>
  <c r="DG17" i="12"/>
  <c r="AX39" i="12"/>
  <c r="AF68" i="12"/>
  <c r="AS31" i="12"/>
  <c r="CZ80" i="12"/>
  <c r="DV72" i="12"/>
  <c r="CJ60" i="12"/>
  <c r="AZ52" i="12"/>
  <c r="BG44" i="12"/>
  <c r="CC36" i="12"/>
  <c r="DA28" i="12"/>
  <c r="CB24" i="12"/>
  <c r="BC20" i="12"/>
  <c r="CG68" i="12"/>
  <c r="BE69" i="12"/>
  <c r="DA32" i="12"/>
  <c r="BM53" i="12"/>
  <c r="BA29" i="12"/>
  <c r="AP77" i="12"/>
  <c r="BA77" i="12"/>
  <c r="BU29" i="12"/>
  <c r="AS49" i="12"/>
  <c r="BP69" i="12"/>
  <c r="BV73" i="12"/>
  <c r="BG49" i="12"/>
  <c r="AU25" i="12"/>
  <c r="AG33" i="12"/>
  <c r="AS41" i="12"/>
  <c r="BL69" i="12"/>
  <c r="AQ30" i="12"/>
  <c r="DV78" i="12"/>
  <c r="AR42" i="12"/>
  <c r="AQ22" i="12"/>
  <c r="AZ42" i="12"/>
  <c r="CP56" i="12"/>
  <c r="CX76" i="12"/>
  <c r="CV77" i="12"/>
  <c r="CU80" i="12"/>
  <c r="DJ72" i="12"/>
  <c r="CV64" i="12"/>
  <c r="DF56" i="12"/>
  <c r="DK52" i="12"/>
  <c r="CX44" i="12"/>
  <c r="EM36" i="12"/>
  <c r="DH32" i="12"/>
  <c r="EM24" i="12"/>
  <c r="DD20" i="12"/>
  <c r="CV16" i="12"/>
  <c r="CO59" i="12"/>
  <c r="CM81" i="12"/>
  <c r="EO77" i="12"/>
  <c r="CH77" i="12"/>
  <c r="BJ77" i="12"/>
  <c r="BM73" i="12"/>
  <c r="CQ73" i="12"/>
  <c r="CS69" i="12"/>
  <c r="BU69" i="12"/>
  <c r="BF69" i="12"/>
  <c r="BF65" i="12"/>
  <c r="CM65" i="12"/>
  <c r="DG61" i="12"/>
  <c r="CV61" i="12"/>
  <c r="CE61" i="12"/>
  <c r="CP57" i="12"/>
  <c r="BS57" i="12"/>
  <c r="BO57" i="12"/>
  <c r="BJ53" i="12"/>
  <c r="CV53" i="12"/>
  <c r="EM49" i="12"/>
  <c r="CN49" i="12"/>
  <c r="CE49" i="12"/>
  <c r="BU45" i="12"/>
  <c r="BI45" i="12"/>
  <c r="DH41" i="12"/>
  <c r="BM41" i="12"/>
  <c r="CO41" i="12"/>
  <c r="CO37" i="12"/>
  <c r="BV37" i="12"/>
  <c r="BE37" i="12"/>
  <c r="BD33" i="12"/>
  <c r="CO33" i="12"/>
  <c r="CO29" i="12"/>
  <c r="CE29" i="12"/>
  <c r="BM29" i="12"/>
  <c r="BW25" i="12"/>
  <c r="AP44" i="12"/>
  <c r="AQ20" i="12"/>
  <c r="AU58" i="12"/>
  <c r="AU67" i="12"/>
  <c r="CI80" i="12"/>
  <c r="BV72" i="12"/>
  <c r="BT60" i="12"/>
  <c r="DF48" i="12"/>
  <c r="CW40" i="12"/>
  <c r="BO36" i="12"/>
  <c r="CH28" i="12"/>
  <c r="CC24" i="12"/>
  <c r="AX20" i="12"/>
  <c r="BY64" i="12"/>
  <c r="CX60" i="12"/>
  <c r="DH68" i="12"/>
  <c r="CV45" i="12"/>
  <c r="AW29" i="12"/>
  <c r="AP69" i="12"/>
  <c r="BC69" i="12"/>
  <c r="CG17" i="12"/>
  <c r="AW81" i="12"/>
  <c r="BO45" i="12"/>
  <c r="BX65" i="12"/>
  <c r="AZ49" i="12"/>
  <c r="CG25" i="12"/>
  <c r="AG25" i="12"/>
  <c r="AX57" i="12"/>
  <c r="BI53" i="12"/>
  <c r="AR82" i="12"/>
  <c r="DV66" i="12"/>
  <c r="AR30" i="12"/>
  <c r="AQ50" i="12"/>
  <c r="BF54" i="12"/>
  <c r="CP49" i="12"/>
  <c r="CX72" i="12"/>
  <c r="DD29" i="12"/>
  <c r="CY80" i="12"/>
  <c r="CV72" i="12"/>
  <c r="CZ64" i="12"/>
  <c r="DJ56" i="12"/>
  <c r="CX52" i="12"/>
  <c r="DB44" i="12"/>
  <c r="DG36" i="12"/>
  <c r="CV32" i="12"/>
  <c r="DD24" i="12"/>
  <c r="DH20" i="12"/>
  <c r="CZ16" i="12"/>
  <c r="EM64" i="12"/>
  <c r="CR81" i="12"/>
  <c r="EM77" i="12"/>
  <c r="CC77" i="12"/>
  <c r="BN77" i="12"/>
  <c r="DK73" i="12"/>
  <c r="CI73" i="12"/>
  <c r="CH69" i="12"/>
  <c r="BY69" i="12"/>
  <c r="DG65" i="12"/>
  <c r="CL65" i="12"/>
  <c r="AP68" i="12"/>
  <c r="AW20" i="12"/>
  <c r="EQ63" i="12"/>
  <c r="AW43" i="12"/>
  <c r="AU46" i="12"/>
  <c r="BU80" i="12"/>
  <c r="CO68" i="12"/>
  <c r="BX60" i="12"/>
  <c r="CQ48" i="12"/>
  <c r="CD40" i="12"/>
  <c r="BE36" i="12"/>
  <c r="CE28" i="12"/>
  <c r="BR24" i="12"/>
  <c r="DB16" i="12"/>
  <c r="BS48" i="12"/>
  <c r="CJ56" i="12"/>
  <c r="AW59" i="12"/>
  <c r="BO80" i="12"/>
  <c r="BU56" i="12"/>
  <c r="BA40" i="12"/>
  <c r="BJ24" i="12"/>
  <c r="BX45" i="12"/>
  <c r="AQ33" i="12"/>
  <c r="AF33" i="12"/>
  <c r="CJ77" i="12"/>
  <c r="CG41" i="12"/>
  <c r="AP65" i="12"/>
  <c r="CG65" i="12"/>
  <c r="DV54" i="12"/>
  <c r="AF30" i="12"/>
  <c r="CS40" i="12"/>
  <c r="CU68" i="12"/>
  <c r="DG56" i="12"/>
  <c r="CU44" i="12"/>
  <c r="CY28" i="12"/>
  <c r="CN20" i="12"/>
  <c r="DH37" i="12"/>
  <c r="CS77" i="12"/>
  <c r="EO73" i="12"/>
  <c r="BU73" i="12"/>
  <c r="BN69" i="12"/>
  <c r="CI65" i="12"/>
  <c r="CO61" i="12"/>
  <c r="BW61" i="12"/>
  <c r="BV57" i="12"/>
  <c r="CZ53" i="12"/>
  <c r="CD53" i="12"/>
  <c r="CC49" i="12"/>
  <c r="BI49" i="12"/>
  <c r="BM45" i="12"/>
  <c r="CR41" i="12"/>
  <c r="BW41" i="12"/>
  <c r="BN37" i="12"/>
  <c r="CD33" i="12"/>
  <c r="BI33" i="12"/>
  <c r="BL29" i="12"/>
  <c r="CM25" i="12"/>
  <c r="CJ25" i="12"/>
  <c r="BW21" i="12"/>
  <c r="BY21" i="12"/>
  <c r="CZ17" i="12"/>
  <c r="BP17" i="12"/>
  <c r="EN78" i="12"/>
  <c r="EO58" i="12"/>
  <c r="EO34" i="12"/>
  <c r="EO68" i="12"/>
  <c r="EN68" i="12"/>
  <c r="EM83" i="12"/>
  <c r="CI75" i="12"/>
  <c r="AZ43" i="12"/>
  <c r="EN31" i="12"/>
  <c r="DA81" i="12"/>
  <c r="DH73" i="12"/>
  <c r="DE69" i="12"/>
  <c r="DB65" i="12"/>
  <c r="DJ61" i="12"/>
  <c r="CY57" i="12"/>
  <c r="DI49" i="12"/>
  <c r="DA45" i="12"/>
  <c r="CL41" i="12"/>
  <c r="CL37" i="12"/>
  <c r="CL33" i="12"/>
  <c r="CL29" i="12"/>
  <c r="CP25" i="12"/>
  <c r="DF21" i="12"/>
  <c r="CL17" i="12"/>
  <c r="AP67" i="12"/>
  <c r="BC47" i="12"/>
  <c r="CI47" i="12"/>
  <c r="AF43" i="12"/>
  <c r="BJ31" i="12"/>
  <c r="CC55" i="12"/>
  <c r="CP79" i="12"/>
  <c r="CE79" i="12"/>
  <c r="DG75" i="12"/>
  <c r="CJ75" i="12"/>
  <c r="BS75" i="12"/>
  <c r="DK67" i="12"/>
  <c r="DF67" i="12"/>
  <c r="CB67" i="12"/>
  <c r="DJ59" i="12"/>
  <c r="CP59" i="12"/>
  <c r="BU59" i="12"/>
  <c r="DK51" i="12"/>
  <c r="CQ51" i="12"/>
  <c r="BR51" i="12"/>
  <c r="DK43" i="12"/>
  <c r="CQ43" i="12"/>
  <c r="BW43" i="12"/>
  <c r="BY43" i="12"/>
  <c r="CY31" i="12"/>
  <c r="DJ31" i="12"/>
  <c r="BP31" i="12"/>
  <c r="CO23" i="12"/>
  <c r="DF23" i="12"/>
  <c r="BP23" i="12"/>
  <c r="BJ23" i="12"/>
  <c r="CU19" i="12"/>
  <c r="CM19" i="12"/>
  <c r="BU19" i="12"/>
  <c r="AS83" i="12"/>
  <c r="AW71" i="12"/>
  <c r="AW23" i="12"/>
  <c r="BB47" i="12"/>
  <c r="BG71" i="12"/>
  <c r="BE23" i="12"/>
  <c r="BM63" i="12"/>
  <c r="DF83" i="12"/>
  <c r="DE83" i="12"/>
  <c r="BW83" i="12"/>
  <c r="CP71" i="12"/>
  <c r="CE71" i="12"/>
  <c r="BU71" i="12"/>
  <c r="DA63" i="12"/>
  <c r="CJ63" i="12"/>
  <c r="DG55" i="12"/>
  <c r="CP55" i="12"/>
  <c r="CJ55" i="12"/>
  <c r="DG47" i="12"/>
  <c r="CQ47" i="12"/>
  <c r="CL47" i="12"/>
  <c r="BT47" i="12"/>
  <c r="CY39" i="12"/>
  <c r="CW39" i="12"/>
  <c r="BX39" i="12"/>
  <c r="DB35" i="12"/>
  <c r="CG35" i="12"/>
  <c r="BJ35" i="12"/>
  <c r="BP35" i="12"/>
  <c r="CY27" i="12"/>
  <c r="CW27" i="12"/>
  <c r="DF27" i="12"/>
  <c r="AG71" i="12"/>
  <c r="AU75" i="12"/>
  <c r="AU27" i="12"/>
  <c r="AZ51" i="12"/>
  <c r="BE75" i="12"/>
  <c r="BG27" i="12"/>
  <c r="BK67" i="12"/>
  <c r="BM39" i="12"/>
  <c r="BS23" i="12"/>
  <c r="AQ23" i="12"/>
  <c r="AQ35" i="12"/>
  <c r="AW79" i="12"/>
  <c r="AW31" i="12"/>
  <c r="BB55" i="12"/>
  <c r="BG79" i="12"/>
  <c r="BF31" i="12"/>
  <c r="BN67" i="12"/>
  <c r="BI43" i="12"/>
  <c r="BW27" i="12"/>
  <c r="DJ82" i="12"/>
  <c r="CM82" i="12"/>
  <c r="BU82" i="12"/>
  <c r="CZ78" i="12"/>
  <c r="CN78" i="12"/>
  <c r="BK78" i="12"/>
  <c r="DF74" i="12"/>
  <c r="DB74" i="12"/>
  <c r="CH74" i="12"/>
  <c r="BV74" i="12"/>
  <c r="DG70" i="12"/>
  <c r="CC70" i="12"/>
  <c r="CQ56" i="12"/>
  <c r="BA68" i="12"/>
  <c r="EP80" i="12"/>
  <c r="BF50" i="12"/>
  <c r="BB67" i="12"/>
  <c r="DG76" i="12"/>
  <c r="BF56" i="12"/>
  <c r="BS36" i="12"/>
  <c r="DG20" i="12"/>
  <c r="AU45" i="12"/>
  <c r="AR65" i="12"/>
  <c r="AF25" i="12"/>
  <c r="CO81" i="12"/>
  <c r="BT41" i="12"/>
  <c r="AP57" i="12"/>
  <c r="CG33" i="12"/>
  <c r="DV50" i="12"/>
  <c r="AQ70" i="12"/>
  <c r="CO40" i="12"/>
  <c r="CY68" i="12"/>
  <c r="DK56" i="12"/>
  <c r="CY44" i="12"/>
  <c r="CL28" i="12"/>
  <c r="CR20" i="12"/>
  <c r="EM81" i="12"/>
  <c r="CG77" i="12"/>
  <c r="EM73" i="12"/>
  <c r="BY73" i="12"/>
  <c r="CM69" i="12"/>
  <c r="CD65" i="12"/>
  <c r="CS61" i="12"/>
  <c r="BL61" i="12"/>
  <c r="BI57" i="12"/>
  <c r="EM53" i="12"/>
  <c r="CO53" i="12"/>
  <c r="BS49" i="12"/>
  <c r="BM49" i="12"/>
  <c r="DH45" i="12"/>
  <c r="CH41" i="12"/>
  <c r="BK41" i="12"/>
  <c r="DD37" i="12"/>
  <c r="DD33" i="12"/>
  <c r="BM33" i="12"/>
  <c r="BP29" i="12"/>
  <c r="CD25" i="12"/>
  <c r="CB25" i="12"/>
  <c r="BI21" i="12"/>
  <c r="BO21" i="12"/>
  <c r="CI17" i="12"/>
  <c r="BE17" i="12"/>
  <c r="EO78" i="12"/>
  <c r="EN54" i="12"/>
  <c r="EN30" i="12"/>
  <c r="EO64" i="12"/>
  <c r="EN64" i="12"/>
  <c r="EM79" i="12"/>
  <c r="EO71" i="12"/>
  <c r="CI39" i="12"/>
  <c r="EN83" i="12"/>
  <c r="EN27" i="12"/>
  <c r="DD77" i="12"/>
  <c r="DA73" i="12"/>
  <c r="CX69" i="12"/>
  <c r="DF65" i="12"/>
  <c r="CU61" i="12"/>
  <c r="DE53" i="12"/>
  <c r="DA49" i="12"/>
  <c r="CP45" i="12"/>
  <c r="CP41" i="12"/>
  <c r="CP37" i="12"/>
  <c r="CP33" i="12"/>
  <c r="DF29" i="12"/>
  <c r="DJ25" i="12"/>
  <c r="DJ21" i="12"/>
  <c r="CP17" i="12"/>
  <c r="AV79" i="12"/>
  <c r="BC31" i="12"/>
  <c r="CZ79" i="12"/>
  <c r="AF39" i="12"/>
  <c r="BD71" i="12"/>
  <c r="BV71" i="12"/>
  <c r="DG79" i="12"/>
  <c r="CJ79" i="12"/>
  <c r="BR79" i="12"/>
  <c r="DK75" i="12"/>
  <c r="DF75" i="12"/>
  <c r="BW75" i="12"/>
  <c r="CX67" i="12"/>
  <c r="CV67" i="12"/>
  <c r="BT67" i="12"/>
  <c r="DG59" i="12"/>
  <c r="CG59" i="12"/>
  <c r="BY59" i="12"/>
  <c r="DD51" i="12"/>
  <c r="CG51" i="12"/>
  <c r="BV51" i="12"/>
  <c r="DD43" i="12"/>
  <c r="CG43" i="12"/>
  <c r="CI43" i="12"/>
  <c r="DG31" i="12"/>
  <c r="CL31" i="12"/>
  <c r="CW31" i="12"/>
  <c r="CD31" i="12"/>
  <c r="CS23" i="12"/>
  <c r="CV23" i="12"/>
  <c r="CZ23" i="12"/>
  <c r="BN23" i="12"/>
  <c r="CY19" i="12"/>
  <c r="CI19" i="12"/>
  <c r="BY19" i="12"/>
  <c r="AR79" i="12"/>
  <c r="AX67" i="12"/>
  <c r="AX19" i="12"/>
  <c r="BC43" i="12"/>
  <c r="BD67" i="12"/>
  <c r="BE19" i="12"/>
  <c r="BI63" i="12"/>
  <c r="BW63" i="12"/>
  <c r="DK83" i="12"/>
  <c r="CM83" i="12"/>
  <c r="DG71" i="12"/>
  <c r="CJ71" i="12"/>
  <c r="BS71" i="12"/>
  <c r="BY71" i="12"/>
  <c r="CB56" i="12"/>
  <c r="AZ60" i="12"/>
  <c r="AS63" i="12"/>
  <c r="DB76" i="12"/>
  <c r="BV56" i="12"/>
  <c r="CQ32" i="12"/>
  <c r="CH20" i="12"/>
  <c r="BD45" i="12"/>
  <c r="AR33" i="12"/>
  <c r="AG65" i="12"/>
  <c r="BK81" i="12"/>
  <c r="BP41" i="12"/>
  <c r="AQ29" i="12"/>
  <c r="CN29" i="12"/>
  <c r="DV46" i="12"/>
  <c r="AQ54" i="12"/>
  <c r="CS37" i="12"/>
  <c r="DG68" i="12"/>
  <c r="CX56" i="12"/>
  <c r="CX40" i="12"/>
  <c r="CP28" i="12"/>
  <c r="DE20" i="12"/>
  <c r="CW81" i="12"/>
  <c r="CB77" i="12"/>
  <c r="EN73" i="12"/>
  <c r="BK73" i="12"/>
  <c r="CQ69" i="12"/>
  <c r="BR65" i="12"/>
  <c r="CH61" i="12"/>
  <c r="BT61" i="12"/>
  <c r="BM57" i="12"/>
  <c r="EO53" i="12"/>
  <c r="CS53" i="12"/>
  <c r="BW49" i="12"/>
  <c r="BF49" i="12"/>
  <c r="CM45" i="12"/>
  <c r="BG41" i="12"/>
  <c r="BO41" i="12"/>
  <c r="CM37" i="12"/>
  <c r="CN33" i="12"/>
  <c r="BF33" i="12"/>
  <c r="CM29" i="12"/>
  <c r="BL25" i="12"/>
  <c r="BU25" i="12"/>
  <c r="BM21" i="12"/>
  <c r="BD21" i="12"/>
  <c r="CE17" i="12"/>
  <c r="EN21" i="12"/>
  <c r="EM78" i="12"/>
  <c r="EM54" i="12"/>
  <c r="EM30" i="12"/>
  <c r="EO60" i="12"/>
  <c r="EN60" i="12"/>
  <c r="EM75" i="12"/>
  <c r="BM67" i="12"/>
  <c r="EO39" i="12"/>
  <c r="EN79" i="12"/>
  <c r="EN23" i="12"/>
  <c r="DH77" i="12"/>
  <c r="DE73" i="12"/>
  <c r="DB69" i="12"/>
  <c r="DJ65" i="12"/>
  <c r="CY61" i="12"/>
  <c r="DI53" i="12"/>
  <c r="CL49" i="12"/>
  <c r="DF45" i="12"/>
  <c r="DF41" i="12"/>
  <c r="DF37" i="12"/>
  <c r="DF33" i="12"/>
  <c r="DJ29" i="12"/>
  <c r="CX25" i="12"/>
  <c r="CX21" i="12"/>
  <c r="DF17" i="12"/>
  <c r="AX71" i="12"/>
  <c r="BA23" i="12"/>
  <c r="DI63" i="12"/>
  <c r="AF35" i="12"/>
  <c r="BF63" i="12"/>
  <c r="BV39" i="12"/>
  <c r="DK79" i="12"/>
  <c r="DF79" i="12"/>
  <c r="BV79" i="12"/>
  <c r="CX75" i="12"/>
  <c r="CV75" i="12"/>
  <c r="CB75" i="12"/>
  <c r="DB67" i="12"/>
  <c r="CM67" i="12"/>
  <c r="BX67" i="12"/>
  <c r="DK59" i="12"/>
  <c r="CE59" i="12"/>
  <c r="CI59" i="12"/>
  <c r="DH51" i="12"/>
  <c r="CE51" i="12"/>
  <c r="DF51" i="12"/>
  <c r="DH43" i="12"/>
  <c r="CE43" i="12"/>
  <c r="CB43" i="12"/>
  <c r="DK31" i="12"/>
  <c r="CP31" i="12"/>
  <c r="CM31" i="12"/>
  <c r="BR31" i="12"/>
  <c r="DE23" i="12"/>
  <c r="CR23" i="12"/>
  <c r="CN23" i="12"/>
  <c r="DG19" i="12"/>
  <c r="CL19" i="12"/>
  <c r="CZ19" i="12"/>
  <c r="BI19" i="12"/>
  <c r="AS67" i="12"/>
  <c r="AU63" i="12"/>
  <c r="AZ39" i="12"/>
  <c r="BE63" i="12"/>
  <c r="BM59" i="12"/>
  <c r="BT59" i="12"/>
  <c r="CW83" i="12"/>
  <c r="CR83" i="12"/>
  <c r="DK71" i="12"/>
  <c r="DF71" i="12"/>
  <c r="BW71" i="12"/>
  <c r="DF63" i="12"/>
  <c r="BC40" i="12"/>
  <c r="BJ76" i="12"/>
  <c r="AS73" i="12"/>
  <c r="CO76" i="12"/>
  <c r="CJ48" i="12"/>
  <c r="CG32" i="12"/>
  <c r="BT20" i="12"/>
  <c r="DH56" i="12"/>
  <c r="CB72" i="12"/>
  <c r="BD37" i="12"/>
  <c r="AS29" i="12"/>
  <c r="AG57" i="12"/>
  <c r="CN73" i="12"/>
  <c r="CZ33" i="12"/>
  <c r="AR61" i="12"/>
  <c r="DV73" i="12"/>
  <c r="DV30" i="12"/>
  <c r="AQ38" i="12"/>
  <c r="CQ36" i="12"/>
  <c r="EO80" i="12"/>
  <c r="DK68" i="12"/>
  <c r="DB56" i="12"/>
  <c r="DB40" i="12"/>
  <c r="EM28" i="12"/>
  <c r="DI20" i="12"/>
  <c r="CQ81" i="12"/>
  <c r="BS77" i="12"/>
  <c r="CO73" i="12"/>
  <c r="BO73" i="12"/>
  <c r="CJ69" i="12"/>
  <c r="BV65" i="12"/>
  <c r="CC61" i="12"/>
  <c r="BX61" i="12"/>
  <c r="BE57" i="12"/>
  <c r="DD53" i="12"/>
  <c r="CJ53" i="12"/>
  <c r="CR49" i="12"/>
  <c r="CZ45" i="12"/>
  <c r="CR45" i="12"/>
  <c r="CV41" i="12"/>
  <c r="BE41" i="12"/>
  <c r="CR37" i="12"/>
  <c r="CS33" i="12"/>
  <c r="CH29" i="12"/>
  <c r="CR29" i="12"/>
  <c r="BP25" i="12"/>
  <c r="BY25" i="12"/>
  <c r="CQ21" i="12"/>
  <c r="DH17" i="12"/>
  <c r="BT17" i="12"/>
  <c r="EO74" i="12"/>
  <c r="EO50" i="12"/>
  <c r="EN26" i="12"/>
  <c r="EO56" i="12"/>
  <c r="EN56" i="12"/>
  <c r="EM63" i="12"/>
  <c r="CZ63" i="12"/>
  <c r="BI35" i="12"/>
  <c r="EN75" i="12"/>
  <c r="EN19" i="12"/>
  <c r="DA77" i="12"/>
  <c r="CX73" i="12"/>
  <c r="DF69" i="12"/>
  <c r="CU65" i="12"/>
  <c r="DE57" i="12"/>
  <c r="DA53" i="12"/>
  <c r="DJ49" i="12"/>
  <c r="DJ45" i="12"/>
  <c r="DJ41" i="12"/>
  <c r="DJ37" i="12"/>
  <c r="CX33" i="12"/>
  <c r="DB29" i="12"/>
  <c r="DB25" i="12"/>
  <c r="DB21" i="12"/>
  <c r="DJ17" i="12"/>
  <c r="AX55" i="12"/>
  <c r="AG35" i="12"/>
  <c r="AF31" i="12"/>
  <c r="BD55" i="12"/>
  <c r="CX79" i="12"/>
  <c r="CV79" i="12"/>
  <c r="CO79" i="12"/>
  <c r="DB75" i="12"/>
  <c r="CM75" i="12"/>
  <c r="BT75" i="12"/>
  <c r="DD67" i="12"/>
  <c r="CQ67" i="12"/>
  <c r="CI67" i="12"/>
  <c r="CX59" i="12"/>
  <c r="DI59" i="12"/>
  <c r="CB59" i="12"/>
  <c r="CX51" i="12"/>
  <c r="CV51" i="12"/>
  <c r="CI51" i="12"/>
  <c r="CX43" i="12"/>
  <c r="CV43" i="12"/>
  <c r="BT43" i="12"/>
  <c r="DD31" i="12"/>
  <c r="DA31" i="12"/>
  <c r="CJ31" i="12"/>
  <c r="BV31" i="12"/>
  <c r="DI23" i="12"/>
  <c r="CH23" i="12"/>
  <c r="CJ23" i="12"/>
  <c r="DK19" i="12"/>
  <c r="CP19" i="12"/>
  <c r="CN19" i="12"/>
  <c r="BM19" i="12"/>
  <c r="AR63" i="12"/>
  <c r="AV59" i="12"/>
  <c r="BC83" i="12"/>
  <c r="BA35" i="12"/>
  <c r="BF59" i="12"/>
  <c r="BO83" i="12"/>
  <c r="BI59" i="12"/>
  <c r="BY51" i="12"/>
  <c r="DB83" i="12"/>
  <c r="CI83" i="12"/>
  <c r="CX71" i="12"/>
  <c r="CV71" i="12"/>
  <c r="DJ71" i="12"/>
  <c r="DJ63" i="12"/>
  <c r="CG63" i="12"/>
  <c r="BX63" i="12"/>
  <c r="DH55" i="12"/>
  <c r="DF55" i="12"/>
  <c r="BY55" i="12"/>
  <c r="DH47" i="12"/>
  <c r="DF47" i="12"/>
  <c r="BR47" i="12"/>
  <c r="DK39" i="12"/>
  <c r="DA39" i="12"/>
  <c r="CJ39" i="12"/>
  <c r="CB39" i="12"/>
  <c r="DE35" i="12"/>
  <c r="CR35" i="12"/>
  <c r="CD35" i="12"/>
  <c r="DD27" i="12"/>
  <c r="DJ27" i="12"/>
  <c r="CD27" i="12"/>
  <c r="CJ27" i="12"/>
  <c r="AP55" i="12"/>
  <c r="AR67" i="12"/>
  <c r="AX63" i="12"/>
  <c r="BC39" i="12"/>
  <c r="BD63" i="12"/>
  <c r="BP59" i="12"/>
  <c r="CD75" i="12"/>
  <c r="AG47" i="12"/>
  <c r="AQ71" i="12"/>
  <c r="AS75" i="12"/>
  <c r="AV67" i="12"/>
  <c r="AV19" i="12"/>
  <c r="BA43" i="12"/>
  <c r="BF67" i="12"/>
  <c r="BG19" i="12"/>
  <c r="BK63" i="12"/>
  <c r="BK19" i="12"/>
  <c r="CD59" i="12"/>
  <c r="DK82" i="12"/>
  <c r="DB82" i="12"/>
  <c r="BW82" i="12"/>
  <c r="CW78" i="12"/>
  <c r="CD78" i="12"/>
  <c r="CB78" i="12"/>
  <c r="CY74" i="12"/>
  <c r="CJ74" i="12"/>
  <c r="CB74" i="12"/>
  <c r="CP74" i="12"/>
  <c r="CZ70" i="12"/>
  <c r="AW68" i="12"/>
  <c r="BO68" i="12"/>
  <c r="AZ21" i="12"/>
  <c r="CB76" i="12"/>
  <c r="CE48" i="12"/>
  <c r="CE32" i="12"/>
  <c r="BW16" i="12"/>
  <c r="DF20" i="12"/>
  <c r="DJ48" i="12"/>
  <c r="BB29" i="12"/>
  <c r="BC53" i="12"/>
  <c r="AU77" i="12"/>
  <c r="BN65" i="12"/>
  <c r="BV25" i="12"/>
  <c r="AW45" i="12"/>
  <c r="AR70" i="12"/>
  <c r="AU30" i="12"/>
  <c r="BN58" i="12"/>
  <c r="CX68" i="12"/>
  <c r="DE76" i="12"/>
  <c r="CW64" i="12"/>
  <c r="DB52" i="12"/>
  <c r="DK36" i="12"/>
  <c r="DH24" i="12"/>
  <c r="CO16" i="12"/>
  <c r="CI81" i="12"/>
  <c r="BW77" i="12"/>
  <c r="CS73" i="12"/>
  <c r="EM69" i="12"/>
  <c r="CE69" i="12"/>
  <c r="BL65" i="12"/>
  <c r="BR61" i="12"/>
  <c r="BI61" i="12"/>
  <c r="BW57" i="12"/>
  <c r="CM53" i="12"/>
  <c r="CE53" i="12"/>
  <c r="CI49" i="12"/>
  <c r="EM45" i="12"/>
  <c r="CJ45" i="12"/>
  <c r="CN41" i="12"/>
  <c r="CH37" i="12"/>
  <c r="CJ37" i="12"/>
  <c r="CI33" i="12"/>
  <c r="CD29" i="12"/>
  <c r="CJ29" i="12"/>
  <c r="BE25" i="12"/>
  <c r="BJ25" i="12"/>
  <c r="CE21" i="12"/>
  <c r="EO17" i="12"/>
  <c r="BX17" i="12"/>
  <c r="EM74" i="12"/>
  <c r="EM50" i="12"/>
  <c r="EO26" i="12"/>
  <c r="EO52" i="12"/>
  <c r="EN52" i="12"/>
  <c r="EM55" i="12"/>
  <c r="EO63" i="12"/>
  <c r="EO35" i="12"/>
  <c r="EN71" i="12"/>
  <c r="DE77" i="12"/>
  <c r="DB73" i="12"/>
  <c r="DJ69" i="12"/>
  <c r="CY65" i="12"/>
  <c r="DI57" i="12"/>
  <c r="DF53" i="12"/>
  <c r="CX49" i="12"/>
  <c r="CX45" i="12"/>
  <c r="CX41" i="12"/>
  <c r="CX37" i="12"/>
  <c r="DB33" i="12"/>
  <c r="DG29" i="12"/>
  <c r="DG25" i="12"/>
  <c r="CM21" i="12"/>
  <c r="CX17" i="12"/>
  <c r="AV47" i="12"/>
  <c r="BE31" i="12"/>
  <c r="AF79" i="12"/>
  <c r="AF27" i="12"/>
  <c r="BF47" i="12"/>
  <c r="BB35" i="12"/>
  <c r="DB79" i="12"/>
  <c r="CM79" i="12"/>
  <c r="CI79" i="12"/>
  <c r="DD75" i="12"/>
  <c r="CQ75" i="12"/>
  <c r="BX75" i="12"/>
  <c r="DH67" i="12"/>
  <c r="CH67" i="12"/>
  <c r="CC67" i="12"/>
  <c r="DB59" i="12"/>
  <c r="CV59" i="12"/>
  <c r="BR59" i="12"/>
  <c r="DB51" i="12"/>
  <c r="CN51" i="12"/>
  <c r="CD51" i="12"/>
  <c r="DB43" i="12"/>
  <c r="CN43" i="12"/>
  <c r="BX43" i="12"/>
  <c r="DH31" i="12"/>
  <c r="CQ31" i="12"/>
  <c r="BT31" i="12"/>
  <c r="BI31" i="12"/>
  <c r="CU23" i="12"/>
  <c r="CB23" i="12"/>
  <c r="CC23" i="12"/>
  <c r="DD19" i="12"/>
  <c r="DJ19" i="12"/>
  <c r="CJ19" i="12"/>
  <c r="CC19" i="12"/>
  <c r="AS51" i="12"/>
  <c r="AW55" i="12"/>
  <c r="AF16" i="12"/>
  <c r="BP57" i="12"/>
  <c r="CE68" i="12"/>
  <c r="BM48" i="12"/>
  <c r="DE32" i="12"/>
  <c r="BB16" i="12"/>
  <c r="CN77" i="12"/>
  <c r="CR77" i="12"/>
  <c r="BB21" i="12"/>
  <c r="AZ33" i="12"/>
  <c r="AX41" i="12"/>
  <c r="BG65" i="12"/>
  <c r="BD25" i="12"/>
  <c r="AW41" i="12"/>
  <c r="AR58" i="12"/>
  <c r="AZ30" i="12"/>
  <c r="BT46" i="12"/>
  <c r="CZ52" i="12"/>
  <c r="DI76" i="12"/>
  <c r="DA64" i="12"/>
  <c r="EM48" i="12"/>
  <c r="CX36" i="12"/>
  <c r="CV24" i="12"/>
  <c r="CS16" i="12"/>
  <c r="BS81" i="12"/>
  <c r="BT77" i="12"/>
  <c r="CV73" i="12"/>
  <c r="CC69" i="12"/>
  <c r="EO65" i="12"/>
  <c r="CQ65" i="12"/>
  <c r="BV61" i="12"/>
  <c r="BM61" i="12"/>
  <c r="BJ57" i="12"/>
  <c r="CQ53" i="12"/>
  <c r="BU53" i="12"/>
  <c r="CD49" i="12"/>
  <c r="BY45" i="12"/>
  <c r="CE45" i="12"/>
  <c r="CS41" i="12"/>
  <c r="CC37" i="12"/>
  <c r="CE37" i="12"/>
  <c r="CE33" i="12"/>
  <c r="BR29" i="12"/>
  <c r="BX29" i="12"/>
  <c r="CN25" i="12"/>
  <c r="BN25" i="12"/>
  <c r="BT21" i="12"/>
  <c r="EM17" i="12"/>
  <c r="BK17" i="12"/>
  <c r="EN76" i="12"/>
  <c r="EM70" i="12"/>
  <c r="EN46" i="12"/>
  <c r="EM26" i="12"/>
  <c r="EO48" i="12"/>
  <c r="EN44" i="12"/>
  <c r="EM39" i="12"/>
  <c r="BX59" i="12"/>
  <c r="CN31" i="12"/>
  <c r="EN67" i="12"/>
  <c r="DE81" i="12"/>
  <c r="CX77" i="12"/>
  <c r="DF73" i="12"/>
  <c r="CU69" i="12"/>
  <c r="DD61" i="12"/>
  <c r="DA57" i="12"/>
  <c r="CX53" i="12"/>
  <c r="DB49" i="12"/>
  <c r="DB45" i="12"/>
  <c r="DB41" i="12"/>
  <c r="DG37" i="12"/>
  <c r="DK33" i="12"/>
  <c r="DK29" i="12"/>
  <c r="DK25" i="12"/>
  <c r="DG21" i="12"/>
  <c r="CM17" i="12"/>
  <c r="AV31" i="12"/>
  <c r="BF19" i="12"/>
  <c r="AF75" i="12"/>
  <c r="AF19" i="12"/>
  <c r="BD39" i="12"/>
  <c r="ER80" i="12"/>
  <c r="ER37" i="12"/>
  <c r="BS68" i="12"/>
  <c r="BV48" i="12"/>
  <c r="CN28" i="12"/>
  <c r="CD16" i="12"/>
  <c r="CS57" i="12"/>
  <c r="BF77" i="12"/>
  <c r="AU21" i="12"/>
  <c r="AZ25" i="12"/>
  <c r="AU29" i="12"/>
  <c r="BB65" i="12"/>
  <c r="BR17" i="12"/>
  <c r="AU37" i="12"/>
  <c r="AR18" i="12"/>
  <c r="BF78" i="12"/>
  <c r="CB70" i="12"/>
  <c r="CZ48" i="12"/>
  <c r="CU76" i="12"/>
  <c r="DF60" i="12"/>
  <c r="DG48" i="12"/>
  <c r="DH36" i="12"/>
  <c r="CZ24" i="12"/>
  <c r="DF16" i="12"/>
  <c r="BX81" i="12"/>
  <c r="BX77" i="12"/>
  <c r="CL73" i="12"/>
  <c r="BT69" i="12"/>
  <c r="EM65" i="12"/>
  <c r="CJ65" i="12"/>
  <c r="BK61" i="12"/>
  <c r="BE61" i="12"/>
  <c r="BN57" i="12"/>
  <c r="BN53" i="12"/>
  <c r="BY53" i="12"/>
  <c r="BT49" i="12"/>
  <c r="BL45" i="12"/>
  <c r="BN40" i="12"/>
  <c r="CR69" i="12"/>
  <c r="AF61" i="12"/>
  <c r="AS17" i="12"/>
  <c r="AZ18" i="12"/>
  <c r="CN44" i="12"/>
  <c r="CZ72" i="12"/>
  <c r="CU36" i="12"/>
  <c r="CP16" i="12"/>
  <c r="DG73" i="12"/>
  <c r="CS65" i="12"/>
  <c r="CD61" i="12"/>
  <c r="BF53" i="12"/>
  <c r="BP49" i="12"/>
  <c r="DD41" i="12"/>
  <c r="BG37" i="12"/>
  <c r="BT33" i="12"/>
  <c r="EN25" i="12"/>
  <c r="CD21" i="12"/>
  <c r="BJ17" i="12"/>
  <c r="EO76" i="12"/>
  <c r="EO42" i="12"/>
  <c r="EO32" i="12"/>
  <c r="EM19" i="12"/>
  <c r="EO27" i="12"/>
  <c r="DJ81" i="12"/>
  <c r="DJ73" i="12"/>
  <c r="DH61" i="12"/>
  <c r="DB53" i="12"/>
  <c r="DG45" i="12"/>
  <c r="DK37" i="12"/>
  <c r="CU29" i="12"/>
  <c r="DK21" i="12"/>
  <c r="AX23" i="12"/>
  <c r="BK47" i="12"/>
  <c r="AR27" i="12"/>
  <c r="CG79" i="12"/>
  <c r="BX79" i="12"/>
  <c r="CR75" i="12"/>
  <c r="DE67" i="12"/>
  <c r="BU67" i="12"/>
  <c r="DA59" i="12"/>
  <c r="CC59" i="12"/>
  <c r="CH51" i="12"/>
  <c r="DG43" i="12"/>
  <c r="CS43" i="12"/>
  <c r="CO31" i="12"/>
  <c r="BX31" i="12"/>
  <c r="CX23" i="12"/>
  <c r="CI23" i="12"/>
  <c r="CX19" i="12"/>
  <c r="CW19" i="12"/>
  <c r="AG55" i="12"/>
  <c r="AV43" i="12"/>
  <c r="AZ55" i="12"/>
  <c r="BE47" i="12"/>
  <c r="BL71" i="12"/>
  <c r="BR39" i="12"/>
  <c r="CO83" i="12"/>
  <c r="DB71" i="12"/>
  <c r="CW71" i="12"/>
  <c r="DG63" i="12"/>
  <c r="CQ63" i="12"/>
  <c r="CS63" i="12"/>
  <c r="DA55" i="12"/>
  <c r="CD55" i="12"/>
  <c r="CX47" i="12"/>
  <c r="CR47" i="12"/>
  <c r="BW47" i="12"/>
  <c r="DI39" i="12"/>
  <c r="CM39" i="12"/>
  <c r="BU39" i="12"/>
  <c r="CY35" i="12"/>
  <c r="CN35" i="12"/>
  <c r="BY35" i="12"/>
  <c r="CL27" i="12"/>
  <c r="BT27" i="12"/>
  <c r="BI27" i="12"/>
  <c r="AP75" i="12"/>
  <c r="AR19" i="12"/>
  <c r="AX31" i="12"/>
  <c r="BA47" i="12"/>
  <c r="BE59" i="12"/>
  <c r="BN79" i="12"/>
  <c r="BM51" i="12"/>
  <c r="BU51" i="12"/>
  <c r="CZ47" i="12"/>
  <c r="AQ19" i="12"/>
  <c r="AQ27" i="12"/>
  <c r="AX59" i="12"/>
  <c r="BA75" i="12"/>
  <c r="BC19" i="12"/>
  <c r="BE35" i="12"/>
  <c r="BO63" i="12"/>
  <c r="BY79" i="12"/>
  <c r="CO67" i="12"/>
  <c r="CQ82" i="12"/>
  <c r="BO82" i="12"/>
  <c r="DH78" i="12"/>
  <c r="CO78" i="12"/>
  <c r="BP78" i="12"/>
  <c r="DH74" i="12"/>
  <c r="CS74" i="12"/>
  <c r="BP74" i="12"/>
  <c r="DH70" i="12"/>
  <c r="CD70" i="12"/>
  <c r="BV70" i="12"/>
  <c r="DK66" i="12"/>
  <c r="CN66" i="12"/>
  <c r="BY66" i="12"/>
  <c r="BW66" i="12"/>
  <c r="DH62" i="12"/>
  <c r="CG62" i="12"/>
  <c r="CI62" i="12"/>
  <c r="CU58" i="12"/>
  <c r="CQ58" i="12"/>
  <c r="CI58" i="12"/>
  <c r="BS58" i="12"/>
  <c r="DD54" i="12"/>
  <c r="CR54" i="12"/>
  <c r="BO54" i="12"/>
  <c r="CY50" i="12"/>
  <c r="CQ50" i="12"/>
  <c r="BU50" i="12"/>
  <c r="CB50" i="12"/>
  <c r="DK46" i="12"/>
  <c r="CQ46" i="12"/>
  <c r="BK46" i="12"/>
  <c r="BM46" i="12"/>
  <c r="EQ76" i="12"/>
  <c r="BE40" i="12"/>
  <c r="CB61" i="12"/>
  <c r="AF53" i="12"/>
  <c r="CC17" i="12"/>
  <c r="DV62" i="12"/>
  <c r="DA44" i="12"/>
  <c r="EM68" i="12"/>
  <c r="CY36" i="12"/>
  <c r="CP73" i="12"/>
  <c r="CH65" i="12"/>
  <c r="BS61" i="12"/>
  <c r="DH53" i="12"/>
  <c r="BU49" i="12"/>
  <c r="CM41" i="12"/>
  <c r="BJ37" i="12"/>
  <c r="BX33" i="12"/>
  <c r="CZ25" i="12"/>
  <c r="BS21" i="12"/>
  <c r="BG17" i="12"/>
  <c r="EN82" i="12"/>
  <c r="EM42" i="12"/>
  <c r="EO24" i="12"/>
  <c r="EO79" i="12"/>
  <c r="EO23" i="12"/>
  <c r="DF81" i="12"/>
  <c r="CU73" i="12"/>
  <c r="DA61" i="12"/>
  <c r="DG53" i="12"/>
  <c r="DK45" i="12"/>
  <c r="CY37" i="12"/>
  <c r="CY29" i="12"/>
  <c r="CY21" i="12"/>
  <c r="AF71" i="12"/>
  <c r="BL75" i="12"/>
  <c r="DI79" i="12"/>
  <c r="DH75" i="12"/>
  <c r="CS75" i="12"/>
  <c r="DA67" i="12"/>
  <c r="BY67" i="12"/>
  <c r="CL59" i="12"/>
  <c r="BS59" i="12"/>
  <c r="CW51" i="12"/>
  <c r="DE43" i="12"/>
  <c r="DF43" i="12"/>
  <c r="CS31" i="12"/>
  <c r="BK31" i="12"/>
  <c r="DB23" i="12"/>
  <c r="BT23" i="12"/>
  <c r="DB19" i="12"/>
  <c r="CE19" i="12"/>
  <c r="AP71" i="12"/>
  <c r="AW39" i="12"/>
  <c r="BA51" i="12"/>
  <c r="BF43" i="12"/>
  <c r="BP67" i="12"/>
  <c r="BW31" i="12"/>
  <c r="CJ83" i="12"/>
  <c r="DD71" i="12"/>
  <c r="CN71" i="12"/>
  <c r="DK63" i="12"/>
  <c r="CH63" i="12"/>
  <c r="CD63" i="12"/>
  <c r="CL55" i="12"/>
  <c r="BU55" i="12"/>
  <c r="DB47" i="12"/>
  <c r="CH47" i="12"/>
  <c r="BJ47" i="12"/>
  <c r="CU39" i="12"/>
  <c r="CS39" i="12"/>
  <c r="BY39" i="12"/>
  <c r="CL35" i="12"/>
  <c r="CC35" i="12"/>
  <c r="BL35" i="12"/>
  <c r="CP27" i="12"/>
  <c r="BX27" i="12"/>
  <c r="BM27" i="12"/>
  <c r="AP59" i="12"/>
  <c r="AX83" i="12"/>
  <c r="AV23" i="12"/>
  <c r="BB43" i="12"/>
  <c r="BF55" i="12"/>
  <c r="BJ79" i="12"/>
  <c r="BI51" i="12"/>
  <c r="BV43" i="12"/>
  <c r="DF35" i="12"/>
  <c r="BK76" i="12"/>
  <c r="CB28" i="12"/>
  <c r="CS45" i="12"/>
  <c r="AV21" i="12"/>
  <c r="BV17" i="12"/>
  <c r="DV58" i="12"/>
  <c r="DA40" i="12"/>
  <c r="DJ60" i="12"/>
  <c r="DG32" i="12"/>
  <c r="EM32" i="12"/>
  <c r="CH73" i="12"/>
  <c r="CC65" i="12"/>
  <c r="DH57" i="12"/>
  <c r="CN53" i="12"/>
  <c r="BY49" i="12"/>
  <c r="CI41" i="12"/>
  <c r="DH33" i="12"/>
  <c r="BV29" i="12"/>
  <c r="CS25" i="12"/>
  <c r="BX21" i="12"/>
  <c r="BO17" i="12"/>
  <c r="EO82" i="12"/>
  <c r="EN38" i="12"/>
  <c r="EO20" i="12"/>
  <c r="BJ83" i="12"/>
  <c r="CD19" i="12"/>
  <c r="DK81" i="12"/>
  <c r="CY73" i="12"/>
  <c r="DE61" i="12"/>
  <c r="DK53" i="12"/>
  <c r="CU45" i="12"/>
  <c r="DE33" i="12"/>
  <c r="DE25" i="12"/>
  <c r="CN21" i="12"/>
  <c r="BC79" i="12"/>
  <c r="AF67" i="12"/>
  <c r="BE27" i="12"/>
  <c r="BJ63" i="12"/>
  <c r="CW79" i="12"/>
  <c r="CU75" i="12"/>
  <c r="CE75" i="12"/>
  <c r="CL67" i="12"/>
  <c r="CJ67" i="12"/>
  <c r="CM59" i="12"/>
  <c r="BW59" i="12"/>
  <c r="CO51" i="12"/>
  <c r="DI43" i="12"/>
  <c r="BS43" i="12"/>
  <c r="DE31" i="12"/>
  <c r="BO31" i="12"/>
  <c r="CY23" i="12"/>
  <c r="BX23" i="12"/>
  <c r="CO19" i="12"/>
  <c r="BT19" i="12"/>
  <c r="AP39" i="12"/>
  <c r="AX35" i="12"/>
  <c r="BB31" i="12"/>
  <c r="BG39" i="12"/>
  <c r="BL67" i="12"/>
  <c r="BW23" i="12"/>
  <c r="DA83" i="12"/>
  <c r="DH71" i="12"/>
  <c r="CR71" i="12"/>
  <c r="CX63" i="12"/>
  <c r="DE63" i="12"/>
  <c r="BR63" i="12"/>
  <c r="CG55" i="12"/>
  <c r="CZ55" i="12"/>
  <c r="DE47" i="12"/>
  <c r="DJ47" i="12"/>
  <c r="BN47" i="12"/>
  <c r="CL39" i="12"/>
  <c r="CD39" i="12"/>
  <c r="BL39" i="12"/>
  <c r="CP35" i="12"/>
  <c r="BS35" i="12"/>
  <c r="DG27" i="12"/>
  <c r="DA27" i="12"/>
  <c r="BK27" i="12"/>
  <c r="AP43" i="12"/>
  <c r="AX79" i="12"/>
  <c r="AW19" i="12"/>
  <c r="AZ35" i="12"/>
  <c r="BG51" i="12"/>
  <c r="BN75" i="12"/>
  <c r="BM47" i="12"/>
  <c r="BV35" i="12"/>
  <c r="AQ75" i="12"/>
  <c r="AS59" i="12"/>
  <c r="AV51" i="12"/>
  <c r="BC67" i="12"/>
  <c r="BE83" i="12"/>
  <c r="BG23" i="12"/>
  <c r="BK59" i="12"/>
  <c r="BW67" i="12"/>
  <c r="CZ31" i="12"/>
  <c r="CW82" i="12"/>
  <c r="BP82" i="12"/>
  <c r="DE78" i="12"/>
  <c r="CH78" i="12"/>
  <c r="BW78" i="12"/>
  <c r="DA74" i="12"/>
  <c r="CI74" i="12"/>
  <c r="BW74" i="12"/>
  <c r="DA70" i="12"/>
  <c r="CO70" i="12"/>
  <c r="BP70" i="12"/>
  <c r="CZ66" i="12"/>
  <c r="CG66" i="12"/>
  <c r="BO66" i="12"/>
  <c r="BM66" i="12"/>
  <c r="DA62" i="12"/>
  <c r="DB62" i="12"/>
  <c r="BR62" i="12"/>
  <c r="DG58" i="12"/>
  <c r="CC58" i="12"/>
  <c r="BU58" i="12"/>
  <c r="BI58" i="12"/>
  <c r="CW54" i="12"/>
  <c r="CD54" i="12"/>
  <c r="BV54" i="12"/>
  <c r="DK50" i="12"/>
  <c r="CC50" i="12"/>
  <c r="BK50" i="12"/>
  <c r="BW50" i="12"/>
  <c r="CZ46" i="12"/>
  <c r="CC46" i="12"/>
  <c r="CM46" i="12"/>
  <c r="DJ42" i="12"/>
  <c r="DA80" i="12"/>
  <c r="BW68" i="12"/>
  <c r="BT28" i="12"/>
  <c r="BN49" i="12"/>
  <c r="AS21" i="12"/>
  <c r="BC81" i="12"/>
  <c r="AP73" i="12"/>
  <c r="BE42" i="12"/>
  <c r="CS29" i="12"/>
  <c r="CZ60" i="12"/>
  <c r="CU28" i="12"/>
  <c r="EN81" i="12"/>
  <c r="BT73" i="12"/>
  <c r="CE65" i="12"/>
  <c r="CH57" i="12"/>
  <c r="CI53" i="12"/>
  <c r="BE45" i="12"/>
  <c r="BR41" i="12"/>
  <c r="EM33" i="12"/>
  <c r="BO29" i="12"/>
  <c r="CE25" i="12"/>
  <c r="BN21" i="12"/>
  <c r="CJ17" i="12"/>
  <c r="EN66" i="12"/>
  <c r="EN22" i="12"/>
  <c r="EN40" i="12"/>
  <c r="EO59" i="12"/>
  <c r="DG81" i="12"/>
  <c r="DH69" i="12"/>
  <c r="DB61" i="12"/>
  <c r="CY53" i="12"/>
  <c r="DI41" i="12"/>
  <c r="CW33" i="12"/>
  <c r="CW25" i="12"/>
  <c r="CW17" i="12"/>
  <c r="BC63" i="12"/>
  <c r="AF59" i="12"/>
  <c r="BI71" i="12"/>
  <c r="DD79" i="12"/>
  <c r="CR79" i="12"/>
  <c r="DE75" i="12"/>
  <c r="CZ75" i="12"/>
  <c r="CG67" i="12"/>
  <c r="BR67" i="12"/>
  <c r="CH59" i="12"/>
  <c r="DE51" i="12"/>
  <c r="CZ51" i="12"/>
  <c r="CY43" i="12"/>
  <c r="BN43" i="12"/>
  <c r="CU31" i="12"/>
  <c r="BU31" i="12"/>
  <c r="CP23" i="12"/>
  <c r="BU23" i="12"/>
  <c r="DE19" i="12"/>
  <c r="BL19" i="12"/>
  <c r="AS35" i="12"/>
  <c r="AV27" i="12"/>
  <c r="AZ23" i="12"/>
  <c r="BD31" i="12"/>
  <c r="BN51" i="12"/>
  <c r="CE83" i="12"/>
  <c r="CY71" i="12"/>
  <c r="CZ71" i="12"/>
  <c r="DD63" i="12"/>
  <c r="CN63" i="12"/>
  <c r="DK55" i="12"/>
  <c r="CV55" i="12"/>
  <c r="BR55" i="12"/>
  <c r="CU47" i="12"/>
  <c r="CO47" i="12"/>
  <c r="BX47" i="12"/>
  <c r="CQ39" i="12"/>
  <c r="BW39" i="12"/>
  <c r="DK35" i="12"/>
  <c r="DA35" i="12"/>
  <c r="BN35" i="12"/>
  <c r="DH27" i="12"/>
  <c r="CG27" i="12"/>
  <c r="BU27" i="12"/>
  <c r="AW67" i="12"/>
  <c r="BB83" i="12"/>
  <c r="BB27" i="12"/>
  <c r="BE43" i="12"/>
  <c r="BO71" i="12"/>
  <c r="BK43" i="12"/>
  <c r="BI68" i="12"/>
  <c r="BX28" i="12"/>
  <c r="BP21" i="12"/>
  <c r="CC21" i="12"/>
  <c r="AU33" i="12"/>
  <c r="BG18" i="12"/>
  <c r="CW56" i="12"/>
  <c r="CM24" i="12"/>
  <c r="CN81" i="12"/>
  <c r="CD73" i="12"/>
  <c r="BS65" i="12"/>
  <c r="CC57" i="12"/>
  <c r="BL53" i="12"/>
  <c r="EN45" i="12"/>
  <c r="CJ41" i="12"/>
  <c r="CM33" i="12"/>
  <c r="BD29" i="12"/>
  <c r="BI25" i="12"/>
  <c r="CV21" i="12"/>
  <c r="BU17" i="12"/>
  <c r="EO66" i="12"/>
  <c r="EM22" i="12"/>
  <c r="EN32" i="12"/>
  <c r="BJ55" i="12"/>
  <c r="EN63" i="12"/>
  <c r="CV81" i="12"/>
  <c r="DA69" i="12"/>
  <c r="DF61" i="12"/>
  <c r="DE49" i="12"/>
  <c r="DA41" i="12"/>
  <c r="DA33" i="12"/>
  <c r="CL25" i="12"/>
  <c r="DA17" i="12"/>
  <c r="BA55" i="12"/>
  <c r="AF55" i="12"/>
  <c r="BN63" i="12"/>
  <c r="DH79" i="12"/>
  <c r="CH79" i="12"/>
  <c r="DA75" i="12"/>
  <c r="CH75" i="12"/>
  <c r="DI67" i="12"/>
  <c r="BV67" i="12"/>
  <c r="CW59" i="12"/>
  <c r="DI51" i="12"/>
  <c r="CC51" i="12"/>
  <c r="DJ43" i="12"/>
  <c r="CZ43" i="12"/>
  <c r="CG31" i="12"/>
  <c r="BY31" i="12"/>
  <c r="DA23" i="12"/>
  <c r="BY23" i="12"/>
  <c r="DI19" i="12"/>
  <c r="BP19" i="12"/>
  <c r="AR31" i="12"/>
  <c r="BA19" i="12"/>
  <c r="BD27" i="12"/>
  <c r="BJ51" i="12"/>
  <c r="CD79" i="12"/>
  <c r="BT83" i="12"/>
  <c r="DE71" i="12"/>
  <c r="CO71" i="12"/>
  <c r="DH63" i="12"/>
  <c r="CR63" i="12"/>
  <c r="DD55" i="12"/>
  <c r="CM55" i="12"/>
  <c r="BV55" i="12"/>
  <c r="CY47" i="12"/>
  <c r="CS47" i="12"/>
  <c r="DG39" i="12"/>
  <c r="CG39" i="12"/>
  <c r="BJ39" i="12"/>
  <c r="DD35" i="12"/>
  <c r="CQ35" i="12"/>
  <c r="CI35" i="12"/>
  <c r="CX27" i="12"/>
  <c r="CE27" i="12"/>
  <c r="BY27" i="12"/>
  <c r="AR83" i="12"/>
  <c r="AU59" i="12"/>
  <c r="BA79" i="12"/>
  <c r="BC23" i="12"/>
  <c r="BF39" i="12"/>
  <c r="BK71" i="12"/>
  <c r="BJ27" i="12"/>
  <c r="CD83" i="12"/>
  <c r="BC76" i="12"/>
  <c r="BU44" i="12"/>
  <c r="DG69" i="12"/>
  <c r="BD57" i="12"/>
  <c r="AR78" i="12"/>
  <c r="DE72" i="12"/>
  <c r="CZ20" i="12"/>
  <c r="BX69" i="12"/>
  <c r="CI61" i="12"/>
  <c r="CH49" i="12"/>
  <c r="BS41" i="12"/>
  <c r="BK29" i="12"/>
  <c r="CO21" i="12"/>
  <c r="EN18" i="12"/>
  <c r="EM23" i="12"/>
  <c r="EN43" i="12"/>
  <c r="CY69" i="12"/>
  <c r="CU57" i="12"/>
  <c r="DI37" i="12"/>
  <c r="CY25" i="12"/>
  <c r="AP51" i="12"/>
  <c r="BO55" i="12"/>
  <c r="CC79" i="12"/>
  <c r="BY75" i="12"/>
  <c r="DF59" i="12"/>
  <c r="CJ59" i="12"/>
  <c r="CJ51" i="12"/>
  <c r="CJ43" i="12"/>
  <c r="CC31" i="12"/>
  <c r="CW23" i="12"/>
  <c r="CG19" i="12"/>
  <c r="AS19" i="12"/>
  <c r="BB63" i="12"/>
  <c r="BK79" i="12"/>
  <c r="CV83" i="12"/>
  <c r="BT71" i="12"/>
  <c r="CB63" i="12"/>
  <c r="CY55" i="12"/>
  <c r="BW55" i="12"/>
  <c r="CB47" i="12"/>
  <c r="CP39" i="12"/>
  <c r="BK39" i="12"/>
  <c r="CH35" i="12"/>
  <c r="DB27" i="12"/>
  <c r="CI27" i="12"/>
  <c r="AG39" i="12"/>
  <c r="AR35" i="12"/>
  <c r="AZ67" i="12"/>
  <c r="BF35" i="12"/>
  <c r="BI55" i="12"/>
  <c r="CI63" i="12"/>
  <c r="AP47" i="12"/>
  <c r="AR71" i="12"/>
  <c r="AX43" i="12"/>
  <c r="AZ47" i="12"/>
  <c r="BF51" i="12"/>
  <c r="BJ71" i="12"/>
  <c r="BR75" i="12"/>
  <c r="DE82" i="12"/>
  <c r="CS82" i="12"/>
  <c r="DG78" i="12"/>
  <c r="CG78" i="12"/>
  <c r="BS78" i="12"/>
  <c r="CQ74" i="12"/>
  <c r="BO74" i="12"/>
  <c r="CY70" i="12"/>
  <c r="CR70" i="12"/>
  <c r="BL70" i="12"/>
  <c r="DH66" i="12"/>
  <c r="CS66" i="12"/>
  <c r="CP66" i="12"/>
  <c r="CZ62" i="12"/>
  <c r="CD62" i="12"/>
  <c r="BL62" i="12"/>
  <c r="DD58" i="12"/>
  <c r="CO58" i="12"/>
  <c r="BP58" i="12"/>
  <c r="DH54" i="12"/>
  <c r="CO54" i="12"/>
  <c r="BW54" i="12"/>
  <c r="DA50" i="12"/>
  <c r="CH50" i="12"/>
  <c r="BS50" i="12"/>
  <c r="CS46" i="12"/>
  <c r="CD46" i="12"/>
  <c r="BP46" i="12"/>
  <c r="CZ42" i="12"/>
  <c r="CM42" i="12"/>
  <c r="BK42" i="12"/>
  <c r="DF38" i="12"/>
  <c r="DD38" i="12"/>
  <c r="CG38" i="12"/>
  <c r="BD38" i="12"/>
  <c r="CY34" i="12"/>
  <c r="DA34" i="12"/>
  <c r="CQ34" i="12"/>
  <c r="BL34" i="12"/>
  <c r="CN30" i="12"/>
  <c r="CL30" i="12"/>
  <c r="BU30" i="12"/>
  <c r="BL30" i="12"/>
  <c r="DG26" i="12"/>
  <c r="DB26" i="12"/>
  <c r="CH26" i="12"/>
  <c r="BP26" i="12"/>
  <c r="CV22" i="12"/>
  <c r="CJ22" i="12"/>
  <c r="CE22" i="12"/>
  <c r="BF22" i="12"/>
  <c r="CS18" i="12"/>
  <c r="CM18" i="12"/>
  <c r="BK18" i="12"/>
  <c r="BM18" i="12"/>
  <c r="AG42" i="12"/>
  <c r="AP58" i="12"/>
  <c r="AX70" i="12"/>
  <c r="AX22" i="12"/>
  <c r="BC42" i="12"/>
  <c r="BE62" i="12"/>
  <c r="BJ42" i="12"/>
  <c r="CL78" i="12"/>
  <c r="AW46" i="12"/>
  <c r="BB62" i="12"/>
  <c r="BF82" i="12"/>
  <c r="BG22" i="12"/>
  <c r="BT50" i="12"/>
  <c r="AS70" i="12"/>
  <c r="AS22" i="12"/>
  <c r="AV38" i="12"/>
  <c r="BA58" i="12"/>
  <c r="BG78" i="12"/>
  <c r="BE22" i="12"/>
  <c r="BX70" i="12"/>
  <c r="AK16" i="12"/>
  <c r="AK20" i="12"/>
  <c r="AK24" i="12"/>
  <c r="AK28" i="12"/>
  <c r="AK32" i="12"/>
  <c r="AK36" i="12"/>
  <c r="AK40" i="12"/>
  <c r="AK44" i="12"/>
  <c r="AM48" i="12"/>
  <c r="AM52" i="12"/>
  <c r="AM56" i="12"/>
  <c r="AL61" i="12"/>
  <c r="AK66" i="12"/>
  <c r="AK70" i="12"/>
  <c r="AL74" i="12"/>
  <c r="AM78" i="12"/>
  <c r="AM82" i="12"/>
  <c r="AJ20" i="12"/>
  <c r="AJ32" i="12"/>
  <c r="AJ44" i="12"/>
  <c r="AJ56" i="12"/>
  <c r="AJ68" i="12"/>
  <c r="AJ80" i="12"/>
  <c r="AH20" i="12"/>
  <c r="AH26" i="12"/>
  <c r="AH32" i="12"/>
  <c r="AH38" i="12"/>
  <c r="AH44" i="12"/>
  <c r="AH50" i="12"/>
  <c r="AH56" i="12"/>
  <c r="AH62" i="12"/>
  <c r="AH68" i="12"/>
  <c r="AH74" i="12"/>
  <c r="AH80" i="12"/>
  <c r="AB17" i="12"/>
  <c r="AB21" i="12"/>
  <c r="AB25" i="12"/>
  <c r="BM68" i="12"/>
  <c r="BV28" i="12"/>
  <c r="CB45" i="12"/>
  <c r="CQ41" i="12"/>
  <c r="CP80" i="12"/>
  <c r="CV60" i="12"/>
  <c r="DJ16" i="12"/>
  <c r="BI69" i="12"/>
  <c r="EO57" i="12"/>
  <c r="BX49" i="12"/>
  <c r="BU37" i="12"/>
  <c r="BS29" i="12"/>
  <c r="CH21" i="12"/>
  <c r="EM18" i="12"/>
  <c r="BF79" i="12"/>
  <c r="EN39" i="12"/>
  <c r="DD65" i="12"/>
  <c r="CU53" i="12"/>
  <c r="CW37" i="12"/>
  <c r="DE21" i="12"/>
  <c r="BA71" i="12"/>
  <c r="AS79" i="12"/>
  <c r="CU79" i="12"/>
  <c r="BT79" i="12"/>
  <c r="DG67" i="12"/>
  <c r="DD59" i="12"/>
  <c r="DG51" i="12"/>
  <c r="BT51" i="12"/>
  <c r="CC43" i="12"/>
  <c r="BL31" i="12"/>
  <c r="CM23" i="12"/>
  <c r="CV19" i="12"/>
  <c r="BC59" i="12"/>
  <c r="BO75" i="12"/>
  <c r="CE67" i="12"/>
  <c r="CS83" i="12"/>
  <c r="BX71" i="12"/>
  <c r="BT63" i="12"/>
  <c r="CE55" i="12"/>
  <c r="DK47" i="12"/>
  <c r="BV47" i="12"/>
  <c r="CE39" i="12"/>
  <c r="BO39" i="12"/>
  <c r="CW35" i="12"/>
  <c r="CO27" i="12"/>
  <c r="BO27" i="12"/>
  <c r="AG23" i="12"/>
  <c r="AS23" i="12"/>
  <c r="BA63" i="12"/>
  <c r="BG31" i="12"/>
  <c r="BP43" i="12"/>
  <c r="CI31" i="12"/>
  <c r="AP31" i="12"/>
  <c r="AR55" i="12"/>
  <c r="AU39" i="12"/>
  <c r="BB39" i="12"/>
  <c r="BG47" i="12"/>
  <c r="BJ67" i="12"/>
  <c r="BT55" i="12"/>
  <c r="CX82" i="12"/>
  <c r="CE82" i="12"/>
  <c r="DK78" i="12"/>
  <c r="DB78" i="12"/>
  <c r="BI78" i="12"/>
  <c r="CC74" i="12"/>
  <c r="DI74" i="12"/>
  <c r="DK70" i="12"/>
  <c r="CG70" i="12"/>
  <c r="BS70" i="12"/>
  <c r="CW66" i="12"/>
  <c r="CH66" i="12"/>
  <c r="CI66" i="12"/>
  <c r="DD62" i="12"/>
  <c r="CO62" i="12"/>
  <c r="BP62" i="12"/>
  <c r="DH58" i="12"/>
  <c r="CS58" i="12"/>
  <c r="CP58" i="12"/>
  <c r="DA54" i="12"/>
  <c r="CS54" i="12"/>
  <c r="BI54" i="12"/>
  <c r="CL50" i="12"/>
  <c r="CE50" i="12"/>
  <c r="BI50" i="12"/>
  <c r="DD46" i="12"/>
  <c r="DB46" i="12"/>
  <c r="BS46" i="12"/>
  <c r="CO42" i="12"/>
  <c r="CG42" i="12"/>
  <c r="BO42" i="12"/>
  <c r="DJ38" i="12"/>
  <c r="DH38" i="12"/>
  <c r="CD38" i="12"/>
  <c r="BS38" i="12"/>
  <c r="CN34" i="12"/>
  <c r="CL34" i="12"/>
  <c r="CH34" i="12"/>
  <c r="BP34" i="12"/>
  <c r="CR30" i="12"/>
  <c r="CP30" i="12"/>
  <c r="BY30" i="12"/>
  <c r="BP30" i="12"/>
  <c r="DK26" i="12"/>
  <c r="CJ26" i="12"/>
  <c r="CE26" i="12"/>
  <c r="BI26" i="12"/>
  <c r="CZ22" i="12"/>
  <c r="CC22" i="12"/>
  <c r="BR22" i="12"/>
  <c r="DF18" i="12"/>
  <c r="DD18" i="12"/>
  <c r="CG18" i="12"/>
  <c r="BO18" i="12"/>
  <c r="BF18" i="12"/>
  <c r="AG38" i="12"/>
  <c r="AP54" i="12"/>
  <c r="AX66" i="12"/>
  <c r="AX18" i="12"/>
  <c r="BC38" i="12"/>
  <c r="BE58" i="12"/>
  <c r="BJ34" i="12"/>
  <c r="CM30" i="12"/>
  <c r="AW42" i="12"/>
  <c r="BB58" i="12"/>
  <c r="BD78" i="12"/>
  <c r="BN78" i="12"/>
  <c r="BS42" i="12"/>
  <c r="AS66" i="12"/>
  <c r="AS18" i="12"/>
  <c r="AV34" i="12"/>
  <c r="BA54" i="12"/>
  <c r="BI60" i="12"/>
  <c r="BC21" i="12"/>
  <c r="AV41" i="12"/>
  <c r="CP72" i="12"/>
  <c r="DA56" i="12"/>
  <c r="CL16" i="12"/>
  <c r="BM69" i="12"/>
  <c r="BR57" i="12"/>
  <c r="BL49" i="12"/>
  <c r="BY37" i="12"/>
  <c r="BW29" i="12"/>
  <c r="BJ21" i="12"/>
  <c r="EO72" i="12"/>
  <c r="EM80" i="12"/>
  <c r="EO55" i="12"/>
  <c r="EN35" i="12"/>
  <c r="DH65" i="12"/>
  <c r="DG49" i="12"/>
  <c r="DA37" i="12"/>
  <c r="CW21" i="12"/>
  <c r="AS47" i="12"/>
  <c r="CY79" i="12"/>
  <c r="CY75" i="12"/>
  <c r="CU67" i="12"/>
  <c r="DH59" i="12"/>
  <c r="CU51" i="12"/>
  <c r="BX51" i="12"/>
  <c r="BU43" i="12"/>
  <c r="BM31" i="12"/>
  <c r="BL23" i="12"/>
  <c r="CR19" i="12"/>
  <c r="AU79" i="12"/>
  <c r="BC27" i="12"/>
  <c r="BK75" i="12"/>
  <c r="CB51" i="12"/>
  <c r="CU71" i="12"/>
  <c r="CS71" i="12"/>
  <c r="CO63" i="12"/>
  <c r="CQ55" i="12"/>
  <c r="DD47" i="12"/>
  <c r="CP47" i="12"/>
  <c r="DF39" i="12"/>
  <c r="DG35" i="12"/>
  <c r="CM35" i="12"/>
  <c r="CS27" i="12"/>
  <c r="BL27" i="12"/>
  <c r="AG75" i="12"/>
  <c r="AV71" i="12"/>
  <c r="BB59" i="12"/>
  <c r="BD23" i="12"/>
  <c r="BO19" i="12"/>
  <c r="CO75" i="12"/>
  <c r="AQ79" i="12"/>
  <c r="AS43" i="12"/>
  <c r="AV35" i="12"/>
  <c r="BC35" i="12"/>
  <c r="BD43" i="12"/>
  <c r="BO59" i="12"/>
  <c r="BY47" i="12"/>
  <c r="DF82" i="12"/>
  <c r="CI82" i="12"/>
  <c r="CV78" i="12"/>
  <c r="CS78" i="12"/>
  <c r="BM78" i="12"/>
  <c r="CN74" i="12"/>
  <c r="CX74" i="12"/>
  <c r="CV70" i="12"/>
  <c r="DB70" i="12"/>
  <c r="BW70" i="12"/>
  <c r="DA66" i="12"/>
  <c r="CE66" i="12"/>
  <c r="CB66" i="12"/>
  <c r="CW62" i="12"/>
  <c r="CS62" i="12"/>
  <c r="BS62" i="12"/>
  <c r="CW58" i="12"/>
  <c r="CH58" i="12"/>
  <c r="BW58" i="12"/>
  <c r="DE54" i="12"/>
  <c r="CH54" i="12"/>
  <c r="BM54" i="12"/>
  <c r="CP50" i="12"/>
  <c r="BY50" i="12"/>
  <c r="BM50" i="12"/>
  <c r="DH46" i="12"/>
  <c r="CH46" i="12"/>
  <c r="BW46" i="12"/>
  <c r="CS42" i="12"/>
  <c r="CD42" i="12"/>
  <c r="DI42" i="12"/>
  <c r="CU38" i="12"/>
  <c r="CW38" i="12"/>
  <c r="BU38" i="12"/>
  <c r="BX38" i="12"/>
  <c r="CR34" i="12"/>
  <c r="CP34" i="12"/>
  <c r="CE34" i="12"/>
  <c r="CI34" i="12"/>
  <c r="DG30" i="12"/>
  <c r="DE30" i="12"/>
  <c r="DB30" i="12"/>
  <c r="BS30" i="12"/>
  <c r="CV26" i="12"/>
  <c r="CC26" i="12"/>
  <c r="BR26" i="12"/>
  <c r="BM26" i="12"/>
  <c r="CO22" i="12"/>
  <c r="BT22" i="12"/>
  <c r="BV22" i="12"/>
  <c r="DJ18" i="12"/>
  <c r="DH18" i="12"/>
  <c r="CB18" i="12"/>
  <c r="BD18" i="12"/>
  <c r="AG82" i="12"/>
  <c r="AG34" i="12"/>
  <c r="AP50" i="12"/>
  <c r="AX62" i="12"/>
  <c r="BA82" i="12"/>
  <c r="BC34" i="12"/>
  <c r="BE54" i="12"/>
  <c r="BJ26" i="12"/>
  <c r="DI26" i="12"/>
  <c r="AW38" i="12"/>
  <c r="BB54" i="12"/>
  <c r="BD74" i="12"/>
  <c r="BN70" i="12"/>
  <c r="BW22" i="12"/>
  <c r="AS62" i="12"/>
  <c r="AV78" i="12"/>
  <c r="AV30" i="12"/>
  <c r="BA50" i="12"/>
  <c r="BG70" i="12"/>
  <c r="BJ78" i="12"/>
  <c r="BX54" i="12"/>
  <c r="AM16" i="12"/>
  <c r="AM20" i="12"/>
  <c r="AM24" i="12"/>
  <c r="AM28" i="12"/>
  <c r="AM32" i="12"/>
  <c r="AM36" i="12"/>
  <c r="AM40" i="12"/>
  <c r="AK45" i="12"/>
  <c r="AL49" i="12"/>
  <c r="AL53" i="12"/>
  <c r="AL57" i="12"/>
  <c r="AL62" i="12"/>
  <c r="AM66" i="12"/>
  <c r="AM70" i="12"/>
  <c r="AL75" i="12"/>
  <c r="AL79" i="12"/>
  <c r="AL83" i="12"/>
  <c r="AJ22" i="12"/>
  <c r="AJ34" i="12"/>
  <c r="AJ46" i="12"/>
  <c r="AJ58" i="12"/>
  <c r="AJ70" i="12"/>
  <c r="AH21" i="12"/>
  <c r="AH27" i="12"/>
  <c r="AH33" i="12"/>
  <c r="AH39" i="12"/>
  <c r="AH45" i="12"/>
  <c r="AH51" i="12"/>
  <c r="AH57" i="12"/>
  <c r="AH63" i="12"/>
  <c r="AH69" i="12"/>
  <c r="AH75" i="12"/>
  <c r="AD17" i="12"/>
  <c r="AD21" i="12"/>
  <c r="AD25" i="12"/>
  <c r="AD29" i="12"/>
  <c r="ES47" i="12"/>
  <c r="G38" i="13" s="1"/>
  <c r="DJ44" i="12"/>
  <c r="AP53" i="12"/>
  <c r="BB81" i="12"/>
  <c r="BH81" i="12" s="1"/>
  <c r="CR44" i="12"/>
  <c r="CW48" i="12"/>
  <c r="BN81" i="12"/>
  <c r="BJ69" i="12"/>
  <c r="CN57" i="12"/>
  <c r="DD45" i="12"/>
  <c r="BM37" i="12"/>
  <c r="DH25" i="12"/>
  <c r="CJ21" i="12"/>
  <c r="EM82" i="12"/>
  <c r="EO44" i="12"/>
  <c r="EO51" i="12"/>
  <c r="CZ81" i="12"/>
  <c r="DE65" i="12"/>
  <c r="CU49" i="12"/>
  <c r="CU33" i="12"/>
  <c r="CP21" i="12"/>
  <c r="BL79" i="12"/>
  <c r="BP75" i="12"/>
  <c r="DA79" i="12"/>
  <c r="CP75" i="12"/>
  <c r="CP67" i="12"/>
  <c r="CY59" i="12"/>
  <c r="DJ51" i="12"/>
  <c r="DA43" i="12"/>
  <c r="DB31" i="12"/>
  <c r="DK23" i="12"/>
  <c r="BM23" i="12"/>
  <c r="BX19" i="12"/>
  <c r="AX51" i="12"/>
  <c r="BG83" i="12"/>
  <c r="BN55" i="12"/>
  <c r="CX83" i="12"/>
  <c r="CL71" i="12"/>
  <c r="DB63" i="12"/>
  <c r="BU63" i="12"/>
  <c r="DJ55" i="12"/>
  <c r="DA47" i="12"/>
  <c r="BS47" i="12"/>
  <c r="CR39" i="12"/>
  <c r="CX35" i="12"/>
  <c r="BW35" i="12"/>
  <c r="DI27" i="12"/>
  <c r="CZ27" i="12"/>
  <c r="AG43" i="12"/>
  <c r="AW51" i="12"/>
  <c r="BA31" i="12"/>
  <c r="BX83" i="12"/>
  <c r="AQ63" i="12"/>
  <c r="AS27" i="12"/>
  <c r="AU23" i="12"/>
  <c r="BA27" i="12"/>
  <c r="BF27" i="12"/>
  <c r="BL55" i="12"/>
  <c r="BR35" i="12"/>
  <c r="DG82" i="12"/>
  <c r="BY82" i="12"/>
  <c r="DA78" i="12"/>
  <c r="CP78" i="12"/>
  <c r="CU74" i="12"/>
  <c r="CG74" i="12"/>
  <c r="BR74" i="12"/>
  <c r="CW70" i="12"/>
  <c r="CH70" i="12"/>
  <c r="BM70" i="12"/>
  <c r="CM66" i="12"/>
  <c r="CX66" i="12"/>
  <c r="BI66" i="12"/>
  <c r="CM62" i="12"/>
  <c r="CE62" i="12"/>
  <c r="BI62" i="12"/>
  <c r="DB58" i="12"/>
  <c r="CB58" i="12"/>
  <c r="DF54" i="12"/>
  <c r="CQ54" i="12"/>
  <c r="CP54" i="12"/>
  <c r="DJ50" i="12"/>
  <c r="CJ50" i="12"/>
  <c r="BR50" i="12"/>
  <c r="DJ46" i="12"/>
  <c r="DA46" i="12"/>
  <c r="BU46" i="12"/>
  <c r="DF42" i="12"/>
  <c r="DH42" i="12"/>
  <c r="DE42" i="12"/>
  <c r="BV42" i="12"/>
  <c r="CN38" i="12"/>
  <c r="CL38" i="12"/>
  <c r="DB38" i="12"/>
  <c r="BP38" i="12"/>
  <c r="DK34" i="12"/>
  <c r="CJ34" i="12"/>
  <c r="BV34" i="12"/>
  <c r="BW34" i="12"/>
  <c r="CV30" i="12"/>
  <c r="CJ30" i="12"/>
  <c r="CE30" i="12"/>
  <c r="BM30" i="12"/>
  <c r="CO26" i="12"/>
  <c r="BX26" i="12"/>
  <c r="CI26" i="12"/>
  <c r="DF22" i="12"/>
  <c r="DD22" i="12"/>
  <c r="DI22" i="12"/>
  <c r="BO22" i="12"/>
  <c r="CY18" i="12"/>
  <c r="DA18" i="12"/>
  <c r="BY18" i="12"/>
  <c r="BL18" i="12"/>
  <c r="AG74" i="12"/>
  <c r="AG26" i="12"/>
  <c r="AP42" i="12"/>
  <c r="AX54" i="12"/>
  <c r="BC74" i="12"/>
  <c r="ES31" i="12"/>
  <c r="G22" i="13" s="1"/>
  <c r="BO23" i="12"/>
  <c r="CI40" i="12"/>
  <c r="BV49" i="12"/>
  <c r="BA17" i="12"/>
  <c r="BA61" i="12"/>
  <c r="DA36" i="12"/>
  <c r="DA48" i="12"/>
  <c r="CS81" i="12"/>
  <c r="CO65" i="12"/>
  <c r="CR57" i="12"/>
  <c r="CQ45" i="12"/>
  <c r="EO33" i="12"/>
  <c r="EO25" i="12"/>
  <c r="CV17" i="12"/>
  <c r="EM66" i="12"/>
  <c r="EO36" i="12"/>
  <c r="EO47" i="12"/>
  <c r="DB77" i="12"/>
  <c r="CX65" i="12"/>
  <c r="CY49" i="12"/>
  <c r="CY33" i="12"/>
  <c r="DI17" i="12"/>
  <c r="BM71" i="12"/>
  <c r="BK51" i="12"/>
  <c r="CL79" i="12"/>
  <c r="CG75" i="12"/>
  <c r="CW67" i="12"/>
  <c r="DE59" i="12"/>
  <c r="DA51" i="12"/>
  <c r="CM43" i="12"/>
  <c r="DI31" i="12"/>
  <c r="DD23" i="12"/>
  <c r="CD23" i="12"/>
  <c r="DF19" i="12"/>
  <c r="AU47" i="12"/>
  <c r="BE79" i="12"/>
  <c r="BO47" i="12"/>
  <c r="DJ83" i="12"/>
  <c r="CM71" i="12"/>
  <c r="CU63" i="12"/>
  <c r="BY63" i="12"/>
  <c r="CW55" i="12"/>
  <c r="CM47" i="12"/>
  <c r="CD47" i="12"/>
  <c r="CH39" i="12"/>
  <c r="CO35" i="12"/>
  <c r="BT35" i="12"/>
  <c r="CU27" i="12"/>
  <c r="CN27" i="12"/>
  <c r="AG27" i="12"/>
  <c r="AX47" i="12"/>
  <c r="AZ19" i="12"/>
  <c r="BN83" i="12"/>
  <c r="BV75" i="12"/>
  <c r="AG79" i="12"/>
  <c r="AQ59" i="12"/>
  <c r="AR23" i="12"/>
  <c r="BB23" i="12"/>
  <c r="BP51" i="12"/>
  <c r="BW19" i="12"/>
  <c r="CV82" i="12"/>
  <c r="BJ82" i="12"/>
  <c r="CM78" i="12"/>
  <c r="BU78" i="12"/>
  <c r="DG74" i="12"/>
  <c r="CD74" i="12"/>
  <c r="BL74" i="12"/>
  <c r="DE70" i="12"/>
  <c r="CE70" i="12"/>
  <c r="DF66" i="12"/>
  <c r="CQ66" i="12"/>
  <c r="BU66" i="12"/>
  <c r="DF62" i="12"/>
  <c r="CQ62" i="12"/>
  <c r="CP62" i="12"/>
  <c r="BM62" i="12"/>
  <c r="CM58" i="12"/>
  <c r="BY58" i="12"/>
  <c r="DJ54" i="12"/>
  <c r="CJ54" i="12"/>
  <c r="BU54" i="12"/>
  <c r="CU50" i="12"/>
  <c r="CM50" i="12"/>
  <c r="BV50" i="12"/>
  <c r="CU46" i="12"/>
  <c r="CL46" i="12"/>
  <c r="BY46" i="12"/>
  <c r="CU42" i="12"/>
  <c r="CW42" i="12"/>
  <c r="CQ42" i="12"/>
  <c r="BL42" i="12"/>
  <c r="CR38" i="12"/>
  <c r="CP38" i="12"/>
  <c r="CH38" i="12"/>
  <c r="BT38" i="12"/>
  <c r="CV34" i="12"/>
  <c r="CC34" i="12"/>
  <c r="DI34" i="12"/>
  <c r="BI34" i="12"/>
  <c r="CZ30" i="12"/>
  <c r="CC30" i="12"/>
  <c r="BR30" i="12"/>
  <c r="BF30" i="12"/>
  <c r="CS26" i="12"/>
  <c r="CM26" i="12"/>
  <c r="CB26" i="12"/>
  <c r="DJ22" i="12"/>
  <c r="DH22" i="12"/>
  <c r="CX22" i="12"/>
  <c r="BD22" i="12"/>
  <c r="CN18" i="12"/>
  <c r="CL18" i="12"/>
  <c r="DE18" i="12"/>
  <c r="BP18" i="12"/>
  <c r="AG70" i="12"/>
  <c r="AG22" i="12"/>
  <c r="AP38" i="12"/>
  <c r="AX50" i="12"/>
  <c r="BC70" i="12"/>
  <c r="BC22" i="12"/>
  <c r="BD42" i="12"/>
  <c r="BX66" i="12"/>
  <c r="AW74" i="12"/>
  <c r="AW26" i="12"/>
  <c r="BB42" i="12"/>
  <c r="BD62" i="12"/>
  <c r="BN46" i="12"/>
  <c r="CO82" i="12"/>
  <c r="AS50" i="12"/>
  <c r="AV66" i="12"/>
  <c r="AV18" i="12"/>
  <c r="BA38" i="12"/>
  <c r="BG58" i="12"/>
  <c r="BJ54" i="12"/>
  <c r="CB22" i="12"/>
  <c r="AM17" i="12"/>
  <c r="AM21" i="12"/>
  <c r="AM25" i="12"/>
  <c r="AM29" i="12"/>
  <c r="AM33" i="12"/>
  <c r="AM37" i="12"/>
  <c r="AM41" i="12"/>
  <c r="AK46" i="12"/>
  <c r="AL50" i="12"/>
  <c r="AL54" i="12"/>
  <c r="AM58" i="12"/>
  <c r="AL63" i="12"/>
  <c r="AM67" i="12"/>
  <c r="AK72" i="12"/>
  <c r="DV43" i="12"/>
  <c r="BJ40" i="12"/>
  <c r="BD41" i="12"/>
  <c r="BK45" i="12"/>
  <c r="DD44" i="12"/>
  <c r="CO77" i="12"/>
  <c r="CP65" i="12"/>
  <c r="CJ57" i="12"/>
  <c r="BS45" i="12"/>
  <c r="CR33" i="12"/>
  <c r="EM25" i="12"/>
  <c r="CH17" i="12"/>
  <c r="EN62" i="12"/>
  <c r="EO16" i="12"/>
  <c r="EO31" i="12"/>
  <c r="DF77" i="12"/>
  <c r="CX61" i="12"/>
  <c r="DE45" i="12"/>
  <c r="DE29" i="12"/>
  <c r="CQ17" i="12"/>
  <c r="BJ59" i="12"/>
  <c r="BM43" i="12"/>
  <c r="CQ79" i="12"/>
  <c r="DI75" i="12"/>
  <c r="CN67" i="12"/>
  <c r="CQ59" i="12"/>
  <c r="CM51" i="12"/>
  <c r="CR43" i="12"/>
  <c r="CE31" i="12"/>
  <c r="DH23" i="12"/>
  <c r="BR23" i="12"/>
  <c r="CB19" i="12"/>
  <c r="AU31" i="12"/>
  <c r="BF75" i="12"/>
  <c r="BL43" i="12"/>
  <c r="CZ83" i="12"/>
  <c r="CQ71" i="12"/>
  <c r="CY63" i="12"/>
  <c r="BV63" i="12"/>
  <c r="CN55" i="12"/>
  <c r="CG47" i="12"/>
  <c r="DD39" i="12"/>
  <c r="DJ39" i="12"/>
  <c r="CS35" i="12"/>
  <c r="BX35" i="12"/>
  <c r="CQ27" i="12"/>
  <c r="BR27" i="12"/>
  <c r="AP27" i="12"/>
  <c r="AU43" i="12"/>
  <c r="BJ75" i="12"/>
  <c r="BS63" i="12"/>
  <c r="AG63" i="12"/>
  <c r="AQ55" i="12"/>
  <c r="AW83" i="12"/>
  <c r="BA83" i="12"/>
  <c r="BL83" i="12"/>
  <c r="BL51" i="12"/>
  <c r="CD71" i="12"/>
  <c r="DA82" i="12"/>
  <c r="BK82" i="12"/>
  <c r="CQ78" i="12"/>
  <c r="BY78" i="12"/>
  <c r="DK74" i="12"/>
  <c r="DE74" i="12"/>
  <c r="BS74" i="12"/>
  <c r="CM70" i="12"/>
  <c r="BI16" i="12"/>
  <c r="BL57" i="12"/>
  <c r="DD57" i="12"/>
  <c r="BI37" i="12"/>
  <c r="CR21" i="12"/>
  <c r="EN42" i="12"/>
  <c r="EN55" i="12"/>
  <c r="DG57" i="12"/>
  <c r="DI25" i="12"/>
  <c r="AF63" i="12"/>
  <c r="CB79" i="12"/>
  <c r="DJ67" i="12"/>
  <c r="CS51" i="12"/>
  <c r="CV31" i="12"/>
  <c r="DH19" i="12"/>
  <c r="BP39" i="12"/>
  <c r="DA71" i="12"/>
  <c r="CC63" i="12"/>
  <c r="DI47" i="12"/>
  <c r="CV39" i="12"/>
  <c r="CZ35" i="12"/>
  <c r="BP27" i="12"/>
  <c r="AV55" i="12"/>
  <c r="BD47" i="12"/>
  <c r="CE63" i="12"/>
  <c r="AQ43" i="12"/>
  <c r="BB71" i="12"/>
  <c r="BR43" i="12"/>
  <c r="BT82" i="12"/>
  <c r="CE78" i="12"/>
  <c r="CR74" i="12"/>
  <c r="DD70" i="12"/>
  <c r="BR70" i="12"/>
  <c r="CD66" i="12"/>
  <c r="CU62" i="12"/>
  <c r="CH62" i="12"/>
  <c r="CV58" i="12"/>
  <c r="CL58" i="12"/>
  <c r="CC54" i="12"/>
  <c r="BS54" i="12"/>
  <c r="DE50" i="12"/>
  <c r="CN46" i="12"/>
  <c r="CE46" i="12"/>
  <c r="DK42" i="12"/>
  <c r="CI42" i="12"/>
  <c r="DG38" i="12"/>
  <c r="CX38" i="12"/>
  <c r="DF34" i="12"/>
  <c r="CG34" i="12"/>
  <c r="CB34" i="12"/>
  <c r="CW30" i="12"/>
  <c r="BO30" i="12"/>
  <c r="DD26" i="12"/>
  <c r="CQ26" i="12"/>
  <c r="CR22" i="12"/>
  <c r="CD22" i="12"/>
  <c r="CU18" i="12"/>
  <c r="BT18" i="12"/>
  <c r="CX18" i="12"/>
  <c r="AG18" i="12"/>
  <c r="AX74" i="12"/>
  <c r="BC54" i="12"/>
  <c r="BE46" i="12"/>
  <c r="BW30" i="12"/>
  <c r="AW30" i="12"/>
  <c r="BB26" i="12"/>
  <c r="BN54" i="12"/>
  <c r="AS82" i="12"/>
  <c r="AV70" i="12"/>
  <c r="BA70" i="12"/>
  <c r="BG66" i="12"/>
  <c r="BJ38" i="12"/>
  <c r="AK21" i="12"/>
  <c r="AL26" i="12"/>
  <c r="AL31" i="12"/>
  <c r="AK37" i="12"/>
  <c r="AL42" i="12"/>
  <c r="AK48" i="12"/>
  <c r="AM53" i="12"/>
  <c r="AL59" i="12"/>
  <c r="AL65" i="12"/>
  <c r="AK71" i="12"/>
  <c r="AM76" i="12"/>
  <c r="AL81" i="12"/>
  <c r="AJ18" i="12"/>
  <c r="AJ33" i="12"/>
  <c r="AJ48" i="12"/>
  <c r="AJ62" i="12"/>
  <c r="AJ76" i="12"/>
  <c r="AI18" i="12"/>
  <c r="AI25" i="12"/>
  <c r="AI33" i="12"/>
  <c r="AI40" i="12"/>
  <c r="AI47" i="12"/>
  <c r="AI54" i="12"/>
  <c r="AI61" i="12"/>
  <c r="AI69" i="12"/>
  <c r="AI76" i="12"/>
  <c r="AD19" i="12"/>
  <c r="AC24" i="12"/>
  <c r="AB29" i="12"/>
  <c r="AC33" i="12"/>
  <c r="AC37" i="12"/>
  <c r="AC41" i="12"/>
  <c r="AC45" i="12"/>
  <c r="AC49" i="12"/>
  <c r="AC53" i="12"/>
  <c r="AC57" i="12"/>
  <c r="AC61" i="12"/>
  <c r="AC65" i="12"/>
  <c r="AC69" i="12"/>
  <c r="AC73" i="12"/>
  <c r="AC77" i="12"/>
  <c r="AC81" i="12"/>
  <c r="AU17" i="12"/>
  <c r="BI77" i="12"/>
  <c r="BG57" i="12"/>
  <c r="CH33" i="12"/>
  <c r="CD17" i="12"/>
  <c r="EN34" i="12"/>
  <c r="EN51" i="12"/>
  <c r="DK57" i="12"/>
  <c r="CU25" i="12"/>
  <c r="AF47" i="12"/>
  <c r="BS79" i="12"/>
  <c r="CZ67" i="12"/>
  <c r="BS51" i="12"/>
  <c r="CR31" i="12"/>
  <c r="CS19" i="12"/>
  <c r="BB79" i="12"/>
  <c r="BN27" i="12"/>
  <c r="CG71" i="12"/>
  <c r="CX55" i="12"/>
  <c r="CE47" i="12"/>
  <c r="BS39" i="12"/>
  <c r="BK35" i="12"/>
  <c r="BV27" i="12"/>
  <c r="AV39" i="12"/>
  <c r="BD19" i="12"/>
  <c r="CD43" i="12"/>
  <c r="AQ39" i="12"/>
  <c r="AZ63" i="12"/>
  <c r="BM79" i="12"/>
  <c r="CC39" i="12"/>
  <c r="BL82" i="12"/>
  <c r="BO78" i="12"/>
  <c r="CO74" i="12"/>
  <c r="CQ70" i="12"/>
  <c r="BI70" i="12"/>
  <c r="DE66" i="12"/>
  <c r="CY62" i="12"/>
  <c r="BU62" i="12"/>
  <c r="CZ58" i="12"/>
  <c r="BR58" i="12"/>
  <c r="DI54" i="12"/>
  <c r="DF50" i="12"/>
  <c r="CN50" i="12"/>
  <c r="CR46" i="12"/>
  <c r="BO46" i="12"/>
  <c r="CV42" i="12"/>
  <c r="CB42" i="12"/>
  <c r="DK38" i="12"/>
  <c r="BY38" i="12"/>
  <c r="DJ34" i="12"/>
  <c r="CD34" i="12"/>
  <c r="BM34" i="12"/>
  <c r="DA30" i="12"/>
  <c r="BD30" i="12"/>
  <c r="DH26" i="12"/>
  <c r="BV26" i="12"/>
  <c r="DG22" i="12"/>
  <c r="BU22" i="12"/>
  <c r="CR18" i="12"/>
  <c r="BX18" i="12"/>
  <c r="CI18" i="12"/>
  <c r="AP78" i="12"/>
  <c r="AX58" i="12"/>
  <c r="BC50" i="12"/>
  <c r="BE34" i="12"/>
  <c r="CB54" i="12"/>
  <c r="AW22" i="12"/>
  <c r="BB22" i="12"/>
  <c r="BN38" i="12"/>
  <c r="AS78" i="12"/>
  <c r="AV62" i="12"/>
  <c r="BA66" i="12"/>
  <c r="BG62" i="12"/>
  <c r="BJ30" i="12"/>
  <c r="AL21" i="12"/>
  <c r="AM26" i="12"/>
  <c r="AM31" i="12"/>
  <c r="AL37" i="12"/>
  <c r="AM42" i="12"/>
  <c r="AL48" i="12"/>
  <c r="AK54" i="12"/>
  <c r="AM59" i="12"/>
  <c r="AM65" i="12"/>
  <c r="AL71" i="12"/>
  <c r="AK77" i="12"/>
  <c r="AM81" i="12"/>
  <c r="AJ19" i="12"/>
  <c r="AJ35" i="12"/>
  <c r="AJ49" i="12"/>
  <c r="AJ63" i="12"/>
  <c r="AJ77" i="12"/>
  <c r="AH19" i="12"/>
  <c r="AI26" i="12"/>
  <c r="AH34" i="12"/>
  <c r="AH41" i="12"/>
  <c r="AH48" i="12"/>
  <c r="AH55" i="12"/>
  <c r="AI62" i="12"/>
  <c r="AH70" i="12"/>
  <c r="AH77" i="12"/>
  <c r="AB20" i="12"/>
  <c r="AD24" i="12"/>
  <c r="AC29" i="12"/>
  <c r="AD33" i="12"/>
  <c r="AD37" i="12"/>
  <c r="AD41" i="12"/>
  <c r="AD45" i="12"/>
  <c r="AD49" i="12"/>
  <c r="AD53" i="12"/>
  <c r="AD57" i="12"/>
  <c r="AD61" i="12"/>
  <c r="AD65" i="12"/>
  <c r="AD69" i="12"/>
  <c r="AD73" i="12"/>
  <c r="AD77" i="12"/>
  <c r="AD81" i="12"/>
  <c r="CB53" i="12"/>
  <c r="BM77" i="12"/>
  <c r="CR53" i="12"/>
  <c r="BS33" i="12"/>
  <c r="BW17" i="12"/>
  <c r="EO30" i="12"/>
  <c r="DK49" i="12"/>
  <c r="DA21" i="12"/>
  <c r="AG83" i="12"/>
  <c r="BW79" i="12"/>
  <c r="CS67" i="12"/>
  <c r="BW51" i="12"/>
  <c r="CH31" i="12"/>
  <c r="DA19" i="12"/>
  <c r="BC75" i="12"/>
  <c r="BK23" i="12"/>
  <c r="DI71" i="12"/>
  <c r="DB55" i="12"/>
  <c r="CV47" i="12"/>
  <c r="BN39" i="12"/>
  <c r="BO35" i="12"/>
  <c r="AW35" i="12"/>
  <c r="CP51" i="12"/>
  <c r="AQ31" i="12"/>
  <c r="BA59" i="12"/>
  <c r="BI79" i="12"/>
  <c r="CI55" i="12"/>
  <c r="DF78" i="12"/>
  <c r="CI78" i="12"/>
  <c r="CE74" i="12"/>
  <c r="CJ70" i="12"/>
  <c r="DJ66" i="12"/>
  <c r="CO66" i="12"/>
  <c r="DG62" i="12"/>
  <c r="BY62" i="12"/>
  <c r="DA58" i="12"/>
  <c r="BV58" i="12"/>
  <c r="CX54" i="12"/>
  <c r="DG50" i="12"/>
  <c r="CS50" i="12"/>
  <c r="DG46" i="12"/>
  <c r="CI46" i="12"/>
  <c r="DD42" i="12"/>
  <c r="BT42" i="12"/>
  <c r="CV38" i="12"/>
  <c r="CE38" i="12"/>
  <c r="CU34" i="12"/>
  <c r="BU34" i="12"/>
  <c r="BF34" i="12"/>
  <c r="CQ30" i="12"/>
  <c r="CI30" i="12"/>
  <c r="CW26" i="12"/>
  <c r="BS26" i="12"/>
  <c r="DK22" i="12"/>
  <c r="BY22" i="12"/>
  <c r="DG18" i="12"/>
  <c r="BU18" i="12"/>
  <c r="CD18" i="12"/>
  <c r="AP74" i="12"/>
  <c r="AX46" i="12"/>
  <c r="BC46" i="12"/>
  <c r="BE26" i="12"/>
  <c r="CI54" i="12"/>
  <c r="AW18" i="12"/>
  <c r="BB18" i="12"/>
  <c r="BN30" i="12"/>
  <c r="AS74" i="12"/>
  <c r="AV58" i="12"/>
  <c r="BA62" i="12"/>
  <c r="BG54" i="12"/>
  <c r="BJ22" i="12"/>
  <c r="AL16" i="12"/>
  <c r="AK22" i="12"/>
  <c r="AK27" i="12"/>
  <c r="AL32" i="12"/>
  <c r="AK38" i="12"/>
  <c r="AK43" i="12"/>
  <c r="AK49" i="12"/>
  <c r="AM54" i="12"/>
  <c r="AK60" i="12"/>
  <c r="AL66" i="12"/>
  <c r="AL72" i="12"/>
  <c r="AL77" i="12"/>
  <c r="AK82" i="12"/>
  <c r="AJ21" i="12"/>
  <c r="AJ36" i="12"/>
  <c r="AJ50" i="12"/>
  <c r="AJ64" i="12"/>
  <c r="AJ78" i="12"/>
  <c r="AI19" i="12"/>
  <c r="AI27" i="12"/>
  <c r="AI34" i="12"/>
  <c r="AI41" i="12"/>
  <c r="AI48" i="12"/>
  <c r="AI55" i="12"/>
  <c r="AI63" i="12"/>
  <c r="AI70" i="12"/>
  <c r="AI77" i="12"/>
  <c r="AC20" i="12"/>
  <c r="AC25" i="12"/>
  <c r="AB30" i="12"/>
  <c r="AB34" i="12"/>
  <c r="AB38" i="12"/>
  <c r="AB42" i="12"/>
  <c r="AB46" i="12"/>
  <c r="AB50" i="12"/>
  <c r="AB54" i="12"/>
  <c r="AB58" i="12"/>
  <c r="AB62" i="12"/>
  <c r="AB66" i="12"/>
  <c r="AB70" i="12"/>
  <c r="AB74" i="12"/>
  <c r="AB78" i="12"/>
  <c r="AB82" i="12"/>
  <c r="AA34" i="12"/>
  <c r="AA46" i="12"/>
  <c r="AA58" i="12"/>
  <c r="AA70" i="12"/>
  <c r="AA29" i="12"/>
  <c r="Z23" i="12"/>
  <c r="Z35" i="12"/>
  <c r="Z47" i="12"/>
  <c r="Z59" i="12"/>
  <c r="Z71" i="12"/>
  <c r="Z83" i="12"/>
  <c r="Y25" i="12"/>
  <c r="Y37" i="12"/>
  <c r="Y49" i="12"/>
  <c r="Y61" i="12"/>
  <c r="Y73" i="12"/>
  <c r="X27" i="12"/>
  <c r="X39" i="12"/>
  <c r="X51" i="12"/>
  <c r="X63" i="12"/>
  <c r="X75" i="12"/>
  <c r="W62" i="12"/>
  <c r="W74" i="12"/>
  <c r="W53" i="12"/>
  <c r="W46" i="12"/>
  <c r="W33" i="12"/>
  <c r="W21" i="12"/>
  <c r="DF30" i="12"/>
  <c r="BK26" i="12"/>
  <c r="DB22" i="12"/>
  <c r="CQ18" i="12"/>
  <c r="AP70" i="12"/>
  <c r="AX42" i="12"/>
  <c r="BJ74" i="12"/>
  <c r="AW82" i="12"/>
  <c r="BB78" i="12"/>
  <c r="BN22" i="12"/>
  <c r="AS58" i="12"/>
  <c r="BA46" i="12"/>
  <c r="BG50" i="12"/>
  <c r="AK17" i="12"/>
  <c r="AL27" i="12"/>
  <c r="AK33" i="12"/>
  <c r="AL43" i="12"/>
  <c r="AM49" i="12"/>
  <c r="AL60" i="12"/>
  <c r="AK67" i="12"/>
  <c r="AM77" i="12"/>
  <c r="AL82" i="12"/>
  <c r="AJ23" i="12"/>
  <c r="AJ51" i="12"/>
  <c r="AJ65" i="12"/>
  <c r="AI20" i="12"/>
  <c r="AH28" i="12"/>
  <c r="AH42" i="12"/>
  <c r="AI56" i="12"/>
  <c r="AU65" i="12"/>
  <c r="DG77" i="12"/>
  <c r="CV49" i="12"/>
  <c r="BW33" i="12"/>
  <c r="CO17" i="12"/>
  <c r="EN28" i="12"/>
  <c r="DJ77" i="12"/>
  <c r="CW45" i="12"/>
  <c r="DK17" i="12"/>
  <c r="AG19" i="12"/>
  <c r="CS79" i="12"/>
  <c r="CD67" i="12"/>
  <c r="CL51" i="12"/>
  <c r="CB31" i="12"/>
  <c r="CQ19" i="12"/>
  <c r="AZ71" i="12"/>
  <c r="CH71" i="12"/>
  <c r="DE55" i="12"/>
  <c r="CN47" i="12"/>
  <c r="CZ39" i="12"/>
  <c r="CJ35" i="12"/>
  <c r="BO67" i="12"/>
  <c r="AR39" i="12"/>
  <c r="BC51" i="12"/>
  <c r="BM75" i="12"/>
  <c r="DJ78" i="12"/>
  <c r="BR78" i="12"/>
  <c r="BU74" i="12"/>
  <c r="DI70" i="12"/>
  <c r="CU66" i="12"/>
  <c r="DI66" i="12"/>
  <c r="DK62" i="12"/>
  <c r="BK62" i="12"/>
  <c r="CJ58" i="12"/>
  <c r="BL58" i="12"/>
  <c r="CN54" i="12"/>
  <c r="CV50" i="12"/>
  <c r="BO50" i="12"/>
  <c r="CV46" i="12"/>
  <c r="CB46" i="12"/>
  <c r="DA42" i="12"/>
  <c r="BY42" i="12"/>
  <c r="CZ38" i="12"/>
  <c r="CM38" i="12"/>
  <c r="DG34" i="12"/>
  <c r="BY34" i="12"/>
  <c r="BT30" i="12"/>
  <c r="CB30" i="12"/>
  <c r="DA26" i="12"/>
  <c r="CS22" i="12"/>
  <c r="DK18" i="12"/>
  <c r="BI18" i="12"/>
  <c r="BC30" i="12"/>
  <c r="BD70" i="12"/>
  <c r="AV54" i="12"/>
  <c r="BX82" i="12"/>
  <c r="AL22" i="12"/>
  <c r="AL38" i="12"/>
  <c r="AK55" i="12"/>
  <c r="AM72" i="12"/>
  <c r="AJ37" i="12"/>
  <c r="AJ79" i="12"/>
  <c r="AH35" i="12"/>
  <c r="AH49" i="12"/>
  <c r="AH64" i="12"/>
  <c r="AH71" i="12"/>
  <c r="AB16" i="12"/>
  <c r="DV65" i="12"/>
  <c r="CY76" i="12"/>
  <c r="CM77" i="12"/>
  <c r="CM49" i="12"/>
  <c r="CJ33" i="12"/>
  <c r="BY17" i="12"/>
  <c r="EN24" i="12"/>
  <c r="CU77" i="12"/>
  <c r="DE41" i="12"/>
  <c r="CU17" i="12"/>
  <c r="CL75" i="12"/>
  <c r="CU59" i="12"/>
  <c r="CU43" i="12"/>
  <c r="DG23" i="12"/>
  <c r="CH19" i="12"/>
  <c r="BA67" i="12"/>
  <c r="CI71" i="12"/>
  <c r="DI55" i="12"/>
  <c r="CW47" i="12"/>
  <c r="CN39" i="12"/>
  <c r="BU35" i="12"/>
  <c r="BB75" i="12"/>
  <c r="BP63" i="12"/>
  <c r="AG31" i="12"/>
  <c r="AX75" i="12"/>
  <c r="AZ31" i="12"/>
  <c r="BI75" i="12"/>
  <c r="CP43" i="12"/>
  <c r="CU78" i="12"/>
  <c r="BV78" i="12"/>
  <c r="BY74" i="12"/>
  <c r="CX70" i="12"/>
  <c r="CY66" i="12"/>
  <c r="BK66" i="12"/>
  <c r="CV62" i="12"/>
  <c r="BO62" i="12"/>
  <c r="CN58" i="12"/>
  <c r="BM58" i="12"/>
  <c r="CG54" i="12"/>
  <c r="CZ50" i="12"/>
  <c r="BL50" i="12"/>
  <c r="CO46" i="12"/>
  <c r="BR46" i="12"/>
  <c r="CL42" i="12"/>
  <c r="CX42" i="12"/>
  <c r="CO38" i="12"/>
  <c r="BR38" i="12"/>
  <c r="CZ34" i="12"/>
  <c r="DE34" i="12"/>
  <c r="DJ30" i="12"/>
  <c r="BX30" i="12"/>
  <c r="BI30" i="12"/>
  <c r="CL26" i="12"/>
  <c r="BO26" i="12"/>
  <c r="AG17" i="12"/>
  <c r="CZ76" i="12"/>
  <c r="CC73" i="12"/>
  <c r="CQ49" i="12"/>
  <c r="CB33" i="12"/>
  <c r="BL17" i="12"/>
  <c r="EN20" i="12"/>
  <c r="CY77" i="12"/>
  <c r="DG41" i="12"/>
  <c r="CY17" i="12"/>
  <c r="CW75" i="12"/>
  <c r="CN59" i="12"/>
  <c r="CH43" i="12"/>
  <c r="CL23" i="12"/>
  <c r="BR19" i="12"/>
  <c r="CB71" i="12"/>
  <c r="CU55" i="12"/>
  <c r="CJ47" i="12"/>
  <c r="BT39" i="12"/>
  <c r="DK27" i="12"/>
  <c r="BC71" i="12"/>
  <c r="BL63" i="12"/>
  <c r="AU71" i="12"/>
  <c r="BN71" i="12"/>
  <c r="DJ79" i="12"/>
  <c r="CY78" i="12"/>
  <c r="BL78" i="12"/>
  <c r="BK74" i="12"/>
  <c r="CN70" i="12"/>
  <c r="DG66" i="12"/>
  <c r="CL66" i="12"/>
  <c r="DE62" i="12"/>
  <c r="CB62" i="12"/>
  <c r="CR58" i="12"/>
  <c r="CU54" i="12"/>
  <c r="DB54" i="12"/>
  <c r="DD50" i="12"/>
  <c r="BP50" i="12"/>
  <c r="CW46" i="12"/>
  <c r="BV46" i="12"/>
  <c r="CP42" i="12"/>
  <c r="BP42" i="12"/>
  <c r="BU68" i="12"/>
  <c r="BT37" i="12"/>
  <c r="DK48" i="12"/>
  <c r="BD69" i="12"/>
  <c r="BP45" i="12"/>
  <c r="BF29" i="12"/>
  <c r="EN16" i="12"/>
  <c r="DD73" i="12"/>
  <c r="CU41" i="12"/>
  <c r="CN17" i="12"/>
  <c r="AZ27" i="12"/>
  <c r="CN75" i="12"/>
  <c r="CR59" i="12"/>
  <c r="CW43" i="12"/>
  <c r="CQ23" i="12"/>
  <c r="BV19" i="12"/>
  <c r="BG55" i="12"/>
  <c r="BF46" i="12"/>
  <c r="DD25" i="12"/>
  <c r="CC27" i="12"/>
  <c r="CW29" i="12"/>
  <c r="DE79" i="12"/>
  <c r="CO43" i="12"/>
  <c r="AR47" i="12"/>
  <c r="CW63" i="12"/>
  <c r="DE39" i="12"/>
  <c r="CM27" i="12"/>
  <c r="BC55" i="12"/>
  <c r="AX27" i="12"/>
  <c r="BL47" i="12"/>
  <c r="DD78" i="12"/>
  <c r="CL74" i="12"/>
  <c r="CV66" i="12"/>
  <c r="CJ62" i="12"/>
  <c r="CG58" i="12"/>
  <c r="CE54" i="12"/>
  <c r="DI50" i="12"/>
  <c r="BL46" i="12"/>
  <c r="BR42" i="12"/>
  <c r="DI38" i="12"/>
  <c r="CW34" i="12"/>
  <c r="DK30" i="12"/>
  <c r="DF26" i="12"/>
  <c r="BY26" i="12"/>
  <c r="CP22" i="12"/>
  <c r="BM22" i="12"/>
  <c r="BV18" i="12"/>
  <c r="AG30" i="12"/>
  <c r="AX26" i="12"/>
  <c r="BE50" i="12"/>
  <c r="AW62" i="12"/>
  <c r="BB30" i="12"/>
  <c r="CB38" i="12"/>
  <c r="AV74" i="12"/>
  <c r="BA26" i="12"/>
  <c r="BJ46" i="12"/>
  <c r="AK18" i="12"/>
  <c r="AK25" i="12"/>
  <c r="AK34" i="12"/>
  <c r="AK41" i="12"/>
  <c r="AM50" i="12"/>
  <c r="AK58" i="12"/>
  <c r="AK68" i="12"/>
  <c r="AM75" i="12"/>
  <c r="AM83" i="12"/>
  <c r="AJ29" i="12"/>
  <c r="AJ53" i="12"/>
  <c r="AJ73" i="12"/>
  <c r="AH22" i="12"/>
  <c r="AH31" i="12"/>
  <c r="AH43" i="12"/>
  <c r="AH53" i="12"/>
  <c r="AH65" i="12"/>
  <c r="AI74" i="12"/>
  <c r="AC21" i="12"/>
  <c r="AC27" i="12"/>
  <c r="AD32" i="12"/>
  <c r="AD38" i="12"/>
  <c r="AD43" i="12"/>
  <c r="AD48" i="12"/>
  <c r="AD54" i="12"/>
  <c r="AD59" i="12"/>
  <c r="AD64" i="12"/>
  <c r="AD70" i="12"/>
  <c r="AD75" i="12"/>
  <c r="AD80" i="12"/>
  <c r="AA33" i="12"/>
  <c r="AA47" i="12"/>
  <c r="AA60" i="12"/>
  <c r="AA73" i="12"/>
  <c r="AA24" i="12"/>
  <c r="Z28" i="12"/>
  <c r="Z41" i="12"/>
  <c r="Z54" i="12"/>
  <c r="Z67" i="12"/>
  <c r="Z80" i="12"/>
  <c r="Y23" i="12"/>
  <c r="Y36" i="12"/>
  <c r="Y50" i="12"/>
  <c r="Y63" i="12"/>
  <c r="Y76" i="12"/>
  <c r="X18" i="12"/>
  <c r="X31" i="12"/>
  <c r="X44" i="12"/>
  <c r="X57" i="12"/>
  <c r="X70" i="12"/>
  <c r="X83" i="12"/>
  <c r="W71" i="12"/>
  <c r="W51" i="12"/>
  <c r="W45" i="12"/>
  <c r="W34" i="12"/>
  <c r="W16" i="12"/>
  <c r="AA74" i="12"/>
  <c r="Z29" i="12"/>
  <c r="Z42" i="12"/>
  <c r="Z55" i="12"/>
  <c r="Z81" i="12"/>
  <c r="Y24" i="12"/>
  <c r="Y38" i="12"/>
  <c r="Y51" i="12"/>
  <c r="Y77" i="12"/>
  <c r="X19" i="12"/>
  <c r="X32" i="12"/>
  <c r="X45" i="12"/>
  <c r="X71" i="12"/>
  <c r="W72" i="12"/>
  <c r="W52" i="12"/>
  <c r="W35" i="12"/>
  <c r="W17" i="12"/>
  <c r="AA49" i="12"/>
  <c r="Z17" i="12"/>
  <c r="Z43" i="12"/>
  <c r="Z69" i="12"/>
  <c r="Y26" i="12"/>
  <c r="Y52" i="12"/>
  <c r="Y78" i="12"/>
  <c r="X20" i="12"/>
  <c r="X59" i="12"/>
  <c r="W60" i="12"/>
  <c r="W54" i="12"/>
  <c r="W26" i="12"/>
  <c r="CR67" i="12"/>
  <c r="BV62" i="12"/>
  <c r="DH50" i="12"/>
  <c r="BM38" i="12"/>
  <c r="CZ26" i="12"/>
  <c r="DB18" i="12"/>
  <c r="BB70" i="12"/>
  <c r="BG42" i="12"/>
  <c r="AL29" i="12"/>
  <c r="AK53" i="12"/>
  <c r="AM79" i="12"/>
  <c r="AJ41" i="12"/>
  <c r="AH25" i="12"/>
  <c r="AI68" i="12"/>
  <c r="AB18" i="12"/>
  <c r="AD46" i="12"/>
  <c r="AD67" i="12"/>
  <c r="AD78" i="12"/>
  <c r="AA66" i="12"/>
  <c r="AA20" i="12"/>
  <c r="Z74" i="12"/>
  <c r="Y56" i="12"/>
  <c r="X37" i="12"/>
  <c r="W37" i="12"/>
  <c r="EM41" i="12"/>
  <c r="EM62" i="12"/>
  <c r="CS59" i="12"/>
  <c r="CC71" i="12"/>
  <c r="CC47" i="12"/>
  <c r="AS71" i="12"/>
  <c r="DI82" i="12"/>
  <c r="DG54" i="12"/>
  <c r="DE46" i="12"/>
  <c r="CG30" i="12"/>
  <c r="CJ18" i="12"/>
  <c r="BG82" i="12"/>
  <c r="AS42" i="12"/>
  <c r="BA78" i="12"/>
  <c r="CX26" i="12"/>
  <c r="AM63" i="12"/>
  <c r="AK80" i="12"/>
  <c r="AJ42" i="12"/>
  <c r="AI28" i="12"/>
  <c r="AI80" i="12"/>
  <c r="AB31" i="12"/>
  <c r="AB47" i="12"/>
  <c r="AB73" i="12"/>
  <c r="AA21" i="12"/>
  <c r="Z75" i="12"/>
  <c r="Y70" i="12"/>
  <c r="X52" i="12"/>
  <c r="W59" i="12"/>
  <c r="DH28" i="12"/>
  <c r="EN58" i="12"/>
  <c r="DB57" i="12"/>
  <c r="BI23" i="12"/>
  <c r="DH39" i="12"/>
  <c r="BM55" i="12"/>
  <c r="CJ82" i="12"/>
  <c r="DB50" i="12"/>
  <c r="DE38" i="12"/>
  <c r="CN22" i="12"/>
  <c r="AG58" i="12"/>
  <c r="BB50" i="12"/>
  <c r="BE30" i="12"/>
  <c r="AL30" i="12"/>
  <c r="AL73" i="12"/>
  <c r="AJ43" i="12"/>
  <c r="AI50" i="12"/>
  <c r="AD18" i="12"/>
  <c r="AC36" i="12"/>
  <c r="AC68" i="12"/>
  <c r="AC74" i="12"/>
  <c r="Z24" i="12"/>
  <c r="Z76" i="12"/>
  <c r="Y71" i="12"/>
  <c r="X53" i="12"/>
  <c r="W29" i="12"/>
  <c r="AP61" i="12"/>
  <c r="CQ24" i="12"/>
  <c r="EM46" i="12"/>
  <c r="BB19" i="12"/>
  <c r="BP71" i="12"/>
  <c r="AR51" i="12"/>
  <c r="BE39" i="12"/>
  <c r="CV54" i="12"/>
  <c r="CS34" i="12"/>
  <c r="CW22" i="12"/>
  <c r="AG54" i="12"/>
  <c r="BE74" i="12"/>
  <c r="AS34" i="12"/>
  <c r="AM30" i="12"/>
  <c r="AM73" i="12"/>
  <c r="AJ69" i="12"/>
  <c r="AI60" i="12"/>
  <c r="AB19" i="12"/>
  <c r="AC26" i="12"/>
  <c r="AD58" i="12"/>
  <c r="AD74" i="12"/>
  <c r="AD79" i="12"/>
  <c r="AA30" i="12"/>
  <c r="Z51" i="12"/>
  <c r="Y20" i="12"/>
  <c r="X41" i="12"/>
  <c r="X80" i="12"/>
  <c r="W42" i="12"/>
  <c r="AU22" i="12"/>
  <c r="CE41" i="12"/>
  <c r="EM31" i="12"/>
  <c r="BD35" i="12"/>
  <c r="BJ19" i="12"/>
  <c r="DB39" i="12"/>
  <c r="BK70" i="12"/>
  <c r="CY58" i="12"/>
  <c r="CZ54" i="12"/>
  <c r="CH42" i="12"/>
  <c r="DD34" i="12"/>
  <c r="CC18" i="12"/>
  <c r="BE70" i="12"/>
  <c r="BB38" i="12"/>
  <c r="AM23" i="12"/>
  <c r="AM47" i="12"/>
  <c r="AK81" i="12"/>
  <c r="AH18" i="12"/>
  <c r="AH52" i="12"/>
  <c r="AB43" i="12"/>
  <c r="AB64" i="12"/>
  <c r="AB75" i="12"/>
  <c r="AA44" i="12"/>
  <c r="AA17" i="12"/>
  <c r="Z65" i="12"/>
  <c r="Y47" i="12"/>
  <c r="X16" i="12"/>
  <c r="X68" i="12"/>
  <c r="W31" i="12"/>
  <c r="AZ34" i="12"/>
  <c r="CV20" i="12"/>
  <c r="DI29" i="12"/>
  <c r="BN19" i="12"/>
  <c r="BS31" i="12"/>
  <c r="CN82" i="12"/>
  <c r="CM54" i="12"/>
  <c r="DH34" i="12"/>
  <c r="CL22" i="12"/>
  <c r="BR18" i="12"/>
  <c r="AW66" i="12"/>
  <c r="BJ62" i="12"/>
  <c r="AL24" i="12"/>
  <c r="AK57" i="12"/>
  <c r="AJ52" i="12"/>
  <c r="AI21" i="12"/>
  <c r="AI73" i="12"/>
  <c r="AC32" i="12"/>
  <c r="AC48" i="12"/>
  <c r="AC64" i="12"/>
  <c r="AC75" i="12"/>
  <c r="AA59" i="12"/>
  <c r="Z40" i="12"/>
  <c r="Y22" i="12"/>
  <c r="Y75" i="12"/>
  <c r="X56" i="12"/>
  <c r="W44" i="12"/>
  <c r="AQ34" i="12"/>
  <c r="BW65" i="12"/>
  <c r="CO25" i="12"/>
  <c r="DA29" i="12"/>
  <c r="CN79" i="12"/>
  <c r="BJ43" i="12"/>
  <c r="DG83" i="12"/>
  <c r="CH55" i="12"/>
  <c r="DH35" i="12"/>
  <c r="BO43" i="12"/>
  <c r="CJ78" i="12"/>
  <c r="BI74" i="12"/>
  <c r="DD66" i="12"/>
  <c r="CC62" i="12"/>
  <c r="CD58" i="12"/>
  <c r="BY54" i="12"/>
  <c r="CX50" i="12"/>
  <c r="BI46" i="12"/>
  <c r="BW42" i="12"/>
  <c r="BW38" i="12"/>
  <c r="DB34" i="12"/>
  <c r="CO30" i="12"/>
  <c r="DJ26" i="12"/>
  <c r="DE26" i="12"/>
  <c r="DE22" i="12"/>
  <c r="CV18" i="12"/>
  <c r="BS18" i="12"/>
  <c r="AP66" i="12"/>
  <c r="BC78" i="12"/>
  <c r="BJ66" i="12"/>
  <c r="AW58" i="12"/>
  <c r="BD66" i="12"/>
  <c r="CI38" i="12"/>
  <c r="AV50" i="12"/>
  <c r="BA22" i="12"/>
  <c r="BX78" i="12"/>
  <c r="AL18" i="12"/>
  <c r="AL25" i="12"/>
  <c r="AL34" i="12"/>
  <c r="AL41" i="12"/>
  <c r="AK51" i="12"/>
  <c r="AL58" i="12"/>
  <c r="AL68" i="12"/>
  <c r="AK76" i="12"/>
  <c r="AJ30" i="12"/>
  <c r="AJ54" i="12"/>
  <c r="AJ74" i="12"/>
  <c r="AI22" i="12"/>
  <c r="AI31" i="12"/>
  <c r="AI43" i="12"/>
  <c r="AI53" i="12"/>
  <c r="AI65" i="12"/>
  <c r="AI75" i="12"/>
  <c r="AB22" i="12"/>
  <c r="AD27" i="12"/>
  <c r="AB33" i="12"/>
  <c r="AB39" i="12"/>
  <c r="AB44" i="12"/>
  <c r="AB49" i="12"/>
  <c r="AB55" i="12"/>
  <c r="AB60" i="12"/>
  <c r="AB65" i="12"/>
  <c r="AB71" i="12"/>
  <c r="AB76" i="12"/>
  <c r="AB81" i="12"/>
  <c r="AA35" i="12"/>
  <c r="AA48" i="12"/>
  <c r="AA61" i="12"/>
  <c r="AA25" i="12"/>
  <c r="Z16" i="12"/>
  <c r="Z68" i="12"/>
  <c r="Y64" i="12"/>
  <c r="X58" i="12"/>
  <c r="W47" i="12"/>
  <c r="AA75" i="12"/>
  <c r="Z56" i="12"/>
  <c r="Y39" i="12"/>
  <c r="X46" i="12"/>
  <c r="W73" i="12"/>
  <c r="BG35" i="12"/>
  <c r="AS46" i="12"/>
  <c r="AJ61" i="12"/>
  <c r="AD23" i="12"/>
  <c r="AD83" i="12"/>
  <c r="Z48" i="12"/>
  <c r="X24" i="12"/>
  <c r="BV66" i="12"/>
  <c r="BF38" i="12"/>
  <c r="BX50" i="12"/>
  <c r="AL55" i="12"/>
  <c r="AJ66" i="12"/>
  <c r="AC18" i="12"/>
  <c r="AB79" i="12"/>
  <c r="Z49" i="12"/>
  <c r="Y83" i="12"/>
  <c r="W79" i="12"/>
  <c r="AQ47" i="12"/>
  <c r="CD30" i="12"/>
  <c r="BA74" i="12"/>
  <c r="AK64" i="12"/>
  <c r="AI38" i="12"/>
  <c r="AC42" i="12"/>
  <c r="AA68" i="12"/>
  <c r="Y45" i="12"/>
  <c r="W67" i="12"/>
  <c r="CX39" i="12"/>
  <c r="BU42" i="12"/>
  <c r="AW78" i="12"/>
  <c r="AK47" i="12"/>
  <c r="AI39" i="12"/>
  <c r="AD47" i="12"/>
  <c r="AA69" i="12"/>
  <c r="Y33" i="12"/>
  <c r="W48" i="12"/>
  <c r="CW74" i="12"/>
  <c r="CD26" i="12"/>
  <c r="AS30" i="12"/>
  <c r="AJ27" i="12"/>
  <c r="AD26" i="12"/>
  <c r="AB80" i="12"/>
  <c r="Z52" i="12"/>
  <c r="X42" i="12"/>
  <c r="BO70" i="12"/>
  <c r="CY30" i="12"/>
  <c r="AS26" i="12"/>
  <c r="AK75" i="12"/>
  <c r="AI64" i="12"/>
  <c r="AC54" i="12"/>
  <c r="AA72" i="12"/>
  <c r="Z79" i="12"/>
  <c r="X30" i="12"/>
  <c r="CN68" i="12"/>
  <c r="BI65" i="12"/>
  <c r="EM21" i="12"/>
  <c r="CR17" i="12"/>
  <c r="DJ75" i="12"/>
  <c r="CL43" i="12"/>
  <c r="AV75" i="12"/>
  <c r="CQ83" i="12"/>
  <c r="CR55" i="12"/>
  <c r="DI35" i="12"/>
  <c r="BF83" i="12"/>
  <c r="AZ79" i="12"/>
  <c r="BI39" i="12"/>
  <c r="CC78" i="12"/>
  <c r="BM74" i="12"/>
  <c r="DB66" i="12"/>
  <c r="DI62" i="12"/>
  <c r="DE58" i="12"/>
  <c r="BK54" i="12"/>
  <c r="CO50" i="12"/>
  <c r="CY42" i="12"/>
  <c r="BI42" i="12"/>
  <c r="BK38" i="12"/>
  <c r="CM34" i="12"/>
  <c r="CS30" i="12"/>
  <c r="CU26" i="12"/>
  <c r="BD26" i="12"/>
  <c r="CQ22" i="12"/>
  <c r="CZ18" i="12"/>
  <c r="BW18" i="12"/>
  <c r="AP62" i="12"/>
  <c r="BC66" i="12"/>
  <c r="BJ58" i="12"/>
  <c r="AW54" i="12"/>
  <c r="BD58" i="12"/>
  <c r="CL70" i="12"/>
  <c r="AV46" i="12"/>
  <c r="BA18" i="12"/>
  <c r="BX62" i="12"/>
  <c r="AM18" i="12"/>
  <c r="AK26" i="12"/>
  <c r="AM34" i="12"/>
  <c r="AK42" i="12"/>
  <c r="AL51" i="12"/>
  <c r="AK59" i="12"/>
  <c r="AM68" i="12"/>
  <c r="AL76" i="12"/>
  <c r="AJ31" i="12"/>
  <c r="AJ55" i="12"/>
  <c r="AJ75" i="12"/>
  <c r="AH23" i="12"/>
  <c r="AI32" i="12"/>
  <c r="AI44" i="12"/>
  <c r="AH54" i="12"/>
  <c r="AH66" i="12"/>
  <c r="AH76" i="12"/>
  <c r="AC22" i="12"/>
  <c r="AB28" i="12"/>
  <c r="AC34" i="12"/>
  <c r="AC39" i="12"/>
  <c r="AC44" i="12"/>
  <c r="AC50" i="12"/>
  <c r="AC55" i="12"/>
  <c r="AC60" i="12"/>
  <c r="AC66" i="12"/>
  <c r="AC71" i="12"/>
  <c r="AC76" i="12"/>
  <c r="AC82" i="12"/>
  <c r="AA36" i="12"/>
  <c r="AA62" i="12"/>
  <c r="AA26" i="12"/>
  <c r="Z30" i="12"/>
  <c r="Z82" i="12"/>
  <c r="Y65" i="12"/>
  <c r="X33" i="12"/>
  <c r="X72" i="12"/>
  <c r="W39" i="12"/>
  <c r="CE23" i="12"/>
  <c r="BX58" i="12"/>
  <c r="AL70" i="12"/>
  <c r="AH59" i="12"/>
  <c r="AD51" i="12"/>
  <c r="AA53" i="12"/>
  <c r="Y30" i="12"/>
  <c r="X77" i="12"/>
  <c r="BL59" i="12"/>
  <c r="CP26" i="12"/>
  <c r="AM22" i="12"/>
  <c r="AI37" i="12"/>
  <c r="AB63" i="12"/>
  <c r="AA80" i="12"/>
  <c r="Y18" i="12"/>
  <c r="W66" i="12"/>
  <c r="BL66" i="12"/>
  <c r="CO34" i="12"/>
  <c r="AX78" i="12"/>
  <c r="AK23" i="12"/>
  <c r="AJ67" i="12"/>
  <c r="AB26" i="12"/>
  <c r="AA42" i="12"/>
  <c r="Y58" i="12"/>
  <c r="W80" i="12"/>
  <c r="BP66" i="12"/>
  <c r="CG26" i="12"/>
  <c r="BA42" i="12"/>
  <c r="AM80" i="12"/>
  <c r="AI72" i="12"/>
  <c r="AD63" i="12"/>
  <c r="AA56" i="12"/>
  <c r="Z77" i="12"/>
  <c r="X54" i="12"/>
  <c r="CG50" i="12"/>
  <c r="AG50" i="12"/>
  <c r="AK31" i="12"/>
  <c r="AH30" i="12"/>
  <c r="AB48" i="12"/>
  <c r="AA71" i="12"/>
  <c r="Y34" i="12"/>
  <c r="X55" i="12"/>
  <c r="DJ62" i="12"/>
  <c r="BU26" i="12"/>
  <c r="BA30" i="12"/>
  <c r="AJ28" i="12"/>
  <c r="AB27" i="12"/>
  <c r="AC80" i="12"/>
  <c r="Z53" i="12"/>
  <c r="X43" i="12"/>
  <c r="BM65" i="12"/>
  <c r="DD21" i="12"/>
  <c r="CC75" i="12"/>
  <c r="CX31" i="12"/>
  <c r="BY83" i="12"/>
  <c r="CO55" i="12"/>
  <c r="CU35" i="12"/>
  <c r="BD79" i="12"/>
  <c r="BN31" i="12"/>
  <c r="DI78" i="12"/>
  <c r="DF70" i="12"/>
  <c r="CJ66" i="12"/>
  <c r="CX62" i="12"/>
  <c r="CE58" i="12"/>
  <c r="BR54" i="12"/>
  <c r="CI50" i="12"/>
  <c r="CN42" i="12"/>
  <c r="BM42" i="12"/>
  <c r="BO38" i="12"/>
  <c r="BR34" i="12"/>
  <c r="DD30" i="12"/>
  <c r="CY26" i="12"/>
  <c r="BW26" i="12"/>
  <c r="BX22" i="12"/>
  <c r="CO18" i="12"/>
  <c r="BE18" i="12"/>
  <c r="AP46" i="12"/>
  <c r="BC62" i="12"/>
  <c r="BJ50" i="12"/>
  <c r="AW50" i="12"/>
  <c r="BD54" i="12"/>
  <c r="CX58" i="12"/>
  <c r="AV42" i="12"/>
  <c r="BE82" i="12"/>
  <c r="BX46" i="12"/>
  <c r="AK19" i="12"/>
  <c r="AM27" i="12"/>
  <c r="AK35" i="12"/>
  <c r="AM43" i="12"/>
  <c r="AM51" i="12"/>
  <c r="AK61" i="12"/>
  <c r="AK69" i="12"/>
  <c r="AK78" i="12"/>
  <c r="AJ38" i="12"/>
  <c r="AJ57" i="12"/>
  <c r="AI23" i="12"/>
  <c r="AI35" i="12"/>
  <c r="AI45" i="12"/>
  <c r="AI57" i="12"/>
  <c r="AI66" i="12"/>
  <c r="AH78" i="12"/>
  <c r="AC16" i="12"/>
  <c r="AD22" i="12"/>
  <c r="AC28" i="12"/>
  <c r="AD34" i="12"/>
  <c r="AD39" i="12"/>
  <c r="AD44" i="12"/>
  <c r="AD50" i="12"/>
  <c r="AD55" i="12"/>
  <c r="AD60" i="12"/>
  <c r="AD66" i="12"/>
  <c r="AD71" i="12"/>
  <c r="AD76" i="12"/>
  <c r="AD82" i="12"/>
  <c r="AA37" i="12"/>
  <c r="AA50" i="12"/>
  <c r="AA63" i="12"/>
  <c r="AA76" i="12"/>
  <c r="AA27" i="12"/>
  <c r="Z18" i="12"/>
  <c r="Z31" i="12"/>
  <c r="Z44" i="12"/>
  <c r="Z57" i="12"/>
  <c r="Z70" i="12"/>
  <c r="Y27" i="12"/>
  <c r="Y40" i="12"/>
  <c r="Y53" i="12"/>
  <c r="Y66" i="12"/>
  <c r="Y79" i="12"/>
  <c r="X21" i="12"/>
  <c r="X34" i="12"/>
  <c r="X47" i="12"/>
  <c r="X60" i="12"/>
  <c r="X73" i="12"/>
  <c r="W61" i="12"/>
  <c r="W75" i="12"/>
  <c r="W55" i="12"/>
  <c r="W40" i="12"/>
  <c r="W27" i="12"/>
  <c r="CS55" i="12"/>
  <c r="DF46" i="12"/>
  <c r="BF42" i="12"/>
  <c r="CX34" i="12"/>
  <c r="DH30" i="12"/>
  <c r="BL26" i="12"/>
  <c r="CG22" i="12"/>
  <c r="CW18" i="12"/>
  <c r="AP34" i="12"/>
  <c r="BC58" i="12"/>
  <c r="BJ18" i="12"/>
  <c r="AW34" i="12"/>
  <c r="AQ18" i="12"/>
  <c r="AV26" i="12"/>
  <c r="BG74" i="12"/>
  <c r="BV38" i="12"/>
  <c r="AL28" i="12"/>
  <c r="AL35" i="12"/>
  <c r="AM44" i="12"/>
  <c r="AK52" i="12"/>
  <c r="AL69" i="12"/>
  <c r="AL78" i="12"/>
  <c r="AJ59" i="12"/>
  <c r="AH24" i="12"/>
  <c r="AH36" i="12"/>
  <c r="AH58" i="12"/>
  <c r="AH67" i="12"/>
  <c r="AI78" i="12"/>
  <c r="AB23" i="12"/>
  <c r="AD28" i="12"/>
  <c r="AB35" i="12"/>
  <c r="AB45" i="12"/>
  <c r="AB51" i="12"/>
  <c r="AB56" i="12"/>
  <c r="AB67" i="12"/>
  <c r="AB72" i="12"/>
  <c r="AB77" i="12"/>
  <c r="AA38" i="12"/>
  <c r="AA51" i="12"/>
  <c r="AA77" i="12"/>
  <c r="AA18" i="12"/>
  <c r="Z19" i="12"/>
  <c r="Z45" i="12"/>
  <c r="Z58" i="12"/>
  <c r="Y28" i="12"/>
  <c r="Y54" i="12"/>
  <c r="Y67" i="12"/>
  <c r="Y80" i="12"/>
  <c r="X35" i="12"/>
  <c r="X48" i="12"/>
  <c r="X74" i="12"/>
  <c r="W63" i="12"/>
  <c r="W76" i="12"/>
  <c r="W56" i="12"/>
  <c r="W23" i="12"/>
  <c r="AC51" i="12"/>
  <c r="AC78" i="12"/>
  <c r="AC83" i="12"/>
  <c r="AA52" i="12"/>
  <c r="AA78" i="12"/>
  <c r="AA19" i="12"/>
  <c r="Z20" i="12"/>
  <c r="Z60" i="12"/>
  <c r="Z73" i="12"/>
  <c r="Y29" i="12"/>
  <c r="Y55" i="12"/>
  <c r="Y81" i="12"/>
  <c r="X23" i="12"/>
  <c r="X49" i="12"/>
  <c r="X76" i="12"/>
  <c r="W64" i="12"/>
  <c r="W57" i="12"/>
  <c r="W24" i="12"/>
  <c r="EM72" i="12"/>
  <c r="BS55" i="12"/>
  <c r="AQ67" i="12"/>
  <c r="BG63" i="12"/>
  <c r="CZ82" i="12"/>
  <c r="BR66" i="12"/>
  <c r="CY54" i="12"/>
  <c r="CP46" i="12"/>
  <c r="BK34" i="12"/>
  <c r="CU22" i="12"/>
  <c r="AG66" i="12"/>
  <c r="BC18" i="12"/>
  <c r="BG38" i="12"/>
  <c r="CL62" i="12"/>
  <c r="AL36" i="12"/>
  <c r="AJ17" i="12"/>
  <c r="AH37" i="12"/>
  <c r="AI79" i="12"/>
  <c r="AD35" i="12"/>
  <c r="AD62" i="12"/>
  <c r="AD72" i="12"/>
  <c r="AA79" i="12"/>
  <c r="Z34" i="12"/>
  <c r="Y43" i="12"/>
  <c r="Y69" i="12"/>
  <c r="Y82" i="12"/>
  <c r="X50" i="12"/>
  <c r="W58" i="12"/>
  <c r="W25" i="12"/>
  <c r="DH44" i="12"/>
  <c r="CX57" i="12"/>
  <c r="DJ23" i="12"/>
  <c r="DE27" i="12"/>
  <c r="BD59" i="12"/>
  <c r="BW62" i="12"/>
  <c r="CW50" i="12"/>
  <c r="BO34" i="12"/>
  <c r="BL22" i="12"/>
  <c r="AG62" i="12"/>
  <c r="BG30" i="12"/>
  <c r="BE38" i="12"/>
  <c r="AL46" i="12"/>
  <c r="AJ24" i="12"/>
  <c r="AI59" i="12"/>
  <c r="AB24" i="12"/>
  <c r="AB36" i="12"/>
  <c r="AB68" i="12"/>
  <c r="AA41" i="12"/>
  <c r="Z36" i="12"/>
  <c r="Z62" i="12"/>
  <c r="Y44" i="12"/>
  <c r="X25" i="12"/>
  <c r="X65" i="12"/>
  <c r="W28" i="12"/>
  <c r="CH56" i="12"/>
  <c r="EN41" i="12"/>
  <c r="BV59" i="12"/>
  <c r="BO79" i="12"/>
  <c r="CL63" i="12"/>
  <c r="CV27" i="12"/>
  <c r="BE55" i="12"/>
  <c r="CZ74" i="12"/>
  <c r="DK54" i="12"/>
  <c r="CJ46" i="12"/>
  <c r="BD34" i="12"/>
  <c r="CE18" i="12"/>
  <c r="BE78" i="12"/>
  <c r="BN62" i="12"/>
  <c r="AM55" i="12"/>
  <c r="AJ25" i="12"/>
  <c r="AH29" i="12"/>
  <c r="AH72" i="12"/>
  <c r="AC31" i="12"/>
  <c r="AC58" i="12"/>
  <c r="AC79" i="12"/>
  <c r="AA55" i="12"/>
  <c r="Z50" i="12"/>
  <c r="Z63" i="12"/>
  <c r="Y32" i="12"/>
  <c r="X26" i="12"/>
  <c r="X66" i="12"/>
  <c r="W41" i="12"/>
  <c r="W18" i="12"/>
  <c r="BC28" i="12"/>
  <c r="CD41" i="12"/>
  <c r="CY41" i="12"/>
  <c r="CZ59" i="12"/>
  <c r="BV23" i="12"/>
  <c r="AW63" i="12"/>
  <c r="CR82" i="12"/>
  <c r="BY70" i="12"/>
  <c r="DJ58" i="12"/>
  <c r="CR50" i="12"/>
  <c r="CH30" i="12"/>
  <c r="CM22" i="12"/>
  <c r="AX38" i="12"/>
  <c r="BB46" i="12"/>
  <c r="AL23" i="12"/>
  <c r="AK56" i="12"/>
  <c r="AJ26" i="12"/>
  <c r="AI17" i="12"/>
  <c r="AD42" i="12"/>
  <c r="AD68" i="12"/>
  <c r="AA43" i="12"/>
  <c r="Z25" i="12"/>
  <c r="Z64" i="12"/>
  <c r="Y46" i="12"/>
  <c r="X28" i="12"/>
  <c r="W68" i="12"/>
  <c r="BX24" i="12"/>
  <c r="DE24" i="12"/>
  <c r="DI33" i="12"/>
  <c r="CY51" i="12"/>
  <c r="CV63" i="12"/>
  <c r="CH27" i="12"/>
  <c r="AS39" i="12"/>
  <c r="BS66" i="12"/>
  <c r="CX46" i="12"/>
  <c r="CJ38" i="12"/>
  <c r="DA22" i="12"/>
  <c r="AX34" i="12"/>
  <c r="AW70" i="12"/>
  <c r="BJ70" i="12"/>
  <c r="AM39" i="12"/>
  <c r="AK74" i="12"/>
  <c r="AJ71" i="12"/>
  <c r="AH40" i="12"/>
  <c r="AH73" i="12"/>
  <c r="AB32" i="12"/>
  <c r="AB53" i="12"/>
  <c r="AB69" i="12"/>
  <c r="AA57" i="12"/>
  <c r="Z39" i="12"/>
  <c r="Z78" i="12"/>
  <c r="Y60" i="12"/>
  <c r="X29" i="12"/>
  <c r="X81" i="12"/>
  <c r="AE81" i="12" s="1"/>
  <c r="W20" i="12"/>
  <c r="BS16" i="12"/>
  <c r="CI25" i="12"/>
  <c r="BB51" i="12"/>
  <c r="CR51" i="12"/>
  <c r="AW47" i="12"/>
  <c r="BP55" i="12"/>
  <c r="CM74" i="12"/>
  <c r="DK58" i="12"/>
  <c r="CE42" i="12"/>
  <c r="BK30" i="12"/>
  <c r="BI22" i="12"/>
  <c r="AG46" i="12"/>
  <c r="BT58" i="12"/>
  <c r="AL17" i="12"/>
  <c r="AL33" i="12"/>
  <c r="AK83" i="12"/>
  <c r="AJ72" i="12"/>
  <c r="AI30" i="12"/>
  <c r="AD20" i="12"/>
  <c r="AC43" i="12"/>
  <c r="AC70" i="12"/>
  <c r="AA32" i="12"/>
  <c r="Z27" i="12"/>
  <c r="Z66" i="12"/>
  <c r="Y48" i="12"/>
  <c r="X17" i="12"/>
  <c r="X69" i="12"/>
  <c r="W32" i="12"/>
  <c r="CL61" i="12"/>
  <c r="DD69" i="12"/>
  <c r="BU75" i="12"/>
  <c r="DF31" i="12"/>
  <c r="CN83" i="12"/>
  <c r="DJ35" i="12"/>
  <c r="BF71" i="12"/>
  <c r="AP79" i="12"/>
  <c r="BD75" i="12"/>
  <c r="BS83" i="12"/>
  <c r="CX78" i="12"/>
  <c r="DJ70" i="12"/>
  <c r="CC66" i="12"/>
  <c r="CN62" i="12"/>
  <c r="BK58" i="12"/>
  <c r="BL54" i="12"/>
  <c r="CR42" i="12"/>
  <c r="BL38" i="12"/>
  <c r="CN26" i="12"/>
  <c r="DI18" i="12"/>
  <c r="BD50" i="12"/>
  <c r="AL19" i="12"/>
  <c r="AK62" i="12"/>
  <c r="AJ39" i="12"/>
  <c r="AH46" i="12"/>
  <c r="AD16" i="12"/>
  <c r="AB40" i="12"/>
  <c r="AB61" i="12"/>
  <c r="AB83" i="12"/>
  <c r="AA64" i="12"/>
  <c r="Z32" i="12"/>
  <c r="Z72" i="12"/>
  <c r="Y41" i="12"/>
  <c r="X22" i="12"/>
  <c r="X61" i="12"/>
  <c r="W38" i="12"/>
  <c r="AC62" i="12"/>
  <c r="AA65" i="12"/>
  <c r="Z33" i="12"/>
  <c r="Y16" i="12"/>
  <c r="Y68" i="12"/>
  <c r="X36" i="12"/>
  <c r="W77" i="12"/>
  <c r="DF57" i="12"/>
  <c r="CS70" i="12"/>
  <c r="DB42" i="12"/>
  <c r="BK22" i="12"/>
  <c r="BC82" i="12"/>
  <c r="AK63" i="12"/>
  <c r="AH16" i="12"/>
  <c r="AD30" i="12"/>
  <c r="AA40" i="12"/>
  <c r="Y17" i="12"/>
  <c r="W65" i="12"/>
  <c r="AQ51" i="12"/>
  <c r="CY22" i="12"/>
  <c r="AM38" i="12"/>
  <c r="AI49" i="12"/>
  <c r="AB52" i="12"/>
  <c r="AA67" i="12"/>
  <c r="Y31" i="12"/>
  <c r="X78" i="12"/>
  <c r="AS55" i="12"/>
  <c r="CC42" i="12"/>
  <c r="BX42" i="12"/>
  <c r="AK39" i="12"/>
  <c r="AH17" i="12"/>
  <c r="AC47" i="12"/>
  <c r="Y19" i="12"/>
  <c r="X79" i="12"/>
  <c r="CR27" i="12"/>
  <c r="BT34" i="12"/>
  <c r="BT74" i="12"/>
  <c r="AL64" i="12"/>
  <c r="AI51" i="12"/>
  <c r="AD36" i="12"/>
  <c r="Y59" i="12"/>
  <c r="W19" i="12"/>
  <c r="AU55" i="12"/>
  <c r="BV30" i="12"/>
  <c r="BA34" i="12"/>
  <c r="AJ47" i="12"/>
  <c r="AB37" i="12"/>
  <c r="AA31" i="12"/>
  <c r="Y21" i="12"/>
  <c r="W49" i="12"/>
  <c r="CB27" i="12"/>
  <c r="CC38" i="12"/>
  <c r="BB34" i="12"/>
  <c r="AL67" i="12"/>
  <c r="AI52" i="12"/>
  <c r="AC38" i="12"/>
  <c r="AA45" i="12"/>
  <c r="Y35" i="12"/>
  <c r="X82" i="12"/>
  <c r="BT40" i="12"/>
  <c r="CP61" i="12"/>
  <c r="DA65" i="12"/>
  <c r="BK83" i="12"/>
  <c r="CY67" i="12"/>
  <c r="CG23" i="12"/>
  <c r="BD51" i="12"/>
  <c r="BU83" i="12"/>
  <c r="CB55" i="12"/>
  <c r="CE35" i="12"/>
  <c r="AG59" i="12"/>
  <c r="BG67" i="12"/>
  <c r="AP63" i="12"/>
  <c r="BE71" i="12"/>
  <c r="CR78" i="12"/>
  <c r="CU70" i="12"/>
  <c r="CR66" i="12"/>
  <c r="CR62" i="12"/>
  <c r="BO58" i="12"/>
  <c r="BP54" i="12"/>
  <c r="CY46" i="12"/>
  <c r="DG42" i="12"/>
  <c r="CY38" i="12"/>
  <c r="BI38" i="12"/>
  <c r="BS34" i="12"/>
  <c r="DI30" i="12"/>
  <c r="CR26" i="12"/>
  <c r="BF26" i="12"/>
  <c r="CH22" i="12"/>
  <c r="CP18" i="12"/>
  <c r="AG78" i="12"/>
  <c r="AP30" i="12"/>
  <c r="BC26" i="12"/>
  <c r="BX74" i="12"/>
  <c r="BB74" i="12"/>
  <c r="BD46" i="12"/>
  <c r="AS54" i="12"/>
  <c r="AV22" i="12"/>
  <c r="BG46" i="12"/>
  <c r="CI22" i="12"/>
  <c r="AM19" i="12"/>
  <c r="AK29" i="12"/>
  <c r="AM35" i="12"/>
  <c r="AL45" i="12"/>
  <c r="AL52" i="12"/>
  <c r="AM62" i="12"/>
  <c r="AM69" i="12"/>
  <c r="AK79" i="12"/>
  <c r="AJ16" i="12"/>
  <c r="AJ40" i="12"/>
  <c r="AJ60" i="12"/>
  <c r="AI24" i="12"/>
  <c r="AI36" i="12"/>
  <c r="AI46" i="12"/>
  <c r="AI58" i="12"/>
  <c r="AI67" i="12"/>
  <c r="AH79" i="12"/>
  <c r="AC17" i="12"/>
  <c r="AC23" i="12"/>
  <c r="AC30" i="12"/>
  <c r="AC35" i="12"/>
  <c r="AC40" i="12"/>
  <c r="AC46" i="12"/>
  <c r="AC56" i="12"/>
  <c r="AC67" i="12"/>
  <c r="AC72" i="12"/>
  <c r="AA39" i="12"/>
  <c r="Z46" i="12"/>
  <c r="Y42" i="12"/>
  <c r="X62" i="12"/>
  <c r="W36" i="12"/>
  <c r="BO51" i="12"/>
  <c r="CX30" i="12"/>
  <c r="AL20" i="12"/>
  <c r="AD40" i="12"/>
  <c r="Z61" i="12"/>
  <c r="W78" i="12"/>
  <c r="CV74" i="12"/>
  <c r="CJ42" i="12"/>
  <c r="BB66" i="12"/>
  <c r="AK73" i="12"/>
  <c r="AI71" i="12"/>
  <c r="AB41" i="12"/>
  <c r="AA54" i="12"/>
  <c r="Y57" i="12"/>
  <c r="W22" i="12"/>
  <c r="BU70" i="12"/>
  <c r="BP22" i="12"/>
  <c r="AM46" i="12"/>
  <c r="AC63" i="12"/>
  <c r="Z37" i="12"/>
  <c r="X40" i="12"/>
  <c r="CP63" i="12"/>
  <c r="CQ38" i="12"/>
  <c r="BN82" i="12"/>
  <c r="AJ45" i="12"/>
  <c r="AD31" i="12"/>
  <c r="Z38" i="12"/>
  <c r="X67" i="12"/>
  <c r="BX55" i="12"/>
  <c r="BS22" i="12"/>
  <c r="AK65" i="12"/>
  <c r="AC19" i="12"/>
  <c r="Z26" i="12"/>
  <c r="W69" i="12"/>
  <c r="CM63" i="12"/>
  <c r="CD50" i="12"/>
  <c r="BE66" i="12"/>
  <c r="AK50" i="12"/>
  <c r="W70" i="12"/>
  <c r="EO41" i="12"/>
  <c r="DI83" i="12"/>
  <c r="CV35" i="12"/>
  <c r="DJ74" i="12"/>
  <c r="CS38" i="12"/>
  <c r="AP26" i="12"/>
  <c r="AM45" i="12"/>
  <c r="AH47" i="12"/>
  <c r="AD56" i="12"/>
  <c r="Z21" i="12"/>
  <c r="X64" i="12"/>
  <c r="CP70" i="12"/>
  <c r="DA38" i="12"/>
  <c r="AX82" i="12"/>
  <c r="AK30" i="12"/>
  <c r="AI16" i="12"/>
  <c r="AB57" i="12"/>
  <c r="Z22" i="12"/>
  <c r="X38" i="12"/>
  <c r="DF58" i="12"/>
  <c r="BT26" i="12"/>
  <c r="AS38" i="12"/>
  <c r="AL80" i="12"/>
  <c r="AH60" i="12"/>
  <c r="AC52" i="12"/>
  <c r="AA28" i="12"/>
  <c r="DD74" i="12"/>
  <c r="DI46" i="12"/>
  <c r="CH18" i="12"/>
  <c r="AL39" i="12"/>
  <c r="AI29" i="12"/>
  <c r="AD52" i="12"/>
  <c r="AA16" i="12"/>
  <c r="Y72" i="12"/>
  <c r="W30" i="12"/>
  <c r="CD82" i="12"/>
  <c r="CU30" i="12"/>
  <c r="BT66" i="12"/>
  <c r="AL56" i="12"/>
  <c r="AH61" i="12"/>
  <c r="AB59" i="12"/>
  <c r="AA22" i="12"/>
  <c r="Y74" i="12"/>
  <c r="W43" i="12"/>
  <c r="CO39" i="12"/>
  <c r="CG46" i="12"/>
  <c r="AX30" i="12"/>
  <c r="AL40" i="12"/>
  <c r="AI42" i="12"/>
  <c r="AC59" i="12"/>
  <c r="AA23" i="12"/>
  <c r="Y62" i="12"/>
  <c r="W50" i="12"/>
  <c r="U26" i="12"/>
  <c r="U38" i="12"/>
  <c r="U50" i="12"/>
  <c r="U62" i="12"/>
  <c r="U74" i="12"/>
  <c r="T17" i="12"/>
  <c r="T29" i="12"/>
  <c r="T41" i="12"/>
  <c r="T53" i="12"/>
  <c r="T65" i="12"/>
  <c r="T77" i="12"/>
  <c r="S21" i="12"/>
  <c r="S33" i="12"/>
  <c r="S45" i="12"/>
  <c r="S57" i="12"/>
  <c r="S69" i="12"/>
  <c r="R27" i="12"/>
  <c r="R39" i="12"/>
  <c r="R51" i="12"/>
  <c r="R63" i="12"/>
  <c r="R75" i="12"/>
  <c r="Q21" i="12"/>
  <c r="Q33" i="12"/>
  <c r="Q45" i="12"/>
  <c r="Q57" i="12"/>
  <c r="Q69" i="12"/>
  <c r="Q81" i="12"/>
  <c r="P24" i="12"/>
  <c r="P36" i="12"/>
  <c r="P48" i="12"/>
  <c r="P60" i="12"/>
  <c r="P72" i="12"/>
  <c r="O21" i="12"/>
  <c r="O33" i="12"/>
  <c r="O45" i="12"/>
  <c r="O57" i="12"/>
  <c r="O69" i="12"/>
  <c r="N26" i="12"/>
  <c r="N38" i="12"/>
  <c r="N50" i="12"/>
  <c r="N62" i="12"/>
  <c r="N74" i="12"/>
  <c r="L19" i="12"/>
  <c r="L31" i="12"/>
  <c r="L43" i="12"/>
  <c r="L55" i="12"/>
  <c r="L67" i="12"/>
  <c r="L79" i="12"/>
  <c r="K21" i="12"/>
  <c r="K33" i="12"/>
  <c r="K45" i="12"/>
  <c r="K57" i="12"/>
  <c r="K69" i="12"/>
  <c r="K81" i="12"/>
  <c r="J38" i="12"/>
  <c r="J50" i="12"/>
  <c r="J62" i="12"/>
  <c r="J74" i="12"/>
  <c r="J28" i="12"/>
  <c r="U16" i="12"/>
  <c r="U28" i="12"/>
  <c r="U40" i="12"/>
  <c r="U52" i="12"/>
  <c r="U64" i="12"/>
  <c r="U76" i="12"/>
  <c r="T19" i="12"/>
  <c r="T31" i="12"/>
  <c r="T43" i="12"/>
  <c r="T55" i="12"/>
  <c r="T67" i="12"/>
  <c r="T79" i="12"/>
  <c r="S23" i="12"/>
  <c r="S35" i="12"/>
  <c r="S47" i="12"/>
  <c r="S59" i="12"/>
  <c r="S71" i="12"/>
  <c r="R17" i="12"/>
  <c r="R29" i="12"/>
  <c r="R41" i="12"/>
  <c r="R53" i="12"/>
  <c r="R65" i="12"/>
  <c r="R77" i="12"/>
  <c r="Q23" i="12"/>
  <c r="Q35" i="12"/>
  <c r="Q47" i="12"/>
  <c r="Q59" i="12"/>
  <c r="Q71" i="12"/>
  <c r="Q83" i="12"/>
  <c r="P26" i="12"/>
  <c r="P38" i="12"/>
  <c r="P50" i="12"/>
  <c r="P62" i="12"/>
  <c r="P74" i="12"/>
  <c r="O23" i="12"/>
  <c r="O35" i="12"/>
  <c r="O47" i="12"/>
  <c r="O59" i="12"/>
  <c r="O71" i="12"/>
  <c r="N16" i="12"/>
  <c r="N28" i="12"/>
  <c r="N40" i="12"/>
  <c r="N52" i="12"/>
  <c r="N64" i="12"/>
  <c r="N76" i="12"/>
  <c r="L21" i="12"/>
  <c r="L33" i="12"/>
  <c r="L45" i="12"/>
  <c r="L57" i="12"/>
  <c r="L69" i="12"/>
  <c r="L81" i="12"/>
  <c r="K23" i="12"/>
  <c r="K35" i="12"/>
  <c r="K47" i="12"/>
  <c r="K59" i="12"/>
  <c r="U18" i="12"/>
  <c r="U30" i="12"/>
  <c r="U42" i="12"/>
  <c r="U54" i="12"/>
  <c r="U66" i="12"/>
  <c r="U78" i="12"/>
  <c r="T21" i="12"/>
  <c r="T33" i="12"/>
  <c r="T45" i="12"/>
  <c r="T57" i="12"/>
  <c r="T69" i="12"/>
  <c r="T81" i="12"/>
  <c r="S25" i="12"/>
  <c r="S37" i="12"/>
  <c r="S49" i="12"/>
  <c r="S61" i="12"/>
  <c r="S73" i="12"/>
  <c r="R19" i="12"/>
  <c r="R31" i="12"/>
  <c r="R43" i="12"/>
  <c r="R55" i="12"/>
  <c r="R67" i="12"/>
  <c r="R79" i="12"/>
  <c r="Q25" i="12"/>
  <c r="Q37" i="12"/>
  <c r="Q49" i="12"/>
  <c r="Q61" i="12"/>
  <c r="Q73" i="12"/>
  <c r="P16" i="12"/>
  <c r="P28" i="12"/>
  <c r="P40" i="12"/>
  <c r="P52" i="12"/>
  <c r="P64" i="12"/>
  <c r="P76" i="12"/>
  <c r="O25" i="12"/>
  <c r="O37" i="12"/>
  <c r="O49" i="12"/>
  <c r="O61" i="12"/>
  <c r="U19" i="12"/>
  <c r="U31" i="12"/>
  <c r="U43" i="12"/>
  <c r="U55" i="12"/>
  <c r="U67" i="12"/>
  <c r="U79" i="12"/>
  <c r="T22" i="12"/>
  <c r="U20" i="12"/>
  <c r="U32" i="12"/>
  <c r="U44" i="12"/>
  <c r="U56" i="12"/>
  <c r="U68" i="12"/>
  <c r="U80" i="12"/>
  <c r="T23" i="12"/>
  <c r="T35" i="12"/>
  <c r="T47" i="12"/>
  <c r="T59" i="12"/>
  <c r="T71" i="12"/>
  <c r="S27" i="12"/>
  <c r="S39" i="12"/>
  <c r="S51" i="12"/>
  <c r="S63" i="12"/>
  <c r="U27" i="12"/>
  <c r="U48" i="12"/>
  <c r="U70" i="12"/>
  <c r="T20" i="12"/>
  <c r="T39" i="12"/>
  <c r="T58" i="12"/>
  <c r="T75" i="12"/>
  <c r="S24" i="12"/>
  <c r="S42" i="12"/>
  <c r="S60" i="12"/>
  <c r="S77" i="12"/>
  <c r="R25" i="12"/>
  <c r="R42" i="12"/>
  <c r="R58" i="12"/>
  <c r="R73" i="12"/>
  <c r="Q24" i="12"/>
  <c r="Q40" i="12"/>
  <c r="Q55" i="12"/>
  <c r="Q72" i="12"/>
  <c r="P19" i="12"/>
  <c r="P34" i="12"/>
  <c r="P51" i="12"/>
  <c r="P67" i="12"/>
  <c r="P82" i="12"/>
  <c r="O19" i="12"/>
  <c r="O36" i="12"/>
  <c r="O52" i="12"/>
  <c r="O67" i="12"/>
  <c r="N29" i="12"/>
  <c r="N43" i="12"/>
  <c r="N57" i="12"/>
  <c r="N71" i="12"/>
  <c r="L18" i="12"/>
  <c r="L34" i="12"/>
  <c r="L48" i="12"/>
  <c r="L62" i="12"/>
  <c r="L76" i="12"/>
  <c r="K20" i="12"/>
  <c r="K36" i="12"/>
  <c r="K50" i="12"/>
  <c r="K64" i="12"/>
  <c r="K77" i="12"/>
  <c r="J35" i="12"/>
  <c r="J48" i="12"/>
  <c r="J61" i="12"/>
  <c r="J75" i="12"/>
  <c r="J19" i="12"/>
  <c r="I29" i="12"/>
  <c r="I41" i="12"/>
  <c r="I53" i="12"/>
  <c r="I65" i="12"/>
  <c r="I77" i="12"/>
  <c r="I19" i="12"/>
  <c r="G76" i="12"/>
  <c r="G64" i="12"/>
  <c r="G52" i="12"/>
  <c r="G40" i="12"/>
  <c r="G28" i="12"/>
  <c r="G16" i="12"/>
  <c r="F25" i="12"/>
  <c r="F37" i="12"/>
  <c r="F49" i="12"/>
  <c r="F61" i="12"/>
  <c r="F73" i="12"/>
  <c r="E66" i="12"/>
  <c r="E78" i="12"/>
  <c r="E60" i="12"/>
  <c r="E45" i="12"/>
  <c r="E31" i="12"/>
  <c r="E19" i="12"/>
  <c r="D52" i="12"/>
  <c r="D64" i="12"/>
  <c r="D76" i="12"/>
  <c r="D44" i="12"/>
  <c r="D28" i="12"/>
  <c r="D21" i="12"/>
  <c r="O53" i="12"/>
  <c r="N44" i="12"/>
  <c r="N72" i="12"/>
  <c r="L20" i="12"/>
  <c r="L49" i="12"/>
  <c r="L63" i="12"/>
  <c r="L77" i="12"/>
  <c r="K22" i="12"/>
  <c r="K51" i="12"/>
  <c r="K65" i="12"/>
  <c r="K78" i="12"/>
  <c r="J36" i="12"/>
  <c r="J63" i="12"/>
  <c r="J76" i="12"/>
  <c r="J20" i="12"/>
  <c r="I30" i="12"/>
  <c r="I54" i="12"/>
  <c r="I66" i="12"/>
  <c r="I78" i="12"/>
  <c r="I20" i="12"/>
  <c r="G63" i="12"/>
  <c r="G51" i="12"/>
  <c r="G39" i="12"/>
  <c r="F26" i="12"/>
  <c r="F38" i="12"/>
  <c r="F62" i="12"/>
  <c r="F74" i="12"/>
  <c r="E67" i="12"/>
  <c r="E55" i="12"/>
  <c r="E46" i="12"/>
  <c r="E32" i="12"/>
  <c r="D53" i="12"/>
  <c r="D65" i="12"/>
  <c r="D77" i="12"/>
  <c r="D45" i="12"/>
  <c r="T62" i="12"/>
  <c r="S65" i="12"/>
  <c r="R46" i="12"/>
  <c r="Q28" i="12"/>
  <c r="Q60" i="12"/>
  <c r="P22" i="12"/>
  <c r="P70" i="12"/>
  <c r="O24" i="12"/>
  <c r="O72" i="12"/>
  <c r="N32" i="12"/>
  <c r="N60" i="12"/>
  <c r="L37" i="12"/>
  <c r="L65" i="12"/>
  <c r="K25" i="12"/>
  <c r="K53" i="12"/>
  <c r="J39" i="12"/>
  <c r="J78" i="12"/>
  <c r="I32" i="12"/>
  <c r="I68" i="12"/>
  <c r="G49" i="12"/>
  <c r="G25" i="12"/>
  <c r="F40" i="12"/>
  <c r="F64" i="12"/>
  <c r="E51" i="12"/>
  <c r="E41" i="12"/>
  <c r="D55" i="12"/>
  <c r="D79" i="12"/>
  <c r="D23" i="12"/>
  <c r="U39" i="12"/>
  <c r="T50" i="12"/>
  <c r="S34" i="12"/>
  <c r="R20" i="12"/>
  <c r="R68" i="12"/>
  <c r="Q50" i="12"/>
  <c r="P29" i="12"/>
  <c r="P77" i="12"/>
  <c r="O44" i="12"/>
  <c r="N36" i="12"/>
  <c r="N80" i="12"/>
  <c r="L56" i="12"/>
  <c r="K29" i="12"/>
  <c r="K72" i="12"/>
  <c r="J69" i="12"/>
  <c r="J17" i="12"/>
  <c r="I60" i="12"/>
  <c r="G81" i="12"/>
  <c r="G33" i="12"/>
  <c r="F44" i="12"/>
  <c r="F80" i="12"/>
  <c r="E49" i="12"/>
  <c r="D59" i="12"/>
  <c r="D36" i="12"/>
  <c r="U41" i="12"/>
  <c r="T51" i="12"/>
  <c r="S18" i="12"/>
  <c r="R36" i="12"/>
  <c r="Q66" i="12"/>
  <c r="P61" i="12"/>
  <c r="O30" i="12"/>
  <c r="O77" i="12"/>
  <c r="N53" i="12"/>
  <c r="L42" i="12"/>
  <c r="K16" i="12"/>
  <c r="K60" i="12"/>
  <c r="J70" i="12"/>
  <c r="I24" i="12"/>
  <c r="G56" i="12"/>
  <c r="F33" i="12"/>
  <c r="F69" i="12"/>
  <c r="E56" i="12"/>
  <c r="D48" i="12"/>
  <c r="D40" i="12"/>
  <c r="U23" i="12"/>
  <c r="T36" i="12"/>
  <c r="S38" i="12"/>
  <c r="R37" i="12"/>
  <c r="Q36" i="12"/>
  <c r="P79" i="12"/>
  <c r="O48" i="12"/>
  <c r="N39" i="12"/>
  <c r="L59" i="12"/>
  <c r="K46" i="12"/>
  <c r="J45" i="12"/>
  <c r="J26" i="12"/>
  <c r="I62" i="12"/>
  <c r="G79" i="12"/>
  <c r="G43" i="12"/>
  <c r="F22" i="12"/>
  <c r="F46" i="12"/>
  <c r="E75" i="12"/>
  <c r="E23" i="12"/>
  <c r="D41" i="12"/>
  <c r="U29" i="12"/>
  <c r="U49" i="12"/>
  <c r="U71" i="12"/>
  <c r="T24" i="12"/>
  <c r="T40" i="12"/>
  <c r="T60" i="12"/>
  <c r="T76" i="12"/>
  <c r="S26" i="12"/>
  <c r="S43" i="12"/>
  <c r="S62" i="12"/>
  <c r="S78" i="12"/>
  <c r="R26" i="12"/>
  <c r="R44" i="12"/>
  <c r="R59" i="12"/>
  <c r="R74" i="12"/>
  <c r="Q26" i="12"/>
  <c r="Q41" i="12"/>
  <c r="Q56" i="12"/>
  <c r="Q74" i="12"/>
  <c r="P20" i="12"/>
  <c r="P35" i="12"/>
  <c r="P53" i="12"/>
  <c r="P68" i="12"/>
  <c r="P83" i="12"/>
  <c r="O20" i="12"/>
  <c r="O38" i="12"/>
  <c r="O68" i="12"/>
  <c r="N30" i="12"/>
  <c r="N58" i="12"/>
  <c r="L35" i="12"/>
  <c r="K37" i="12"/>
  <c r="J49" i="12"/>
  <c r="I42" i="12"/>
  <c r="G75" i="12"/>
  <c r="G27" i="12"/>
  <c r="F50" i="12"/>
  <c r="E79" i="12"/>
  <c r="E20" i="12"/>
  <c r="D29" i="12"/>
  <c r="R61" i="12"/>
  <c r="O40" i="12"/>
  <c r="N75" i="12"/>
  <c r="L80" i="12"/>
  <c r="K67" i="12"/>
  <c r="J65" i="12"/>
  <c r="I44" i="12"/>
  <c r="G73" i="12"/>
  <c r="F16" i="12"/>
  <c r="E69" i="12"/>
  <c r="U60" i="12"/>
  <c r="S70" i="12"/>
  <c r="Q32" i="12"/>
  <c r="P59" i="12"/>
  <c r="N22" i="12"/>
  <c r="L71" i="12"/>
  <c r="J43" i="12"/>
  <c r="I48" i="12"/>
  <c r="G21" i="12"/>
  <c r="E35" i="12"/>
  <c r="Q34" i="12"/>
  <c r="N37" i="12"/>
  <c r="K73" i="12"/>
  <c r="I49" i="12"/>
  <c r="G20" i="12"/>
  <c r="E22" i="12"/>
  <c r="S19" i="12"/>
  <c r="P63" i="12"/>
  <c r="N68" i="12"/>
  <c r="K61" i="12"/>
  <c r="I26" i="12"/>
  <c r="G55" i="12"/>
  <c r="F70" i="12"/>
  <c r="D61" i="12"/>
  <c r="U33" i="12"/>
  <c r="U51" i="12"/>
  <c r="U72" i="12"/>
  <c r="T25" i="12"/>
  <c r="T42" i="12"/>
  <c r="T61" i="12"/>
  <c r="T78" i="12"/>
  <c r="S28" i="12"/>
  <c r="S44" i="12"/>
  <c r="S64" i="12"/>
  <c r="S79" i="12"/>
  <c r="R28" i="12"/>
  <c r="R45" i="12"/>
  <c r="R60" i="12"/>
  <c r="R76" i="12"/>
  <c r="Q27" i="12"/>
  <c r="Q42" i="12"/>
  <c r="Q58" i="12"/>
  <c r="Q75" i="12"/>
  <c r="P21" i="12"/>
  <c r="P37" i="12"/>
  <c r="P54" i="12"/>
  <c r="P69" i="12"/>
  <c r="O22" i="12"/>
  <c r="O39" i="12"/>
  <c r="O54" i="12"/>
  <c r="O70" i="12"/>
  <c r="N17" i="12"/>
  <c r="N31" i="12"/>
  <c r="N45" i="12"/>
  <c r="N59" i="12"/>
  <c r="N73" i="12"/>
  <c r="L22" i="12"/>
  <c r="L36" i="12"/>
  <c r="L50" i="12"/>
  <c r="L64" i="12"/>
  <c r="L78" i="12"/>
  <c r="K24" i="12"/>
  <c r="K38" i="12"/>
  <c r="K52" i="12"/>
  <c r="K66" i="12"/>
  <c r="K79" i="12"/>
  <c r="J37" i="12"/>
  <c r="J51" i="12"/>
  <c r="J64" i="12"/>
  <c r="J77" i="12"/>
  <c r="J21" i="12"/>
  <c r="I31" i="12"/>
  <c r="I43" i="12"/>
  <c r="I55" i="12"/>
  <c r="I67" i="12"/>
  <c r="I79" i="12"/>
  <c r="G74" i="12"/>
  <c r="G62" i="12"/>
  <c r="G50" i="12"/>
  <c r="G38" i="12"/>
  <c r="G26" i="12"/>
  <c r="F27" i="12"/>
  <c r="F39" i="12"/>
  <c r="F51" i="12"/>
  <c r="F63" i="12"/>
  <c r="F75" i="12"/>
  <c r="E68" i="12"/>
  <c r="E80" i="12"/>
  <c r="E50" i="12"/>
  <c r="E42" i="12"/>
  <c r="E30" i="12"/>
  <c r="E21" i="12"/>
  <c r="D54" i="12"/>
  <c r="D66" i="12"/>
  <c r="D78" i="12"/>
  <c r="D46" i="12"/>
  <c r="D22" i="12"/>
  <c r="U34" i="12"/>
  <c r="U53" i="12"/>
  <c r="U73" i="12"/>
  <c r="T26" i="12"/>
  <c r="T44" i="12"/>
  <c r="T80" i="12"/>
  <c r="S29" i="12"/>
  <c r="S46" i="12"/>
  <c r="S80" i="12"/>
  <c r="R30" i="12"/>
  <c r="R78" i="12"/>
  <c r="Q43" i="12"/>
  <c r="Q76" i="12"/>
  <c r="P39" i="12"/>
  <c r="P55" i="12"/>
  <c r="O55" i="12"/>
  <c r="N18" i="12"/>
  <c r="N46" i="12"/>
  <c r="L23" i="12"/>
  <c r="L51" i="12"/>
  <c r="K39" i="12"/>
  <c r="K80" i="12"/>
  <c r="J52" i="12"/>
  <c r="J22" i="12"/>
  <c r="I56" i="12"/>
  <c r="I80" i="12"/>
  <c r="G61" i="12"/>
  <c r="G37" i="12"/>
  <c r="F28" i="12"/>
  <c r="F52" i="12"/>
  <c r="F76" i="12"/>
  <c r="E65" i="12"/>
  <c r="E29" i="12"/>
  <c r="D67" i="12"/>
  <c r="D32" i="12"/>
  <c r="U21" i="12"/>
  <c r="T68" i="12"/>
  <c r="S53" i="12"/>
  <c r="R50" i="12"/>
  <c r="Q17" i="12"/>
  <c r="Q65" i="12"/>
  <c r="P44" i="12"/>
  <c r="O76" i="12"/>
  <c r="N51" i="12"/>
  <c r="L41" i="12"/>
  <c r="K58" i="12"/>
  <c r="J56" i="12"/>
  <c r="I36" i="12"/>
  <c r="I23" i="12"/>
  <c r="G45" i="12"/>
  <c r="F20" i="12"/>
  <c r="F56" i="12"/>
  <c r="E61" i="12"/>
  <c r="D47" i="12"/>
  <c r="D39" i="12"/>
  <c r="U22" i="12"/>
  <c r="T34" i="12"/>
  <c r="T70" i="12"/>
  <c r="S72" i="12"/>
  <c r="R52" i="12"/>
  <c r="R69" i="12"/>
  <c r="Q51" i="12"/>
  <c r="P30" i="12"/>
  <c r="P78" i="12"/>
  <c r="O46" i="12"/>
  <c r="N23" i="12"/>
  <c r="L72" i="12"/>
  <c r="K44" i="12"/>
  <c r="J44" i="12"/>
  <c r="J25" i="12"/>
  <c r="I61" i="12"/>
  <c r="G68" i="12"/>
  <c r="G44" i="12"/>
  <c r="F45" i="12"/>
  <c r="F81" i="12"/>
  <c r="E47" i="12"/>
  <c r="D72" i="12"/>
  <c r="D17" i="12"/>
  <c r="H17" i="12" s="1"/>
  <c r="U45" i="12"/>
  <c r="T72" i="12"/>
  <c r="S74" i="12"/>
  <c r="R54" i="12"/>
  <c r="Q19" i="12"/>
  <c r="Q67" i="12"/>
  <c r="P46" i="12"/>
  <c r="O31" i="12"/>
  <c r="O78" i="12"/>
  <c r="N54" i="12"/>
  <c r="L44" i="12"/>
  <c r="L73" i="12"/>
  <c r="K31" i="12"/>
  <c r="K74" i="12"/>
  <c r="J58" i="12"/>
  <c r="J71" i="12"/>
  <c r="I50" i="12"/>
  <c r="I74" i="12"/>
  <c r="G67" i="12"/>
  <c r="G31" i="12"/>
  <c r="F34" i="12"/>
  <c r="F58" i="12"/>
  <c r="E57" i="12"/>
  <c r="D49" i="12"/>
  <c r="H49" i="12" s="1"/>
  <c r="D73" i="12"/>
  <c r="D18" i="12"/>
  <c r="U35" i="12"/>
  <c r="U57" i="12"/>
  <c r="U75" i="12"/>
  <c r="T27" i="12"/>
  <c r="T46" i="12"/>
  <c r="T63" i="12"/>
  <c r="T82" i="12"/>
  <c r="S30" i="12"/>
  <c r="S48" i="12"/>
  <c r="S66" i="12"/>
  <c r="R32" i="12"/>
  <c r="R47" i="12"/>
  <c r="R62" i="12"/>
  <c r="R80" i="12"/>
  <c r="Q29" i="12"/>
  <c r="Q44" i="12"/>
  <c r="Q62" i="12"/>
  <c r="Q77" i="12"/>
  <c r="P23" i="12"/>
  <c r="P41" i="12"/>
  <c r="P56" i="12"/>
  <c r="P71" i="12"/>
  <c r="O26" i="12"/>
  <c r="O41" i="12"/>
  <c r="O56" i="12"/>
  <c r="O73" i="12"/>
  <c r="N19" i="12"/>
  <c r="N33" i="12"/>
  <c r="N47" i="12"/>
  <c r="N61" i="12"/>
  <c r="N77" i="12"/>
  <c r="L24" i="12"/>
  <c r="L38" i="12"/>
  <c r="L52" i="12"/>
  <c r="L66" i="12"/>
  <c r="L82" i="12"/>
  <c r="K26" i="12"/>
  <c r="K40" i="12"/>
  <c r="K54" i="12"/>
  <c r="K68" i="12"/>
  <c r="K82" i="12"/>
  <c r="J40" i="12"/>
  <c r="J53" i="12"/>
  <c r="J66" i="12"/>
  <c r="J79" i="12"/>
  <c r="J23" i="12"/>
  <c r="I33" i="12"/>
  <c r="I45" i="12"/>
  <c r="I57" i="12"/>
  <c r="I69" i="12"/>
  <c r="I25" i="12"/>
  <c r="G72" i="12"/>
  <c r="G60" i="12"/>
  <c r="G48" i="12"/>
  <c r="G36" i="12"/>
  <c r="G24" i="12"/>
  <c r="F17" i="12"/>
  <c r="F29" i="12"/>
  <c r="F41" i="12"/>
  <c r="F53" i="12"/>
  <c r="F65" i="12"/>
  <c r="F77" i="12"/>
  <c r="E70" i="12"/>
  <c r="E62" i="12"/>
  <c r="E52" i="12"/>
  <c r="E40" i="12"/>
  <c r="E26" i="12"/>
  <c r="E16" i="12"/>
  <c r="D56" i="12"/>
  <c r="D68" i="12"/>
  <c r="H68" i="12" s="1"/>
  <c r="D80" i="12"/>
  <c r="D33" i="12"/>
  <c r="D24" i="12"/>
  <c r="D35" i="12"/>
  <c r="U82" i="12"/>
  <c r="O62" i="12"/>
  <c r="J30" i="12"/>
  <c r="G57" i="12"/>
  <c r="E73" i="12"/>
  <c r="D16" i="12"/>
  <c r="S36" i="12"/>
  <c r="P45" i="12"/>
  <c r="N67" i="12"/>
  <c r="K30" i="12"/>
  <c r="I37" i="12"/>
  <c r="F21" i="12"/>
  <c r="D60" i="12"/>
  <c r="U63" i="12"/>
  <c r="S55" i="12"/>
  <c r="Q52" i="12"/>
  <c r="O16" i="12"/>
  <c r="L29" i="12"/>
  <c r="J32" i="12"/>
  <c r="I16" i="12"/>
  <c r="F82" i="12"/>
  <c r="D31" i="12"/>
  <c r="U36" i="12"/>
  <c r="U58" i="12"/>
  <c r="U77" i="12"/>
  <c r="T28" i="12"/>
  <c r="T48" i="12"/>
  <c r="T64" i="12"/>
  <c r="S31" i="12"/>
  <c r="S50" i="12"/>
  <c r="S67" i="12"/>
  <c r="R16" i="12"/>
  <c r="R33" i="12"/>
  <c r="R48" i="12"/>
  <c r="R64" i="12"/>
  <c r="Q30" i="12"/>
  <c r="Q46" i="12"/>
  <c r="Q63" i="12"/>
  <c r="Q78" i="12"/>
  <c r="P25" i="12"/>
  <c r="P42" i="12"/>
  <c r="P57" i="12"/>
  <c r="P73" i="12"/>
  <c r="O27" i="12"/>
  <c r="O42" i="12"/>
  <c r="O58" i="12"/>
  <c r="O74" i="12"/>
  <c r="N20" i="12"/>
  <c r="N34" i="12"/>
  <c r="N48" i="12"/>
  <c r="N63" i="12"/>
  <c r="N78" i="12"/>
  <c r="L25" i="12"/>
  <c r="L39" i="12"/>
  <c r="L53" i="12"/>
  <c r="L68" i="12"/>
  <c r="L83" i="12"/>
  <c r="K27" i="12"/>
  <c r="K41" i="12"/>
  <c r="K55" i="12"/>
  <c r="K70" i="12"/>
  <c r="K83" i="12"/>
  <c r="J41" i="12"/>
  <c r="J54" i="12"/>
  <c r="J67" i="12"/>
  <c r="J80" i="12"/>
  <c r="I34" i="12"/>
  <c r="I46" i="12"/>
  <c r="I58" i="12"/>
  <c r="I70" i="12"/>
  <c r="I21" i="12"/>
  <c r="G83" i="12"/>
  <c r="G71" i="12"/>
  <c r="G59" i="12"/>
  <c r="G47" i="12"/>
  <c r="G35" i="12"/>
  <c r="G23" i="12"/>
  <c r="F18" i="12"/>
  <c r="F30" i="12"/>
  <c r="F42" i="12"/>
  <c r="F54" i="12"/>
  <c r="F66" i="12"/>
  <c r="F78" i="12"/>
  <c r="E71" i="12"/>
  <c r="E63" i="12"/>
  <c r="E53" i="12"/>
  <c r="E33" i="12"/>
  <c r="E27" i="12"/>
  <c r="E17" i="12"/>
  <c r="D57" i="12"/>
  <c r="D69" i="12"/>
  <c r="D37" i="12"/>
  <c r="H37" i="12" s="1"/>
  <c r="D34" i="12"/>
  <c r="D25" i="12"/>
  <c r="D58" i="12"/>
  <c r="D38" i="12"/>
  <c r="S17" i="12"/>
  <c r="L27" i="12"/>
  <c r="I72" i="12"/>
  <c r="F68" i="12"/>
  <c r="D71" i="12"/>
  <c r="U61" i="12"/>
  <c r="R21" i="12"/>
  <c r="Q82" i="12"/>
  <c r="O63" i="12"/>
  <c r="L28" i="12"/>
  <c r="J31" i="12"/>
  <c r="I73" i="12"/>
  <c r="G32" i="12"/>
  <c r="E74" i="12"/>
  <c r="D30" i="12"/>
  <c r="R70" i="12"/>
  <c r="O64" i="12"/>
  <c r="E37" i="12"/>
  <c r="U17" i="12"/>
  <c r="U37" i="12"/>
  <c r="U59" i="12"/>
  <c r="U81" i="12"/>
  <c r="T30" i="12"/>
  <c r="T49" i="12"/>
  <c r="T66" i="12"/>
  <c r="S16" i="12"/>
  <c r="S32" i="12"/>
  <c r="S52" i="12"/>
  <c r="S68" i="12"/>
  <c r="R18" i="12"/>
  <c r="R34" i="12"/>
  <c r="R49" i="12"/>
  <c r="R66" i="12"/>
  <c r="Q16" i="12"/>
  <c r="Q31" i="12"/>
  <c r="Q48" i="12"/>
  <c r="Q64" i="12"/>
  <c r="Q79" i="12"/>
  <c r="P27" i="12"/>
  <c r="P43" i="12"/>
  <c r="P58" i="12"/>
  <c r="P75" i="12"/>
  <c r="O28" i="12"/>
  <c r="O43" i="12"/>
  <c r="O60" i="12"/>
  <c r="O75" i="12"/>
  <c r="N21" i="12"/>
  <c r="N35" i="12"/>
  <c r="N49" i="12"/>
  <c r="N65" i="12"/>
  <c r="N79" i="12"/>
  <c r="L26" i="12"/>
  <c r="L40" i="12"/>
  <c r="L54" i="12"/>
  <c r="L70" i="12"/>
  <c r="K28" i="12"/>
  <c r="K42" i="12"/>
  <c r="K56" i="12"/>
  <c r="K71" i="12"/>
  <c r="J42" i="12"/>
  <c r="J55" i="12"/>
  <c r="J68" i="12"/>
  <c r="J29" i="12"/>
  <c r="J16" i="12"/>
  <c r="I35" i="12"/>
  <c r="I47" i="12"/>
  <c r="I59" i="12"/>
  <c r="I71" i="12"/>
  <c r="I22" i="12"/>
  <c r="G82" i="12"/>
  <c r="G70" i="12"/>
  <c r="G58" i="12"/>
  <c r="G46" i="12"/>
  <c r="G34" i="12"/>
  <c r="G22" i="12"/>
  <c r="F19" i="12"/>
  <c r="F31" i="12"/>
  <c r="F43" i="12"/>
  <c r="F55" i="12"/>
  <c r="F67" i="12"/>
  <c r="F79" i="12"/>
  <c r="E72" i="12"/>
  <c r="E64" i="12"/>
  <c r="E54" i="12"/>
  <c r="E34" i="12"/>
  <c r="E28" i="12"/>
  <c r="D70" i="12"/>
  <c r="T32" i="12"/>
  <c r="R35" i="12"/>
  <c r="Q80" i="12"/>
  <c r="O29" i="12"/>
  <c r="N66" i="12"/>
  <c r="K43" i="12"/>
  <c r="J24" i="12"/>
  <c r="G69" i="12"/>
  <c r="F32" i="12"/>
  <c r="E25" i="12"/>
  <c r="U83" i="12"/>
  <c r="S54" i="12"/>
  <c r="Q18" i="12"/>
  <c r="L58" i="12"/>
  <c r="J57" i="12"/>
  <c r="G80" i="12"/>
  <c r="F57" i="12"/>
  <c r="E36" i="12"/>
  <c r="T52" i="12"/>
  <c r="R22" i="12"/>
  <c r="P31" i="12"/>
  <c r="N24" i="12"/>
  <c r="K17" i="12"/>
  <c r="I38" i="12"/>
  <c r="G19" i="12"/>
  <c r="E48" i="12"/>
  <c r="U25" i="12"/>
  <c r="T73" i="12"/>
  <c r="R23" i="12"/>
  <c r="Q39" i="12"/>
  <c r="P65" i="12"/>
  <c r="O18" i="12"/>
  <c r="N27" i="12"/>
  <c r="L32" i="12"/>
  <c r="K34" i="12"/>
  <c r="J59" i="12"/>
  <c r="I51" i="12"/>
  <c r="G77" i="12"/>
  <c r="D19" i="12"/>
  <c r="P66" i="12"/>
  <c r="N41" i="12"/>
  <c r="L46" i="12"/>
  <c r="K48" i="12"/>
  <c r="J60" i="12"/>
  <c r="G66" i="12"/>
  <c r="F23" i="12"/>
  <c r="E76" i="12"/>
  <c r="D50" i="12"/>
  <c r="D20" i="12"/>
  <c r="K49" i="12"/>
  <c r="I63" i="12"/>
  <c r="F24" i="12"/>
  <c r="D51" i="12"/>
  <c r="H51" i="12" s="1"/>
  <c r="O51" i="12"/>
  <c r="K63" i="12"/>
  <c r="I75" i="12"/>
  <c r="F36" i="12"/>
  <c r="R57" i="12"/>
  <c r="O65" i="12"/>
  <c r="K75" i="12"/>
  <c r="G42" i="12"/>
  <c r="E43" i="12"/>
  <c r="T16" i="12"/>
  <c r="O66" i="12"/>
  <c r="L75" i="12"/>
  <c r="I17" i="12"/>
  <c r="D75" i="12"/>
  <c r="S56" i="12"/>
  <c r="G30" i="12"/>
  <c r="T37" i="12"/>
  <c r="T38" i="12"/>
  <c r="J34" i="12"/>
  <c r="G18" i="12"/>
  <c r="T54" i="12"/>
  <c r="L17" i="12"/>
  <c r="I39" i="12"/>
  <c r="E18" i="12"/>
  <c r="U24" i="12"/>
  <c r="O17" i="12"/>
  <c r="I40" i="12"/>
  <c r="F83" i="12"/>
  <c r="U46" i="12"/>
  <c r="T74" i="12"/>
  <c r="R24" i="12"/>
  <c r="Q53" i="12"/>
  <c r="O32" i="12"/>
  <c r="I52" i="12"/>
  <c r="G65" i="12"/>
  <c r="L61" i="12"/>
  <c r="D63" i="12"/>
  <c r="N69" i="12"/>
  <c r="I76" i="12"/>
  <c r="D74" i="12"/>
  <c r="R71" i="12"/>
  <c r="K76" i="12"/>
  <c r="P18" i="12"/>
  <c r="D42" i="12"/>
  <c r="S58" i="12"/>
  <c r="P32" i="12"/>
  <c r="J33" i="12"/>
  <c r="I27" i="12"/>
  <c r="G29" i="12"/>
  <c r="Q20" i="12"/>
  <c r="F71" i="12"/>
  <c r="Q22" i="12"/>
  <c r="D27" i="12"/>
  <c r="J47" i="12"/>
  <c r="U47" i="12"/>
  <c r="R38" i="12"/>
  <c r="Q54" i="12"/>
  <c r="P80" i="12"/>
  <c r="O34" i="12"/>
  <c r="N42" i="12"/>
  <c r="L47" i="12"/>
  <c r="J72" i="12"/>
  <c r="E77" i="12"/>
  <c r="R56" i="12"/>
  <c r="G53" i="12"/>
  <c r="F48" i="12"/>
  <c r="R72" i="12"/>
  <c r="F59" i="12"/>
  <c r="D43" i="12"/>
  <c r="K18" i="12"/>
  <c r="K19" i="12"/>
  <c r="N25" i="12"/>
  <c r="U65" i="12"/>
  <c r="S20" i="12"/>
  <c r="R40" i="12"/>
  <c r="Q68" i="12"/>
  <c r="P81" i="12"/>
  <c r="V81" i="12" s="1"/>
  <c r="O50" i="12"/>
  <c r="N55" i="12"/>
  <c r="L60" i="12"/>
  <c r="K62" i="12"/>
  <c r="J73" i="12"/>
  <c r="I64" i="12"/>
  <c r="G54" i="12"/>
  <c r="F35" i="12"/>
  <c r="E58" i="12"/>
  <c r="D62" i="12"/>
  <c r="U69" i="12"/>
  <c r="S22" i="12"/>
  <c r="Q70" i="12"/>
  <c r="N56" i="12"/>
  <c r="J27" i="12"/>
  <c r="E59" i="12"/>
  <c r="S40" i="12"/>
  <c r="L74" i="12"/>
  <c r="J18" i="12"/>
  <c r="F47" i="12"/>
  <c r="S41" i="12"/>
  <c r="P17" i="12"/>
  <c r="N70" i="12"/>
  <c r="G41" i="12"/>
  <c r="E44" i="12"/>
  <c r="T18" i="12"/>
  <c r="O79" i="12"/>
  <c r="I18" i="12"/>
  <c r="E38" i="12"/>
  <c r="E39" i="12"/>
  <c r="S75" i="12"/>
  <c r="L16" i="12"/>
  <c r="I28" i="12"/>
  <c r="D26" i="12"/>
  <c r="J46" i="12"/>
  <c r="G17" i="12"/>
  <c r="T56" i="12"/>
  <c r="Q38" i="12"/>
  <c r="K32" i="12"/>
  <c r="G78" i="12"/>
  <c r="O80" i="12"/>
  <c r="F60" i="12"/>
  <c r="P33" i="12"/>
  <c r="E24" i="12"/>
  <c r="S76" i="12"/>
  <c r="F72" i="12"/>
  <c r="P49" i="12"/>
  <c r="P47" i="12"/>
  <c r="L30" i="12"/>
  <c r="D81" i="12"/>
  <c r="AU82" i="12"/>
  <c r="CL82" i="12"/>
  <c r="AJ81" i="12"/>
  <c r="J82" i="12"/>
  <c r="AV82" i="12"/>
  <c r="AY82" i="12" s="1"/>
  <c r="CP82" i="12"/>
  <c r="AP81" i="12"/>
  <c r="CG81" i="12"/>
  <c r="CK81" i="12" s="1"/>
  <c r="AI82" i="12"/>
  <c r="N82" i="12"/>
  <c r="AQ81" i="12"/>
  <c r="T83" i="12"/>
  <c r="E81" i="12"/>
  <c r="CH81" i="12"/>
  <c r="O82" i="12"/>
  <c r="BD82" i="12"/>
  <c r="CY82" i="12"/>
  <c r="I81" i="12"/>
  <c r="M81" i="12" s="1"/>
  <c r="AU81" i="12"/>
  <c r="CL81" i="12"/>
  <c r="R82" i="12"/>
  <c r="BI82" i="12"/>
  <c r="DD82" i="12"/>
  <c r="DL82" i="12" s="1"/>
  <c r="J81" i="12"/>
  <c r="AV81" i="12"/>
  <c r="CP81" i="12"/>
  <c r="P44" i="6"/>
  <c r="P49" i="6"/>
  <c r="P47" i="6"/>
  <c r="P106" i="6"/>
  <c r="V102" i="5"/>
  <c r="G172" i="6" s="1"/>
  <c r="I172" i="6" s="1"/>
  <c r="R88" i="6"/>
  <c r="EK14" i="12" a="1"/>
  <c r="EK14" i="12" s="1"/>
  <c r="ED80" i="12"/>
  <c r="EE80" i="12"/>
  <c r="EA80" i="12"/>
  <c r="EF80" i="12"/>
  <c r="EB80" i="12"/>
  <c r="DZ80" i="12"/>
  <c r="ED68" i="12"/>
  <c r="DZ68" i="12"/>
  <c r="EF68" i="12"/>
  <c r="EB68" i="12"/>
  <c r="EE68" i="12"/>
  <c r="EA68" i="12"/>
  <c r="EE56" i="12"/>
  <c r="EF56" i="12"/>
  <c r="ED56" i="12"/>
  <c r="DZ56" i="12"/>
  <c r="EB56" i="12"/>
  <c r="EA56" i="12"/>
  <c r="EE36" i="12"/>
  <c r="EF36" i="12"/>
  <c r="DZ36" i="12"/>
  <c r="ED36" i="12"/>
  <c r="EA36" i="12"/>
  <c r="EB36" i="12"/>
  <c r="EE24" i="12"/>
  <c r="EF24" i="12"/>
  <c r="ED24" i="12"/>
  <c r="DZ24" i="12"/>
  <c r="EB24" i="12"/>
  <c r="EA24" i="12"/>
  <c r="EE16" i="12"/>
  <c r="EF16" i="12"/>
  <c r="DZ16" i="12"/>
  <c r="ED16" i="12"/>
  <c r="EB16" i="12"/>
  <c r="EA16" i="12"/>
  <c r="AI83" i="12"/>
  <c r="AI81" i="12"/>
  <c r="EF83" i="12"/>
  <c r="ED83" i="12"/>
  <c r="DZ83" i="12"/>
  <c r="EE83" i="12"/>
  <c r="EA83" i="12"/>
  <c r="EB83" i="12"/>
  <c r="EF79" i="12"/>
  <c r="DZ79" i="12"/>
  <c r="EA79" i="12"/>
  <c r="ED79" i="12"/>
  <c r="EB79" i="12"/>
  <c r="EE79" i="12"/>
  <c r="EF75" i="12"/>
  <c r="ED75" i="12"/>
  <c r="EE75" i="12"/>
  <c r="DZ75" i="12"/>
  <c r="EB75" i="12"/>
  <c r="EA75" i="12"/>
  <c r="EF71" i="12"/>
  <c r="DZ71" i="12"/>
  <c r="EA71" i="12"/>
  <c r="ED71" i="12"/>
  <c r="EB71" i="12"/>
  <c r="EE71" i="12"/>
  <c r="EF67" i="12"/>
  <c r="ED67" i="12"/>
  <c r="EA67" i="12"/>
  <c r="DZ67" i="12"/>
  <c r="EE67" i="12"/>
  <c r="EB67" i="12"/>
  <c r="EF63" i="12"/>
  <c r="EB63" i="12"/>
  <c r="EA63" i="12"/>
  <c r="ED63" i="12"/>
  <c r="DZ63" i="12"/>
  <c r="EE63" i="12"/>
  <c r="ED59" i="12"/>
  <c r="EF59" i="12"/>
  <c r="EE59" i="12"/>
  <c r="DZ59" i="12"/>
  <c r="EA59" i="12"/>
  <c r="EB59" i="12"/>
  <c r="ED55" i="12"/>
  <c r="EE55" i="12"/>
  <c r="EF55" i="12"/>
  <c r="DZ55" i="12"/>
  <c r="EA55" i="12"/>
  <c r="EB55" i="12"/>
  <c r="ED51" i="12"/>
  <c r="EE51" i="12"/>
  <c r="EF51" i="12"/>
  <c r="EA51" i="12"/>
  <c r="DZ51" i="12"/>
  <c r="EB51" i="12"/>
  <c r="ED47" i="12"/>
  <c r="EE47" i="12"/>
  <c r="EF47" i="12"/>
  <c r="EB47" i="12"/>
  <c r="EA47" i="12"/>
  <c r="DZ47" i="12"/>
  <c r="ED43" i="12"/>
  <c r="EE43" i="12"/>
  <c r="EF43" i="12"/>
  <c r="EB43" i="12"/>
  <c r="EA43" i="12"/>
  <c r="DZ43" i="12"/>
  <c r="ED39" i="12"/>
  <c r="EE39" i="12"/>
  <c r="EF39" i="12"/>
  <c r="EB39" i="12"/>
  <c r="DZ39" i="12"/>
  <c r="EA39" i="12"/>
  <c r="ED35" i="12"/>
  <c r="EE35" i="12"/>
  <c r="EF35" i="12"/>
  <c r="EB35" i="12"/>
  <c r="EA35" i="12"/>
  <c r="DZ35" i="12"/>
  <c r="ED31" i="12"/>
  <c r="EE31" i="12"/>
  <c r="EF31" i="12"/>
  <c r="EB31" i="12"/>
  <c r="DZ31" i="12"/>
  <c r="EA31" i="12"/>
  <c r="ED27" i="12"/>
  <c r="EE27" i="12"/>
  <c r="EF27" i="12"/>
  <c r="EB27" i="12"/>
  <c r="EA27" i="12"/>
  <c r="DZ27" i="12"/>
  <c r="ED23" i="12"/>
  <c r="EE23" i="12"/>
  <c r="EF23" i="12"/>
  <c r="EB23" i="12"/>
  <c r="DZ23" i="12"/>
  <c r="EA23" i="12"/>
  <c r="ED19" i="12"/>
  <c r="EE19" i="12"/>
  <c r="EF19" i="12"/>
  <c r="EB19" i="12"/>
  <c r="EA19" i="12"/>
  <c r="DZ19" i="12"/>
  <c r="EE15" i="12"/>
  <c r="EF15" i="12"/>
  <c r="EA15" i="12"/>
  <c r="DZ15" i="12"/>
  <c r="EB15" i="12"/>
  <c r="ED76" i="12"/>
  <c r="DZ76" i="12"/>
  <c r="EA76" i="12"/>
  <c r="EB76" i="12"/>
  <c r="EF76" i="12"/>
  <c r="EE76" i="12"/>
  <c r="ED64" i="12"/>
  <c r="DZ64" i="12"/>
  <c r="EE64" i="12"/>
  <c r="EF64" i="12"/>
  <c r="EA64" i="12"/>
  <c r="EB64" i="12"/>
  <c r="EE52" i="12"/>
  <c r="EF52" i="12"/>
  <c r="DZ52" i="12"/>
  <c r="EB52" i="12"/>
  <c r="ED52" i="12"/>
  <c r="EA52" i="12"/>
  <c r="EE44" i="12"/>
  <c r="EF44" i="12"/>
  <c r="ED44" i="12"/>
  <c r="DZ44" i="12"/>
  <c r="EA44" i="12"/>
  <c r="EB44" i="12"/>
  <c r="EE32" i="12"/>
  <c r="EF32" i="12"/>
  <c r="DZ32" i="12"/>
  <c r="EB32" i="12"/>
  <c r="EA32" i="12"/>
  <c r="ED32" i="12"/>
  <c r="EE20" i="12"/>
  <c r="EF20" i="12"/>
  <c r="DZ20" i="12"/>
  <c r="EA20" i="12"/>
  <c r="EB20" i="12"/>
  <c r="ED20" i="12"/>
  <c r="D86" i="2"/>
  <c r="D83" i="12" s="1"/>
  <c r="D82" i="12"/>
  <c r="AE82" i="12"/>
  <c r="AJ86" i="2"/>
  <c r="AP83" i="12" s="1"/>
  <c r="AP82" i="12"/>
  <c r="AR86" i="2"/>
  <c r="AZ83" i="12" s="1"/>
  <c r="AZ82" i="12"/>
  <c r="BH86" i="2"/>
  <c r="BR83" i="12" s="1"/>
  <c r="BR82" i="12"/>
  <c r="BT86" i="2"/>
  <c r="CG83" i="12" s="1"/>
  <c r="CG82" i="12"/>
  <c r="CF86" i="2"/>
  <c r="CU83" i="12" s="1"/>
  <c r="CU82" i="12"/>
  <c r="EE82" i="12"/>
  <c r="EF82" i="12"/>
  <c r="ED82" i="12"/>
  <c r="DZ82" i="12"/>
  <c r="EA82" i="12"/>
  <c r="EB82" i="12"/>
  <c r="EE78" i="12"/>
  <c r="EF78" i="12"/>
  <c r="ED78" i="12"/>
  <c r="DZ78" i="12"/>
  <c r="EA78" i="12"/>
  <c r="EB78" i="12"/>
  <c r="EE74" i="12"/>
  <c r="EF74" i="12"/>
  <c r="EB74" i="12"/>
  <c r="EA74" i="12"/>
  <c r="ED74" i="12"/>
  <c r="DZ74" i="12"/>
  <c r="EE70" i="12"/>
  <c r="EF70" i="12"/>
  <c r="EB70" i="12"/>
  <c r="ED70" i="12"/>
  <c r="DZ70" i="12"/>
  <c r="EA70" i="12"/>
  <c r="EE66" i="12"/>
  <c r="EF66" i="12"/>
  <c r="EB66" i="12"/>
  <c r="DZ66" i="12"/>
  <c r="ED66" i="12"/>
  <c r="EA66" i="12"/>
  <c r="EE62" i="12"/>
  <c r="EF62" i="12"/>
  <c r="EB62" i="12"/>
  <c r="DZ62" i="12"/>
  <c r="ED62" i="12"/>
  <c r="EA62" i="12"/>
  <c r="ED58" i="12"/>
  <c r="EE58" i="12"/>
  <c r="EB58" i="12"/>
  <c r="EA58" i="12"/>
  <c r="EF58" i="12"/>
  <c r="DZ58" i="12"/>
  <c r="ED54" i="12"/>
  <c r="EE54" i="12"/>
  <c r="EF54" i="12"/>
  <c r="EB54" i="12"/>
  <c r="DZ54" i="12"/>
  <c r="EA54" i="12"/>
  <c r="ED50" i="12"/>
  <c r="EE50" i="12"/>
  <c r="EF50" i="12"/>
  <c r="EB50" i="12"/>
  <c r="DZ50" i="12"/>
  <c r="EA50" i="12"/>
  <c r="ED46" i="12"/>
  <c r="EE46" i="12"/>
  <c r="EB46" i="12"/>
  <c r="EF46" i="12"/>
  <c r="DZ46" i="12"/>
  <c r="EA46" i="12"/>
  <c r="ED42" i="12"/>
  <c r="EE42" i="12"/>
  <c r="EA42" i="12"/>
  <c r="EB42" i="12"/>
  <c r="DZ42" i="12"/>
  <c r="EF42" i="12"/>
  <c r="ED38" i="12"/>
  <c r="EE38" i="12"/>
  <c r="EF38" i="12"/>
  <c r="EA38" i="12"/>
  <c r="EB38" i="12"/>
  <c r="DZ38" i="12"/>
  <c r="ED34" i="12"/>
  <c r="EE34" i="12"/>
  <c r="EA34" i="12"/>
  <c r="EF34" i="12"/>
  <c r="EB34" i="12"/>
  <c r="DZ34" i="12"/>
  <c r="ED30" i="12"/>
  <c r="EE30" i="12"/>
  <c r="EA30" i="12"/>
  <c r="EB30" i="12"/>
  <c r="EF30" i="12"/>
  <c r="DZ30" i="12"/>
  <c r="ED26" i="12"/>
  <c r="EE26" i="12"/>
  <c r="EA26" i="12"/>
  <c r="EB26" i="12"/>
  <c r="EF26" i="12"/>
  <c r="DZ26" i="12"/>
  <c r="ED22" i="12"/>
  <c r="EE22" i="12"/>
  <c r="EF22" i="12"/>
  <c r="EA22" i="12"/>
  <c r="EB22" i="12"/>
  <c r="DZ22" i="12"/>
  <c r="ED18" i="12"/>
  <c r="EE18" i="12"/>
  <c r="EA18" i="12"/>
  <c r="EF18" i="12"/>
  <c r="EB18" i="12"/>
  <c r="DZ18" i="12"/>
  <c r="AH83" i="12"/>
  <c r="AH81" i="12"/>
  <c r="EB14" i="12"/>
  <c r="EE14" i="12"/>
  <c r="EF14" i="12"/>
  <c r="EA14" i="12"/>
  <c r="DZ14" i="12"/>
  <c r="ED72" i="12"/>
  <c r="DZ72" i="12"/>
  <c r="EE72" i="12"/>
  <c r="EB72" i="12"/>
  <c r="EA72" i="12"/>
  <c r="EF72" i="12"/>
  <c r="ED60" i="12"/>
  <c r="DZ60" i="12"/>
  <c r="EA60" i="12"/>
  <c r="EF60" i="12"/>
  <c r="EB60" i="12"/>
  <c r="EE60" i="12"/>
  <c r="EE48" i="12"/>
  <c r="EF48" i="12"/>
  <c r="DZ48" i="12"/>
  <c r="ED48" i="12"/>
  <c r="EA48" i="12"/>
  <c r="EB48" i="12"/>
  <c r="EE40" i="12"/>
  <c r="EF40" i="12"/>
  <c r="ED40" i="12"/>
  <c r="DZ40" i="12"/>
  <c r="EB40" i="12"/>
  <c r="EA40" i="12"/>
  <c r="EE28" i="12"/>
  <c r="EF28" i="12"/>
  <c r="ED28" i="12"/>
  <c r="DZ28" i="12"/>
  <c r="EA28" i="12"/>
  <c r="EB28" i="12"/>
  <c r="DC81" i="12"/>
  <c r="ED81" i="12"/>
  <c r="EE81" i="12"/>
  <c r="EB81" i="12"/>
  <c r="EA81" i="12"/>
  <c r="EF81" i="12"/>
  <c r="DZ81" i="12"/>
  <c r="ED77" i="12"/>
  <c r="EE77" i="12"/>
  <c r="EF77" i="12"/>
  <c r="EB77" i="12"/>
  <c r="EA77" i="12"/>
  <c r="DZ77" i="12"/>
  <c r="ED73" i="12"/>
  <c r="EE73" i="12"/>
  <c r="EA73" i="12"/>
  <c r="DZ73" i="12"/>
  <c r="EF73" i="12"/>
  <c r="EB73" i="12"/>
  <c r="ED69" i="12"/>
  <c r="EE69" i="12"/>
  <c r="EA69" i="12"/>
  <c r="EF69" i="12"/>
  <c r="DZ69" i="12"/>
  <c r="EB69" i="12"/>
  <c r="ED65" i="12"/>
  <c r="EE65" i="12"/>
  <c r="EA65" i="12"/>
  <c r="EB65" i="12"/>
  <c r="EF65" i="12"/>
  <c r="DZ65" i="12"/>
  <c r="ED61" i="12"/>
  <c r="EE61" i="12"/>
  <c r="EA61" i="12"/>
  <c r="EF61" i="12"/>
  <c r="EB61" i="12"/>
  <c r="DZ61" i="12"/>
  <c r="EF57" i="12"/>
  <c r="ED57" i="12"/>
  <c r="EA57" i="12"/>
  <c r="EE57" i="12"/>
  <c r="DZ57" i="12"/>
  <c r="EB57" i="12"/>
  <c r="EF53" i="12"/>
  <c r="ED53" i="12"/>
  <c r="EA53" i="12"/>
  <c r="DZ53" i="12"/>
  <c r="EB53" i="12"/>
  <c r="EE53" i="12"/>
  <c r="EF49" i="12"/>
  <c r="ED49" i="12"/>
  <c r="EE49" i="12"/>
  <c r="EA49" i="12"/>
  <c r="EB49" i="12"/>
  <c r="DZ49" i="12"/>
  <c r="EF45" i="12"/>
  <c r="ED45" i="12"/>
  <c r="EE45" i="12"/>
  <c r="EA45" i="12"/>
  <c r="DZ45" i="12"/>
  <c r="EB45" i="12"/>
  <c r="EF41" i="12"/>
  <c r="ED41" i="12"/>
  <c r="DZ41" i="12"/>
  <c r="EA41" i="12"/>
  <c r="EB41" i="12"/>
  <c r="EE41" i="12"/>
  <c r="EF37" i="12"/>
  <c r="ED37" i="12"/>
  <c r="DZ37" i="12"/>
  <c r="EA37" i="12"/>
  <c r="EE37" i="12"/>
  <c r="EB37" i="12"/>
  <c r="EF33" i="12"/>
  <c r="ED33" i="12"/>
  <c r="EE33" i="12"/>
  <c r="DZ33" i="12"/>
  <c r="EA33" i="12"/>
  <c r="EB33" i="12"/>
  <c r="EF29" i="12"/>
  <c r="ED29" i="12"/>
  <c r="DZ29" i="12"/>
  <c r="EE29" i="12"/>
  <c r="EA29" i="12"/>
  <c r="EB29" i="12"/>
  <c r="EF25" i="12"/>
  <c r="ED25" i="12"/>
  <c r="DZ25" i="12"/>
  <c r="EA25" i="12"/>
  <c r="EE25" i="12"/>
  <c r="EB25" i="12"/>
  <c r="EF21" i="12"/>
  <c r="ED21" i="12"/>
  <c r="DZ21" i="12"/>
  <c r="EA21" i="12"/>
  <c r="EE21" i="12"/>
  <c r="EB21" i="12"/>
  <c r="EF17" i="12"/>
  <c r="ED17" i="12"/>
  <c r="EE17" i="12"/>
  <c r="DZ17" i="12"/>
  <c r="EA17" i="12"/>
  <c r="EB17" i="12"/>
  <c r="DV83" i="12"/>
  <c r="L13" i="6"/>
  <c r="I13" i="6"/>
  <c r="J13" i="6"/>
  <c r="K13" i="6"/>
  <c r="DY13" i="12"/>
  <c r="EJ13" i="12" s="1"/>
  <c r="DI16" i="2" s="1"/>
  <c r="DG16" i="2"/>
  <c r="F174" i="6"/>
  <c r="E174" i="6"/>
  <c r="D174" i="6"/>
  <c r="L50" i="6"/>
  <c r="D50" i="6"/>
  <c r="K50" i="6"/>
  <c r="C50" i="6"/>
  <c r="J50" i="6"/>
  <c r="F50" i="6"/>
  <c r="I50" i="6"/>
  <c r="E50" i="6"/>
  <c r="N106" i="6"/>
  <c r="O106" i="6"/>
  <c r="R76" i="6"/>
  <c r="R82" i="6"/>
  <c r="R91" i="6"/>
  <c r="R98" i="6"/>
  <c r="R104" i="6"/>
  <c r="S14" i="5"/>
  <c r="R105" i="6"/>
  <c r="R74" i="6"/>
  <c r="R75" i="6"/>
  <c r="R77" i="6"/>
  <c r="R80" i="6"/>
  <c r="R83" i="6"/>
  <c r="R84" i="6"/>
  <c r="R85" i="6"/>
  <c r="R86" i="6"/>
  <c r="R90" i="6"/>
  <c r="R92" i="6"/>
  <c r="R93" i="6"/>
  <c r="R94" i="6"/>
  <c r="R96" i="6"/>
  <c r="R99" i="6"/>
  <c r="R100" i="6"/>
  <c r="R101" i="6"/>
  <c r="R102" i="6"/>
  <c r="M106" i="6"/>
  <c r="M51" i="6"/>
  <c r="R103" i="6"/>
  <c r="I86" i="2"/>
  <c r="J83" i="12" s="1"/>
  <c r="S83" i="12"/>
  <c r="AQ83" i="12"/>
  <c r="AV86" i="2"/>
  <c r="BD83" i="12" s="1"/>
  <c r="BV83" i="12"/>
  <c r="CH83" i="12"/>
  <c r="CJ86" i="2"/>
  <c r="CY83" i="12" s="1"/>
  <c r="K45" i="6"/>
  <c r="L46" i="6"/>
  <c r="I47" i="6"/>
  <c r="AB86" i="2"/>
  <c r="AF83" i="12" s="1"/>
  <c r="D45" i="6"/>
  <c r="H45" i="6"/>
  <c r="L45" i="6"/>
  <c r="E46" i="6"/>
  <c r="I46" i="6"/>
  <c r="F47" i="6"/>
  <c r="J47" i="6"/>
  <c r="C48" i="6"/>
  <c r="G48" i="6"/>
  <c r="K48" i="6"/>
  <c r="D49" i="6"/>
  <c r="H49" i="6"/>
  <c r="L49" i="6"/>
  <c r="C45" i="6"/>
  <c r="E45" i="6"/>
  <c r="I45" i="6"/>
  <c r="F46" i="6"/>
  <c r="J46" i="6"/>
  <c r="C47" i="6"/>
  <c r="G47" i="6"/>
  <c r="K47" i="6"/>
  <c r="D48" i="6"/>
  <c r="H48" i="6"/>
  <c r="L48" i="6"/>
  <c r="E49" i="6"/>
  <c r="I49" i="6"/>
  <c r="E83" i="12"/>
  <c r="O83" i="12"/>
  <c r="X86" i="2"/>
  <c r="AA83" i="12" s="1"/>
  <c r="AJ83" i="12"/>
  <c r="AV83" i="12"/>
  <c r="BD86" i="2"/>
  <c r="BM83" i="12" s="1"/>
  <c r="CC83" i="12"/>
  <c r="CP83" i="12"/>
  <c r="DH83" i="12"/>
  <c r="F45" i="6"/>
  <c r="J45" i="6"/>
  <c r="C46" i="6"/>
  <c r="G46" i="6"/>
  <c r="K46" i="6"/>
  <c r="D47" i="6"/>
  <c r="H47" i="6"/>
  <c r="L47" i="6"/>
  <c r="E48" i="6"/>
  <c r="I48" i="6"/>
  <c r="F49" i="6"/>
  <c r="J49" i="6"/>
  <c r="H86" i="2"/>
  <c r="I83" i="12" s="1"/>
  <c r="P86" i="2"/>
  <c r="R83" i="12" s="1"/>
  <c r="G45" i="6"/>
  <c r="D46" i="6"/>
  <c r="H46" i="6"/>
  <c r="E47" i="6"/>
  <c r="F48" i="6"/>
  <c r="C49" i="6"/>
  <c r="G49" i="6"/>
  <c r="M67" i="6"/>
  <c r="D80" i="7"/>
  <c r="F80" i="7"/>
  <c r="F80" i="8"/>
  <c r="F85" i="8"/>
  <c r="D80" i="8"/>
  <c r="E80" i="8"/>
  <c r="D85" i="8"/>
  <c r="J12" i="6"/>
  <c r="K12" i="6"/>
  <c r="L12" i="6"/>
  <c r="I12" i="6"/>
  <c r="J7" i="6"/>
  <c r="K7" i="6"/>
  <c r="H7" i="6"/>
  <c r="L7" i="6"/>
  <c r="I7" i="6"/>
  <c r="R78" i="6"/>
  <c r="R79" i="6"/>
  <c r="R87" i="6"/>
  <c r="R95" i="6"/>
  <c r="I74" i="6"/>
  <c r="R81" i="6"/>
  <c r="R89" i="6"/>
  <c r="R97" i="6"/>
  <c r="D84" i="3"/>
  <c r="H84" i="3"/>
  <c r="E84" i="3"/>
  <c r="I84" i="3"/>
  <c r="F84" i="3"/>
  <c r="L86" i="2"/>
  <c r="N83" i="12" s="1"/>
  <c r="T86" i="2"/>
  <c r="W83" i="12" s="1"/>
  <c r="AN86" i="2"/>
  <c r="AU83" i="12" s="1"/>
  <c r="BI83" i="12"/>
  <c r="BP86" i="2"/>
  <c r="CB83" i="12" s="1"/>
  <c r="BX86" i="2"/>
  <c r="CL83" i="12" s="1"/>
  <c r="CN86" i="2"/>
  <c r="DD83" i="12" s="1"/>
  <c r="H63" i="12" l="1"/>
  <c r="H34" i="12"/>
  <c r="H80" i="12"/>
  <c r="M33" i="12"/>
  <c r="H39" i="12"/>
  <c r="CF33" i="12"/>
  <c r="AT26" i="12"/>
  <c r="CT82" i="12"/>
  <c r="AT62" i="12"/>
  <c r="AE77" i="12"/>
  <c r="BQ18" i="12"/>
  <c r="AT78" i="12"/>
  <c r="AY39" i="12"/>
  <c r="AT43" i="12"/>
  <c r="AY73" i="12"/>
  <c r="AY51" i="12"/>
  <c r="AY74" i="12"/>
  <c r="AN50" i="12"/>
  <c r="CF19" i="12"/>
  <c r="CF55" i="12"/>
  <c r="CF46" i="12"/>
  <c r="CF78" i="12"/>
  <c r="CF67" i="12"/>
  <c r="CK35" i="12"/>
  <c r="V82" i="12"/>
  <c r="M17" i="12"/>
  <c r="V73" i="12"/>
  <c r="AE69" i="12"/>
  <c r="AE20" i="12"/>
  <c r="BZ66" i="12"/>
  <c r="AE53" i="12"/>
  <c r="CT45" i="12"/>
  <c r="CT69" i="12"/>
  <c r="BH46" i="12"/>
  <c r="CT77" i="12"/>
  <c r="CT40" i="12"/>
  <c r="V25" i="12"/>
  <c r="AY55" i="12"/>
  <c r="DL73" i="12"/>
  <c r="AY17" i="12"/>
  <c r="CK38" i="12"/>
  <c r="CK20" i="12"/>
  <c r="AN82" i="12"/>
  <c r="M82" i="12"/>
  <c r="CF31" i="12"/>
  <c r="H16" i="12"/>
  <c r="DL61" i="12"/>
  <c r="DL50" i="12"/>
  <c r="M59" i="12"/>
  <c r="H59" i="12"/>
  <c r="CK30" i="12"/>
  <c r="BQ82" i="12"/>
  <c r="CF52" i="12"/>
  <c r="CK73" i="12"/>
  <c r="CF54" i="12"/>
  <c r="M48" i="12"/>
  <c r="M30" i="12"/>
  <c r="AE17" i="12"/>
  <c r="BQ77" i="12"/>
  <c r="AT50" i="12"/>
  <c r="M71" i="12"/>
  <c r="H23" i="12"/>
  <c r="H56" i="12"/>
  <c r="H72" i="12"/>
  <c r="AT66" i="12"/>
  <c r="AE52" i="12"/>
  <c r="DC74" i="12"/>
  <c r="CF50" i="12"/>
  <c r="AY30" i="12"/>
  <c r="CK51" i="12"/>
  <c r="CK41" i="12"/>
  <c r="BH49" i="12"/>
  <c r="AT44" i="12"/>
  <c r="CK68" i="12"/>
  <c r="AY24" i="12"/>
  <c r="CK49" i="12"/>
  <c r="AY60" i="12"/>
  <c r="BH54" i="12"/>
  <c r="H19" i="12"/>
  <c r="V54" i="12"/>
  <c r="CT51" i="12"/>
  <c r="BH50" i="12"/>
  <c r="AT32" i="12"/>
  <c r="H71" i="12"/>
  <c r="BZ34" i="12"/>
  <c r="BQ79" i="12"/>
  <c r="BH21" i="12"/>
  <c r="BQ63" i="12"/>
  <c r="CK40" i="12"/>
  <c r="AY66" i="12"/>
  <c r="AY76" i="12"/>
  <c r="V67" i="12"/>
  <c r="H73" i="12"/>
  <c r="AE28" i="12"/>
  <c r="DC58" i="12"/>
  <c r="AY58" i="12"/>
  <c r="BH41" i="12"/>
  <c r="V46" i="12"/>
  <c r="V57" i="12"/>
  <c r="DC53" i="12"/>
  <c r="M64" i="12"/>
  <c r="H69" i="12"/>
  <c r="M34" i="12"/>
  <c r="V18" i="12"/>
  <c r="AE58" i="12"/>
  <c r="AE62" i="12"/>
  <c r="CT16" i="12"/>
  <c r="BQ59" i="12"/>
  <c r="CT81" i="12"/>
  <c r="AY25" i="12"/>
  <c r="AY16" i="12"/>
  <c r="AY62" i="12"/>
  <c r="AT76" i="12"/>
  <c r="BQ76" i="12"/>
  <c r="M63" i="12"/>
  <c r="V22" i="12"/>
  <c r="CK50" i="12"/>
  <c r="AY65" i="12"/>
  <c r="CT27" i="12"/>
  <c r="BQ81" i="12"/>
  <c r="CF64" i="12"/>
  <c r="AY81" i="12"/>
  <c r="CF53" i="12"/>
  <c r="M22" i="12"/>
  <c r="M58" i="12"/>
  <c r="V71" i="12"/>
  <c r="AT79" i="12"/>
  <c r="AE23" i="12"/>
  <c r="CK22" i="12"/>
  <c r="AE48" i="12"/>
  <c r="BQ46" i="12"/>
  <c r="CT22" i="12"/>
  <c r="AE37" i="12"/>
  <c r="AE26" i="12"/>
  <c r="DC41" i="12"/>
  <c r="BZ19" i="12"/>
  <c r="BH71" i="12"/>
  <c r="DL70" i="12"/>
  <c r="AY79" i="12"/>
  <c r="BZ57" i="12"/>
  <c r="CK39" i="12"/>
  <c r="DC28" i="12"/>
  <c r="AT75" i="12"/>
  <c r="DC23" i="12"/>
  <c r="CF72" i="12"/>
  <c r="DL77" i="12"/>
  <c r="CK65" i="12"/>
  <c r="BZ49" i="12"/>
  <c r="AN69" i="12"/>
  <c r="BZ32" i="12"/>
  <c r="AN72" i="12"/>
  <c r="CK44" i="12"/>
  <c r="AN76" i="12"/>
  <c r="AT16" i="12"/>
  <c r="BH53" i="12"/>
  <c r="BQ52" i="12"/>
  <c r="M27" i="12"/>
  <c r="V68" i="12"/>
  <c r="V72" i="12"/>
  <c r="AT30" i="12"/>
  <c r="BQ22" i="12"/>
  <c r="AE56" i="12"/>
  <c r="CT43" i="12"/>
  <c r="CT42" i="12"/>
  <c r="CK74" i="12"/>
  <c r="CK55" i="12"/>
  <c r="AT39" i="12"/>
  <c r="DC69" i="12"/>
  <c r="AN27" i="12"/>
  <c r="BZ79" i="12"/>
  <c r="AT67" i="12"/>
  <c r="AT65" i="12"/>
  <c r="DL40" i="12"/>
  <c r="AT81" i="12"/>
  <c r="CA81" i="12" s="1"/>
  <c r="DO81" i="12" s="1"/>
  <c r="DR81" i="12" s="1"/>
  <c r="DL28" i="12"/>
  <c r="BH17" i="12"/>
  <c r="AN28" i="12"/>
  <c r="AN21" i="12"/>
  <c r="CK64" i="12"/>
  <c r="AT56" i="12"/>
  <c r="AY48" i="12"/>
  <c r="CT52" i="12"/>
  <c r="CF34" i="12"/>
  <c r="CK34" i="12"/>
  <c r="AY36" i="12"/>
  <c r="H27" i="12"/>
  <c r="CF66" i="12"/>
  <c r="AY78" i="12"/>
  <c r="AT46" i="12"/>
  <c r="CF77" i="12"/>
  <c r="O61" i="13"/>
  <c r="G61" i="13"/>
  <c r="AY22" i="12"/>
  <c r="AE35" i="12"/>
  <c r="BZ30" i="12"/>
  <c r="F46" i="13"/>
  <c r="M46" i="13" s="1"/>
  <c r="ET55" i="12"/>
  <c r="BZ46" i="12"/>
  <c r="AT31" i="12"/>
  <c r="DL38" i="12"/>
  <c r="O65" i="13"/>
  <c r="G65" i="13"/>
  <c r="M52" i="12"/>
  <c r="M47" i="12"/>
  <c r="V75" i="12"/>
  <c r="H55" i="12"/>
  <c r="DL26" i="12"/>
  <c r="AY59" i="12"/>
  <c r="AY45" i="12"/>
  <c r="AN23" i="12"/>
  <c r="O21" i="13"/>
  <c r="G21" i="13"/>
  <c r="DL74" i="12"/>
  <c r="DC78" i="12"/>
  <c r="CK67" i="12"/>
  <c r="AT59" i="12"/>
  <c r="CF35" i="12"/>
  <c r="AN42" i="12"/>
  <c r="F49" i="13"/>
  <c r="ET58" i="12"/>
  <c r="BH24" i="12"/>
  <c r="AY38" i="12"/>
  <c r="BQ28" i="12"/>
  <c r="DL52" i="12"/>
  <c r="F43" i="13"/>
  <c r="M43" i="13" s="1"/>
  <c r="ET52" i="12"/>
  <c r="F69" i="13"/>
  <c r="ET78" i="12"/>
  <c r="AY28" i="12"/>
  <c r="O53" i="13"/>
  <c r="G53" i="13"/>
  <c r="H81" i="12"/>
  <c r="H42" i="12"/>
  <c r="H20" i="12"/>
  <c r="M51" i="12"/>
  <c r="V78" i="12"/>
  <c r="V61" i="12"/>
  <c r="M80" i="12"/>
  <c r="M67" i="12"/>
  <c r="V30" i="12"/>
  <c r="H40" i="12"/>
  <c r="H45" i="12"/>
  <c r="H28" i="12"/>
  <c r="M65" i="12"/>
  <c r="DC70" i="12"/>
  <c r="CF27" i="12"/>
  <c r="AE68" i="12"/>
  <c r="DC35" i="12"/>
  <c r="DC26" i="12"/>
  <c r="BQ65" i="12"/>
  <c r="DL66" i="12"/>
  <c r="AT61" i="12"/>
  <c r="AE16" i="12"/>
  <c r="BQ30" i="12"/>
  <c r="DC25" i="12"/>
  <c r="DL57" i="12"/>
  <c r="AY31" i="12"/>
  <c r="CT46" i="12"/>
  <c r="CK75" i="12"/>
  <c r="DL59" i="12"/>
  <c r="AT47" i="12"/>
  <c r="CF47" i="12"/>
  <c r="AY33" i="12"/>
  <c r="CK27" i="12"/>
  <c r="BZ41" i="12"/>
  <c r="CT59" i="12"/>
  <c r="CT73" i="12"/>
  <c r="DC65" i="12"/>
  <c r="BZ65" i="12"/>
  <c r="CK59" i="12"/>
  <c r="AY27" i="12"/>
  <c r="CT29" i="12"/>
  <c r="DL24" i="12"/>
  <c r="DL20" i="12"/>
  <c r="CT21" i="12"/>
  <c r="BQ29" i="12"/>
  <c r="AT80" i="12"/>
  <c r="BZ45" i="12"/>
  <c r="DC24" i="12"/>
  <c r="BH57" i="12"/>
  <c r="AY41" i="12"/>
  <c r="BZ71" i="12"/>
  <c r="BH70" i="12"/>
  <c r="AN46" i="12"/>
  <c r="DL17" i="12"/>
  <c r="AY54" i="12"/>
  <c r="BH77" i="12"/>
  <c r="DC16" i="12"/>
  <c r="BH75" i="12"/>
  <c r="DC64" i="12"/>
  <c r="F53" i="13"/>
  <c r="ET62" i="12"/>
  <c r="BZ20" i="12"/>
  <c r="CT60" i="12"/>
  <c r="AT23" i="12"/>
  <c r="F68" i="13"/>
  <c r="M68" i="13" s="1"/>
  <c r="ET77" i="12"/>
  <c r="AN20" i="12"/>
  <c r="AN66" i="12"/>
  <c r="AT36" i="12"/>
  <c r="F33" i="13"/>
  <c r="ET42" i="12"/>
  <c r="AN18" i="12"/>
  <c r="BH40" i="12"/>
  <c r="F59" i="13"/>
  <c r="M59" i="13" s="1"/>
  <c r="ET68" i="12"/>
  <c r="CF60" i="12"/>
  <c r="CF80" i="12"/>
  <c r="F8" i="13"/>
  <c r="M8" i="13" s="1"/>
  <c r="ET17" i="12"/>
  <c r="F73" i="13"/>
  <c r="ET82" i="12"/>
  <c r="O57" i="13"/>
  <c r="G57" i="13"/>
  <c r="AY80" i="12"/>
  <c r="O29" i="13"/>
  <c r="G29" i="13"/>
  <c r="M16" i="12"/>
  <c r="AE80" i="12"/>
  <c r="BZ78" i="12"/>
  <c r="BH23" i="12"/>
  <c r="BQ31" i="12"/>
  <c r="F58" i="13"/>
  <c r="M58" i="13" s="1"/>
  <c r="ET67" i="12"/>
  <c r="AN79" i="12"/>
  <c r="CT28" i="12"/>
  <c r="BQ24" i="12"/>
  <c r="F34" i="13"/>
  <c r="M34" i="13" s="1"/>
  <c r="ET43" i="12"/>
  <c r="AE63" i="12"/>
  <c r="DL30" i="12"/>
  <c r="BZ27" i="12"/>
  <c r="BQ78" i="12"/>
  <c r="DC57" i="12"/>
  <c r="BZ55" i="12"/>
  <c r="CF70" i="12"/>
  <c r="BQ45" i="12"/>
  <c r="AN51" i="12"/>
  <c r="O37" i="13"/>
  <c r="G37" i="13"/>
  <c r="CF38" i="12"/>
  <c r="AN35" i="12"/>
  <c r="DC20" i="12"/>
  <c r="BZ25" i="12"/>
  <c r="CF21" i="12"/>
  <c r="BH37" i="12"/>
  <c r="AT28" i="12"/>
  <c r="AN37" i="12"/>
  <c r="CF49" i="12"/>
  <c r="CK28" i="12"/>
  <c r="DL64" i="12"/>
  <c r="F63" i="13"/>
  <c r="M63" i="13" s="1"/>
  <c r="ET72" i="12"/>
  <c r="CT68" i="12"/>
  <c r="V56" i="12"/>
  <c r="V55" i="12"/>
  <c r="H50" i="12"/>
  <c r="M38" i="12"/>
  <c r="H70" i="12"/>
  <c r="V79" i="12"/>
  <c r="H30" i="12"/>
  <c r="M72" i="12"/>
  <c r="V63" i="12"/>
  <c r="V47" i="12"/>
  <c r="M23" i="12"/>
  <c r="M56" i="12"/>
  <c r="M55" i="12"/>
  <c r="M49" i="12"/>
  <c r="H29" i="12"/>
  <c r="H48" i="12"/>
  <c r="V60" i="12"/>
  <c r="H77" i="12"/>
  <c r="H44" i="12"/>
  <c r="M53" i="12"/>
  <c r="V76" i="12"/>
  <c r="DC30" i="12"/>
  <c r="AE49" i="12"/>
  <c r="DL69" i="12"/>
  <c r="AE24" i="12"/>
  <c r="BQ39" i="12"/>
  <c r="AE79" i="12"/>
  <c r="BQ74" i="12"/>
  <c r="AE44" i="12"/>
  <c r="AE29" i="12"/>
  <c r="AE34" i="12"/>
  <c r="BZ42" i="12"/>
  <c r="CF62" i="12"/>
  <c r="CK54" i="12"/>
  <c r="BQ75" i="12"/>
  <c r="CT58" i="12"/>
  <c r="DC46" i="12"/>
  <c r="CT79" i="12"/>
  <c r="BQ66" i="12"/>
  <c r="DC51" i="12"/>
  <c r="BZ22" i="12"/>
  <c r="DL46" i="12"/>
  <c r="DL62" i="12"/>
  <c r="CT30" i="12"/>
  <c r="DL58" i="12"/>
  <c r="DL55" i="12"/>
  <c r="CF28" i="12"/>
  <c r="CT55" i="12"/>
  <c r="AT71" i="12"/>
  <c r="AN53" i="12"/>
  <c r="CK79" i="12"/>
  <c r="AY37" i="12"/>
  <c r="F28" i="13"/>
  <c r="M28" i="13" s="1"/>
  <c r="ET37" i="12"/>
  <c r="BH33" i="12"/>
  <c r="CK63" i="12"/>
  <c r="BH39" i="12"/>
  <c r="AN39" i="12"/>
  <c r="AY75" i="12"/>
  <c r="DC19" i="12"/>
  <c r="BZ51" i="12"/>
  <c r="CT33" i="12"/>
  <c r="BH43" i="12"/>
  <c r="DC44" i="12"/>
  <c r="CK17" i="12"/>
  <c r="BH42" i="12"/>
  <c r="AN48" i="12"/>
  <c r="BH64" i="12"/>
  <c r="BQ17" i="12"/>
  <c r="AN29" i="12"/>
  <c r="CT24" i="12"/>
  <c r="AT19" i="12"/>
  <c r="AN70" i="12"/>
  <c r="CK80" i="12"/>
  <c r="BZ52" i="12"/>
  <c r="CT54" i="12"/>
  <c r="BZ64" i="12"/>
  <c r="CK21" i="12"/>
  <c r="F55" i="13"/>
  <c r="M55" i="13" s="1"/>
  <c r="ET64" i="12"/>
  <c r="BZ80" i="12"/>
  <c r="AN80" i="12"/>
  <c r="AT45" i="12"/>
  <c r="F29" i="13"/>
  <c r="ET38" i="12"/>
  <c r="F64" i="13"/>
  <c r="M64" i="13" s="1"/>
  <c r="ET73" i="12"/>
  <c r="BZ76" i="12"/>
  <c r="AT72" i="12"/>
  <c r="AN24" i="12"/>
  <c r="F25" i="13"/>
  <c r="ET34" i="12"/>
  <c r="AY56" i="12"/>
  <c r="F65" i="13"/>
  <c r="ET74" i="12"/>
  <c r="DL80" i="12"/>
  <c r="F56" i="13"/>
  <c r="M56" i="13" s="1"/>
  <c r="ET65" i="12"/>
  <c r="DC60" i="12"/>
  <c r="O45" i="13"/>
  <c r="G45" i="13"/>
  <c r="F66" i="13"/>
  <c r="M66" i="13" s="1"/>
  <c r="ET75" i="12"/>
  <c r="CK61" i="12"/>
  <c r="O25" i="13"/>
  <c r="G25" i="13"/>
  <c r="V42" i="12"/>
  <c r="V66" i="12"/>
  <c r="H47" i="12"/>
  <c r="H36" i="12"/>
  <c r="DC38" i="12"/>
  <c r="BQ27" i="12"/>
  <c r="M39" i="12"/>
  <c r="AE42" i="12"/>
  <c r="AE60" i="12"/>
  <c r="DL78" i="12"/>
  <c r="DC47" i="12"/>
  <c r="CT17" i="12"/>
  <c r="BQ41" i="12"/>
  <c r="DL51" i="12"/>
  <c r="BQ49" i="12"/>
  <c r="DC32" i="12"/>
  <c r="BH69" i="12"/>
  <c r="O41" i="13"/>
  <c r="G41" i="13"/>
  <c r="V77" i="12"/>
  <c r="V53" i="12"/>
  <c r="M77" i="12"/>
  <c r="CT62" i="12"/>
  <c r="DC54" i="12"/>
  <c r="BQ37" i="12"/>
  <c r="DC75" i="12"/>
  <c r="BZ31" i="12"/>
  <c r="AY69" i="12"/>
  <c r="BQ47" i="12"/>
  <c r="CK45" i="12"/>
  <c r="CK24" i="12"/>
  <c r="AY20" i="12"/>
  <c r="BQ44" i="12"/>
  <c r="CK56" i="12"/>
  <c r="F60" i="13"/>
  <c r="ET69" i="12"/>
  <c r="O69" i="13"/>
  <c r="G69" i="13"/>
  <c r="O13" i="13"/>
  <c r="G13" i="13"/>
  <c r="BZ82" i="12"/>
  <c r="V65" i="12"/>
  <c r="V48" i="12"/>
  <c r="V33" i="12"/>
  <c r="M74" i="12"/>
  <c r="M36" i="12"/>
  <c r="H22" i="12"/>
  <c r="M43" i="12"/>
  <c r="V32" i="12"/>
  <c r="H65" i="12"/>
  <c r="H76" i="12"/>
  <c r="M41" i="12"/>
  <c r="V64" i="12"/>
  <c r="AE70" i="12"/>
  <c r="AE22" i="12"/>
  <c r="CT61" i="12"/>
  <c r="AE18" i="12"/>
  <c r="CT63" i="12"/>
  <c r="AE57" i="12"/>
  <c r="AE27" i="12"/>
  <c r="CT70" i="12"/>
  <c r="BH79" i="12"/>
  <c r="AE45" i="12"/>
  <c r="BH31" i="12"/>
  <c r="AT74" i="12"/>
  <c r="DC34" i="12"/>
  <c r="BQ16" i="12"/>
  <c r="BZ23" i="12"/>
  <c r="DC27" i="12"/>
  <c r="DL22" i="12"/>
  <c r="BZ50" i="12"/>
  <c r="BZ35" i="12"/>
  <c r="BQ60" i="12"/>
  <c r="CT34" i="12"/>
  <c r="BQ50" i="12"/>
  <c r="CK78" i="12"/>
  <c r="BQ55" i="12"/>
  <c r="DL63" i="12"/>
  <c r="CK66" i="12"/>
  <c r="DC73" i="12"/>
  <c r="CF61" i="12"/>
  <c r="BZ17" i="12"/>
  <c r="F71" i="13"/>
  <c r="M71" i="13" s="1"/>
  <c r="ET80" i="12"/>
  <c r="DL75" i="12"/>
  <c r="AY77" i="12"/>
  <c r="CF39" i="12"/>
  <c r="DL31" i="12"/>
  <c r="DL67" i="12"/>
  <c r="AY63" i="12"/>
  <c r="BH60" i="12"/>
  <c r="DL33" i="12"/>
  <c r="CT47" i="12"/>
  <c r="CT37" i="12"/>
  <c r="AY18" i="12"/>
  <c r="BH32" i="12"/>
  <c r="CT48" i="12"/>
  <c r="DC56" i="12"/>
  <c r="AY42" i="12"/>
  <c r="BQ80" i="12"/>
  <c r="AT17" i="12"/>
  <c r="F37" i="13"/>
  <c r="ET46" i="12"/>
  <c r="CF16" i="12"/>
  <c r="F36" i="13"/>
  <c r="M36" i="13" s="1"/>
  <c r="ET45" i="12"/>
  <c r="AT33" i="12"/>
  <c r="BQ32" i="12"/>
  <c r="BH74" i="12"/>
  <c r="CF65" i="12"/>
  <c r="AN41" i="12"/>
  <c r="AT35" i="12"/>
  <c r="AN56" i="12"/>
  <c r="CF20" i="12"/>
  <c r="CK48" i="12"/>
  <c r="BH26" i="12"/>
  <c r="AY68" i="12"/>
  <c r="CF44" i="12"/>
  <c r="AN52" i="12"/>
  <c r="F45" i="13"/>
  <c r="ET54" i="12"/>
  <c r="F44" i="13"/>
  <c r="M44" i="13" s="1"/>
  <c r="ET53" i="12"/>
  <c r="AN40" i="12"/>
  <c r="DL76" i="12"/>
  <c r="F57" i="13"/>
  <c r="ET66" i="12"/>
  <c r="BZ21" i="12"/>
  <c r="AY64" i="12"/>
  <c r="O33" i="13"/>
  <c r="G33" i="13"/>
  <c r="F54" i="13"/>
  <c r="M54" i="13" s="1"/>
  <c r="ET63" i="12"/>
  <c r="AY49" i="12"/>
  <c r="M42" i="12"/>
  <c r="V26" i="12"/>
  <c r="BZ74" i="12"/>
  <c r="BH30" i="12"/>
  <c r="DL43" i="12"/>
  <c r="BZ56" i="12"/>
  <c r="F10" i="13"/>
  <c r="M10" i="13" s="1"/>
  <c r="ET19" i="12"/>
  <c r="V41" i="12"/>
  <c r="M46" i="12"/>
  <c r="V23" i="12"/>
  <c r="V59" i="12"/>
  <c r="AE54" i="12"/>
  <c r="CT74" i="12"/>
  <c r="CT23" i="12"/>
  <c r="AY43" i="12"/>
  <c r="CF58" i="12"/>
  <c r="DC45" i="12"/>
  <c r="DC76" i="12"/>
  <c r="CK25" i="12"/>
  <c r="AN68" i="12"/>
  <c r="CT64" i="12"/>
  <c r="AY35" i="12"/>
  <c r="AN49" i="12"/>
  <c r="F27" i="13"/>
  <c r="M27" i="13" s="1"/>
  <c r="ET36" i="12"/>
  <c r="CF48" i="12"/>
  <c r="F47" i="13"/>
  <c r="M47" i="13" s="1"/>
  <c r="ET56" i="12"/>
  <c r="F31" i="13"/>
  <c r="M31" i="13" s="1"/>
  <c r="ET40" i="12"/>
  <c r="BQ67" i="12"/>
  <c r="AY52" i="12"/>
  <c r="DC82" i="12"/>
  <c r="V45" i="12"/>
  <c r="AE50" i="12"/>
  <c r="AE65" i="12"/>
  <c r="AE39" i="12"/>
  <c r="DL65" i="12"/>
  <c r="AT58" i="12"/>
  <c r="CT67" i="12"/>
  <c r="CF59" i="12"/>
  <c r="AN17" i="12"/>
  <c r="AN77" i="12"/>
  <c r="CT32" i="12"/>
  <c r="AN32" i="12"/>
  <c r="BH59" i="12"/>
  <c r="F13" i="13"/>
  <c r="ET22" i="12"/>
  <c r="CK52" i="12"/>
  <c r="F11" i="13"/>
  <c r="M11" i="13" s="1"/>
  <c r="ET20" i="12"/>
  <c r="DC52" i="12"/>
  <c r="F38" i="13"/>
  <c r="M38" i="13" s="1"/>
  <c r="ET47" i="12"/>
  <c r="H57" i="12"/>
  <c r="V31" i="12"/>
  <c r="BQ70" i="12"/>
  <c r="DC42" i="12"/>
  <c r="DC63" i="12"/>
  <c r="AT53" i="12"/>
  <c r="BZ67" i="12"/>
  <c r="DL27" i="12"/>
  <c r="CK32" i="12"/>
  <c r="AT68" i="12"/>
  <c r="CK36" i="12"/>
  <c r="DL72" i="12"/>
  <c r="CK37" i="12"/>
  <c r="DC48" i="12"/>
  <c r="BQ40" i="12"/>
  <c r="AT40" i="12"/>
  <c r="AY32" i="12"/>
  <c r="F40" i="13"/>
  <c r="M40" i="13" s="1"/>
  <c r="ET49" i="12"/>
  <c r="BH76" i="12"/>
  <c r="DL56" i="12"/>
  <c r="F12" i="13"/>
  <c r="M12" i="13" s="1"/>
  <c r="ET21" i="12"/>
  <c r="F26" i="13"/>
  <c r="M26" i="13" s="1"/>
  <c r="ET35" i="12"/>
  <c r="M18" i="12"/>
  <c r="H43" i="12"/>
  <c r="M62" i="12"/>
  <c r="AY71" i="12"/>
  <c r="AT70" i="12"/>
  <c r="BQ34" i="12"/>
  <c r="CF18" i="12"/>
  <c r="DL47" i="12"/>
  <c r="DL18" i="12"/>
  <c r="CF45" i="12"/>
  <c r="BQ25" i="12"/>
  <c r="AT73" i="12"/>
  <c r="CT49" i="12"/>
  <c r="BQ57" i="12"/>
  <c r="AN33" i="12"/>
  <c r="CT65" i="12"/>
  <c r="DL49" i="12"/>
  <c r="CF36" i="12"/>
  <c r="F20" i="13"/>
  <c r="M20" i="13" s="1"/>
  <c r="ET29" i="12"/>
  <c r="V24" i="12"/>
  <c r="M25" i="12"/>
  <c r="M50" i="12"/>
  <c r="H32" i="12"/>
  <c r="M31" i="12"/>
  <c r="H61" i="12"/>
  <c r="M60" i="12"/>
  <c r="M29" i="12"/>
  <c r="V74" i="12"/>
  <c r="AT63" i="12"/>
  <c r="AE38" i="12"/>
  <c r="AE41" i="12"/>
  <c r="AE40" i="12"/>
  <c r="DC43" i="12"/>
  <c r="DL39" i="12"/>
  <c r="AY47" i="12"/>
  <c r="DC67" i="12"/>
  <c r="CF63" i="12"/>
  <c r="CT39" i="12"/>
  <c r="AN67" i="12"/>
  <c r="DL54" i="12"/>
  <c r="CF43" i="12"/>
  <c r="CF75" i="12"/>
  <c r="CF56" i="12"/>
  <c r="CT31" i="12"/>
  <c r="DC61" i="12"/>
  <c r="DL37" i="12"/>
  <c r="CT41" i="12"/>
  <c r="DC68" i="12"/>
  <c r="AT69" i="12"/>
  <c r="BH52" i="12"/>
  <c r="DL32" i="12"/>
  <c r="AN26" i="12"/>
  <c r="CT36" i="12"/>
  <c r="DC21" i="12"/>
  <c r="CK57" i="12"/>
  <c r="AT48" i="12"/>
  <c r="BH62" i="12"/>
  <c r="CK69" i="12"/>
  <c r="AT29" i="12"/>
  <c r="CT56" i="12"/>
  <c r="CF57" i="12"/>
  <c r="BZ36" i="12"/>
  <c r="BZ77" i="12"/>
  <c r="CT44" i="12"/>
  <c r="BH66" i="12"/>
  <c r="AN36" i="12"/>
  <c r="F19" i="13"/>
  <c r="M19" i="13" s="1"/>
  <c r="ET28" i="12"/>
  <c r="BH56" i="12"/>
  <c r="AY26" i="12"/>
  <c r="O49" i="13"/>
  <c r="G49" i="13"/>
  <c r="F70" i="13"/>
  <c r="M70" i="13" s="1"/>
  <c r="ET79" i="12"/>
  <c r="F42" i="13"/>
  <c r="M42" i="13" s="1"/>
  <c r="ET51" i="12"/>
  <c r="CF37" i="12"/>
  <c r="V70" i="12"/>
  <c r="H74" i="12"/>
  <c r="V27" i="12"/>
  <c r="V35" i="12"/>
  <c r="M73" i="12"/>
  <c r="H38" i="12"/>
  <c r="V20" i="12"/>
  <c r="H35" i="12"/>
  <c r="M69" i="12"/>
  <c r="H67" i="12"/>
  <c r="H78" i="12"/>
  <c r="H41" i="12"/>
  <c r="V39" i="12"/>
  <c r="M78" i="12"/>
  <c r="H52" i="12"/>
  <c r="V40" i="12"/>
  <c r="V62" i="12"/>
  <c r="CK46" i="12"/>
  <c r="BQ38" i="12"/>
  <c r="AE55" i="12"/>
  <c r="BZ54" i="12"/>
  <c r="BQ42" i="12"/>
  <c r="AE67" i="12"/>
  <c r="AE31" i="12"/>
  <c r="AE71" i="12"/>
  <c r="DC59" i="12"/>
  <c r="AE21" i="12"/>
  <c r="DC62" i="12"/>
  <c r="CF79" i="12"/>
  <c r="CK47" i="12"/>
  <c r="DL44" i="12"/>
  <c r="CF26" i="12"/>
  <c r="DC50" i="12"/>
  <c r="CF51" i="12"/>
  <c r="BQ26" i="12"/>
  <c r="CT50" i="12"/>
  <c r="BH67" i="12"/>
  <c r="BQ68" i="12"/>
  <c r="DC31" i="12"/>
  <c r="BQ71" i="12"/>
  <c r="BH35" i="12"/>
  <c r="BZ39" i="12"/>
  <c r="AY29" i="12"/>
  <c r="AN19" i="12"/>
  <c r="BZ29" i="12"/>
  <c r="DL19" i="12"/>
  <c r="CF74" i="12"/>
  <c r="BQ19" i="12"/>
  <c r="CK33" i="12"/>
  <c r="BQ33" i="12"/>
  <c r="AT77" i="12"/>
  <c r="DC37" i="12"/>
  <c r="BZ44" i="12"/>
  <c r="AN58" i="12"/>
  <c r="DC72" i="12"/>
  <c r="CF29" i="12"/>
  <c r="BH58" i="12"/>
  <c r="BZ16" i="12"/>
  <c r="ET70" i="12"/>
  <c r="F61" i="13"/>
  <c r="AN22" i="12"/>
  <c r="CK53" i="12"/>
  <c r="CT80" i="12"/>
  <c r="AT49" i="12"/>
  <c r="CK60" i="12"/>
  <c r="AN65" i="12"/>
  <c r="BZ53" i="12"/>
  <c r="BQ56" i="12"/>
  <c r="CF68" i="12"/>
  <c r="CF41" i="12"/>
  <c r="F48" i="13"/>
  <c r="M48" i="13" s="1"/>
  <c r="ET57" i="12"/>
  <c r="AY72" i="12"/>
  <c r="AT64" i="12"/>
  <c r="BQ48" i="12"/>
  <c r="BQ20" i="12"/>
  <c r="F39" i="13"/>
  <c r="M39" i="13" s="1"/>
  <c r="ET48" i="12"/>
  <c r="CF40" i="12"/>
  <c r="F52" i="13"/>
  <c r="M52" i="13" s="1"/>
  <c r="ET61" i="12"/>
  <c r="BH22" i="12"/>
  <c r="O60" i="13"/>
  <c r="G60" i="13"/>
  <c r="O9" i="13"/>
  <c r="G9" i="13"/>
  <c r="F30" i="13"/>
  <c r="M30" i="13" s="1"/>
  <c r="ET39" i="12"/>
  <c r="AT24" i="12"/>
  <c r="AT51" i="12"/>
  <c r="BH55" i="12"/>
  <c r="AE74" i="12"/>
  <c r="DC39" i="12"/>
  <c r="CT57" i="12"/>
  <c r="V80" i="12"/>
  <c r="BH47" i="12"/>
  <c r="BZ63" i="12"/>
  <c r="BH18" i="12"/>
  <c r="DL36" i="12"/>
  <c r="F22" i="13"/>
  <c r="M22" i="13" s="1"/>
  <c r="ET31" i="12"/>
  <c r="M19" i="12"/>
  <c r="CK23" i="12"/>
  <c r="AE72" i="12"/>
  <c r="BH19" i="12"/>
  <c r="CK18" i="12"/>
  <c r="AN31" i="12"/>
  <c r="V17" i="12"/>
  <c r="AE78" i="12"/>
  <c r="CF22" i="12"/>
  <c r="H60" i="12"/>
  <c r="M61" i="12"/>
  <c r="H46" i="12"/>
  <c r="H53" i="12"/>
  <c r="AE32" i="12"/>
  <c r="DC22" i="12"/>
  <c r="M76" i="12"/>
  <c r="V21" i="12"/>
  <c r="M37" i="12"/>
  <c r="V28" i="12"/>
  <c r="V50" i="12"/>
  <c r="AT34" i="12"/>
  <c r="AE75" i="12"/>
  <c r="DL21" i="12"/>
  <c r="AE66" i="12"/>
  <c r="CK58" i="12"/>
  <c r="BH27" i="12"/>
  <c r="DC55" i="12"/>
  <c r="BZ38" i="12"/>
  <c r="CT75" i="12"/>
  <c r="DC66" i="12"/>
  <c r="AE33" i="12"/>
  <c r="BZ58" i="12"/>
  <c r="BH63" i="12"/>
  <c r="AN63" i="12"/>
  <c r="AT38" i="12"/>
  <c r="AT42" i="12"/>
  <c r="CT38" i="12"/>
  <c r="DC33" i="12"/>
  <c r="BQ54" i="12"/>
  <c r="DL35" i="12"/>
  <c r="CK31" i="12"/>
  <c r="AN59" i="12"/>
  <c r="BQ58" i="12"/>
  <c r="BQ51" i="12"/>
  <c r="CT35" i="12"/>
  <c r="BH25" i="12"/>
  <c r="AN75" i="12"/>
  <c r="BQ61" i="12"/>
  <c r="DL53" i="12"/>
  <c r="AT57" i="12"/>
  <c r="AN43" i="12"/>
  <c r="AN30" i="12"/>
  <c r="BQ53" i="12"/>
  <c r="CF17" i="12"/>
  <c r="AT21" i="12"/>
  <c r="DC40" i="12"/>
  <c r="AY57" i="12"/>
  <c r="F23" i="13"/>
  <c r="M23" i="13" s="1"/>
  <c r="ET32" i="12"/>
  <c r="BH65" i="12"/>
  <c r="BH28" i="12"/>
  <c r="AT18" i="12"/>
  <c r="F24" i="13"/>
  <c r="M24" i="13" s="1"/>
  <c r="ET33" i="12"/>
  <c r="AY34" i="12"/>
  <c r="CF73" i="12"/>
  <c r="AT41" i="12"/>
  <c r="AY70" i="12"/>
  <c r="AN73" i="12"/>
  <c r="F32" i="13"/>
  <c r="M32" i="13" s="1"/>
  <c r="ET41" i="12"/>
  <c r="DL16" i="12"/>
  <c r="BZ40" i="12"/>
  <c r="AT60" i="12"/>
  <c r="BH45" i="12"/>
  <c r="BQ36" i="12"/>
  <c r="F15" i="13"/>
  <c r="M15" i="13" s="1"/>
  <c r="ET24" i="12"/>
  <c r="F41" i="13"/>
  <c r="ET50" i="12"/>
  <c r="AT52" i="12"/>
  <c r="F67" i="13"/>
  <c r="M67" i="13" s="1"/>
  <c r="ET76" i="12"/>
  <c r="BH68" i="12"/>
  <c r="O17" i="13"/>
  <c r="G17" i="13"/>
  <c r="F14" i="13"/>
  <c r="M14" i="13" s="1"/>
  <c r="ET23" i="12"/>
  <c r="AN38" i="12"/>
  <c r="BZ73" i="12"/>
  <c r="AN62" i="12"/>
  <c r="CT20" i="12"/>
  <c r="F9" i="13"/>
  <c r="ET18" i="12"/>
  <c r="F62" i="13"/>
  <c r="M62" i="13" s="1"/>
  <c r="ET71" i="12"/>
  <c r="AE25" i="12"/>
  <c r="DC77" i="12"/>
  <c r="AN25" i="12"/>
  <c r="BZ33" i="12"/>
  <c r="CF32" i="12"/>
  <c r="CT72" i="12"/>
  <c r="BZ48" i="12"/>
  <c r="AY19" i="12"/>
  <c r="BH36" i="12"/>
  <c r="CT76" i="12"/>
  <c r="CK72" i="12"/>
  <c r="F21" i="13"/>
  <c r="ET30" i="12"/>
  <c r="F50" i="13"/>
  <c r="M50" i="13" s="1"/>
  <c r="ET59" i="12"/>
  <c r="H82" i="12"/>
  <c r="AO82" i="12" s="1"/>
  <c r="DN82" i="12" s="1"/>
  <c r="DQ82" i="12" s="1"/>
  <c r="H79" i="12"/>
  <c r="V44" i="12"/>
  <c r="V43" i="12"/>
  <c r="AE19" i="12"/>
  <c r="AE76" i="12"/>
  <c r="DL25" i="12"/>
  <c r="AT27" i="12"/>
  <c r="CK42" i="12"/>
  <c r="CK19" i="12"/>
  <c r="CT25" i="12"/>
  <c r="BZ62" i="12"/>
  <c r="CK62" i="12"/>
  <c r="BQ21" i="12"/>
  <c r="BQ43" i="12"/>
  <c r="DL29" i="12"/>
  <c r="DC80" i="12"/>
  <c r="BH61" i="12"/>
  <c r="BH78" i="12"/>
  <c r="BZ28" i="12"/>
  <c r="CT53" i="12"/>
  <c r="DL60" i="12"/>
  <c r="BZ60" i="12"/>
  <c r="F35" i="13"/>
  <c r="M35" i="13" s="1"/>
  <c r="ET44" i="12"/>
  <c r="CK16" i="12"/>
  <c r="DL68" i="12"/>
  <c r="BH16" i="12"/>
  <c r="O72" i="13"/>
  <c r="G72" i="13"/>
  <c r="V36" i="12"/>
  <c r="V29" i="12"/>
  <c r="DL34" i="12"/>
  <c r="CF42" i="12"/>
  <c r="CT18" i="12"/>
  <c r="BQ62" i="12"/>
  <c r="AN16" i="12"/>
  <c r="CF76" i="12"/>
  <c r="CF25" i="12"/>
  <c r="BZ24" i="12"/>
  <c r="AT22" i="12"/>
  <c r="BH38" i="12"/>
  <c r="BH73" i="12"/>
  <c r="BH20" i="12"/>
  <c r="BZ72" i="12"/>
  <c r="CK76" i="12"/>
  <c r="AY44" i="12"/>
  <c r="AT20" i="12"/>
  <c r="CK82" i="12"/>
  <c r="M35" i="12"/>
  <c r="M79" i="12"/>
  <c r="V58" i="12"/>
  <c r="H21" i="12"/>
  <c r="AE47" i="12"/>
  <c r="BQ23" i="12"/>
  <c r="CT26" i="12"/>
  <c r="CF30" i="12"/>
  <c r="BZ43" i="12"/>
  <c r="CT71" i="12"/>
  <c r="DL41" i="12"/>
  <c r="BH51" i="12"/>
  <c r="CF24" i="12"/>
  <c r="AY61" i="12"/>
  <c r="BH80" i="12"/>
  <c r="BH82" i="12"/>
  <c r="V49" i="12"/>
  <c r="V34" i="12"/>
  <c r="V19" i="12"/>
  <c r="V37" i="12"/>
  <c r="M20" i="12"/>
  <c r="H64" i="12"/>
  <c r="V52" i="12"/>
  <c r="AE30" i="12"/>
  <c r="AE64" i="12"/>
  <c r="BH34" i="12"/>
  <c r="AE59" i="12"/>
  <c r="AE51" i="12"/>
  <c r="CT66" i="12"/>
  <c r="CK71" i="12"/>
  <c r="DL45" i="12"/>
  <c r="DC71" i="12"/>
  <c r="DC79" i="12"/>
  <c r="CT78" i="12"/>
  <c r="DL79" i="12"/>
  <c r="AT82" i="12"/>
  <c r="H26" i="12"/>
  <c r="H62" i="12"/>
  <c r="M40" i="12"/>
  <c r="M75" i="12"/>
  <c r="H58" i="12"/>
  <c r="M21" i="12"/>
  <c r="H24" i="12"/>
  <c r="M57" i="12"/>
  <c r="H66" i="12"/>
  <c r="M68" i="12"/>
  <c r="M66" i="12"/>
  <c r="AE36" i="12"/>
  <c r="M28" i="12"/>
  <c r="V69" i="12"/>
  <c r="H75" i="12"/>
  <c r="H25" i="12"/>
  <c r="M70" i="12"/>
  <c r="H31" i="12"/>
  <c r="H33" i="12"/>
  <c r="M45" i="12"/>
  <c r="H18" i="12"/>
  <c r="V51" i="12"/>
  <c r="H54" i="12"/>
  <c r="M26" i="12"/>
  <c r="M44" i="12"/>
  <c r="M24" i="12"/>
  <c r="M32" i="12"/>
  <c r="M54" i="12"/>
  <c r="V16" i="12"/>
  <c r="V38" i="12"/>
  <c r="AE43" i="12"/>
  <c r="AE61" i="12"/>
  <c r="CK26" i="12"/>
  <c r="AE73" i="12"/>
  <c r="BZ18" i="12"/>
  <c r="CF71" i="12"/>
  <c r="DC17" i="12"/>
  <c r="AE46" i="12"/>
  <c r="DL42" i="12"/>
  <c r="DC18" i="12"/>
  <c r="BZ70" i="12"/>
  <c r="DL23" i="12"/>
  <c r="AY23" i="12"/>
  <c r="DC49" i="12"/>
  <c r="BZ26" i="12"/>
  <c r="AT54" i="12"/>
  <c r="CK70" i="12"/>
  <c r="BQ69" i="12"/>
  <c r="BZ75" i="12"/>
  <c r="AN55" i="12"/>
  <c r="DL71" i="12"/>
  <c r="DC29" i="12"/>
  <c r="DC36" i="12"/>
  <c r="AY21" i="12"/>
  <c r="CF23" i="12"/>
  <c r="BZ59" i="12"/>
  <c r="BZ61" i="12"/>
  <c r="AT55" i="12"/>
  <c r="BZ47" i="12"/>
  <c r="BQ35" i="12"/>
  <c r="CT19" i="12"/>
  <c r="CK43" i="12"/>
  <c r="CK77" i="12"/>
  <c r="AY46" i="12"/>
  <c r="AY67" i="12"/>
  <c r="BZ37" i="12"/>
  <c r="BQ73" i="12"/>
  <c r="BZ69" i="12"/>
  <c r="F16" i="13"/>
  <c r="M16" i="13" s="1"/>
  <c r="ET25" i="12"/>
  <c r="BH29" i="12"/>
  <c r="AN54" i="12"/>
  <c r="DL48" i="12"/>
  <c r="AY50" i="12"/>
  <c r="AN45" i="12"/>
  <c r="AN78" i="12"/>
  <c r="AT37" i="12"/>
  <c r="BQ72" i="12"/>
  <c r="BZ68" i="12"/>
  <c r="AY53" i="12"/>
  <c r="CF69" i="12"/>
  <c r="BH44" i="12"/>
  <c r="CK29" i="12"/>
  <c r="BH48" i="12"/>
  <c r="AN34" i="12"/>
  <c r="F72" i="13"/>
  <c r="ET81" i="12"/>
  <c r="BH72" i="12"/>
  <c r="AY40" i="12"/>
  <c r="F17" i="13"/>
  <c r="ET26" i="12"/>
  <c r="F7" i="13"/>
  <c r="M7" i="13" s="1"/>
  <c r="ET16" i="12"/>
  <c r="BQ64" i="12"/>
  <c r="AT25" i="12"/>
  <c r="F51" i="13"/>
  <c r="M51" i="13" s="1"/>
  <c r="ET60" i="12"/>
  <c r="F18" i="13"/>
  <c r="M18" i="13" s="1"/>
  <c r="ET27" i="12"/>
  <c r="O73" i="13"/>
  <c r="G73" i="13"/>
  <c r="F74" i="13"/>
  <c r="M74" i="13" s="1"/>
  <c r="ET83" i="12"/>
  <c r="F97" i="3"/>
  <c r="H97" i="3"/>
  <c r="H89" i="3" a="1"/>
  <c r="H89" i="3" s="1"/>
  <c r="J17" i="6"/>
  <c r="L17" i="6"/>
  <c r="K17" i="6"/>
  <c r="K177" i="6" s="1"/>
  <c r="I17" i="6"/>
  <c r="Q47" i="6"/>
  <c r="F14" i="6" s="1"/>
  <c r="Q49" i="6"/>
  <c r="Q44" i="6"/>
  <c r="C14" i="6" s="1"/>
  <c r="I11" i="6"/>
  <c r="J11" i="6"/>
  <c r="L11" i="6"/>
  <c r="K11" i="6"/>
  <c r="P45" i="6"/>
  <c r="P48" i="6"/>
  <c r="P46" i="6"/>
  <c r="G50" i="6"/>
  <c r="G174" i="6"/>
  <c r="H50" i="6"/>
  <c r="H52" i="6" s="1"/>
  <c r="I174" i="6"/>
  <c r="M83" i="12"/>
  <c r="CT83" i="12"/>
  <c r="EG76" i="12"/>
  <c r="K67" i="13" s="1"/>
  <c r="EG67" i="12"/>
  <c r="K58" i="13" s="1"/>
  <c r="EC19" i="12"/>
  <c r="J10" i="13" s="1"/>
  <c r="EC27" i="12"/>
  <c r="J18" i="13" s="1"/>
  <c r="EC35" i="12"/>
  <c r="J26" i="13" s="1"/>
  <c r="EC43" i="12"/>
  <c r="J34" i="13" s="1"/>
  <c r="EG83" i="12"/>
  <c r="K74" i="13" s="1"/>
  <c r="EC15" i="12"/>
  <c r="J6" i="13" s="1"/>
  <c r="EC23" i="12"/>
  <c r="J14" i="13" s="1"/>
  <c r="EG23" i="12"/>
  <c r="K14" i="13" s="1"/>
  <c r="EC31" i="12"/>
  <c r="J22" i="13" s="1"/>
  <c r="EG31" i="12"/>
  <c r="K22" i="13" s="1"/>
  <c r="EC39" i="12"/>
  <c r="J30" i="13" s="1"/>
  <c r="EG39" i="12"/>
  <c r="K30" i="13" s="1"/>
  <c r="EG47" i="12"/>
  <c r="K38" i="13" s="1"/>
  <c r="EG55" i="12"/>
  <c r="K46" i="13" s="1"/>
  <c r="EC63" i="12"/>
  <c r="J54" i="13" s="1"/>
  <c r="EC83" i="12"/>
  <c r="AN81" i="12"/>
  <c r="EC24" i="12"/>
  <c r="J15" i="13" s="1"/>
  <c r="EC56" i="12"/>
  <c r="J47" i="13" s="1"/>
  <c r="EG48" i="12"/>
  <c r="K39" i="13" s="1"/>
  <c r="EG46" i="12"/>
  <c r="K37" i="13" s="1"/>
  <c r="EC54" i="12"/>
  <c r="J45" i="13" s="1"/>
  <c r="DL83" i="12"/>
  <c r="AY83" i="12"/>
  <c r="EG25" i="12"/>
  <c r="K16" i="13" s="1"/>
  <c r="EC44" i="12"/>
  <c r="J35" i="13" s="1"/>
  <c r="EC76" i="12"/>
  <c r="BQ83" i="12"/>
  <c r="EG22" i="12"/>
  <c r="K13" i="13" s="1"/>
  <c r="EG30" i="12"/>
  <c r="K21" i="13" s="1"/>
  <c r="EG38" i="12"/>
  <c r="K29" i="13" s="1"/>
  <c r="EC46" i="12"/>
  <c r="J37" i="13" s="1"/>
  <c r="EG54" i="12"/>
  <c r="K45" i="13" s="1"/>
  <c r="EG62" i="12"/>
  <c r="K53" i="13" s="1"/>
  <c r="EC70" i="12"/>
  <c r="J61" i="13" s="1"/>
  <c r="EG82" i="12"/>
  <c r="K73" i="13" s="1"/>
  <c r="EC80" i="12"/>
  <c r="J71" i="13" s="1"/>
  <c r="EC17" i="12"/>
  <c r="J8" i="13" s="1"/>
  <c r="EG21" i="12"/>
  <c r="K12" i="13" s="1"/>
  <c r="EG29" i="12"/>
  <c r="K20" i="13" s="1"/>
  <c r="EC33" i="12"/>
  <c r="J24" i="13" s="1"/>
  <c r="EG37" i="12"/>
  <c r="K28" i="13" s="1"/>
  <c r="EG45" i="12"/>
  <c r="K36" i="13" s="1"/>
  <c r="EC61" i="12"/>
  <c r="J52" i="13" s="1"/>
  <c r="EC73" i="12"/>
  <c r="J64" i="13" s="1"/>
  <c r="EC77" i="12"/>
  <c r="J68" i="13" s="1"/>
  <c r="EG60" i="12"/>
  <c r="K51" i="13" s="1"/>
  <c r="EC14" i="12"/>
  <c r="J5" i="13" s="1"/>
  <c r="EC62" i="12"/>
  <c r="DM82" i="12"/>
  <c r="DP82" i="12" s="1"/>
  <c r="EG20" i="12"/>
  <c r="K11" i="13" s="1"/>
  <c r="DM81" i="12"/>
  <c r="DP81" i="12" s="1"/>
  <c r="EC25" i="12"/>
  <c r="J16" i="13" s="1"/>
  <c r="EC41" i="12"/>
  <c r="J32" i="13" s="1"/>
  <c r="EC45" i="12"/>
  <c r="J36" i="13" s="1"/>
  <c r="EG61" i="12"/>
  <c r="K52" i="13" s="1"/>
  <c r="EC69" i="12"/>
  <c r="J60" i="13" s="1"/>
  <c r="EG69" i="12"/>
  <c r="K60" i="13" s="1"/>
  <c r="EG77" i="12"/>
  <c r="K68" i="13" s="1"/>
  <c r="EC28" i="12"/>
  <c r="J19" i="13" s="1"/>
  <c r="EC60" i="12"/>
  <c r="J51" i="13" s="1"/>
  <c r="EC18" i="12"/>
  <c r="J9" i="13" s="1"/>
  <c r="EC26" i="12"/>
  <c r="J17" i="13" s="1"/>
  <c r="EC34" i="12"/>
  <c r="J25" i="13" s="1"/>
  <c r="EC58" i="12"/>
  <c r="J49" i="13" s="1"/>
  <c r="EG70" i="12"/>
  <c r="K61" i="13" s="1"/>
  <c r="EC74" i="12"/>
  <c r="J65" i="13" s="1"/>
  <c r="EC78" i="12"/>
  <c r="J69" i="13" s="1"/>
  <c r="DC83" i="12"/>
  <c r="BZ83" i="12"/>
  <c r="AT83" i="12"/>
  <c r="H83" i="12"/>
  <c r="EC20" i="12"/>
  <c r="J11" i="13" s="1"/>
  <c r="EG32" i="12"/>
  <c r="K23" i="13" s="1"/>
  <c r="EG52" i="12"/>
  <c r="K43" i="13" s="1"/>
  <c r="EG64" i="12"/>
  <c r="K55" i="13" s="1"/>
  <c r="EC55" i="12"/>
  <c r="J46" i="13" s="1"/>
  <c r="EG63" i="12"/>
  <c r="K54" i="13" s="1"/>
  <c r="EG71" i="12"/>
  <c r="K62" i="13" s="1"/>
  <c r="EG75" i="12"/>
  <c r="K66" i="13" s="1"/>
  <c r="EG79" i="12"/>
  <c r="K70" i="13" s="1"/>
  <c r="EG16" i="12"/>
  <c r="K7" i="13" s="1"/>
  <c r="EG24" i="12"/>
  <c r="K15" i="13" s="1"/>
  <c r="EG36" i="12"/>
  <c r="K27" i="13" s="1"/>
  <c r="EG68" i="12"/>
  <c r="K59" i="13" s="1"/>
  <c r="AN83" i="12"/>
  <c r="EG17" i="12"/>
  <c r="K8" i="13" s="1"/>
  <c r="EG33" i="12"/>
  <c r="K24" i="13" s="1"/>
  <c r="EG41" i="12"/>
  <c r="K32" i="13" s="1"/>
  <c r="EC49" i="12"/>
  <c r="J40" i="13" s="1"/>
  <c r="EG49" i="12"/>
  <c r="K40" i="13" s="1"/>
  <c r="EC53" i="12"/>
  <c r="J44" i="13" s="1"/>
  <c r="EG57" i="12"/>
  <c r="K48" i="13" s="1"/>
  <c r="EC65" i="12"/>
  <c r="J56" i="13" s="1"/>
  <c r="EC81" i="12"/>
  <c r="J72" i="13" s="1"/>
  <c r="EG28" i="12"/>
  <c r="K19" i="13" s="1"/>
  <c r="EG40" i="12"/>
  <c r="K31" i="13" s="1"/>
  <c r="EC48" i="12"/>
  <c r="J39" i="13" s="1"/>
  <c r="EG72" i="12"/>
  <c r="K63" i="13" s="1"/>
  <c r="EG18" i="12"/>
  <c r="K9" i="13" s="1"/>
  <c r="EG26" i="12"/>
  <c r="K17" i="13" s="1"/>
  <c r="EG34" i="12"/>
  <c r="K25" i="13" s="1"/>
  <c r="EC42" i="12"/>
  <c r="J33" i="13" s="1"/>
  <c r="EG42" i="12"/>
  <c r="K33" i="13" s="1"/>
  <c r="EC50" i="12"/>
  <c r="J41" i="13" s="1"/>
  <c r="EG50" i="12"/>
  <c r="K41" i="13" s="1"/>
  <c r="EG58" i="12"/>
  <c r="K49" i="13" s="1"/>
  <c r="EG66" i="12"/>
  <c r="K57" i="13" s="1"/>
  <c r="EG74" i="12"/>
  <c r="K65" i="13" s="1"/>
  <c r="EG78" i="12"/>
  <c r="K69" i="13" s="1"/>
  <c r="EC64" i="12"/>
  <c r="J55" i="13" s="1"/>
  <c r="EG19" i="12"/>
  <c r="K10" i="13" s="1"/>
  <c r="EG27" i="12"/>
  <c r="K18" i="13" s="1"/>
  <c r="EG35" i="12"/>
  <c r="K26" i="13" s="1"/>
  <c r="EG43" i="12"/>
  <c r="K34" i="13" s="1"/>
  <c r="EC51" i="12"/>
  <c r="J42" i="13" s="1"/>
  <c r="EG51" i="12"/>
  <c r="K42" i="13" s="1"/>
  <c r="EG59" i="12"/>
  <c r="K50" i="13" s="1"/>
  <c r="EG80" i="12"/>
  <c r="K71" i="13" s="1"/>
  <c r="EG53" i="12"/>
  <c r="K44" i="13" s="1"/>
  <c r="EC68" i="12"/>
  <c r="J59" i="13" s="1"/>
  <c r="AE83" i="12"/>
  <c r="CF83" i="12"/>
  <c r="V83" i="12"/>
  <c r="EC21" i="12"/>
  <c r="J12" i="13" s="1"/>
  <c r="EC29" i="12"/>
  <c r="J20" i="13" s="1"/>
  <c r="EC37" i="12"/>
  <c r="J28" i="13" s="1"/>
  <c r="EC57" i="12"/>
  <c r="J48" i="13" s="1"/>
  <c r="EG65" i="12"/>
  <c r="K56" i="13" s="1"/>
  <c r="EG73" i="12"/>
  <c r="K64" i="13" s="1"/>
  <c r="EG81" i="12"/>
  <c r="K72" i="13" s="1"/>
  <c r="EC40" i="12"/>
  <c r="J31" i="13" s="1"/>
  <c r="EC72" i="12"/>
  <c r="J63" i="13" s="1"/>
  <c r="EC22" i="12"/>
  <c r="J13" i="13" s="1"/>
  <c r="EC30" i="12"/>
  <c r="J21" i="13" s="1"/>
  <c r="EC38" i="12"/>
  <c r="J29" i="13" s="1"/>
  <c r="EC66" i="12"/>
  <c r="J57" i="13" s="1"/>
  <c r="EC82" i="12"/>
  <c r="J73" i="13" s="1"/>
  <c r="CK83" i="12"/>
  <c r="BH83" i="12"/>
  <c r="EC32" i="12"/>
  <c r="J23" i="13" s="1"/>
  <c r="EG44" i="12"/>
  <c r="K35" i="13" s="1"/>
  <c r="EC52" i="12"/>
  <c r="J43" i="13" s="1"/>
  <c r="EC47" i="12"/>
  <c r="J38" i="13" s="1"/>
  <c r="EC59" i="12"/>
  <c r="J50" i="13" s="1"/>
  <c r="EC67" i="12"/>
  <c r="J58" i="13" s="1"/>
  <c r="EC71" i="12"/>
  <c r="J62" i="13" s="1"/>
  <c r="EC75" i="12"/>
  <c r="J66" i="13" s="1"/>
  <c r="EC79" i="12"/>
  <c r="J70" i="13" s="1"/>
  <c r="EC16" i="12"/>
  <c r="J7" i="13" s="1"/>
  <c r="EC36" i="12"/>
  <c r="J27" i="13" s="1"/>
  <c r="EG56" i="12"/>
  <c r="K47" i="13" s="1"/>
  <c r="J52" i="6"/>
  <c r="M48" i="6"/>
  <c r="R106" i="6"/>
  <c r="M49" i="6"/>
  <c r="E52" i="6"/>
  <c r="K52" i="6"/>
  <c r="F52" i="6"/>
  <c r="I52" i="6"/>
  <c r="M45" i="6"/>
  <c r="D52" i="6"/>
  <c r="C52" i="6"/>
  <c r="M46" i="6"/>
  <c r="M47" i="6"/>
  <c r="L52" i="6"/>
  <c r="I15" i="6"/>
  <c r="K15" i="6"/>
  <c r="J15" i="6"/>
  <c r="L15" i="6"/>
  <c r="M73" i="13" l="1"/>
  <c r="M72" i="13"/>
  <c r="M65" i="13"/>
  <c r="M21" i="13"/>
  <c r="M13" i="13"/>
  <c r="CA45" i="12"/>
  <c r="DO45" i="12" s="1"/>
  <c r="DM67" i="12"/>
  <c r="DP67" i="12" s="1"/>
  <c r="DS67" i="12" s="1"/>
  <c r="AO38" i="12"/>
  <c r="DN38" i="12" s="1"/>
  <c r="DM72" i="12"/>
  <c r="DP72" i="12" s="1"/>
  <c r="DS72" i="12" s="1"/>
  <c r="AO17" i="12"/>
  <c r="DN17" i="12" s="1"/>
  <c r="DQ17" i="12" s="1"/>
  <c r="AO79" i="12"/>
  <c r="DN79" i="12" s="1"/>
  <c r="M61" i="13"/>
  <c r="DM46" i="12"/>
  <c r="DP46" i="12" s="1"/>
  <c r="CA33" i="12"/>
  <c r="DO33" i="12" s="1"/>
  <c r="DR33" i="12" s="1"/>
  <c r="DM73" i="12"/>
  <c r="DP73" i="12" s="1"/>
  <c r="DM53" i="12"/>
  <c r="DP53" i="12" s="1"/>
  <c r="M25" i="13"/>
  <c r="DM28" i="12"/>
  <c r="DP28" i="12" s="1"/>
  <c r="DM54" i="12"/>
  <c r="DP54" i="12" s="1"/>
  <c r="DS54" i="12" s="1"/>
  <c r="CA67" i="12"/>
  <c r="DO67" i="12" s="1"/>
  <c r="DM33" i="12"/>
  <c r="DP33" i="12" s="1"/>
  <c r="CA79" i="12"/>
  <c r="DO79" i="12" s="1"/>
  <c r="DR79" i="12" s="1"/>
  <c r="AO56" i="12"/>
  <c r="DN56" i="12" s="1"/>
  <c r="DQ56" i="12" s="1"/>
  <c r="AO23" i="12"/>
  <c r="DN23" i="12" s="1"/>
  <c r="DQ23" i="12" s="1"/>
  <c r="CA76" i="12"/>
  <c r="DO76" i="12" s="1"/>
  <c r="CA66" i="12"/>
  <c r="DO66" i="12" s="1"/>
  <c r="DR66" i="12" s="1"/>
  <c r="AO68" i="12"/>
  <c r="DN68" i="12" s="1"/>
  <c r="DQ68" i="12" s="1"/>
  <c r="AO72" i="12"/>
  <c r="DN72" i="12" s="1"/>
  <c r="DM69" i="12"/>
  <c r="DP69" i="12" s="1"/>
  <c r="DS69" i="12" s="1"/>
  <c r="AO66" i="12"/>
  <c r="DN66" i="12" s="1"/>
  <c r="DM64" i="12"/>
  <c r="DP64" i="12" s="1"/>
  <c r="DS64" i="12" s="1"/>
  <c r="CA82" i="12"/>
  <c r="DO82" i="12" s="1"/>
  <c r="DR82" i="12" s="1"/>
  <c r="DM77" i="12"/>
  <c r="DP77" i="12" s="1"/>
  <c r="DS77" i="12" s="1"/>
  <c r="DM50" i="12"/>
  <c r="DP50" i="12" s="1"/>
  <c r="CA43" i="12"/>
  <c r="DO43" i="12" s="1"/>
  <c r="CA50" i="12"/>
  <c r="DO50" i="12" s="1"/>
  <c r="CA44" i="12"/>
  <c r="DO44" i="12" s="1"/>
  <c r="CA26" i="12"/>
  <c r="DO26" i="12" s="1"/>
  <c r="AO27" i="12"/>
  <c r="DN27" i="12" s="1"/>
  <c r="DQ27" i="12" s="1"/>
  <c r="CA64" i="12"/>
  <c r="DO64" i="12" s="1"/>
  <c r="DR64" i="12" s="1"/>
  <c r="AO39" i="12"/>
  <c r="DN39" i="12" s="1"/>
  <c r="AO28" i="12"/>
  <c r="DN28" i="12" s="1"/>
  <c r="AO34" i="12"/>
  <c r="DN34" i="12" s="1"/>
  <c r="AO80" i="12"/>
  <c r="DN80" i="12" s="1"/>
  <c r="DQ80" i="12" s="1"/>
  <c r="AO59" i="12"/>
  <c r="DN59" i="12" s="1"/>
  <c r="DQ59" i="12" s="1"/>
  <c r="M57" i="13"/>
  <c r="M37" i="13"/>
  <c r="DM34" i="12"/>
  <c r="DP34" i="12" s="1"/>
  <c r="AO37" i="12"/>
  <c r="DN37" i="12" s="1"/>
  <c r="CA80" i="12"/>
  <c r="DO80" i="12" s="1"/>
  <c r="DR80" i="12" s="1"/>
  <c r="CA62" i="12"/>
  <c r="DO62" i="12" s="1"/>
  <c r="DR62" i="12" s="1"/>
  <c r="CA46" i="12"/>
  <c r="DO46" i="12" s="1"/>
  <c r="AO25" i="12"/>
  <c r="DN25" i="12" s="1"/>
  <c r="DM66" i="12"/>
  <c r="DP66" i="12" s="1"/>
  <c r="AO41" i="12"/>
  <c r="DN41" i="12" s="1"/>
  <c r="CA68" i="12"/>
  <c r="DO68" i="12" s="1"/>
  <c r="DR68" i="12" s="1"/>
  <c r="DM59" i="12"/>
  <c r="DP59" i="12" s="1"/>
  <c r="DS59" i="12" s="1"/>
  <c r="CA17" i="12"/>
  <c r="DO17" i="12" s="1"/>
  <c r="DR17" i="12" s="1"/>
  <c r="CA74" i="12"/>
  <c r="DO74" i="12" s="1"/>
  <c r="DR74" i="12" s="1"/>
  <c r="AO18" i="12"/>
  <c r="DN18" i="12" s="1"/>
  <c r="DQ18" i="12" s="1"/>
  <c r="CA56" i="12"/>
  <c r="DO56" i="12" s="1"/>
  <c r="AO63" i="12"/>
  <c r="DN63" i="12" s="1"/>
  <c r="DQ63" i="12" s="1"/>
  <c r="CA30" i="12"/>
  <c r="DO30" i="12" s="1"/>
  <c r="DR30" i="12" s="1"/>
  <c r="AO81" i="12"/>
  <c r="DN81" i="12" s="1"/>
  <c r="DQ81" i="12" s="1"/>
  <c r="AO21" i="12"/>
  <c r="DN21" i="12" s="1"/>
  <c r="DQ21" i="12" s="1"/>
  <c r="CA18" i="12"/>
  <c r="DO18" i="12" s="1"/>
  <c r="DM43" i="12"/>
  <c r="DP43" i="12" s="1"/>
  <c r="CA63" i="12"/>
  <c r="DO63" i="12" s="1"/>
  <c r="DR63" i="12" s="1"/>
  <c r="DM52" i="12"/>
  <c r="DP52" i="12" s="1"/>
  <c r="CA35" i="12"/>
  <c r="DO35" i="12" s="1"/>
  <c r="DR35" i="12" s="1"/>
  <c r="DM31" i="12"/>
  <c r="DP31" i="12" s="1"/>
  <c r="DS31" i="12" s="1"/>
  <c r="DM78" i="12"/>
  <c r="DP78" i="12" s="1"/>
  <c r="CA75" i="12"/>
  <c r="DO75" i="12" s="1"/>
  <c r="DR75" i="12" s="1"/>
  <c r="AO51" i="12"/>
  <c r="DN51" i="12" s="1"/>
  <c r="DQ51" i="12" s="1"/>
  <c r="DM79" i="12"/>
  <c r="DP79" i="12" s="1"/>
  <c r="AO73" i="12"/>
  <c r="DN73" i="12" s="1"/>
  <c r="CA39" i="12"/>
  <c r="DO39" i="12" s="1"/>
  <c r="AO69" i="12"/>
  <c r="DN69" i="12" s="1"/>
  <c r="AO62" i="12"/>
  <c r="DN62" i="12" s="1"/>
  <c r="DQ62" i="12" s="1"/>
  <c r="CA22" i="12"/>
  <c r="DO22" i="12" s="1"/>
  <c r="DR22" i="12" s="1"/>
  <c r="CA57" i="12"/>
  <c r="DO57" i="12" s="1"/>
  <c r="CA70" i="12"/>
  <c r="DO70" i="12" s="1"/>
  <c r="DR70" i="12" s="1"/>
  <c r="CA16" i="12"/>
  <c r="DO16" i="12" s="1"/>
  <c r="CA78" i="12"/>
  <c r="DO78" i="12" s="1"/>
  <c r="CA52" i="12"/>
  <c r="DO52" i="12" s="1"/>
  <c r="DR52" i="12" s="1"/>
  <c r="DM68" i="12"/>
  <c r="DP68" i="12" s="1"/>
  <c r="AO49" i="12"/>
  <c r="DN49" i="12" s="1"/>
  <c r="CA65" i="12"/>
  <c r="DO65" i="12" s="1"/>
  <c r="DR65" i="12" s="1"/>
  <c r="CA42" i="12"/>
  <c r="DO42" i="12" s="1"/>
  <c r="DR42" i="12" s="1"/>
  <c r="AO53" i="12"/>
  <c r="DN53" i="12" s="1"/>
  <c r="AO19" i="12"/>
  <c r="DN19" i="12" s="1"/>
  <c r="CA51" i="12"/>
  <c r="DO51" i="12" s="1"/>
  <c r="DR51" i="12" s="1"/>
  <c r="AO35" i="12"/>
  <c r="DN35" i="12" s="1"/>
  <c r="CA32" i="12"/>
  <c r="DO32" i="12" s="1"/>
  <c r="DR32" i="12" s="1"/>
  <c r="DM76" i="12"/>
  <c r="DP76" i="12" s="1"/>
  <c r="DS76" i="12" s="1"/>
  <c r="M45" i="13"/>
  <c r="M29" i="13"/>
  <c r="CA19" i="12"/>
  <c r="DO19" i="12" s="1"/>
  <c r="DM19" i="12"/>
  <c r="DP19" i="12" s="1"/>
  <c r="DM55" i="12"/>
  <c r="DP55" i="12" s="1"/>
  <c r="AO16" i="12"/>
  <c r="DN16" i="12" s="1"/>
  <c r="AO75" i="12"/>
  <c r="DN75" i="12" s="1"/>
  <c r="CA49" i="12"/>
  <c r="DO49" i="12" s="1"/>
  <c r="DM36" i="12"/>
  <c r="DP36" i="12" s="1"/>
  <c r="DM80" i="12"/>
  <c r="DP80" i="12" s="1"/>
  <c r="AO45" i="12"/>
  <c r="DN45" i="12" s="1"/>
  <c r="M49" i="13"/>
  <c r="DM60" i="12"/>
  <c r="DP60" i="12" s="1"/>
  <c r="AO40" i="12"/>
  <c r="DN40" i="12" s="1"/>
  <c r="AO55" i="12"/>
  <c r="DN55" i="12" s="1"/>
  <c r="AO26" i="12"/>
  <c r="DN26" i="12" s="1"/>
  <c r="CA77" i="12"/>
  <c r="DO77" i="12" s="1"/>
  <c r="DM39" i="12"/>
  <c r="DP39" i="12" s="1"/>
  <c r="DM38" i="12"/>
  <c r="DP38" i="12" s="1"/>
  <c r="DM47" i="12"/>
  <c r="DP47" i="12" s="1"/>
  <c r="CA61" i="12"/>
  <c r="DO61" i="12" s="1"/>
  <c r="DM35" i="12"/>
  <c r="DP35" i="12" s="1"/>
  <c r="DM71" i="12"/>
  <c r="DP71" i="12" s="1"/>
  <c r="CA38" i="12"/>
  <c r="DO38" i="12" s="1"/>
  <c r="AO46" i="12"/>
  <c r="DN46" i="12" s="1"/>
  <c r="DM57" i="12"/>
  <c r="DP57" i="12" s="1"/>
  <c r="CA69" i="12"/>
  <c r="DO69" i="12" s="1"/>
  <c r="DM63" i="12"/>
  <c r="DP63" i="12" s="1"/>
  <c r="DM65" i="12"/>
  <c r="DP65" i="12" s="1"/>
  <c r="AO76" i="12"/>
  <c r="DN76" i="12" s="1"/>
  <c r="CA47" i="12"/>
  <c r="DO47" i="12" s="1"/>
  <c r="CA59" i="12"/>
  <c r="DO59" i="12" s="1"/>
  <c r="AO54" i="12"/>
  <c r="DN54" i="12" s="1"/>
  <c r="DM24" i="12"/>
  <c r="DP24" i="12" s="1"/>
  <c r="DM32" i="12"/>
  <c r="DP32" i="12" s="1"/>
  <c r="M9" i="13"/>
  <c r="M41" i="13"/>
  <c r="AO52" i="12"/>
  <c r="DN52" i="12" s="1"/>
  <c r="AO43" i="12"/>
  <c r="DN43" i="12" s="1"/>
  <c r="CA53" i="12"/>
  <c r="DO53" i="12" s="1"/>
  <c r="CA58" i="12"/>
  <c r="DO58" i="12" s="1"/>
  <c r="DM44" i="12"/>
  <c r="DP44" i="12" s="1"/>
  <c r="AO65" i="12"/>
  <c r="DN65" i="12" s="1"/>
  <c r="CA72" i="12"/>
  <c r="DO72" i="12" s="1"/>
  <c r="DM62" i="12"/>
  <c r="DP62" i="12" s="1"/>
  <c r="CA23" i="12"/>
  <c r="DO23" i="12" s="1"/>
  <c r="M69" i="13"/>
  <c r="CA25" i="12"/>
  <c r="DO25" i="12" s="1"/>
  <c r="CA55" i="12"/>
  <c r="DO55" i="12" s="1"/>
  <c r="CA54" i="12"/>
  <c r="DO54" i="12" s="1"/>
  <c r="DM25" i="12"/>
  <c r="DP25" i="12" s="1"/>
  <c r="CA27" i="12"/>
  <c r="DO27" i="12" s="1"/>
  <c r="CA29" i="12"/>
  <c r="DO29" i="12" s="1"/>
  <c r="AO32" i="12"/>
  <c r="DN32" i="12" s="1"/>
  <c r="CA40" i="12"/>
  <c r="DO40" i="12" s="1"/>
  <c r="CA20" i="12"/>
  <c r="DO20" i="12" s="1"/>
  <c r="CA41" i="12"/>
  <c r="DO41" i="12" s="1"/>
  <c r="CA34" i="12"/>
  <c r="DO34" i="12" s="1"/>
  <c r="DM41" i="12"/>
  <c r="DP41" i="12" s="1"/>
  <c r="CA73" i="12"/>
  <c r="DO73" i="12" s="1"/>
  <c r="AO36" i="12"/>
  <c r="DN36" i="12" s="1"/>
  <c r="AO30" i="12"/>
  <c r="DN30" i="12" s="1"/>
  <c r="DM49" i="12"/>
  <c r="DP49" i="12" s="1"/>
  <c r="AO22" i="12"/>
  <c r="DN22" i="12" s="1"/>
  <c r="M60" i="13"/>
  <c r="AO77" i="12"/>
  <c r="DN77" i="12" s="1"/>
  <c r="DM70" i="12"/>
  <c r="DP70" i="12" s="1"/>
  <c r="M33" i="13"/>
  <c r="M17" i="13"/>
  <c r="DM23" i="12"/>
  <c r="DP23" i="12" s="1"/>
  <c r="AO33" i="12"/>
  <c r="DN33" i="12" s="1"/>
  <c r="AO24" i="12"/>
  <c r="DN24" i="12" s="1"/>
  <c r="DM17" i="12"/>
  <c r="DP17" i="12" s="1"/>
  <c r="DM40" i="12"/>
  <c r="DP40" i="12" s="1"/>
  <c r="DM51" i="12"/>
  <c r="DP51" i="12" s="1"/>
  <c r="AO78" i="12"/>
  <c r="DN78" i="12" s="1"/>
  <c r="CA48" i="12"/>
  <c r="DO48" i="12" s="1"/>
  <c r="DM45" i="12"/>
  <c r="DP45" i="12" s="1"/>
  <c r="DM58" i="12"/>
  <c r="DP58" i="12" s="1"/>
  <c r="DM61" i="12"/>
  <c r="DP61" i="12" s="1"/>
  <c r="AO70" i="12"/>
  <c r="DN70" i="12" s="1"/>
  <c r="CA28" i="12"/>
  <c r="DO28" i="12" s="1"/>
  <c r="DM27" i="12"/>
  <c r="DP27" i="12" s="1"/>
  <c r="AO20" i="12"/>
  <c r="DN20" i="12" s="1"/>
  <c r="CA21" i="12"/>
  <c r="DO21" i="12" s="1"/>
  <c r="AO31" i="12"/>
  <c r="DN31" i="12" s="1"/>
  <c r="DM30" i="12"/>
  <c r="DP30" i="12" s="1"/>
  <c r="AO67" i="12"/>
  <c r="DN67" i="12" s="1"/>
  <c r="DM20" i="12"/>
  <c r="DP20" i="12" s="1"/>
  <c r="AO48" i="12"/>
  <c r="DN48" i="12" s="1"/>
  <c r="M53" i="13"/>
  <c r="AO42" i="12"/>
  <c r="DN42" i="12" s="1"/>
  <c r="DM18" i="12"/>
  <c r="DP18" i="12" s="1"/>
  <c r="DM22" i="12"/>
  <c r="DP22" i="12" s="1"/>
  <c r="DM74" i="12"/>
  <c r="DP74" i="12" s="1"/>
  <c r="DM37" i="12"/>
  <c r="DP37" i="12" s="1"/>
  <c r="CA24" i="12"/>
  <c r="DO24" i="12" s="1"/>
  <c r="DM29" i="12"/>
  <c r="DP29" i="12" s="1"/>
  <c r="DM56" i="12"/>
  <c r="DP56" i="12" s="1"/>
  <c r="DM16" i="12"/>
  <c r="DP16" i="12" s="1"/>
  <c r="CA36" i="12"/>
  <c r="DO36" i="12" s="1"/>
  <c r="CA37" i="12"/>
  <c r="DO37" i="12" s="1"/>
  <c r="AO58" i="12"/>
  <c r="DN58" i="12" s="1"/>
  <c r="DM42" i="12"/>
  <c r="DP42" i="12" s="1"/>
  <c r="CA60" i="12"/>
  <c r="DO60" i="12" s="1"/>
  <c r="DM26" i="12"/>
  <c r="DP26" i="12" s="1"/>
  <c r="DM75" i="12"/>
  <c r="DP75" i="12" s="1"/>
  <c r="DM48" i="12"/>
  <c r="DP48" i="12" s="1"/>
  <c r="CA71" i="12"/>
  <c r="DO71" i="12" s="1"/>
  <c r="AO29" i="12"/>
  <c r="DN29" i="12" s="1"/>
  <c r="AO50" i="12"/>
  <c r="DN50" i="12" s="1"/>
  <c r="DM21" i="12"/>
  <c r="DP21" i="12" s="1"/>
  <c r="CA31" i="12"/>
  <c r="DO31" i="12" s="1"/>
  <c r="M50" i="6"/>
  <c r="G52" i="6"/>
  <c r="Q48" i="6"/>
  <c r="Q46" i="6"/>
  <c r="E14" i="6" s="1"/>
  <c r="Q45" i="6"/>
  <c r="D14" i="6" s="1"/>
  <c r="EH31" i="12"/>
  <c r="DH34" i="2" s="1"/>
  <c r="EH46" i="12"/>
  <c r="DH49" i="2" s="1"/>
  <c r="EH76" i="12"/>
  <c r="DH79" i="2" s="1"/>
  <c r="J67" i="13"/>
  <c r="EH83" i="12"/>
  <c r="J74" i="13"/>
  <c r="EH54" i="12"/>
  <c r="DH57" i="2" s="1"/>
  <c r="EH62" i="12"/>
  <c r="DH65" i="2" s="1"/>
  <c r="J53" i="13"/>
  <c r="EH63" i="12"/>
  <c r="DH66" i="2" s="1"/>
  <c r="EH23" i="12"/>
  <c r="EI23" i="12" s="1"/>
  <c r="EH39" i="12"/>
  <c r="EH61" i="12"/>
  <c r="DH64" i="2" s="1"/>
  <c r="EH24" i="12"/>
  <c r="EI24" i="12" s="1"/>
  <c r="EH80" i="12"/>
  <c r="CA83" i="12"/>
  <c r="DO83" i="12" s="1"/>
  <c r="DR83" i="12" s="1"/>
  <c r="EH27" i="12"/>
  <c r="DS82" i="12"/>
  <c r="EH79" i="12"/>
  <c r="DH82" i="2" s="1"/>
  <c r="EH55" i="12"/>
  <c r="DH58" i="2" s="1"/>
  <c r="EH74" i="12"/>
  <c r="DH77" i="2" s="1"/>
  <c r="EH58" i="12"/>
  <c r="DH61" i="2" s="1"/>
  <c r="EH45" i="12"/>
  <c r="DH48" i="2" s="1"/>
  <c r="EH47" i="12"/>
  <c r="DH50" i="2" s="1"/>
  <c r="EH38" i="12"/>
  <c r="DH41" i="2" s="1"/>
  <c r="EH72" i="12"/>
  <c r="DH75" i="2" s="1"/>
  <c r="EH21" i="12"/>
  <c r="EH68" i="12"/>
  <c r="DH71" i="2" s="1"/>
  <c r="EH17" i="12"/>
  <c r="EH59" i="12"/>
  <c r="DH62" i="2" s="1"/>
  <c r="EH48" i="12"/>
  <c r="DH51" i="2" s="1"/>
  <c r="EH65" i="12"/>
  <c r="DH68" i="2" s="1"/>
  <c r="EH49" i="12"/>
  <c r="DH52" i="2" s="1"/>
  <c r="EH75" i="12"/>
  <c r="DH78" i="2" s="1"/>
  <c r="EH34" i="12"/>
  <c r="DH37" i="2" s="1"/>
  <c r="EH41" i="12"/>
  <c r="DH44" i="2" s="1"/>
  <c r="DS81" i="12"/>
  <c r="EH43" i="12"/>
  <c r="DH46" i="2" s="1"/>
  <c r="EH64" i="12"/>
  <c r="DH67" i="2" s="1"/>
  <c r="EH52" i="12"/>
  <c r="DH55" i="2" s="1"/>
  <c r="AO83" i="12"/>
  <c r="DN83" i="12" s="1"/>
  <c r="EH73" i="12"/>
  <c r="DH76" i="2" s="1"/>
  <c r="EH50" i="12"/>
  <c r="DH53" i="2" s="1"/>
  <c r="EH35" i="12"/>
  <c r="DH38" i="2" s="1"/>
  <c r="EH19" i="12"/>
  <c r="EH20" i="12"/>
  <c r="EH26" i="12"/>
  <c r="DH29" i="2" s="1"/>
  <c r="EH60" i="12"/>
  <c r="DH63" i="2" s="1"/>
  <c r="EH69" i="12"/>
  <c r="DH72" i="2" s="1"/>
  <c r="EH25" i="12"/>
  <c r="DH28" i="2" s="1"/>
  <c r="EH32" i="12"/>
  <c r="DH35" i="2" s="1"/>
  <c r="EH66" i="12"/>
  <c r="DH69" i="2" s="1"/>
  <c r="EH29" i="12"/>
  <c r="DH32" i="2" s="1"/>
  <c r="EH42" i="12"/>
  <c r="DH45" i="2" s="1"/>
  <c r="EH81" i="12"/>
  <c r="EH36" i="12"/>
  <c r="DH39" i="2" s="1"/>
  <c r="EH71" i="12"/>
  <c r="DH74" i="2" s="1"/>
  <c r="EH30" i="12"/>
  <c r="DH33" i="2" s="1"/>
  <c r="EH40" i="12"/>
  <c r="DH43" i="2" s="1"/>
  <c r="EH57" i="12"/>
  <c r="DH60" i="2" s="1"/>
  <c r="EH16" i="12"/>
  <c r="EH67" i="12"/>
  <c r="DH70" i="2" s="1"/>
  <c r="EH82" i="12"/>
  <c r="EH22" i="12"/>
  <c r="EH37" i="12"/>
  <c r="DH40" i="2" s="1"/>
  <c r="DM83" i="12"/>
  <c r="DP83" i="12" s="1"/>
  <c r="EH56" i="12"/>
  <c r="DH59" i="2" s="1"/>
  <c r="EH44" i="12"/>
  <c r="DH47" i="2" s="1"/>
  <c r="EH51" i="12"/>
  <c r="DH54" i="2" s="1"/>
  <c r="EH53" i="12"/>
  <c r="DH56" i="2" s="1"/>
  <c r="EH77" i="12"/>
  <c r="DH80" i="2" s="1"/>
  <c r="EH33" i="12"/>
  <c r="DH36" i="2" s="1"/>
  <c r="EH78" i="12"/>
  <c r="DH81" i="2" s="1"/>
  <c r="EH18" i="12"/>
  <c r="EH28" i="12"/>
  <c r="DH31" i="2" s="1"/>
  <c r="EH70" i="12"/>
  <c r="DH73" i="2" s="1"/>
  <c r="J177" i="6"/>
  <c r="J16" i="6"/>
  <c r="T13" i="6"/>
  <c r="I177" i="6"/>
  <c r="I16" i="6"/>
  <c r="L177" i="6"/>
  <c r="L16" i="6"/>
  <c r="K16" i="6"/>
  <c r="U15" i="6"/>
  <c r="DR67" i="12" l="1"/>
  <c r="DR45" i="12"/>
  <c r="M52" i="6"/>
  <c r="G53" i="6" s="1"/>
  <c r="DR43" i="12"/>
  <c r="DS52" i="12"/>
  <c r="DS33" i="12"/>
  <c r="DS55" i="12"/>
  <c r="DS73" i="12"/>
  <c r="DS46" i="12"/>
  <c r="DS68" i="12"/>
  <c r="DT68" i="12" s="1"/>
  <c r="DR19" i="12"/>
  <c r="DQ79" i="12"/>
  <c r="DQ38" i="12"/>
  <c r="DQ53" i="12"/>
  <c r="DR46" i="12"/>
  <c r="DS19" i="12"/>
  <c r="DQ66" i="12"/>
  <c r="DQ28" i="12"/>
  <c r="DS53" i="12"/>
  <c r="DS28" i="12"/>
  <c r="DQ19" i="12"/>
  <c r="DR39" i="12"/>
  <c r="DQ72" i="12"/>
  <c r="DR18" i="12"/>
  <c r="DS79" i="12"/>
  <c r="DQ69" i="12"/>
  <c r="DQ49" i="12"/>
  <c r="DR44" i="12"/>
  <c r="DS66" i="12"/>
  <c r="DR26" i="12"/>
  <c r="M70" i="6"/>
  <c r="DQ37" i="12"/>
  <c r="DQ34" i="12"/>
  <c r="DR56" i="12"/>
  <c r="DR50" i="12"/>
  <c r="DS50" i="12"/>
  <c r="DQ25" i="12"/>
  <c r="DQ16" i="12"/>
  <c r="DR76" i="12"/>
  <c r="DQ39" i="12"/>
  <c r="DQ73" i="12"/>
  <c r="DQ41" i="12"/>
  <c r="DR78" i="12"/>
  <c r="DS34" i="12"/>
  <c r="DR16" i="12"/>
  <c r="DQ35" i="12"/>
  <c r="DS43" i="12"/>
  <c r="DS78" i="12"/>
  <c r="DR57" i="12"/>
  <c r="DR59" i="12"/>
  <c r="DT59" i="12" s="1"/>
  <c r="DQ45" i="12"/>
  <c r="DS70" i="12"/>
  <c r="DR37" i="12"/>
  <c r="DS22" i="12"/>
  <c r="DS45" i="12"/>
  <c r="DQ77" i="12"/>
  <c r="DR34" i="12"/>
  <c r="DR27" i="12"/>
  <c r="DS63" i="12"/>
  <c r="DT63" i="12" s="1"/>
  <c r="DS35" i="12"/>
  <c r="DQ31" i="12"/>
  <c r="DR53" i="12"/>
  <c r="DS61" i="12"/>
  <c r="DQ52" i="12"/>
  <c r="DR49" i="12"/>
  <c r="DR41" i="12"/>
  <c r="DS25" i="12"/>
  <c r="DS32" i="12"/>
  <c r="DR69" i="12"/>
  <c r="DR61" i="12"/>
  <c r="DQ55" i="12"/>
  <c r="DR31" i="12"/>
  <c r="DR36" i="12"/>
  <c r="DR48" i="12"/>
  <c r="DS21" i="12"/>
  <c r="DS16" i="12"/>
  <c r="DQ42" i="12"/>
  <c r="DQ78" i="12"/>
  <c r="DQ22" i="12"/>
  <c r="DR54" i="12"/>
  <c r="DR23" i="12"/>
  <c r="DS24" i="12"/>
  <c r="DS57" i="12"/>
  <c r="DS47" i="12"/>
  <c r="DQ26" i="12"/>
  <c r="DQ40" i="12"/>
  <c r="DR28" i="12"/>
  <c r="DQ70" i="12"/>
  <c r="DR21" i="12"/>
  <c r="DQ50" i="12"/>
  <c r="DS56" i="12"/>
  <c r="DS51" i="12"/>
  <c r="DT51" i="12" s="1"/>
  <c r="DS49" i="12"/>
  <c r="DR55" i="12"/>
  <c r="DS62" i="12"/>
  <c r="DT62" i="12" s="1"/>
  <c r="DQ54" i="12"/>
  <c r="DQ46" i="12"/>
  <c r="DS38" i="12"/>
  <c r="DS60" i="12"/>
  <c r="DR60" i="12"/>
  <c r="DS18" i="12"/>
  <c r="DR40" i="12"/>
  <c r="DR47" i="12"/>
  <c r="DR73" i="12"/>
  <c r="DQ76" i="12"/>
  <c r="DS80" i="12"/>
  <c r="DT80" i="12" s="1"/>
  <c r="DQ58" i="12"/>
  <c r="DS58" i="12"/>
  <c r="DR29" i="12"/>
  <c r="DS65" i="12"/>
  <c r="DR72" i="12"/>
  <c r="DR71" i="12"/>
  <c r="DR24" i="12"/>
  <c r="DS20" i="12"/>
  <c r="DS17" i="12"/>
  <c r="DT17" i="12" s="1"/>
  <c r="DQ36" i="12"/>
  <c r="DQ65" i="12"/>
  <c r="DS71" i="12"/>
  <c r="DQ75" i="12"/>
  <c r="DS36" i="12"/>
  <c r="DQ29" i="12"/>
  <c r="DS29" i="12"/>
  <c r="DQ48" i="12"/>
  <c r="DS40" i="12"/>
  <c r="DQ30" i="12"/>
  <c r="DS39" i="12"/>
  <c r="DS37" i="12"/>
  <c r="DQ20" i="12"/>
  <c r="DQ24" i="12"/>
  <c r="DR20" i="12"/>
  <c r="DR25" i="12"/>
  <c r="DS44" i="12"/>
  <c r="DS26" i="12"/>
  <c r="DS23" i="12"/>
  <c r="DQ43" i="12"/>
  <c r="DS42" i="12"/>
  <c r="DQ32" i="12"/>
  <c r="DS41" i="12"/>
  <c r="DR38" i="12"/>
  <c r="DS48" i="12"/>
  <c r="DQ67" i="12"/>
  <c r="DS75" i="12"/>
  <c r="DS74" i="12"/>
  <c r="DS30" i="12"/>
  <c r="DS27" i="12"/>
  <c r="DQ33" i="12"/>
  <c r="DR58" i="12"/>
  <c r="DR77" i="12"/>
  <c r="EI63" i="12"/>
  <c r="EI31" i="12"/>
  <c r="EI54" i="12"/>
  <c r="EI76" i="12"/>
  <c r="EI62" i="12"/>
  <c r="EI46" i="12"/>
  <c r="EI83" i="12"/>
  <c r="EI61" i="12"/>
  <c r="EI27" i="12"/>
  <c r="DH30" i="2"/>
  <c r="EI80" i="12"/>
  <c r="DH83" i="2"/>
  <c r="EI39" i="12"/>
  <c r="DH42" i="2"/>
  <c r="DT81" i="12"/>
  <c r="H72" i="13" s="1"/>
  <c r="DT82" i="12"/>
  <c r="H73" i="13" s="1"/>
  <c r="EI22" i="12"/>
  <c r="EI30" i="12"/>
  <c r="EI66" i="12"/>
  <c r="EI60" i="12"/>
  <c r="EI50" i="12"/>
  <c r="EI41" i="12"/>
  <c r="EI65" i="12"/>
  <c r="EI18" i="12"/>
  <c r="EI78" i="12"/>
  <c r="EI53" i="12"/>
  <c r="EI19" i="12"/>
  <c r="EI73" i="12"/>
  <c r="EI17" i="12"/>
  <c r="EI21" i="12"/>
  <c r="EI38" i="12"/>
  <c r="EI58" i="12"/>
  <c r="EI55" i="12"/>
  <c r="DS83" i="12"/>
  <c r="EI36" i="12"/>
  <c r="EI52" i="12"/>
  <c r="EI33" i="12"/>
  <c r="EI37" i="12"/>
  <c r="EI82" i="12"/>
  <c r="EI16" i="12"/>
  <c r="EI40" i="12"/>
  <c r="EI71" i="12"/>
  <c r="EI81" i="12"/>
  <c r="EI29" i="12"/>
  <c r="EI32" i="12"/>
  <c r="EI69" i="12"/>
  <c r="EI26" i="12"/>
  <c r="EI35" i="12"/>
  <c r="DQ83" i="12"/>
  <c r="EI43" i="12"/>
  <c r="EI34" i="12"/>
  <c r="EI49" i="12"/>
  <c r="EI48" i="12"/>
  <c r="EI45" i="12"/>
  <c r="EI44" i="12"/>
  <c r="EI67" i="12"/>
  <c r="EI57" i="12"/>
  <c r="EI42" i="12"/>
  <c r="EI25" i="12"/>
  <c r="EI20" i="12"/>
  <c r="EI64" i="12"/>
  <c r="EI75" i="12"/>
  <c r="EI59" i="12"/>
  <c r="EI70" i="12"/>
  <c r="EI28" i="12"/>
  <c r="EI77" i="12"/>
  <c r="EI51" i="12"/>
  <c r="EI56" i="12"/>
  <c r="EI68" i="12"/>
  <c r="EI72" i="12"/>
  <c r="EI47" i="12"/>
  <c r="EI74" i="12"/>
  <c r="EI79" i="12"/>
  <c r="K61" i="6"/>
  <c r="L53" i="6"/>
  <c r="N61" i="6"/>
  <c r="L61" i="6" l="1"/>
  <c r="H61" i="6"/>
  <c r="P61" i="6"/>
  <c r="F61" i="6"/>
  <c r="D61" i="6"/>
  <c r="Q61" i="6"/>
  <c r="H59" i="13"/>
  <c r="X59" i="13"/>
  <c r="H42" i="13"/>
  <c r="X42" i="13"/>
  <c r="H8" i="13"/>
  <c r="X8" i="13"/>
  <c r="H53" i="13"/>
  <c r="X53" i="13"/>
  <c r="H71" i="13"/>
  <c r="X71" i="13"/>
  <c r="H50" i="13"/>
  <c r="X50" i="13"/>
  <c r="H54" i="13"/>
  <c r="X54" i="13"/>
  <c r="DT67" i="12"/>
  <c r="DT52" i="12"/>
  <c r="DT18" i="12"/>
  <c r="J53" i="6"/>
  <c r="E61" i="6"/>
  <c r="J61" i="6"/>
  <c r="D53" i="6"/>
  <c r="P58" i="6" s="1"/>
  <c r="M53" i="6"/>
  <c r="G61" i="6"/>
  <c r="E53" i="6"/>
  <c r="H53" i="6"/>
  <c r="H62" i="6" s="1"/>
  <c r="I53" i="6"/>
  <c r="K53" i="6"/>
  <c r="F53" i="6"/>
  <c r="C53" i="6"/>
  <c r="O61" i="6"/>
  <c r="DT79" i="12"/>
  <c r="DT19" i="12"/>
  <c r="DT72" i="12"/>
  <c r="DT33" i="12"/>
  <c r="DT46" i="12"/>
  <c r="DT66" i="12"/>
  <c r="DT69" i="12"/>
  <c r="DT45" i="12"/>
  <c r="DT25" i="12"/>
  <c r="DT65" i="12"/>
  <c r="DT73" i="12"/>
  <c r="DT23" i="12"/>
  <c r="DT28" i="12"/>
  <c r="DT16" i="12"/>
  <c r="DT37" i="12"/>
  <c r="DT39" i="12"/>
  <c r="DT53" i="12"/>
  <c r="DT31" i="12"/>
  <c r="DT41" i="12"/>
  <c r="DT21" i="12"/>
  <c r="DT27" i="12"/>
  <c r="DT76" i="12"/>
  <c r="DT56" i="12"/>
  <c r="DT34" i="12"/>
  <c r="DT50" i="12"/>
  <c r="DT54" i="12"/>
  <c r="DT43" i="12"/>
  <c r="DT78" i="12"/>
  <c r="DT38" i="12"/>
  <c r="DT48" i="12"/>
  <c r="DT20" i="12"/>
  <c r="DT36" i="12"/>
  <c r="DT35" i="12"/>
  <c r="DT32" i="12"/>
  <c r="DT55" i="12"/>
  <c r="DT49" i="12"/>
  <c r="DT40" i="12"/>
  <c r="DT26" i="12"/>
  <c r="DT22" i="12"/>
  <c r="DT29" i="12"/>
  <c r="DT30" i="12"/>
  <c r="DT70" i="12"/>
  <c r="DT77" i="12"/>
  <c r="DT75" i="12"/>
  <c r="DT42" i="12"/>
  <c r="DT58" i="12"/>
  <c r="DT24" i="12"/>
  <c r="DT83" i="12"/>
  <c r="H74" i="13" s="1"/>
  <c r="D60" i="6" l="1"/>
  <c r="G60" i="6"/>
  <c r="N60" i="6"/>
  <c r="I60" i="6"/>
  <c r="I67" i="6" s="1"/>
  <c r="I70" i="6" s="1"/>
  <c r="Q60" i="6"/>
  <c r="P60" i="6"/>
  <c r="K60" i="6"/>
  <c r="J59" i="6"/>
  <c r="P59" i="6"/>
  <c r="G59" i="6"/>
  <c r="K59" i="6"/>
  <c r="K67" i="6" s="1"/>
  <c r="K70" i="6" s="1"/>
  <c r="F59" i="6"/>
  <c r="F67" i="6" s="1"/>
  <c r="F70" i="6" s="1"/>
  <c r="N57" i="6"/>
  <c r="E57" i="6"/>
  <c r="P57" i="6"/>
  <c r="D59" i="6"/>
  <c r="D67" i="6" s="1"/>
  <c r="D70" i="6" s="1"/>
  <c r="Q59" i="6"/>
  <c r="Q67" i="6" s="1"/>
  <c r="H58" i="6"/>
  <c r="E58" i="6"/>
  <c r="E67" i="6" s="1"/>
  <c r="E70" i="6" s="1"/>
  <c r="G58" i="6"/>
  <c r="H61" i="13"/>
  <c r="X61" i="13"/>
  <c r="H22" i="13"/>
  <c r="X22" i="13"/>
  <c r="H21" i="13"/>
  <c r="X21" i="13"/>
  <c r="H44" i="13"/>
  <c r="X44" i="13"/>
  <c r="H34" i="13"/>
  <c r="X34" i="13"/>
  <c r="H69" i="13"/>
  <c r="X69" i="13"/>
  <c r="H39" i="13"/>
  <c r="X39" i="13"/>
  <c r="H57" i="13"/>
  <c r="X57" i="13"/>
  <c r="H29" i="13"/>
  <c r="X29" i="13"/>
  <c r="H13" i="13"/>
  <c r="X13" i="13"/>
  <c r="H28" i="13"/>
  <c r="X28" i="13"/>
  <c r="H17" i="13"/>
  <c r="X17" i="13"/>
  <c r="H45" i="13"/>
  <c r="X45" i="13"/>
  <c r="H10" i="13"/>
  <c r="X10" i="13"/>
  <c r="H31" i="13"/>
  <c r="X31" i="13"/>
  <c r="H70" i="13"/>
  <c r="X70" i="13"/>
  <c r="H15" i="13"/>
  <c r="X15" i="13"/>
  <c r="H47" i="13"/>
  <c r="X47" i="13"/>
  <c r="H64" i="13"/>
  <c r="X64" i="13"/>
  <c r="H9" i="13"/>
  <c r="X9" i="13"/>
  <c r="H30" i="13"/>
  <c r="X30" i="13"/>
  <c r="H63" i="13"/>
  <c r="X63" i="13"/>
  <c r="H41" i="13"/>
  <c r="X41" i="13"/>
  <c r="H19" i="13"/>
  <c r="X19" i="13"/>
  <c r="H14" i="13"/>
  <c r="X14" i="13"/>
  <c r="H18" i="13"/>
  <c r="X18" i="13"/>
  <c r="H58" i="13"/>
  <c r="X58" i="13"/>
  <c r="H37" i="13"/>
  <c r="X37" i="13"/>
  <c r="H33" i="13"/>
  <c r="X33" i="13"/>
  <c r="H12" i="13"/>
  <c r="X12" i="13"/>
  <c r="H20" i="13"/>
  <c r="X20" i="13"/>
  <c r="H24" i="13"/>
  <c r="X24" i="13"/>
  <c r="H7" i="13"/>
  <c r="X7" i="13"/>
  <c r="H40" i="13"/>
  <c r="X40" i="13"/>
  <c r="H25" i="13"/>
  <c r="X25" i="13"/>
  <c r="H46" i="13"/>
  <c r="X46" i="13"/>
  <c r="H49" i="13"/>
  <c r="X49" i="13"/>
  <c r="H23" i="13"/>
  <c r="X23" i="13"/>
  <c r="H67" i="13"/>
  <c r="X67" i="13"/>
  <c r="H56" i="13"/>
  <c r="X56" i="13"/>
  <c r="H43" i="13"/>
  <c r="X43" i="13"/>
  <c r="H26" i="13"/>
  <c r="X26" i="13"/>
  <c r="H16" i="13"/>
  <c r="X16" i="13"/>
  <c r="H66" i="13"/>
  <c r="X66" i="13"/>
  <c r="H27" i="13"/>
  <c r="X27" i="13"/>
  <c r="H36" i="13"/>
  <c r="X36" i="13"/>
  <c r="H68" i="13"/>
  <c r="X68" i="13"/>
  <c r="H11" i="13"/>
  <c r="X11" i="13"/>
  <c r="H32" i="13"/>
  <c r="X32" i="13"/>
  <c r="H60" i="13"/>
  <c r="X60" i="13"/>
  <c r="N58" i="6"/>
  <c r="O58" i="6"/>
  <c r="C58" i="6"/>
  <c r="J62" i="6"/>
  <c r="L62" i="6"/>
  <c r="O60" i="6"/>
  <c r="O62" i="6"/>
  <c r="C57" i="6"/>
  <c r="J60" i="6"/>
  <c r="C59" i="6"/>
  <c r="H59" i="6"/>
  <c r="L57" i="6"/>
  <c r="O57" i="6"/>
  <c r="G67" i="6" l="1"/>
  <c r="G70" i="6" s="1"/>
  <c r="P67" i="6"/>
  <c r="N67" i="6"/>
  <c r="N70" i="6" s="1"/>
  <c r="H67" i="6"/>
  <c r="H70" i="6" s="1"/>
  <c r="L67" i="6"/>
  <c r="L70" i="6" s="1"/>
  <c r="J67" i="6"/>
  <c r="J70" i="6" s="1"/>
  <c r="C67" i="6"/>
  <c r="C70" i="6" s="1"/>
  <c r="O67" i="6"/>
  <c r="R70" i="6" l="1"/>
  <c r="C71" i="6" s="1"/>
  <c r="DU80" i="12"/>
  <c r="DX80" i="12" s="1"/>
  <c r="DG83" i="2" s="1"/>
  <c r="DU82" i="12"/>
  <c r="DX82" i="12" s="1"/>
  <c r="DU16" i="12"/>
  <c r="DX16" i="12" s="1"/>
  <c r="DG19" i="2" s="1"/>
  <c r="M71" i="6" l="1"/>
  <c r="D71" i="6"/>
  <c r="N71" i="6"/>
  <c r="H71" i="6"/>
  <c r="G71" i="6"/>
  <c r="E71" i="6"/>
  <c r="L71" i="6"/>
  <c r="K71" i="6"/>
  <c r="F71" i="6"/>
  <c r="J71" i="6"/>
  <c r="R71" i="6"/>
  <c r="I71" i="6"/>
  <c r="O71" i="6"/>
  <c r="DY80" i="12"/>
  <c r="DY16" i="12"/>
  <c r="DW16" i="12"/>
  <c r="DW80" i="12"/>
  <c r="DY82" i="12"/>
  <c r="DW82" i="12"/>
  <c r="I73" i="13" s="1"/>
  <c r="DU15" i="12"/>
  <c r="DX15" i="12" s="1"/>
  <c r="DG18" i="2" s="1"/>
  <c r="DU17" i="12"/>
  <c r="DX17" i="12" s="1"/>
  <c r="DG20" i="2" s="1"/>
  <c r="I71" i="13" l="1"/>
  <c r="Y71" i="13"/>
  <c r="Z71" i="13" s="1"/>
  <c r="I7" i="13"/>
  <c r="Y7" i="13"/>
  <c r="Z7" i="13" s="1"/>
  <c r="EJ16" i="12"/>
  <c r="EJ82" i="12"/>
  <c r="EJ80" i="12"/>
  <c r="DW17" i="12"/>
  <c r="DW15" i="12"/>
  <c r="DY17" i="12"/>
  <c r="DY15" i="12"/>
  <c r="DU20" i="12"/>
  <c r="DU21" i="12"/>
  <c r="DU47" i="12"/>
  <c r="DW47" i="12" s="1"/>
  <c r="I8" i="13" l="1"/>
  <c r="Y8" i="13"/>
  <c r="Z8" i="13" s="1"/>
  <c r="I6" i="13"/>
  <c r="Y6" i="13"/>
  <c r="Z6" i="13" s="1"/>
  <c r="I38" i="13"/>
  <c r="Y38" i="13"/>
  <c r="L73" i="13"/>
  <c r="EJ17" i="12"/>
  <c r="DW21" i="12"/>
  <c r="DX21" i="12"/>
  <c r="DG24" i="2" s="1"/>
  <c r="DW20" i="12"/>
  <c r="DX20" i="12"/>
  <c r="DG23" i="2" s="1"/>
  <c r="DI83" i="2"/>
  <c r="L71" i="13"/>
  <c r="DI19" i="2"/>
  <c r="L7" i="13"/>
  <c r="I11" i="13" l="1"/>
  <c r="Y11" i="13"/>
  <c r="Z11" i="13" s="1"/>
  <c r="I12" i="13"/>
  <c r="Y12" i="13"/>
  <c r="Z12" i="13" s="1"/>
  <c r="DI20" i="2"/>
  <c r="L8" i="13"/>
  <c r="DY21" i="12"/>
  <c r="DY20" i="12"/>
  <c r="DU14" i="12"/>
  <c r="DX14" i="12" s="1"/>
  <c r="DG17" i="2" s="1"/>
  <c r="EJ20" i="12" l="1"/>
  <c r="EJ21" i="12"/>
  <c r="DU81" i="12"/>
  <c r="DX81" i="12" s="1"/>
  <c r="DW14" i="12"/>
  <c r="DU18" i="12"/>
  <c r="DU22" i="12"/>
  <c r="DU19" i="12"/>
  <c r="DU64" i="12"/>
  <c r="DW64" i="12" s="1"/>
  <c r="DU60" i="12"/>
  <c r="DW60" i="12" s="1"/>
  <c r="DU63" i="12"/>
  <c r="DU74" i="12"/>
  <c r="DW74" i="12" s="1"/>
  <c r="DU70" i="12"/>
  <c r="DX70" i="12" s="1"/>
  <c r="DG73" i="2" s="1"/>
  <c r="DU62" i="12"/>
  <c r="DX62" i="12" s="1"/>
  <c r="DG65" i="2" s="1"/>
  <c r="DU54" i="12"/>
  <c r="DU41" i="12"/>
  <c r="DU37" i="12"/>
  <c r="DU29" i="12"/>
  <c r="DX29" i="12" s="1"/>
  <c r="DG32" i="2" s="1"/>
  <c r="DU36" i="12"/>
  <c r="DU39" i="12"/>
  <c r="DX39" i="12" s="1"/>
  <c r="DG42" i="2" s="1"/>
  <c r="DU27" i="12"/>
  <c r="DU56" i="12"/>
  <c r="DU52" i="12"/>
  <c r="DU23" i="12"/>
  <c r="DX23" i="12" s="1"/>
  <c r="DG26" i="2" s="1"/>
  <c r="DU55" i="12"/>
  <c r="DX55" i="12" s="1"/>
  <c r="DG58" i="2" s="1"/>
  <c r="DU31" i="12"/>
  <c r="DX31" i="12" s="1"/>
  <c r="DG34" i="2" s="1"/>
  <c r="DU77" i="12"/>
  <c r="DX77" i="12" s="1"/>
  <c r="DG80" i="2" s="1"/>
  <c r="DU48" i="12"/>
  <c r="DX48" i="12" s="1"/>
  <c r="DG51" i="2" s="1"/>
  <c r="DU73" i="12"/>
  <c r="DU49" i="12"/>
  <c r="DX49" i="12" s="1"/>
  <c r="DG52" i="2" s="1"/>
  <c r="DU79" i="12"/>
  <c r="DX79" i="12" s="1"/>
  <c r="DG82" i="2" s="1"/>
  <c r="DU30" i="12"/>
  <c r="DU75" i="12"/>
  <c r="DU59" i="12"/>
  <c r="DU46" i="12"/>
  <c r="DU61" i="12"/>
  <c r="DW61" i="12" s="1"/>
  <c r="DU51" i="12"/>
  <c r="DU67" i="12"/>
  <c r="DU40" i="12"/>
  <c r="DU69" i="12"/>
  <c r="DX69" i="12" s="1"/>
  <c r="DG72" i="2" s="1"/>
  <c r="DU38" i="12"/>
  <c r="DU71" i="12"/>
  <c r="DW71" i="12" s="1"/>
  <c r="DU72" i="12"/>
  <c r="DU44" i="12"/>
  <c r="DW44" i="12" s="1"/>
  <c r="DU78" i="12"/>
  <c r="DU66" i="12"/>
  <c r="DX66" i="12" s="1"/>
  <c r="DG69" i="2" s="1"/>
  <c r="DU58" i="12"/>
  <c r="DX58" i="12" s="1"/>
  <c r="DG61" i="2" s="1"/>
  <c r="DU50" i="12"/>
  <c r="DX50" i="12" s="1"/>
  <c r="DG53" i="2" s="1"/>
  <c r="DU42" i="12"/>
  <c r="DU34" i="12"/>
  <c r="DX34" i="12" s="1"/>
  <c r="DG37" i="2" s="1"/>
  <c r="DU26" i="12"/>
  <c r="DX26" i="12" s="1"/>
  <c r="DG29" i="2" s="1"/>
  <c r="DU68" i="12"/>
  <c r="DX68" i="12" s="1"/>
  <c r="DG71" i="2" s="1"/>
  <c r="DU76" i="12"/>
  <c r="DU35" i="12"/>
  <c r="DU28" i="12"/>
  <c r="DU32" i="12"/>
  <c r="DX32" i="12" s="1"/>
  <c r="DG35" i="2" s="1"/>
  <c r="DU43" i="12"/>
  <c r="DX43" i="12" s="1"/>
  <c r="DG46" i="2" s="1"/>
  <c r="DU24" i="12"/>
  <c r="DU57" i="12"/>
  <c r="DU25" i="12"/>
  <c r="DX25" i="12" s="1"/>
  <c r="DG28" i="2" s="1"/>
  <c r="DU53" i="12"/>
  <c r="DX53" i="12" s="1"/>
  <c r="DG56" i="2" s="1"/>
  <c r="DU65" i="12"/>
  <c r="DU33" i="12"/>
  <c r="DX33" i="12" s="1"/>
  <c r="DG36" i="2" s="1"/>
  <c r="DU45" i="12"/>
  <c r="DX45" i="12" s="1"/>
  <c r="DG48" i="2" s="1"/>
  <c r="G8" i="6"/>
  <c r="E8" i="6"/>
  <c r="C8" i="6"/>
  <c r="F8" i="6"/>
  <c r="D8" i="6"/>
  <c r="E13" i="6" l="1"/>
  <c r="F13" i="6"/>
  <c r="D13" i="6"/>
  <c r="C13" i="6"/>
  <c r="I55" i="13"/>
  <c r="Y55" i="13"/>
  <c r="I35" i="13"/>
  <c r="Y35" i="13"/>
  <c r="I52" i="13"/>
  <c r="Y52" i="13"/>
  <c r="I65" i="13"/>
  <c r="Y65" i="13"/>
  <c r="I51" i="13"/>
  <c r="Y51" i="13"/>
  <c r="I62" i="13"/>
  <c r="Y62" i="13"/>
  <c r="I5" i="13"/>
  <c r="Y5" i="13"/>
  <c r="Z5" i="13" s="1"/>
  <c r="DW28" i="12"/>
  <c r="DX28" i="12"/>
  <c r="DG31" i="2" s="1"/>
  <c r="DW40" i="12"/>
  <c r="DX40" i="12"/>
  <c r="DG43" i="2" s="1"/>
  <c r="DW52" i="12"/>
  <c r="DX52" i="12"/>
  <c r="DG55" i="2" s="1"/>
  <c r="DW54" i="12"/>
  <c r="DX54" i="12"/>
  <c r="DG57" i="2" s="1"/>
  <c r="DW65" i="12"/>
  <c r="DX65" i="12"/>
  <c r="DG68" i="2" s="1"/>
  <c r="DW35" i="12"/>
  <c r="DX35" i="12"/>
  <c r="DG38" i="2" s="1"/>
  <c r="DW67" i="12"/>
  <c r="DX67" i="12"/>
  <c r="DG70" i="2" s="1"/>
  <c r="DW59" i="12"/>
  <c r="DX59" i="12"/>
  <c r="DG62" i="2" s="1"/>
  <c r="DW56" i="12"/>
  <c r="DX56" i="12"/>
  <c r="DG59" i="2" s="1"/>
  <c r="DW18" i="12"/>
  <c r="DX18" i="12"/>
  <c r="DG21" i="2" s="1"/>
  <c r="DW30" i="12"/>
  <c r="DX30" i="12"/>
  <c r="DW41" i="12"/>
  <c r="DX41" i="12"/>
  <c r="DG44" i="2" s="1"/>
  <c r="DW19" i="12"/>
  <c r="DX19" i="12"/>
  <c r="DG22" i="2" s="1"/>
  <c r="DW72" i="12"/>
  <c r="DX72" i="12"/>
  <c r="DG75" i="2" s="1"/>
  <c r="DW46" i="12"/>
  <c r="DX46" i="12"/>
  <c r="DW36" i="12"/>
  <c r="DX36" i="12"/>
  <c r="DG39" i="2" s="1"/>
  <c r="DW63" i="12"/>
  <c r="DX63" i="12"/>
  <c r="DW22" i="12"/>
  <c r="DX22" i="12"/>
  <c r="DG25" i="2" s="1"/>
  <c r="DI24" i="2"/>
  <c r="L12" i="13"/>
  <c r="DW24" i="12"/>
  <c r="DX24" i="12"/>
  <c r="DG27" i="2" s="1"/>
  <c r="DW76" i="12"/>
  <c r="DX76" i="12"/>
  <c r="DG79" i="2" s="1"/>
  <c r="DW42" i="12"/>
  <c r="DX42" i="12"/>
  <c r="DG45" i="2" s="1"/>
  <c r="DW78" i="12"/>
  <c r="DX78" i="12"/>
  <c r="DG81" i="2" s="1"/>
  <c r="DW38" i="12"/>
  <c r="DX38" i="12"/>
  <c r="DG41" i="2" s="1"/>
  <c r="DW51" i="12"/>
  <c r="DX51" i="12"/>
  <c r="DG54" i="2" s="1"/>
  <c r="DW75" i="12"/>
  <c r="DX75" i="12"/>
  <c r="DG78" i="2" s="1"/>
  <c r="DW73" i="12"/>
  <c r="DX73" i="12"/>
  <c r="DG76" i="2" s="1"/>
  <c r="DW27" i="12"/>
  <c r="DX27" i="12"/>
  <c r="DG30" i="2" s="1"/>
  <c r="DW37" i="12"/>
  <c r="DX37" i="12"/>
  <c r="DG40" i="2" s="1"/>
  <c r="DI23" i="2"/>
  <c r="L11" i="13"/>
  <c r="C12" i="6"/>
  <c r="C7" i="6"/>
  <c r="G7" i="6"/>
  <c r="F7" i="6"/>
  <c r="F12" i="6"/>
  <c r="D7" i="6"/>
  <c r="D12" i="6"/>
  <c r="E7" i="6"/>
  <c r="E12" i="6"/>
  <c r="DY70" i="12"/>
  <c r="DW81" i="12"/>
  <c r="I72" i="13" s="1"/>
  <c r="DY45" i="12"/>
  <c r="DU83" i="12"/>
  <c r="DX83" i="12" s="1"/>
  <c r="DW62" i="12"/>
  <c r="DW31" i="12"/>
  <c r="DW23" i="12"/>
  <c r="DW45" i="12"/>
  <c r="DW43" i="12"/>
  <c r="DW77" i="12"/>
  <c r="DW57" i="12"/>
  <c r="DW26" i="12"/>
  <c r="DW50" i="12"/>
  <c r="DW79" i="12"/>
  <c r="DW49" i="12"/>
  <c r="DW33" i="12"/>
  <c r="DW25" i="12"/>
  <c r="DW32" i="12"/>
  <c r="DW68" i="12"/>
  <c r="DW58" i="12"/>
  <c r="DW69" i="12"/>
  <c r="DY26" i="12"/>
  <c r="DY79" i="12"/>
  <c r="DY23" i="12"/>
  <c r="DY62" i="12"/>
  <c r="DY43" i="12"/>
  <c r="DY33" i="12"/>
  <c r="DY25" i="12"/>
  <c r="DY53" i="12"/>
  <c r="DY69" i="12"/>
  <c r="DY34" i="12"/>
  <c r="DY55" i="12"/>
  <c r="DY14" i="12"/>
  <c r="DW53" i="12"/>
  <c r="DY68" i="12"/>
  <c r="DY50" i="12"/>
  <c r="DW48" i="12"/>
  <c r="DY31" i="12"/>
  <c r="DW29" i="12"/>
  <c r="DY32" i="12"/>
  <c r="DY66" i="12"/>
  <c r="DY58" i="12"/>
  <c r="DY77" i="12"/>
  <c r="DW34" i="12"/>
  <c r="DW66" i="12"/>
  <c r="DY49" i="12"/>
  <c r="DW55" i="12"/>
  <c r="DW39" i="12"/>
  <c r="DW70" i="12"/>
  <c r="I69" i="13" l="1"/>
  <c r="Y69" i="13"/>
  <c r="Z69" i="13" s="1"/>
  <c r="I21" i="13"/>
  <c r="Y21" i="13"/>
  <c r="Z21" i="13" s="1"/>
  <c r="I56" i="13"/>
  <c r="Y56" i="13"/>
  <c r="Z56" i="13" s="1"/>
  <c r="I24" i="13"/>
  <c r="Y24" i="13"/>
  <c r="Z24" i="13" s="1"/>
  <c r="I18" i="13"/>
  <c r="Y18" i="13"/>
  <c r="Z18" i="13" s="1"/>
  <c r="I45" i="13"/>
  <c r="Y45" i="13"/>
  <c r="Z45" i="13" s="1"/>
  <c r="I47" i="13"/>
  <c r="Y47" i="13"/>
  <c r="Z47" i="13" s="1"/>
  <c r="I61" i="13"/>
  <c r="Y61" i="13"/>
  <c r="Z61" i="13" s="1"/>
  <c r="I17" i="13"/>
  <c r="Y17" i="13"/>
  <c r="Z17" i="13" s="1"/>
  <c r="I46" i="13"/>
  <c r="Y46" i="13"/>
  <c r="Z46" i="13" s="1"/>
  <c r="I48" i="13"/>
  <c r="Y48" i="13"/>
  <c r="I10" i="13"/>
  <c r="Y10" i="13"/>
  <c r="Z10" i="13" s="1"/>
  <c r="I58" i="13"/>
  <c r="Y58" i="13"/>
  <c r="Z58" i="13" s="1"/>
  <c r="I19" i="13"/>
  <c r="Y19" i="13"/>
  <c r="Z19" i="13" s="1"/>
  <c r="I14" i="13"/>
  <c r="Y14" i="13"/>
  <c r="Z14" i="13" s="1"/>
  <c r="DY30" i="12"/>
  <c r="EJ30" i="12" s="1"/>
  <c r="DG33" i="2"/>
  <c r="I28" i="13"/>
  <c r="Y28" i="13"/>
  <c r="Z28" i="13" s="1"/>
  <c r="I16" i="13"/>
  <c r="Y16" i="13"/>
  <c r="Z16" i="13" s="1"/>
  <c r="I33" i="13"/>
  <c r="Y33" i="13"/>
  <c r="Z33" i="13" s="1"/>
  <c r="I27" i="13"/>
  <c r="Y27" i="13"/>
  <c r="Z27" i="13" s="1"/>
  <c r="I9" i="13"/>
  <c r="Y9" i="13"/>
  <c r="Z9" i="13" s="1"/>
  <c r="DY46" i="12"/>
  <c r="EJ46" i="12" s="1"/>
  <c r="DG49" i="2"/>
  <c r="I64" i="13"/>
  <c r="Y64" i="13"/>
  <c r="Z64" i="13" s="1"/>
  <c r="I67" i="13"/>
  <c r="Y67" i="13"/>
  <c r="Z67" i="13" s="1"/>
  <c r="I37" i="13"/>
  <c r="Y37" i="13"/>
  <c r="Z37" i="13" s="1"/>
  <c r="I43" i="13"/>
  <c r="Y43" i="13"/>
  <c r="Z43" i="13" s="1"/>
  <c r="I39" i="13"/>
  <c r="Y39" i="13"/>
  <c r="Z39" i="13" s="1"/>
  <c r="I15" i="13"/>
  <c r="Y15" i="13"/>
  <c r="Z15" i="13" s="1"/>
  <c r="I31" i="13"/>
  <c r="Y31" i="13"/>
  <c r="Z31" i="13" s="1"/>
  <c r="I44" i="13"/>
  <c r="Y44" i="13"/>
  <c r="Z44" i="13" s="1"/>
  <c r="I68" i="13"/>
  <c r="Y68" i="13"/>
  <c r="Z68" i="13" s="1"/>
  <c r="I42" i="13"/>
  <c r="Y42" i="13"/>
  <c r="Z42" i="13" s="1"/>
  <c r="I57" i="13"/>
  <c r="Y57" i="13"/>
  <c r="Z57" i="13" s="1"/>
  <c r="I60" i="13"/>
  <c r="Y60" i="13"/>
  <c r="Z60" i="13" s="1"/>
  <c r="I34" i="13"/>
  <c r="Y34" i="13"/>
  <c r="Z34" i="13" s="1"/>
  <c r="I59" i="13"/>
  <c r="Y59" i="13"/>
  <c r="Z59" i="13" s="1"/>
  <c r="DY63" i="12"/>
  <c r="DG66" i="2"/>
  <c r="I23" i="13"/>
  <c r="Y23" i="13"/>
  <c r="Z23" i="13" s="1"/>
  <c r="I22" i="13"/>
  <c r="Y22" i="13"/>
  <c r="Z22" i="13" s="1"/>
  <c r="I54" i="13"/>
  <c r="Y54" i="13"/>
  <c r="Z54" i="13" s="1"/>
  <c r="I53" i="13"/>
  <c r="Y53" i="13"/>
  <c r="Z53" i="13" s="1"/>
  <c r="I20" i="13"/>
  <c r="Y20" i="13"/>
  <c r="Z20" i="13" s="1"/>
  <c r="I40" i="13"/>
  <c r="Y40" i="13"/>
  <c r="Z40" i="13" s="1"/>
  <c r="I70" i="13"/>
  <c r="Y70" i="13"/>
  <c r="Z70" i="13" s="1"/>
  <c r="I41" i="13"/>
  <c r="Y41" i="13"/>
  <c r="Z41" i="13" s="1"/>
  <c r="I30" i="13"/>
  <c r="Y30" i="13"/>
  <c r="Z30" i="13" s="1"/>
  <c r="I66" i="13"/>
  <c r="Y66" i="13"/>
  <c r="Z66" i="13" s="1"/>
  <c r="I63" i="13"/>
  <c r="Y63" i="13"/>
  <c r="Z63" i="13" s="1"/>
  <c r="I50" i="13"/>
  <c r="Y50" i="13"/>
  <c r="Z50" i="13" s="1"/>
  <c r="I25" i="13"/>
  <c r="Y25" i="13"/>
  <c r="Z25" i="13" s="1"/>
  <c r="I49" i="13"/>
  <c r="Y49" i="13"/>
  <c r="Z49" i="13" s="1"/>
  <c r="I36" i="13"/>
  <c r="Y36" i="13"/>
  <c r="Z36" i="13" s="1"/>
  <c r="I29" i="13"/>
  <c r="Y29" i="13"/>
  <c r="Z29" i="13" s="1"/>
  <c r="I13" i="13"/>
  <c r="Y13" i="13"/>
  <c r="Z13" i="13" s="1"/>
  <c r="I32" i="13"/>
  <c r="Y32" i="13"/>
  <c r="Z32" i="13" s="1"/>
  <c r="I26" i="13"/>
  <c r="Y26" i="13"/>
  <c r="Z26" i="13" s="1"/>
  <c r="E17" i="6"/>
  <c r="E177" i="6" s="1"/>
  <c r="F17" i="6"/>
  <c r="F177" i="6" s="1"/>
  <c r="D17" i="6"/>
  <c r="D177" i="6" s="1"/>
  <c r="G17" i="6"/>
  <c r="C17" i="6"/>
  <c r="C177" i="6" s="1"/>
  <c r="EJ70" i="12"/>
  <c r="EJ32" i="12"/>
  <c r="EJ50" i="12"/>
  <c r="EJ55" i="12"/>
  <c r="EJ25" i="12"/>
  <c r="EJ66" i="12"/>
  <c r="EJ45" i="12"/>
  <c r="EJ33" i="12"/>
  <c r="EJ53" i="12"/>
  <c r="EJ63" i="12"/>
  <c r="EJ77" i="12"/>
  <c r="EJ68" i="12"/>
  <c r="EJ34" i="12"/>
  <c r="EJ49" i="12"/>
  <c r="EJ58" i="12"/>
  <c r="EJ31" i="12"/>
  <c r="EJ69" i="12"/>
  <c r="F15" i="6"/>
  <c r="C15" i="6"/>
  <c r="G11" i="6"/>
  <c r="E15" i="6"/>
  <c r="F11" i="6"/>
  <c r="C11" i="6"/>
  <c r="E11" i="6"/>
  <c r="D15" i="6"/>
  <c r="DY76" i="12"/>
  <c r="DY35" i="12"/>
  <c r="EJ35" i="12" s="1"/>
  <c r="D11" i="6"/>
  <c r="DY37" i="12"/>
  <c r="DY52" i="12"/>
  <c r="DY78" i="12"/>
  <c r="DY51" i="12"/>
  <c r="DY28" i="12"/>
  <c r="DY18" i="12"/>
  <c r="DW83" i="12"/>
  <c r="I74" i="13" s="1"/>
  <c r="DY81" i="12"/>
  <c r="DY42" i="12"/>
  <c r="DY41" i="12"/>
  <c r="DY72" i="12"/>
  <c r="DY40" i="12"/>
  <c r="DY54" i="12"/>
  <c r="DY56" i="12"/>
  <c r="EJ62" i="12"/>
  <c r="EJ23" i="12"/>
  <c r="EJ26" i="12"/>
  <c r="EJ43" i="12"/>
  <c r="EJ79" i="12"/>
  <c r="DY36" i="12"/>
  <c r="DY39" i="12"/>
  <c r="DY67" i="12"/>
  <c r="DY24" i="12"/>
  <c r="DY73" i="12"/>
  <c r="DY75" i="12"/>
  <c r="DY29" i="12"/>
  <c r="DY22" i="12"/>
  <c r="DY27" i="12"/>
  <c r="DY59" i="12"/>
  <c r="DY65" i="12"/>
  <c r="DY38" i="12"/>
  <c r="DY19" i="12"/>
  <c r="DY48" i="12"/>
  <c r="L37" i="13" l="1"/>
  <c r="L17" i="13"/>
  <c r="DI49" i="2"/>
  <c r="EJ24" i="12"/>
  <c r="EJ48" i="12"/>
  <c r="EJ27" i="12"/>
  <c r="EJ75" i="12"/>
  <c r="EJ67" i="12"/>
  <c r="DI38" i="2"/>
  <c r="L26" i="13"/>
  <c r="DI65" i="2"/>
  <c r="L53" i="13"/>
  <c r="EJ72" i="12"/>
  <c r="EJ78" i="12"/>
  <c r="EJ36" i="12"/>
  <c r="EJ65" i="12"/>
  <c r="EJ22" i="12"/>
  <c r="EJ73" i="12"/>
  <c r="EJ39" i="12"/>
  <c r="DI46" i="2"/>
  <c r="L34" i="13"/>
  <c r="EJ56" i="12"/>
  <c r="EJ41" i="12"/>
  <c r="EJ18" i="12"/>
  <c r="EJ76" i="12"/>
  <c r="DI72" i="2"/>
  <c r="L60" i="13"/>
  <c r="DI61" i="2"/>
  <c r="L49" i="13"/>
  <c r="DI37" i="2"/>
  <c r="L25" i="13"/>
  <c r="DI80" i="2"/>
  <c r="L68" i="13"/>
  <c r="DI56" i="2"/>
  <c r="L44" i="13"/>
  <c r="DI36" i="2"/>
  <c r="L24" i="13"/>
  <c r="DI69" i="2"/>
  <c r="L57" i="13"/>
  <c r="DI28" i="2"/>
  <c r="L16" i="13"/>
  <c r="DI53" i="2"/>
  <c r="L41" i="13"/>
  <c r="DI73" i="2"/>
  <c r="L61" i="13"/>
  <c r="EJ54" i="12"/>
  <c r="EJ42" i="12"/>
  <c r="EJ28" i="12"/>
  <c r="EJ52" i="12"/>
  <c r="EJ19" i="12"/>
  <c r="EJ38" i="12"/>
  <c r="EJ59" i="12"/>
  <c r="EJ29" i="12"/>
  <c r="DI82" i="2"/>
  <c r="L70" i="13"/>
  <c r="DI26" i="2"/>
  <c r="L14" i="13"/>
  <c r="EJ40" i="12"/>
  <c r="EJ81" i="12"/>
  <c r="EJ51" i="12"/>
  <c r="EJ37" i="12"/>
  <c r="DI34" i="2"/>
  <c r="L22" i="13"/>
  <c r="DI52" i="2"/>
  <c r="L40" i="13"/>
  <c r="DI71" i="2"/>
  <c r="L59" i="13"/>
  <c r="DI66" i="2"/>
  <c r="L54" i="13"/>
  <c r="DI48" i="2"/>
  <c r="L36" i="13"/>
  <c r="DI33" i="2"/>
  <c r="L21" i="13"/>
  <c r="DI58" i="2"/>
  <c r="L46" i="13"/>
  <c r="DI35" i="2"/>
  <c r="L23" i="13"/>
  <c r="DI29" i="2"/>
  <c r="E16" i="6"/>
  <c r="F16" i="6"/>
  <c r="G177" i="6"/>
  <c r="C16" i="6"/>
  <c r="D16" i="6"/>
  <c r="DY83" i="12"/>
  <c r="DX86" i="12"/>
  <c r="L28" i="13" l="1"/>
  <c r="L9" i="13"/>
  <c r="DI21" i="2"/>
  <c r="DI54" i="2"/>
  <c r="L42" i="13"/>
  <c r="DI43" i="2"/>
  <c r="L31" i="13"/>
  <c r="DI62" i="2"/>
  <c r="L50" i="13"/>
  <c r="DI22" i="2"/>
  <c r="L10" i="13"/>
  <c r="DI31" i="2"/>
  <c r="L19" i="13"/>
  <c r="DI57" i="2"/>
  <c r="L45" i="13"/>
  <c r="EJ83" i="12"/>
  <c r="DI40" i="2"/>
  <c r="DI59" i="2"/>
  <c r="L47" i="13"/>
  <c r="DI42" i="2"/>
  <c r="L30" i="13"/>
  <c r="DI25" i="2"/>
  <c r="L13" i="13"/>
  <c r="DI39" i="2"/>
  <c r="L27" i="13"/>
  <c r="DI75" i="2"/>
  <c r="L63" i="13"/>
  <c r="DI78" i="2"/>
  <c r="L66" i="13"/>
  <c r="DI51" i="2"/>
  <c r="L39" i="13"/>
  <c r="L72" i="13"/>
  <c r="DI32" i="2"/>
  <c r="L20" i="13"/>
  <c r="DI41" i="2"/>
  <c r="L29" i="13"/>
  <c r="DI55" i="2"/>
  <c r="L43" i="13"/>
  <c r="DI45" i="2"/>
  <c r="L33" i="13"/>
  <c r="DI79" i="2"/>
  <c r="L67" i="13"/>
  <c r="DI44" i="2"/>
  <c r="L32" i="13"/>
  <c r="DI76" i="2"/>
  <c r="L64" i="13"/>
  <c r="DI68" i="2"/>
  <c r="L56" i="13"/>
  <c r="DI81" i="2"/>
  <c r="L69" i="13"/>
  <c r="DI70" i="2"/>
  <c r="L58" i="13"/>
  <c r="DI30" i="2"/>
  <c r="L18" i="13"/>
  <c r="DI27" i="2"/>
  <c r="L15" i="13"/>
  <c r="L74" i="13" l="1"/>
  <c r="AM61" i="12"/>
  <c r="AN61" i="12" s="1"/>
  <c r="AO61" i="12" s="1"/>
  <c r="DN61" i="12" s="1"/>
  <c r="AM71" i="12"/>
  <c r="AN71" i="12" s="1"/>
  <c r="AO71" i="12" s="1"/>
  <c r="DN71" i="12" s="1"/>
  <c r="AM57" i="12"/>
  <c r="AN57" i="12" s="1"/>
  <c r="AO57" i="12" s="1"/>
  <c r="DN57" i="12" s="1"/>
  <c r="AL44" i="12"/>
  <c r="AN44" i="12" s="1"/>
  <c r="AO44" i="12" s="1"/>
  <c r="DN44" i="12" s="1"/>
  <c r="DQ57" i="12" l="1"/>
  <c r="DT57" i="12" s="1"/>
  <c r="X48" i="13" s="1"/>
  <c r="Z48" i="13" s="1"/>
  <c r="DQ71" i="12"/>
  <c r="DT71" i="12" s="1"/>
  <c r="X62" i="13" s="1"/>
  <c r="Z62" i="13" s="1"/>
  <c r="DQ44" i="12"/>
  <c r="DT44" i="12" s="1"/>
  <c r="X35" i="13" s="1"/>
  <c r="Z35" i="13" s="1"/>
  <c r="DQ61" i="12"/>
  <c r="DT61" i="12" s="1"/>
  <c r="X52" i="13" s="1"/>
  <c r="Z52" i="13" s="1"/>
  <c r="DX71" i="12" l="1"/>
  <c r="H62" i="13"/>
  <c r="DX61" i="12"/>
  <c r="H52" i="13"/>
  <c r="DX44" i="12"/>
  <c r="H35" i="13"/>
  <c r="DX57" i="12"/>
  <c r="H48" i="13"/>
  <c r="DY71" i="12" l="1"/>
  <c r="EJ71" i="12" s="1"/>
  <c r="DG74" i="2"/>
  <c r="DY57" i="12"/>
  <c r="DG60" i="2"/>
  <c r="DY44" i="12"/>
  <c r="DG47" i="2"/>
  <c r="DY61" i="12"/>
  <c r="EJ61" i="12" s="1"/>
  <c r="DG64" i="2"/>
  <c r="EJ44" i="12"/>
  <c r="EJ57" i="12"/>
  <c r="DI64" i="2" l="1"/>
  <c r="L52" i="13"/>
  <c r="DI47" i="2"/>
  <c r="L35" i="13"/>
  <c r="DI60" i="2"/>
  <c r="L48" i="13"/>
  <c r="DI74" i="2"/>
  <c r="L62" i="13"/>
  <c r="AM74" i="12"/>
  <c r="AN74" i="12" s="1"/>
  <c r="AO74" i="12" s="1"/>
  <c r="DN74" i="12" s="1"/>
  <c r="AM64" i="12"/>
  <c r="AN64" i="12" s="1"/>
  <c r="AO64" i="12" s="1"/>
  <c r="DN64" i="12" s="1"/>
  <c r="AL47" i="12"/>
  <c r="AN47" i="12" s="1"/>
  <c r="AO47" i="12" s="1"/>
  <c r="DN47" i="12" s="1"/>
  <c r="DQ47" i="12" s="1"/>
  <c r="DT47" i="12" s="1"/>
  <c r="X38" i="13" s="1"/>
  <c r="Z38" i="13" s="1"/>
  <c r="AM60" i="12"/>
  <c r="AN60" i="12" s="1"/>
  <c r="AO60" i="12" s="1"/>
  <c r="DN60" i="12" s="1"/>
  <c r="DQ60" i="12" s="1"/>
  <c r="DT60" i="12" s="1"/>
  <c r="X51" i="13" s="1"/>
  <c r="Z51" i="13" s="1"/>
  <c r="DX60" i="12" l="1"/>
  <c r="H51" i="13"/>
  <c r="DQ74" i="12"/>
  <c r="DT74" i="12" s="1"/>
  <c r="X65" i="13" s="1"/>
  <c r="Z65" i="13" s="1"/>
  <c r="H38" i="13"/>
  <c r="DX47" i="12"/>
  <c r="DQ64" i="12"/>
  <c r="DT64" i="12" s="1"/>
  <c r="X55" i="13" s="1"/>
  <c r="Z55" i="13" s="1"/>
  <c r="DY47" i="12" l="1"/>
  <c r="EJ47" i="12" s="1"/>
  <c r="DG50" i="2"/>
  <c r="DY60" i="12"/>
  <c r="EJ60" i="12" s="1"/>
  <c r="DG63" i="2"/>
  <c r="DX64" i="12"/>
  <c r="H55" i="13"/>
  <c r="H65" i="13"/>
  <c r="DX74" i="12"/>
  <c r="DI50" i="2"/>
  <c r="L38" i="13"/>
  <c r="DI63" i="2"/>
  <c r="L51" i="13"/>
  <c r="DY64" i="12" l="1"/>
  <c r="EJ64" i="12" s="1"/>
  <c r="DG67" i="2"/>
  <c r="DY74" i="12"/>
  <c r="EJ74" i="12" s="1"/>
  <c r="DG77" i="2"/>
  <c r="DI77" i="2"/>
  <c r="L65" i="13"/>
  <c r="DI67" i="2"/>
  <c r="L55" i="13"/>
  <c r="ED15" i="12"/>
  <c r="EG15" i="12" s="1"/>
  <c r="EH15" i="12" l="1"/>
  <c r="EI15" i="12" s="1"/>
  <c r="EJ15" i="12" s="1"/>
  <c r="K6" i="13"/>
  <c r="DI18" i="2" l="1"/>
  <c r="L6" i="13"/>
  <c r="J82" i="3"/>
  <c r="ED14" i="12"/>
  <c r="EG14" i="12" s="1"/>
  <c r="G82" i="3"/>
  <c r="G83" i="3"/>
  <c r="EH14" i="12" l="1"/>
  <c r="EI14" i="12" s="1"/>
  <c r="EJ14" i="12" s="1"/>
  <c r="K5" i="13"/>
  <c r="G84" i="3"/>
  <c r="J83" i="3"/>
  <c r="J84" i="3" s="1"/>
  <c r="I89" i="3" l="1" a="1"/>
  <c r="I89" i="3" s="1"/>
  <c r="H17" i="6" s="1"/>
  <c r="M97" i="3"/>
  <c r="I97" i="3"/>
  <c r="K97" i="3"/>
  <c r="DI17" i="2"/>
  <c r="L5" i="13"/>
  <c r="H11" i="6" l="1"/>
  <c r="J21" i="6"/>
  <c r="E21" i="6"/>
  <c r="G21" i="6"/>
  <c r="L21" i="6"/>
  <c r="C21" i="6"/>
  <c r="F21" i="6"/>
  <c r="D21" i="6"/>
  <c r="I21" i="6"/>
  <c r="K21" i="6"/>
  <c r="H21" i="6"/>
  <c r="K40" i="6"/>
  <c r="D69" i="6"/>
  <c r="D178" i="6" s="1"/>
  <c r="D179" i="6" s="1"/>
  <c r="E69" i="6"/>
  <c r="E178" i="6" s="1"/>
  <c r="E179" i="6" s="1"/>
  <c r="H177" i="6"/>
  <c r="O69" i="6"/>
  <c r="O178" i="6" s="1"/>
  <c r="O179" i="6" s="1"/>
  <c r="L69" i="6"/>
  <c r="L178" i="6" s="1"/>
  <c r="L179" i="6" s="1"/>
  <c r="N69" i="6"/>
  <c r="N178" i="6" s="1"/>
  <c r="N179" i="6" s="1"/>
  <c r="I69" i="6"/>
  <c r="I178" i="6" s="1"/>
  <c r="I179" i="6" s="1"/>
  <c r="K69" i="6"/>
  <c r="K178" i="6" s="1"/>
  <c r="K179" i="6" s="1"/>
  <c r="F69" i="6"/>
  <c r="F178" i="6" s="1"/>
  <c r="F179" i="6" s="1"/>
  <c r="M69" i="6"/>
  <c r="M178" i="6" s="1"/>
  <c r="M179" i="6" s="1"/>
  <c r="J69" i="6"/>
  <c r="J178" i="6" s="1"/>
  <c r="J179" i="6" s="1"/>
  <c r="P69" i="6"/>
  <c r="P178" i="6" s="1"/>
  <c r="P179" i="6" s="1"/>
  <c r="G69" i="6"/>
  <c r="G178" i="6" s="1"/>
  <c r="G179" i="6" s="1"/>
  <c r="C69" i="6"/>
  <c r="C178" i="6" s="1"/>
  <c r="C179" i="6" s="1"/>
  <c r="Q69" i="6"/>
  <c r="Q178" i="6" s="1"/>
  <c r="Q179" i="6" s="1"/>
  <c r="H69" i="6"/>
  <c r="H178" i="6" s="1"/>
  <c r="H17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bmsce</author>
  </authors>
  <commentList>
    <comment ref="V4" authorId="0" shapeId="0" xr:uid="{00000000-0006-0000-0700-000001000000}">
      <text>
        <r>
          <rPr>
            <sz val="9"/>
            <rFont val="Tahoma"/>
            <family val="2"/>
          </rPr>
          <t xml:space="preserve">
Do not enter it Manually, it is been referred from Thoery sheet</t>
        </r>
      </text>
    </comment>
    <comment ref="W4" authorId="0" shapeId="0" xr:uid="{00000000-0006-0000-0700-000002000000}">
      <text>
        <r>
          <rPr>
            <sz val="9"/>
            <rFont val="Tahoma"/>
            <family val="2"/>
          </rPr>
          <t xml:space="preserve">
Do not enter it Manually, it is been referred from Thoery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I2" authorId="0" shapeId="0" xr:uid="{00000000-0006-0000-0800-000001000000}">
      <text>
        <r>
          <rPr>
            <b/>
            <sz val="8"/>
            <rFont val="Tahoma"/>
            <family val="2"/>
          </rPr>
          <t>System:</t>
        </r>
        <r>
          <rPr>
            <sz val="8"/>
            <rFont val="Tahoma"/>
            <family val="2"/>
          </rPr>
          <t xml:space="preserve">
PS: Column value in all PO, CO attainment and mapping should be same, cannot have diffent value for the calculation</t>
        </r>
      </text>
    </comment>
    <comment ref="I4" authorId="0" shapeId="0" xr:uid="{00000000-0006-0000-0800-000002000000}">
      <text>
        <r>
          <rPr>
            <b/>
            <sz val="8"/>
            <rFont val="Tahoma"/>
            <family val="2"/>
          </rPr>
          <t>System:</t>
        </r>
        <r>
          <rPr>
            <sz val="8"/>
            <rFont val="Tahoma"/>
            <family val="2"/>
          </rPr>
          <t xml:space="preserve">
PS: Column value in all PO, CO attainment and mapping should be same, cannot have diffent value for the calculation</t>
        </r>
      </text>
    </comment>
    <comment ref="C7" authorId="0" shapeId="0" xr:uid="{00000000-0006-0000-0800-000003000000}">
      <text>
        <r>
          <rPr>
            <b/>
            <sz val="8"/>
            <rFont val="Tahoma"/>
            <family val="2"/>
          </rPr>
          <t>System:</t>
        </r>
        <r>
          <rPr>
            <sz val="8"/>
            <rFont val="Tahoma"/>
            <family val="2"/>
          </rPr>
          <t xml:space="preserve">
Automatically displyed based on the value mapped in the Theory sheet
</t>
        </r>
      </text>
    </comment>
    <comment ref="C11" authorId="0" shapeId="0" xr:uid="{00000000-0006-0000-0800-000004000000}">
      <text>
        <r>
          <rPr>
            <b/>
            <sz val="8"/>
            <rFont val="Tahoma"/>
            <family val="2"/>
          </rPr>
          <t>System:</t>
        </r>
        <r>
          <rPr>
            <sz val="8"/>
            <rFont val="Tahoma"/>
            <family val="2"/>
          </rPr>
          <t xml:space="preserve">
CO mapping will be displayed automatically based on the mapping specified in the Theory field
</t>
        </r>
      </text>
    </comment>
    <comment ref="C16" authorId="0" shapeId="0" xr:uid="{00000000-0006-0000-0800-000005000000}">
      <text>
        <r>
          <rPr>
            <b/>
            <sz val="8"/>
            <rFont val="Tahoma"/>
            <family val="2"/>
          </rPr>
          <t>System:</t>
        </r>
        <r>
          <rPr>
            <sz val="8"/>
            <rFont val="Tahoma"/>
            <family val="2"/>
          </rPr>
          <t xml:space="preserve">
CO mapping will be displayed automatically based on the mapping specified in the Theory field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<sst xmlns="http://schemas.openxmlformats.org/spreadsheetml/2006/main" count="1167" uniqueCount="443">
  <si>
    <t>Course Outcome Attainment Calculation</t>
  </si>
  <si>
    <t xml:space="preserve">COs mapped </t>
  </si>
  <si>
    <t>0,1</t>
  </si>
  <si>
    <t>0,2</t>
  </si>
  <si>
    <t>0,3</t>
  </si>
  <si>
    <t>0,4</t>
  </si>
  <si>
    <t>0,1,2,3,4,5</t>
  </si>
  <si>
    <t>Test 1</t>
  </si>
  <si>
    <t>Test 2</t>
  </si>
  <si>
    <t>Test 3</t>
  </si>
  <si>
    <t>AAT</t>
  </si>
  <si>
    <t>QUIZ</t>
  </si>
  <si>
    <t>Maximum Marks</t>
  </si>
  <si>
    <t>Marks to reach Performance (60% and above of Max. Marks)</t>
  </si>
  <si>
    <t>Sl No.</t>
  </si>
  <si>
    <t>USN</t>
  </si>
  <si>
    <t>Names</t>
  </si>
  <si>
    <t>Q1A</t>
  </si>
  <si>
    <t>Q1B</t>
  </si>
  <si>
    <t>Q1C</t>
  </si>
  <si>
    <t>Q1D</t>
  </si>
  <si>
    <t>Q2A</t>
  </si>
  <si>
    <t>Q2B</t>
  </si>
  <si>
    <t>Q2C</t>
  </si>
  <si>
    <t>Q2D</t>
  </si>
  <si>
    <t>Q3A</t>
  </si>
  <si>
    <t>Q3B</t>
  </si>
  <si>
    <t>Q3C</t>
  </si>
  <si>
    <t>Q3D</t>
  </si>
  <si>
    <t>Q4A</t>
  </si>
  <si>
    <t>Q4B</t>
  </si>
  <si>
    <t>Q4C</t>
  </si>
  <si>
    <t>Q4D</t>
  </si>
  <si>
    <t>Q5A</t>
  </si>
  <si>
    <t>Q5B</t>
  </si>
  <si>
    <t>Q5C</t>
  </si>
  <si>
    <t>Q5D</t>
  </si>
  <si>
    <t>Q6A</t>
  </si>
  <si>
    <t>Q6B</t>
  </si>
  <si>
    <t>Q6C</t>
  </si>
  <si>
    <t>Q6D</t>
  </si>
  <si>
    <t>Q7A</t>
  </si>
  <si>
    <t>Q7B</t>
  </si>
  <si>
    <t>Q7C</t>
  </si>
  <si>
    <t>Q7D</t>
  </si>
  <si>
    <t>Q8A</t>
  </si>
  <si>
    <t>Q8B</t>
  </si>
  <si>
    <t>Q8C</t>
  </si>
  <si>
    <t>Q8D</t>
  </si>
  <si>
    <t>Q1-20</t>
  </si>
  <si>
    <t>Total Test1</t>
  </si>
  <si>
    <t>Grade</t>
  </si>
  <si>
    <t>B</t>
  </si>
  <si>
    <t>C</t>
  </si>
  <si>
    <t>A</t>
  </si>
  <si>
    <t>F</t>
  </si>
  <si>
    <t>B=Sum of Marks &gt; 60%</t>
  </si>
  <si>
    <t>CO Attainment = B/A</t>
  </si>
  <si>
    <t>DAYANANDA SAGAR COLLEGE OF ENGINEERING, BANGALORE-560 111</t>
  </si>
  <si>
    <t>DEPARTMENT OF ARTIFICIAL INTELLEGENCE &amp; MACHINE LEARNING</t>
  </si>
  <si>
    <t>Test</t>
  </si>
  <si>
    <t>POs Mapped</t>
  </si>
  <si>
    <t>A=No. of Students Attempted the Question</t>
  </si>
  <si>
    <t>CO Attainment of LAB
Total Percentage
 (Average)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</si>
  <si>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</si>
  <si>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</si>
  <si>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</si>
  <si>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</si>
  <si>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</si>
  <si>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</si>
  <si>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</si>
  <si>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</si>
  <si>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</si>
  <si>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</si>
  <si>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 Attainment</t>
  </si>
  <si>
    <t xml:space="preserve">PO Attainment (LAB)
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</si>
  <si>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</si>
  <si>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</si>
  <si>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</si>
  <si>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</si>
  <si>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</si>
  <si>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</si>
  <si>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</si>
  <si>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</si>
  <si>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</si>
  <si>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</si>
  <si>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</si>
  <si>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</si>
  <si>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Case 1</t>
  </si>
  <si>
    <t>Eff</t>
  </si>
  <si>
    <t>ID</t>
  </si>
  <si>
    <t>H</t>
  </si>
  <si>
    <t>M</t>
  </si>
  <si>
    <t>L</t>
  </si>
  <si>
    <t>Remember/
Understand</t>
  </si>
  <si>
    <t>1/2</t>
  </si>
  <si>
    <t>Apply</t>
  </si>
  <si>
    <t>Analyze</t>
  </si>
  <si>
    <t>Design</t>
  </si>
  <si>
    <t>&lt;----</t>
  </si>
  <si>
    <t>Bloom's Level (BL)</t>
  </si>
  <si>
    <t xml:space="preserve">CO-PO MAPPING
</t>
  </si>
  <si>
    <t>Target set in %</t>
  </si>
  <si>
    <t>PSO1</t>
  </si>
  <si>
    <t>PSO2</t>
  </si>
  <si>
    <t>PSO3</t>
  </si>
  <si>
    <t>Average</t>
  </si>
  <si>
    <t>CIE :                     CO-PO-PSO 
MAPPING</t>
  </si>
  <si>
    <t>Q#</t>
  </si>
  <si>
    <t>Marks</t>
  </si>
  <si>
    <t>CO</t>
  </si>
  <si>
    <t>PO</t>
  </si>
  <si>
    <t>PSO</t>
  </si>
  <si>
    <t>BL</t>
  </si>
  <si>
    <t>SEE: CO-PO-PSO 
MAPPING</t>
  </si>
  <si>
    <t>TEST-1</t>
  </si>
  <si>
    <t>Question</t>
  </si>
  <si>
    <t>Course End Survey</t>
  </si>
  <si>
    <t>Best Practices through Course</t>
  </si>
  <si>
    <t>Excellent</t>
  </si>
  <si>
    <t>Good</t>
  </si>
  <si>
    <t>Moderate</t>
  </si>
  <si>
    <t>Poor</t>
  </si>
  <si>
    <t>ICT Tools used</t>
  </si>
  <si>
    <t>Used Google QUIZ to conduct onlize quiz</t>
  </si>
  <si>
    <t>Class Room Learning Strategy</t>
  </si>
  <si>
    <t xml:space="preserve">PPT and Chalk &amp; Board; </t>
  </si>
  <si>
    <t>Course URL if any</t>
  </si>
  <si>
    <t>https://classroom.google.com/u/1/c/NDMwMDM2OTkxMDI1</t>
  </si>
  <si>
    <t>Any other</t>
  </si>
  <si>
    <t>The students were asked to simulate digital circuits using iVerilog</t>
  </si>
  <si>
    <t>Comments by Faculty</t>
  </si>
  <si>
    <t>5,9,10,12,</t>
  </si>
  <si>
    <t>TEST-2</t>
  </si>
  <si>
    <t>Total</t>
  </si>
  <si>
    <t>TEST-3</t>
  </si>
  <si>
    <t>1,2,5,9,10,12</t>
  </si>
  <si>
    <t>1,2,5,9,10,13</t>
  </si>
  <si>
    <t>Lab</t>
  </si>
  <si>
    <t>Project</t>
  </si>
  <si>
    <t>Enter the Cell Range of CO Mapped :</t>
  </si>
  <si>
    <t>From:</t>
  </si>
  <si>
    <t>To:</t>
  </si>
  <si>
    <r>
      <t>(</t>
    </r>
    <r>
      <rPr>
        <sz val="11"/>
        <color indexed="10"/>
        <rFont val="Calibri"/>
        <family val="2"/>
      </rPr>
      <t>from Theory Sheet</t>
    </r>
    <r>
      <rPr>
        <sz val="11"/>
        <color theme="1"/>
        <rFont val="Calibri"/>
        <family val="2"/>
        <scheme val="minor"/>
      </rPr>
      <t>)</t>
    </r>
  </si>
  <si>
    <r>
      <t>(</t>
    </r>
    <r>
      <rPr>
        <sz val="11"/>
        <color indexed="10"/>
        <rFont val="Calibri"/>
        <family val="2"/>
      </rPr>
      <t>Example:  D9-DD9</t>
    </r>
    <r>
      <rPr>
        <sz val="11"/>
        <color theme="1"/>
        <rFont val="Calibri"/>
        <family val="2"/>
        <scheme val="minor"/>
      </rPr>
      <t xml:space="preserve">)  </t>
    </r>
  </si>
  <si>
    <t>Enter the Cell Range of CO Attainment :</t>
  </si>
  <si>
    <t xml:space="preserve">CO Attainment 
</t>
  </si>
  <si>
    <t>(THEORY)</t>
  </si>
  <si>
    <t>CIE - CO ASESSEMENT</t>
  </si>
  <si>
    <t>CIE</t>
  </si>
  <si>
    <t>SEE</t>
  </si>
  <si>
    <t>CES</t>
  </si>
  <si>
    <t>CIE + SEE</t>
  </si>
  <si>
    <t>CIE Marks distribution</t>
  </si>
  <si>
    <t>0-5</t>
  </si>
  <si>
    <t>06--10</t>
  </si>
  <si>
    <t>11--15</t>
  </si>
  <si>
    <t>16--20</t>
  </si>
  <si>
    <t>21--25</t>
  </si>
  <si>
    <t>26--30</t>
  </si>
  <si>
    <t>31--35</t>
  </si>
  <si>
    <t>36--40</t>
  </si>
  <si>
    <t>41--45</t>
  </si>
  <si>
    <t>46--50</t>
  </si>
  <si>
    <t>Correlation</t>
  </si>
  <si>
    <t>Percentage of marks distribution to CO's</t>
  </si>
  <si>
    <t>Effective Attainment</t>
  </si>
  <si>
    <t>Attainment Percentage</t>
  </si>
  <si>
    <t>Total Marks</t>
  </si>
  <si>
    <t>Percentage</t>
  </si>
  <si>
    <t xml:space="preserve">CO-PO MAPPING (Auto Level calculation)
</t>
  </si>
  <si>
    <t>PO ASESSEMENT</t>
  </si>
  <si>
    <t>CIE Marks %</t>
  </si>
  <si>
    <t>Micro-level Audit of Assessment Tool(s) used</t>
  </si>
  <si>
    <t>Micro-level Audit of SEE Question Paper</t>
  </si>
  <si>
    <t>Remember/Understand</t>
  </si>
  <si>
    <t>Apply knowledge</t>
  </si>
  <si>
    <t>Any other
 (specify)</t>
  </si>
  <si>
    <t>Total 
Marks</t>
  </si>
  <si>
    <t>Total
Marks</t>
  </si>
  <si>
    <t>LAB</t>
  </si>
  <si>
    <t>CO ATTAINMENT</t>
  </si>
  <si>
    <t>PO ATTAINMENT
(in %)</t>
  </si>
  <si>
    <t>PO ATTAINMENT
(in 1-3 Range)</t>
  </si>
  <si>
    <t>QUIZ 1</t>
  </si>
  <si>
    <t xml:space="preserve">POs Mapped </t>
  </si>
  <si>
    <t>SET A</t>
  </si>
  <si>
    <t>SET B</t>
  </si>
  <si>
    <t>SET C</t>
  </si>
  <si>
    <t>SET D</t>
  </si>
  <si>
    <t>CO Attainment 
Total Percentage
 (Average)</t>
  </si>
  <si>
    <t>By Marks</t>
  </si>
  <si>
    <t>QUIZ 2</t>
  </si>
  <si>
    <r>
      <t>(</t>
    </r>
    <r>
      <rPr>
        <sz val="11"/>
        <color indexed="10"/>
        <rFont val="Calibri"/>
        <family val="2"/>
      </rPr>
      <t>Example:  D86-DD86</t>
    </r>
    <r>
      <rPr>
        <sz val="11"/>
        <color theme="1"/>
        <rFont val="Calibri"/>
        <family val="2"/>
        <scheme val="minor"/>
      </rPr>
      <t xml:space="preserve">)  </t>
    </r>
  </si>
  <si>
    <t>CO #</t>
  </si>
  <si>
    <t>CO Targets:</t>
  </si>
  <si>
    <t xml:space="preserve">                              IAT-1</t>
  </si>
  <si>
    <t>IAT-2</t>
  </si>
  <si>
    <t>IAT-3</t>
  </si>
  <si>
    <t>Lab-CIE (30)</t>
  </si>
  <si>
    <t>LAB IA (20)</t>
  </si>
  <si>
    <t>Question maps to which course outcome?</t>
  </si>
  <si>
    <t>Sl NO</t>
  </si>
  <si>
    <t>Name</t>
  </si>
  <si>
    <t>MAX MARKS</t>
  </si>
  <si>
    <t>0,5,6</t>
  </si>
  <si>
    <t>IA3-TOTAL</t>
  </si>
  <si>
    <t>IA1-TOTAL</t>
  </si>
  <si>
    <t xml:space="preserve">QUIZ          (10)     </t>
  </si>
  <si>
    <t>AAT           (10)</t>
  </si>
  <si>
    <t>LAB           (50)</t>
  </si>
  <si>
    <t>CIA (50)</t>
  </si>
  <si>
    <t>CIA-1 (50)</t>
  </si>
  <si>
    <t>CIA-2 (50)</t>
  </si>
  <si>
    <t>CIA-3 (50)</t>
  </si>
  <si>
    <t>CIA-1 (30)</t>
  </si>
  <si>
    <t>CIA-2 (30)</t>
  </si>
  <si>
    <t>CIA-3 (30)</t>
  </si>
  <si>
    <t>IA2-TOTAL</t>
  </si>
  <si>
    <t>AVG CIA (30)</t>
  </si>
  <si>
    <t>CIA</t>
  </si>
  <si>
    <t>THEORY CIA (50)</t>
  </si>
  <si>
    <t>THEORY CIA (30)</t>
  </si>
  <si>
    <t>LAB CIA (20)</t>
  </si>
  <si>
    <t>SEE (50)</t>
  </si>
  <si>
    <t>0,1,2,3,4</t>
  </si>
  <si>
    <t>0,1,2,3,4,5,6</t>
  </si>
  <si>
    <t>IPCC</t>
  </si>
  <si>
    <t>STAND ALONE LAB</t>
  </si>
  <si>
    <t>STAND ALONE THEORY</t>
  </si>
  <si>
    <t>Final 
CIA</t>
  </si>
  <si>
    <t>co wise marks*po#/sum po</t>
  </si>
  <si>
    <t>co att*po#/sum total</t>
  </si>
  <si>
    <t>CO Attainment of CIE  
(Average of Theory + AAT+Quiz + Lab)</t>
  </si>
  <si>
    <t>ATTND (34/40)</t>
  </si>
  <si>
    <t>TEST (12/30)</t>
  </si>
  <si>
    <t>AAT (8/20)</t>
  </si>
  <si>
    <t>ATTND-THEORY (34/40)</t>
  </si>
  <si>
    <t>ATTND-LAB (11/12)</t>
  </si>
  <si>
    <t>LAB-CLASS WORK (12/30)</t>
  </si>
  <si>
    <t>LAB-TEST (8/20)</t>
  </si>
  <si>
    <t>ATTND (11/12)</t>
  </si>
  <si>
    <t>LAB-CLASS-WORK (12/30)</t>
  </si>
  <si>
    <t>SL#</t>
  </si>
  <si>
    <t>STAND ALONE THEORY ATTENDANCE</t>
  </si>
  <si>
    <t>STAND ALONE LAB ATTENDANCE</t>
  </si>
  <si>
    <t>IPCC THEORY ATTENDANCE</t>
  </si>
  <si>
    <t>IPCC LAB ATTENDANCE</t>
  </si>
  <si>
    <t xml:space="preserve">IPCC TOTAL ATTENDANCE </t>
  </si>
  <si>
    <t>CREDIT-1</t>
  </si>
  <si>
    <t>CREDIT-2</t>
  </si>
  <si>
    <t>CREDIT-3</t>
  </si>
  <si>
    <t>ATT-THEORY (34/40)</t>
  </si>
  <si>
    <t>ATT-LAB (11/12)</t>
  </si>
  <si>
    <t>CIA1-C</t>
  </si>
  <si>
    <t>Attendance</t>
  </si>
  <si>
    <t>AAT+QUIZ</t>
  </si>
  <si>
    <t>AAT+QUIZ (10+10)</t>
  </si>
  <si>
    <t>Min</t>
  </si>
  <si>
    <t>CREDIT-4</t>
  </si>
  <si>
    <t>ATTND                (11/12)</t>
  </si>
  <si>
    <t>ATTND                (11/24)</t>
  </si>
  <si>
    <t>ATTND                   (34/40)</t>
  </si>
  <si>
    <t xml:space="preserve"> USN</t>
  </si>
  <si>
    <t>NO</t>
  </si>
  <si>
    <t>YES</t>
  </si>
  <si>
    <t>Final SEE MARKS</t>
  </si>
  <si>
    <t>COMPONENT-1</t>
  </si>
  <si>
    <t>COMPONENT-2</t>
  </si>
  <si>
    <t>ENTER ATTENDANCE MANUALLY FOR CSV FILE</t>
  </si>
  <si>
    <t>D12</t>
  </si>
  <si>
    <t>DD12</t>
  </si>
  <si>
    <t xml:space="preserve"> ATTENDANCE FOR CSV FILE</t>
  </si>
  <si>
    <t>Cell number of Co Attainment of 1st Question)</t>
  </si>
  <si>
    <t>Cell number of Co Attainment of Last Question)</t>
  </si>
  <si>
    <t>Co Mapped 1st Column</t>
  </si>
  <si>
    <t>Co Mapped Last  Column</t>
  </si>
  <si>
    <t>STUDENT NAME</t>
  </si>
  <si>
    <r>
      <rPr>
        <b/>
        <sz val="14"/>
        <color rgb="FF7030A0"/>
        <rFont val="Calibri"/>
        <family val="2"/>
        <scheme val="minor"/>
      </rPr>
      <t>credit 1</t>
    </r>
    <r>
      <rPr>
        <b/>
        <sz val="10"/>
        <color theme="1"/>
        <rFont val="Calibri"/>
        <family val="2"/>
        <scheme val="minor"/>
      </rPr>
      <t xml:space="preserve"> ATTND                (11/12)</t>
    </r>
  </si>
  <si>
    <r>
      <rPr>
        <b/>
        <sz val="14"/>
        <color rgb="FF7030A0"/>
        <rFont val="Calibri"/>
        <family val="2"/>
        <scheme val="minor"/>
      </rPr>
      <t>credit 2</t>
    </r>
    <r>
      <rPr>
        <b/>
        <sz val="10"/>
        <color theme="1"/>
        <rFont val="Calibri"/>
        <family val="2"/>
        <scheme val="minor"/>
      </rPr>
      <t xml:space="preserve"> ATTND                (11/24)</t>
    </r>
  </si>
  <si>
    <r>
      <rPr>
        <b/>
        <sz val="14"/>
        <color rgb="FF7030A0"/>
        <rFont val="Calibri"/>
        <family val="2"/>
        <scheme val="minor"/>
      </rPr>
      <t>credit 3</t>
    </r>
    <r>
      <rPr>
        <b/>
        <sz val="10"/>
        <color theme="1"/>
        <rFont val="Calibri"/>
        <family val="2"/>
        <scheme val="minor"/>
      </rPr>
      <t xml:space="preserve"> ATTND                   (34/40)</t>
    </r>
  </si>
  <si>
    <r>
      <rPr>
        <b/>
        <sz val="14"/>
        <color rgb="FF7030A0"/>
        <rFont val="Calibri"/>
        <family val="2"/>
        <scheme val="minor"/>
      </rPr>
      <t>credit 4</t>
    </r>
    <r>
      <rPr>
        <b/>
        <sz val="10"/>
        <color theme="1"/>
        <rFont val="Calibri"/>
        <family val="2"/>
        <scheme val="minor"/>
      </rPr>
      <t xml:space="preserve"> ATTND                (45/52)</t>
    </r>
  </si>
  <si>
    <t>ATTND                   (45/52)</t>
  </si>
  <si>
    <t>LAB CREDIT-1</t>
  </si>
  <si>
    <t>Do not Edit  here Course End Survey</t>
  </si>
  <si>
    <t>Continuous Internal  Evaluation-(CIE)</t>
  </si>
  <si>
    <t>FINAL LAB MARKS</t>
  </si>
  <si>
    <t>O</t>
  </si>
  <si>
    <t>A+</t>
  </si>
  <si>
    <t>B+</t>
  </si>
  <si>
    <t>PP</t>
  </si>
  <si>
    <t>Max Rating for CES-Q</t>
  </si>
  <si>
    <t xml:space="preserve"> Faculty: Dr. Reshma S </t>
  </si>
  <si>
    <t>COURSE EXIT-SURVEY REPORT</t>
  </si>
  <si>
    <t>CO Attainment =
90%(CIE-60% + SEE-40%) + CES-10%</t>
  </si>
  <si>
    <t>P</t>
  </si>
  <si>
    <t>s</t>
  </si>
  <si>
    <t>1DS21AI001</t>
  </si>
  <si>
    <t>ADITHYA N AWATI</t>
  </si>
  <si>
    <t>1DS21AI002</t>
  </si>
  <si>
    <t>AMIT A</t>
  </si>
  <si>
    <t>1DS21AI005</t>
  </si>
  <si>
    <t>ANKUSH G</t>
  </si>
  <si>
    <t>1DS21AI006</t>
  </si>
  <si>
    <t>ARYAMAN SAXENA</t>
  </si>
  <si>
    <t>1DS21AI007</t>
  </si>
  <si>
    <t>ASHWIN SAI G</t>
  </si>
  <si>
    <t>1DS21AI009</t>
  </si>
  <si>
    <t>BHARGAVI K</t>
  </si>
  <si>
    <t>1DS21AI014</t>
  </si>
  <si>
    <t>DARSHAN R</t>
  </si>
  <si>
    <t>1DS21AI017</t>
  </si>
  <si>
    <t>FATIMA ANEES MULLA</t>
  </si>
  <si>
    <t>1DS21AI019</t>
  </si>
  <si>
    <t>HARIKRISHNA M</t>
  </si>
  <si>
    <t>1DS21AI020</t>
  </si>
  <si>
    <t>HARSHITHA B</t>
  </si>
  <si>
    <t>1DS21AI021</t>
  </si>
  <si>
    <t>HARSHITHA S</t>
  </si>
  <si>
    <t>1DS21AI023</t>
  </si>
  <si>
    <t>HITHA N</t>
  </si>
  <si>
    <t>1DS21AI026</t>
  </si>
  <si>
    <t>KAASHIF MERAJ</t>
  </si>
  <si>
    <t>1DS21AI027</t>
  </si>
  <si>
    <t>KOTIREDDY CHARAN SIMHA REDDY</t>
  </si>
  <si>
    <t>1DS21AI028</t>
  </si>
  <si>
    <t>KRUTIKA R SINNUR</t>
  </si>
  <si>
    <t>1DS21AI030</t>
  </si>
  <si>
    <t>MANAS KALRA</t>
  </si>
  <si>
    <t>1DS21AI031</t>
  </si>
  <si>
    <t>MANASVINI T</t>
  </si>
  <si>
    <t>1DS21AI032</t>
  </si>
  <si>
    <t>MESHANK BANSAL</t>
  </si>
  <si>
    <t>1DS21AI034</t>
  </si>
  <si>
    <t>MONICA K C</t>
  </si>
  <si>
    <t>1DS21AI035</t>
  </si>
  <si>
    <t>NANDITHA K G</t>
  </si>
  <si>
    <t>1DS21AI038</t>
  </si>
  <si>
    <t>PRAJWAL K</t>
  </si>
  <si>
    <t>1DS21AI039</t>
  </si>
  <si>
    <t>PRAKRITI SINGH</t>
  </si>
  <si>
    <t>1DS21AI040</t>
  </si>
  <si>
    <t>PRERANA S B</t>
  </si>
  <si>
    <t>1DS21AI041</t>
  </si>
  <si>
    <t>RADHIKA MITTAL</t>
  </si>
  <si>
    <t>1DS21AI044</t>
  </si>
  <si>
    <t>S UDAY KUMAR</t>
  </si>
  <si>
    <t>1DS21AI045</t>
  </si>
  <si>
    <t>SHAMS AARIZE SIDDIQUE</t>
  </si>
  <si>
    <t>1DS21AI048</t>
  </si>
  <si>
    <t>1DS21AI049</t>
  </si>
  <si>
    <t>SHUBHAM MISHRA</t>
  </si>
  <si>
    <t>1DS21AI052</t>
  </si>
  <si>
    <t>SUPRITH A S</t>
  </si>
  <si>
    <t>1DS21AI053</t>
  </si>
  <si>
    <t>UDAYASURYA S</t>
  </si>
  <si>
    <t>1DS21AI054</t>
  </si>
  <si>
    <t>VELPULA JASWANTH REDDY</t>
  </si>
  <si>
    <t>1DS21AI055</t>
  </si>
  <si>
    <t>VIDYA V</t>
  </si>
  <si>
    <t>1DS21AI056</t>
  </si>
  <si>
    <t>YARASINGU SHANMUKHA PRIYA</t>
  </si>
  <si>
    <t>1DS21AI057</t>
  </si>
  <si>
    <t>YASH GOVIL</t>
  </si>
  <si>
    <t>1DS21AI058</t>
  </si>
  <si>
    <t>YASHAS A M</t>
  </si>
  <si>
    <t>1DS22AI400</t>
  </si>
  <si>
    <t>AKSHATA PUJAR</t>
  </si>
  <si>
    <t>1DS22AI401</t>
  </si>
  <si>
    <t>MEGHANA M D</t>
  </si>
  <si>
    <t>1DS22AI404</t>
  </si>
  <si>
    <t>S B GAGAN</t>
  </si>
  <si>
    <t>1DS22AI405</t>
  </si>
  <si>
    <t>1DS22AI406</t>
  </si>
  <si>
    <t>D86</t>
  </si>
  <si>
    <t>DD86</t>
  </si>
  <si>
    <t>SHAIK SUHANA</t>
  </si>
  <si>
    <t>SHASHANK L S</t>
  </si>
  <si>
    <t>Academic Year : 2023 -24</t>
  </si>
  <si>
    <t>Scheme :2021-25</t>
  </si>
  <si>
    <t>Semester : 6th</t>
  </si>
  <si>
    <t>Total Test 2</t>
  </si>
  <si>
    <t>Total Test 3</t>
  </si>
  <si>
    <t>Final SEE Grade</t>
  </si>
  <si>
    <t>COURSE TITLE :IoT &amp; 5G</t>
  </si>
  <si>
    <t>COURSE CODE : 21AI643</t>
  </si>
  <si>
    <t>o</t>
  </si>
  <si>
    <t>SHREYAS M J KALKUR</t>
  </si>
  <si>
    <t xml:space="preserve">Adithya Awati </t>
  </si>
  <si>
    <t>1ds21ai001</t>
  </si>
  <si>
    <t>Ankush G</t>
  </si>
  <si>
    <t xml:space="preserve">1DS21AI005 </t>
  </si>
  <si>
    <t>Aryaman saxena</t>
  </si>
  <si>
    <t>1ds21ai006</t>
  </si>
  <si>
    <t xml:space="preserve">Bhargavi K </t>
  </si>
  <si>
    <t xml:space="preserve">1DS21AI009 </t>
  </si>
  <si>
    <t>Darshan R</t>
  </si>
  <si>
    <t>1ds21ai014</t>
  </si>
  <si>
    <t>Fatima Anees Mulla</t>
  </si>
  <si>
    <t xml:space="preserve">Fatima Anees Mulla </t>
  </si>
  <si>
    <t xml:space="preserve">1DS21AI017 </t>
  </si>
  <si>
    <t xml:space="preserve">Harikrishna M </t>
  </si>
  <si>
    <t>Harshitha B</t>
  </si>
  <si>
    <t>1ds21ai020</t>
  </si>
  <si>
    <t>Harshitha S</t>
  </si>
  <si>
    <t>Hitha N</t>
  </si>
  <si>
    <t>Kaashif meraj</t>
  </si>
  <si>
    <t xml:space="preserve">1DS21AI026 </t>
  </si>
  <si>
    <t>K.Charan Simha Reddy</t>
  </si>
  <si>
    <t xml:space="preserve">Krutika R Sinnur </t>
  </si>
  <si>
    <t xml:space="preserve">Manasvini T </t>
  </si>
  <si>
    <t xml:space="preserve">Meshank Bansal </t>
  </si>
  <si>
    <t>1ds21ai032</t>
  </si>
  <si>
    <t>Monica K C</t>
  </si>
  <si>
    <t>Prajwal k</t>
  </si>
  <si>
    <t>Prakriti Singh</t>
  </si>
  <si>
    <t xml:space="preserve">Prerana S B </t>
  </si>
  <si>
    <t>Radhika Mittal</t>
  </si>
  <si>
    <t xml:space="preserve">S Uday Kumar </t>
  </si>
  <si>
    <t xml:space="preserve">1DS21AI044 </t>
  </si>
  <si>
    <t>Shams Aarize Siddique</t>
  </si>
  <si>
    <t>Shreyas M J Kalkur</t>
  </si>
  <si>
    <t xml:space="preserve">Shubham Mishra </t>
  </si>
  <si>
    <t xml:space="preserve">1DS21AI049 </t>
  </si>
  <si>
    <t xml:space="preserve">Suprith A.S </t>
  </si>
  <si>
    <t>1ds21ai052</t>
  </si>
  <si>
    <t xml:space="preserve">udaysurya </t>
  </si>
  <si>
    <t>1ds21ai053</t>
  </si>
  <si>
    <t xml:space="preserve">V Jaswanth Reddy </t>
  </si>
  <si>
    <t xml:space="preserve">1DS21AI054 </t>
  </si>
  <si>
    <t>Vidya V</t>
  </si>
  <si>
    <t xml:space="preserve">Priya </t>
  </si>
  <si>
    <t>1ds21ai056</t>
  </si>
  <si>
    <t xml:space="preserve">Yash Govil </t>
  </si>
  <si>
    <t xml:space="preserve">1DS21AI058 </t>
  </si>
  <si>
    <t xml:space="preserve">Akshata pujar </t>
  </si>
  <si>
    <t>S B Gagan</t>
  </si>
  <si>
    <t xml:space="preserve">Shaik Suhana </t>
  </si>
  <si>
    <t>Shashank L S</t>
  </si>
  <si>
    <t>Understand the foundations, enabling technologies and apply sensors in IoT environment.</t>
  </si>
  <si>
    <t>Utilize Python programming skills to devise an IoT ecosystem employing Raspberry Pi and Arduino.</t>
  </si>
  <si>
    <t>Analyze the architecture and role of physical and cloud servers in IoT environment</t>
  </si>
  <si>
    <t>Analyze the vulnerabilities and security challenges in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</si>
</sst>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00"/>
    <numFmt numFmtId="166" formatCode="0;[Red]0"/>
  </numFmts>
  <fonts count="1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9"/>
      <name val="Calibri"/>
      <family val="2"/>
    </font>
    <font>
      <sz val="11"/>
      <color theme="1"/>
      <name val="Calibri Light"/>
      <family val="1"/>
      <scheme val="maj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11"/>
      <color theme="1"/>
      <name val="Calibri"/>
      <family val="1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name val="Calibri Light"/>
      <family val="1"/>
      <scheme val="major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0"/>
      <name val="Calibri Light"/>
      <family val="1"/>
      <scheme val="major"/>
    </font>
    <font>
      <b/>
      <sz val="14"/>
      <color theme="1"/>
      <name val="Calibri"/>
      <family val="1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indexed="8"/>
      <name val="Tahoma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1"/>
      <scheme val="minor"/>
    </font>
    <font>
      <sz val="14"/>
      <color theme="1"/>
      <name val="Times New Roman"/>
      <family val="1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name val="Tahoma"/>
      <family val="2"/>
    </font>
    <font>
      <sz val="11"/>
      <color indexed="10"/>
      <name val="Calibri"/>
      <family val="2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Calibri"/>
      <family val="1"/>
      <scheme val="minor"/>
    </font>
    <font>
      <sz val="16"/>
      <color theme="1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16"/>
      <color theme="1"/>
      <name val="Times New Roman"/>
      <family val="1"/>
    </font>
    <font>
      <sz val="9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3"/>
      <name val="Calibri Light"/>
      <family val="1"/>
      <scheme val="major"/>
    </font>
    <font>
      <sz val="10"/>
      <name val="Calibri"/>
      <family val="2"/>
      <scheme val="minor"/>
    </font>
    <font>
      <sz val="10"/>
      <color rgb="FF0D0D0D"/>
      <name val="Arial"/>
      <family val="2"/>
    </font>
    <font>
      <sz val="10"/>
      <color rgb="FF262626"/>
      <name val="Arial"/>
      <family val="2"/>
    </font>
    <font>
      <sz val="9"/>
      <name val="Arial"/>
      <family val="2"/>
    </font>
    <font>
      <sz val="12"/>
      <color theme="1"/>
      <name val="Calibri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Arial"/>
      <family val="2"/>
    </font>
    <font>
      <sz val="8"/>
      <color theme="1"/>
      <name val="Times New Roman"/>
      <family val="1"/>
    </font>
    <font>
      <b/>
      <sz val="1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2"/>
      <name val="Calibri"/>
      <family val="2"/>
      <scheme val="minor"/>
    </font>
    <font>
      <b/>
      <sz val="72"/>
      <color theme="1"/>
      <name val="Calibri"/>
      <family val="1"/>
      <scheme val="minor"/>
    </font>
    <font>
      <b/>
      <sz val="72"/>
      <color theme="1"/>
      <name val="Calibri"/>
      <family val="2"/>
      <scheme val="minor"/>
    </font>
    <font>
      <b/>
      <sz val="16"/>
      <color rgb="FF0033CC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Arial"/>
      <family val="2"/>
    </font>
    <font>
      <b/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6"/>
      <color theme="0"/>
      <name val="Arial"/>
      <family val="2"/>
    </font>
    <font>
      <b/>
      <sz val="11"/>
      <color rgb="FF7030A0"/>
      <name val="Arial"/>
      <family val="2"/>
    </font>
    <font>
      <sz val="14"/>
      <color rgb="FFFF0000"/>
      <name val="Calibri"/>
      <family val="2"/>
      <scheme val="minor"/>
    </font>
    <font>
      <b/>
      <sz val="22"/>
      <color theme="1"/>
      <name val="Calibri"/>
      <family val="1"/>
      <scheme val="minor"/>
    </font>
    <font>
      <b/>
      <sz val="16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4"/>
      <color rgb="FF7030A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Aptos"/>
      <family val="2"/>
    </font>
    <font>
      <b/>
      <sz val="12"/>
      <color rgb="FF00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u/>
      <sz val="16"/>
      <color rgb="FF000000"/>
      <name val="Times New Roman"/>
      <family val="1"/>
    </font>
    <font>
      <sz val="9"/>
      <color theme="1"/>
      <name val="Calibri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Cambria"/>
      <family val="1"/>
    </font>
    <font>
      <sz val="9"/>
      <color theme="1"/>
      <name val="Times New Roman"/>
      <family val="1"/>
    </font>
    <font>
      <sz val="11"/>
      <color theme="1"/>
      <name val="Libre Baskerville"/>
    </font>
    <font>
      <sz val="10"/>
      <color theme="1"/>
      <name val="Libre Baskerville"/>
    </font>
    <font>
      <sz val="9"/>
      <color rgb="FF000000"/>
      <name val="Verdana"/>
      <family val="2"/>
    </font>
  </fonts>
  <fills count="5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5E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9EF3FE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A0684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AEABAB"/>
        <bgColor indexed="64"/>
      </patternFill>
    </fill>
    <fill>
      <patternFill patternType="solid">
        <fgColor rgb="FFD5EFFF"/>
        <bgColor rgb="FFD5EFFF"/>
      </patternFill>
    </fill>
    <fill>
      <patternFill patternType="solid">
        <fgColor theme="0"/>
        <bgColor theme="0"/>
      </patternFill>
    </fill>
    <fill>
      <patternFill patternType="solid">
        <fgColor rgb="FFECE8E1"/>
        <bgColor rgb="FFECE8E1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double">
        <color rgb="FFFF0000"/>
      </left>
      <right style="double">
        <color rgb="FFFF0000"/>
      </right>
      <top style="medium">
        <color rgb="FFC00000"/>
      </top>
      <bottom style="double">
        <color rgb="FFFF0000"/>
      </bottom>
      <diagonal/>
    </border>
    <border>
      <left style="double">
        <color rgb="FFFF0000"/>
      </left>
      <right style="medium">
        <color rgb="FFC00000"/>
      </right>
      <top style="medium">
        <color rgb="FFC00000"/>
      </top>
      <bottom style="double">
        <color rgb="FFFF0000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C00000"/>
      </right>
      <top style="double">
        <color rgb="FFFF0000"/>
      </top>
      <bottom style="double">
        <color rgb="FFFF000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 style="thin">
        <color indexed="64"/>
      </left>
      <right style="medium">
        <color theme="5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5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CCCCCC"/>
      </left>
      <right style="medium">
        <color rgb="FFED7D31"/>
      </right>
      <top style="medium">
        <color rgb="FFFF0000"/>
      </top>
      <bottom style="medium">
        <color rgb="FFFF0000"/>
      </bottom>
      <diagonal/>
    </border>
    <border>
      <left style="medium">
        <color rgb="FFCCCCCC"/>
      </left>
      <right style="medium">
        <color rgb="FF000000"/>
      </right>
      <top style="medium">
        <color rgb="FFFF0000"/>
      </top>
      <bottom style="medium">
        <color rgb="FFFF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FF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FF0000"/>
      </top>
      <bottom style="medium">
        <color rgb="FF000000"/>
      </bottom>
      <diagonal/>
    </border>
    <border>
      <left/>
      <right/>
      <top style="medium">
        <color rgb="FFFF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33" fillId="0" borderId="0" applyNumberFormat="0" applyFill="0" applyBorder="0" applyAlignment="0" applyProtection="0"/>
    <xf numFmtId="0" fontId="1" fillId="0" borderId="0"/>
  </cellStyleXfs>
  <cellXfs count="676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10" fillId="2" borderId="1" xfId="2" applyFont="1" applyFill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/>
    </xf>
    <xf numFmtId="0" fontId="10" fillId="0" borderId="5" xfId="2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4" fillId="0" borderId="3" xfId="0" applyFont="1" applyBorder="1"/>
    <xf numFmtId="0" fontId="14" fillId="0" borderId="1" xfId="0" applyFont="1" applyBorder="1" applyAlignment="1">
      <alignment wrapText="1"/>
    </xf>
    <xf numFmtId="0" fontId="8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7" fillId="2" borderId="3" xfId="0" applyFont="1" applyFill="1" applyBorder="1"/>
    <xf numFmtId="0" fontId="7" fillId="4" borderId="4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12" fillId="0" borderId="0" xfId="0" applyFont="1"/>
    <xf numFmtId="0" fontId="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0" fillId="0" borderId="1" xfId="2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/>
    </xf>
    <xf numFmtId="0" fontId="21" fillId="0" borderId="1" xfId="2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23" fillId="0" borderId="1" xfId="2" applyFont="1" applyBorder="1" applyAlignment="1">
      <alignment horizontal="center"/>
    </xf>
    <xf numFmtId="0" fontId="23" fillId="0" borderId="9" xfId="2" applyFont="1" applyBorder="1" applyAlignment="1">
      <alignment horizontal="center"/>
    </xf>
    <xf numFmtId="0" fontId="0" fillId="0" borderId="0" xfId="0" applyAlignment="1">
      <alignment horizontal="center"/>
    </xf>
    <xf numFmtId="0" fontId="24" fillId="10" borderId="1" xfId="0" applyFont="1" applyFill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5" fillId="0" borderId="18" xfId="0" applyFont="1" applyBorder="1" applyAlignment="1">
      <alignment horizontal="center" vertical="center"/>
    </xf>
    <xf numFmtId="0" fontId="24" fillId="10" borderId="0" xfId="0" applyFont="1" applyFill="1" applyAlignment="1">
      <alignment horizontal="right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/>
    <xf numFmtId="0" fontId="26" fillId="2" borderId="5" xfId="3" applyFont="1" applyFill="1" applyBorder="1" applyAlignment="1">
      <alignment horizontal="left" wrapText="1"/>
    </xf>
    <xf numFmtId="0" fontId="19" fillId="5" borderId="1" xfId="0" applyFont="1" applyFill="1" applyBorder="1" applyAlignment="1">
      <alignment horizontal="center"/>
    </xf>
    <xf numFmtId="0" fontId="4" fillId="2" borderId="3" xfId="0" applyFont="1" applyFill="1" applyBorder="1"/>
    <xf numFmtId="2" fontId="19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18" fillId="0" borderId="0" xfId="0" applyFont="1"/>
    <xf numFmtId="0" fontId="18" fillId="0" borderId="1" xfId="0" applyFont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7" fillId="1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9" fontId="1" fillId="14" borderId="1" xfId="1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2" fillId="15" borderId="1" xfId="0" applyFont="1" applyFill="1" applyBorder="1" applyAlignment="1">
      <alignment horizontal="center" vertical="center"/>
    </xf>
    <xf numFmtId="9" fontId="1" fillId="0" borderId="1" xfId="1" applyFont="1" applyBorder="1" applyAlignment="1">
      <alignment horizontal="center"/>
    </xf>
    <xf numFmtId="0" fontId="0" fillId="18" borderId="1" xfId="0" applyFill="1" applyBorder="1" applyAlignment="1">
      <alignment wrapText="1"/>
    </xf>
    <xf numFmtId="16" fontId="34" fillId="0" borderId="1" xfId="0" quotePrefix="1" applyNumberFormat="1" applyFont="1" applyBorder="1" applyAlignment="1">
      <alignment horizontal="center" vertical="center"/>
    </xf>
    <xf numFmtId="0" fontId="0" fillId="19" borderId="1" xfId="0" applyFill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8" fillId="13" borderId="7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center" vertical="center"/>
    </xf>
    <xf numFmtId="0" fontId="18" fillId="12" borderId="19" xfId="0" applyFont="1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5" borderId="4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5" xfId="0" applyFill="1" applyBorder="1"/>
    <xf numFmtId="0" fontId="0" fillId="20" borderId="4" xfId="0" applyFill="1" applyBorder="1"/>
    <xf numFmtId="0" fontId="0" fillId="20" borderId="1" xfId="0" applyFill="1" applyBorder="1" applyAlignment="1">
      <alignment horizontal="center" vertical="center" wrapText="1"/>
    </xf>
    <xf numFmtId="1" fontId="0" fillId="20" borderId="1" xfId="0" applyNumberForma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40" fillId="4" borderId="5" xfId="0" applyFont="1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/>
    </xf>
    <xf numFmtId="0" fontId="8" fillId="4" borderId="1" xfId="0" applyFont="1" applyFill="1" applyBorder="1" applyAlignment="1">
      <alignment vertical="center" wrapText="1"/>
    </xf>
    <xf numFmtId="0" fontId="0" fillId="20" borderId="2" xfId="0" applyFill="1" applyBorder="1"/>
    <xf numFmtId="0" fontId="0" fillId="20" borderId="5" xfId="0" applyFill="1" applyBorder="1"/>
    <xf numFmtId="0" fontId="42" fillId="19" borderId="1" xfId="0" applyFont="1" applyFill="1" applyBorder="1" applyAlignment="1">
      <alignment horizontal="center"/>
    </xf>
    <xf numFmtId="0" fontId="18" fillId="22" borderId="1" xfId="0" applyFont="1" applyFill="1" applyBorder="1" applyAlignment="1">
      <alignment horizontal="left" vertical="center"/>
    </xf>
    <xf numFmtId="1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8" fillId="22" borderId="1" xfId="0" applyFont="1" applyFill="1" applyBorder="1" applyAlignment="1">
      <alignment horizontal="center" vertical="center"/>
    </xf>
    <xf numFmtId="0" fontId="0" fillId="19" borderId="4" xfId="0" applyFill="1" applyBorder="1"/>
    <xf numFmtId="0" fontId="0" fillId="19" borderId="1" xfId="0" applyFill="1" applyBorder="1"/>
    <xf numFmtId="1" fontId="0" fillId="19" borderId="1" xfId="0" applyNumberFormat="1" applyFill="1" applyBorder="1" applyAlignment="1">
      <alignment horizontal="center" vertical="center"/>
    </xf>
    <xf numFmtId="0" fontId="0" fillId="19" borderId="2" xfId="0" applyFill="1" applyBorder="1" applyAlignment="1">
      <alignment horizontal="center"/>
    </xf>
    <xf numFmtId="0" fontId="4" fillId="0" borderId="21" xfId="0" applyFont="1" applyBorder="1" applyAlignment="1">
      <alignment vertical="center" wrapText="1"/>
    </xf>
    <xf numFmtId="0" fontId="4" fillId="0" borderId="1" xfId="0" applyFont="1" applyBorder="1"/>
    <xf numFmtId="0" fontId="0" fillId="0" borderId="7" xfId="0" applyBorder="1" applyAlignment="1">
      <alignment horizontal="center" vertical="center"/>
    </xf>
    <xf numFmtId="0" fontId="0" fillId="19" borderId="2" xfId="0" applyFill="1" applyBorder="1"/>
    <xf numFmtId="0" fontId="18" fillId="0" borderId="1" xfId="0" applyFont="1" applyBorder="1" applyAlignment="1">
      <alignment horizontal="center"/>
    </xf>
    <xf numFmtId="0" fontId="0" fillId="19" borderId="5" xfId="0" applyFill="1" applyBorder="1"/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0" borderId="7" xfId="0" applyBorder="1"/>
    <xf numFmtId="1" fontId="0" fillId="19" borderId="1" xfId="0" applyNumberFormat="1" applyFill="1" applyBorder="1" applyAlignment="1">
      <alignment horizontal="left" vertical="center"/>
    </xf>
    <xf numFmtId="0" fontId="0" fillId="19" borderId="1" xfId="0" applyFill="1" applyBorder="1" applyAlignment="1">
      <alignment horizontal="left" vertical="center"/>
    </xf>
    <xf numFmtId="0" fontId="18" fillId="23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/>
    <xf numFmtId="1" fontId="7" fillId="0" borderId="3" xfId="0" applyNumberFormat="1" applyFont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0" fillId="0" borderId="3" xfId="0" applyBorder="1"/>
    <xf numFmtId="0" fontId="19" fillId="5" borderId="3" xfId="0" applyFont="1" applyFill="1" applyBorder="1" applyAlignment="1">
      <alignment horizontal="center"/>
    </xf>
    <xf numFmtId="2" fontId="19" fillId="5" borderId="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5" borderId="24" xfId="0" applyFont="1" applyFill="1" applyBorder="1"/>
    <xf numFmtId="0" fontId="0" fillId="25" borderId="25" xfId="0" applyFill="1" applyBorder="1"/>
    <xf numFmtId="0" fontId="4" fillId="0" borderId="25" xfId="0" applyFont="1" applyBorder="1"/>
    <xf numFmtId="0" fontId="0" fillId="23" borderId="26" xfId="0" applyFill="1" applyBorder="1"/>
    <xf numFmtId="0" fontId="0" fillId="23" borderId="27" xfId="0" applyFill="1" applyBorder="1"/>
    <xf numFmtId="0" fontId="4" fillId="0" borderId="0" xfId="0" applyFont="1" applyAlignment="1">
      <alignment horizontal="center"/>
    </xf>
    <xf numFmtId="0" fontId="29" fillId="0" borderId="0" xfId="0" applyFont="1"/>
    <xf numFmtId="0" fontId="4" fillId="0" borderId="28" xfId="0" applyFont="1" applyBorder="1" applyAlignment="1">
      <alignment horizontal="center"/>
    </xf>
    <xf numFmtId="0" fontId="0" fillId="0" borderId="29" xfId="0" applyBorder="1"/>
    <xf numFmtId="0" fontId="5" fillId="0" borderId="0" xfId="0" applyFont="1"/>
    <xf numFmtId="0" fontId="4" fillId="25" borderId="28" xfId="0" applyFont="1" applyFill="1" applyBorder="1"/>
    <xf numFmtId="0" fontId="0" fillId="25" borderId="0" xfId="0" applyFill="1"/>
    <xf numFmtId="0" fontId="4" fillId="0" borderId="0" xfId="0" applyFont="1"/>
    <xf numFmtId="0" fontId="0" fillId="23" borderId="30" xfId="0" applyFill="1" applyBorder="1"/>
    <xf numFmtId="0" fontId="0" fillId="23" borderId="31" xfId="0" applyFill="1" applyBorder="1"/>
    <xf numFmtId="0" fontId="4" fillId="0" borderId="32" xfId="0" applyFont="1" applyBorder="1" applyAlignment="1">
      <alignment horizontal="center"/>
    </xf>
    <xf numFmtId="0" fontId="0" fillId="0" borderId="33" xfId="0" applyBorder="1"/>
    <xf numFmtId="0" fontId="29" fillId="0" borderId="33" xfId="0" applyFont="1" applyBorder="1"/>
    <xf numFmtId="0" fontId="0" fillId="0" borderId="34" xfId="0" applyBorder="1"/>
    <xf numFmtId="0" fontId="3" fillId="0" borderId="0" xfId="0" applyFont="1"/>
    <xf numFmtId="0" fontId="4" fillId="0" borderId="35" xfId="0" applyFont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0" fillId="26" borderId="20" xfId="0" applyFill="1" applyBorder="1" applyAlignment="1" applyProtection="1">
      <alignment horizontal="center" vertical="center" wrapText="1"/>
      <protection hidden="1"/>
    </xf>
    <xf numFmtId="0" fontId="28" fillId="0" borderId="1" xfId="0" applyFont="1" applyBorder="1" applyAlignment="1" applyProtection="1">
      <alignment horizontal="center"/>
      <protection hidden="1"/>
    </xf>
    <xf numFmtId="0" fontId="0" fillId="0" borderId="39" xfId="0" applyBorder="1"/>
    <xf numFmtId="0" fontId="0" fillId="0" borderId="40" xfId="0" applyBorder="1" applyProtection="1">
      <protection hidden="1"/>
    </xf>
    <xf numFmtId="0" fontId="0" fillId="0" borderId="0" xfId="0" applyProtection="1">
      <protection hidden="1"/>
    </xf>
    <xf numFmtId="0" fontId="4" fillId="0" borderId="20" xfId="0" applyFont="1" applyBorder="1" applyAlignment="1" applyProtection="1">
      <alignment horizontal="center" vertical="center" wrapText="1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29" fillId="27" borderId="1" xfId="0" applyFont="1" applyFill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29" fillId="4" borderId="4" xfId="0" applyFont="1" applyFill="1" applyBorder="1" applyAlignment="1" applyProtection="1">
      <alignment horizontal="center"/>
      <protection hidden="1"/>
    </xf>
    <xf numFmtId="0" fontId="0" fillId="4" borderId="5" xfId="0" applyFill="1" applyBorder="1" applyAlignment="1" applyProtection="1">
      <alignment horizontal="center" vertical="center"/>
      <protection hidden="1"/>
    </xf>
    <xf numFmtId="0" fontId="0" fillId="0" borderId="41" xfId="0" applyBorder="1"/>
    <xf numFmtId="0" fontId="0" fillId="0" borderId="23" xfId="0" applyBorder="1"/>
    <xf numFmtId="0" fontId="0" fillId="0" borderId="18" xfId="0" applyBorder="1"/>
    <xf numFmtId="16" fontId="0" fillId="0" borderId="1" xfId="0" applyNumberFormat="1" applyBorder="1"/>
    <xf numFmtId="0" fontId="5" fillId="27" borderId="0" xfId="0" applyFont="1" applyFill="1"/>
    <xf numFmtId="1" fontId="0" fillId="0" borderId="0" xfId="0" applyNumberFormat="1"/>
    <xf numFmtId="0" fontId="0" fillId="0" borderId="10" xfId="0" applyBorder="1"/>
    <xf numFmtId="0" fontId="48" fillId="0" borderId="0" xfId="0" applyFont="1"/>
    <xf numFmtId="0" fontId="0" fillId="29" borderId="1" xfId="0" applyFill="1" applyBorder="1" applyProtection="1">
      <protection hidden="1"/>
    </xf>
    <xf numFmtId="0" fontId="4" fillId="2" borderId="1" xfId="0" applyFont="1" applyFill="1" applyBorder="1"/>
    <xf numFmtId="0" fontId="0" fillId="2" borderId="1" xfId="0" applyFill="1" applyBorder="1" applyProtection="1">
      <protection hidden="1"/>
    </xf>
    <xf numFmtId="0" fontId="4" fillId="30" borderId="1" xfId="0" applyFont="1" applyFill="1" applyBorder="1"/>
    <xf numFmtId="0" fontId="0" fillId="30" borderId="1" xfId="0" applyFill="1" applyBorder="1" applyProtection="1">
      <protection hidden="1"/>
    </xf>
    <xf numFmtId="0" fontId="4" fillId="20" borderId="35" xfId="0" applyFont="1" applyFill="1" applyBorder="1" applyAlignment="1">
      <alignment horizontal="center" vertical="center" wrapText="1"/>
    </xf>
    <xf numFmtId="0" fontId="0" fillId="12" borderId="36" xfId="0" applyFill="1" applyBorder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50" fillId="0" borderId="0" xfId="0" applyFont="1"/>
    <xf numFmtId="0" fontId="50" fillId="19" borderId="1" xfId="0" applyFont="1" applyFill="1" applyBorder="1" applyAlignment="1" applyProtection="1">
      <alignment horizontal="center"/>
      <protection hidden="1"/>
    </xf>
    <xf numFmtId="0" fontId="51" fillId="0" borderId="0" xfId="0" applyFont="1"/>
    <xf numFmtId="0" fontId="51" fillId="2" borderId="1" xfId="0" applyFont="1" applyFill="1" applyBorder="1"/>
    <xf numFmtId="0" fontId="51" fillId="4" borderId="4" xfId="0" applyFont="1" applyFill="1" applyBorder="1"/>
    <xf numFmtId="0" fontId="29" fillId="26" borderId="0" xfId="0" applyFont="1" applyFill="1"/>
    <xf numFmtId="0" fontId="0" fillId="26" borderId="0" xfId="0" applyFill="1"/>
    <xf numFmtId="0" fontId="0" fillId="32" borderId="3" xfId="0" applyFill="1" applyBorder="1" applyAlignment="1">
      <alignment horizontal="center" vertical="center" wrapText="1"/>
    </xf>
    <xf numFmtId="0" fontId="0" fillId="32" borderId="43" xfId="0" applyFill="1" applyBorder="1" applyAlignment="1">
      <alignment horizontal="center" vertical="center" wrapText="1"/>
    </xf>
    <xf numFmtId="0" fontId="0" fillId="32" borderId="1" xfId="0" applyFill="1" applyBorder="1" applyAlignment="1">
      <alignment wrapText="1"/>
    </xf>
    <xf numFmtId="0" fontId="0" fillId="5" borderId="1" xfId="0" applyFill="1" applyBorder="1" applyAlignment="1" applyProtection="1">
      <alignment horizontal="center" vertical="center" wrapText="1"/>
      <protection hidden="1"/>
    </xf>
    <xf numFmtId="0" fontId="0" fillId="5" borderId="1" xfId="0" applyFill="1" applyBorder="1" applyProtection="1">
      <protection hidden="1"/>
    </xf>
    <xf numFmtId="0" fontId="0" fillId="18" borderId="1" xfId="0" applyFill="1" applyBorder="1" applyAlignment="1" applyProtection="1">
      <alignment horizontal="center" vertical="center" wrapText="1"/>
      <protection hidden="1"/>
    </xf>
    <xf numFmtId="0" fontId="0" fillId="19" borderId="1" xfId="0" applyFill="1" applyBorder="1" applyAlignment="1" applyProtection="1">
      <alignment horizontal="center" vertical="center"/>
      <protection hidden="1"/>
    </xf>
    <xf numFmtId="0" fontId="0" fillId="19" borderId="1" xfId="0" applyFill="1" applyBorder="1" applyProtection="1">
      <protection hidden="1"/>
    </xf>
    <xf numFmtId="0" fontId="0" fillId="26" borderId="1" xfId="0" applyFill="1" applyBorder="1" applyProtection="1">
      <protection hidden="1"/>
    </xf>
    <xf numFmtId="0" fontId="0" fillId="26" borderId="1" xfId="0" applyFill="1" applyBorder="1" applyAlignment="1" applyProtection="1">
      <alignment horizontal="center" vertical="center"/>
      <protection hidden="1"/>
    </xf>
    <xf numFmtId="0" fontId="0" fillId="18" borderId="1" xfId="0" applyFill="1" applyBorder="1" applyProtection="1">
      <protection hidden="1"/>
    </xf>
    <xf numFmtId="0" fontId="0" fillId="18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wrapText="1"/>
      <protection hidden="1"/>
    </xf>
    <xf numFmtId="1" fontId="54" fillId="0" borderId="1" xfId="0" applyNumberFormat="1" applyFont="1" applyBorder="1" applyAlignment="1" applyProtection="1">
      <alignment horizontal="center" vertical="center" wrapText="1"/>
      <protection hidden="1"/>
    </xf>
    <xf numFmtId="0" fontId="0" fillId="18" borderId="1" xfId="0" applyFill="1" applyBorder="1" applyAlignment="1" applyProtection="1">
      <alignment horizontal="left" vertical="center" wrapText="1"/>
      <protection hidden="1"/>
    </xf>
    <xf numFmtId="0" fontId="0" fillId="18" borderId="2" xfId="0" applyFill="1" applyBorder="1" applyProtection="1">
      <protection hidden="1"/>
    </xf>
    <xf numFmtId="0" fontId="0" fillId="32" borderId="7" xfId="0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2" fillId="0" borderId="0" xfId="0" applyFont="1"/>
    <xf numFmtId="0" fontId="8" fillId="7" borderId="1" xfId="0" applyFont="1" applyFill="1" applyBorder="1" applyAlignment="1">
      <alignment horizontal="center" wrapText="1"/>
    </xf>
    <xf numFmtId="0" fontId="20" fillId="7" borderId="1" xfId="2" applyFont="1" applyFill="1" applyBorder="1" applyAlignment="1">
      <alignment horizontal="center" vertical="center" wrapText="1"/>
    </xf>
    <xf numFmtId="0" fontId="21" fillId="7" borderId="1" xfId="2" applyFont="1" applyFill="1" applyBorder="1" applyAlignment="1">
      <alignment horizontal="center" vertical="center" wrapText="1"/>
    </xf>
    <xf numFmtId="0" fontId="21" fillId="0" borderId="9" xfId="2" applyFont="1" applyBorder="1" applyAlignment="1">
      <alignment horizontal="center" vertical="center" wrapText="1"/>
    </xf>
    <xf numFmtId="0" fontId="55" fillId="0" borderId="1" xfId="2" applyFont="1" applyBorder="1" applyAlignment="1">
      <alignment horizontal="center"/>
    </xf>
    <xf numFmtId="165" fontId="56" fillId="4" borderId="1" xfId="0" applyNumberFormat="1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left" vertical="center"/>
    </xf>
    <xf numFmtId="0" fontId="57" fillId="0" borderId="1" xfId="0" applyFont="1" applyBorder="1" applyAlignment="1">
      <alignment vertical="center"/>
    </xf>
    <xf numFmtId="0" fontId="58" fillId="0" borderId="1" xfId="5" applyFont="1" applyBorder="1" applyAlignment="1">
      <alignment horizontal="left" vertical="center"/>
    </xf>
    <xf numFmtId="0" fontId="26" fillId="0" borderId="5" xfId="3" applyFont="1" applyBorder="1" applyAlignment="1">
      <alignment horizontal="left" wrapText="1"/>
    </xf>
    <xf numFmtId="1" fontId="34" fillId="5" borderId="1" xfId="0" applyNumberFormat="1" applyFont="1" applyFill="1" applyBorder="1"/>
    <xf numFmtId="0" fontId="4" fillId="0" borderId="3" xfId="0" applyFont="1" applyBorder="1"/>
    <xf numFmtId="1" fontId="34" fillId="5" borderId="1" xfId="0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29" fillId="0" borderId="1" xfId="0" applyFont="1" applyBorder="1"/>
    <xf numFmtId="0" fontId="9" fillId="0" borderId="47" xfId="0" applyFont="1" applyBorder="1" applyAlignment="1">
      <alignment horizontal="left"/>
    </xf>
    <xf numFmtId="0" fontId="9" fillId="0" borderId="48" xfId="0" applyFont="1" applyBorder="1" applyAlignment="1">
      <alignment horizontal="left"/>
    </xf>
    <xf numFmtId="0" fontId="9" fillId="0" borderId="48" xfId="0" applyFont="1" applyBorder="1"/>
    <xf numFmtId="0" fontId="59" fillId="0" borderId="48" xfId="0" applyFont="1" applyBorder="1"/>
    <xf numFmtId="0" fontId="60" fillId="0" borderId="48" xfId="0" applyFont="1" applyBorder="1"/>
    <xf numFmtId="0" fontId="9" fillId="0" borderId="49" xfId="0" applyFont="1" applyBorder="1" applyAlignment="1">
      <alignment horizontal="center"/>
    </xf>
    <xf numFmtId="0" fontId="61" fillId="0" borderId="50" xfId="0" applyFont="1" applyBorder="1"/>
    <xf numFmtId="0" fontId="9" fillId="0" borderId="1" xfId="0" applyFont="1" applyBorder="1" applyAlignment="1">
      <alignment horizontal="center"/>
    </xf>
    <xf numFmtId="0" fontId="61" fillId="0" borderId="1" xfId="0" applyFont="1" applyBorder="1"/>
    <xf numFmtId="0" fontId="19" fillId="0" borderId="1" xfId="0" applyFont="1" applyBorder="1" applyAlignment="1">
      <alignment horizontal="center"/>
    </xf>
    <xf numFmtId="0" fontId="8" fillId="3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63" fillId="4" borderId="1" xfId="0" applyFont="1" applyFill="1" applyBorder="1" applyAlignment="1">
      <alignment horizontal="center" vertical="center"/>
    </xf>
    <xf numFmtId="0" fontId="63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64" fillId="0" borderId="0" xfId="0" applyFont="1" applyAlignment="1">
      <alignment vertical="center"/>
    </xf>
    <xf numFmtId="0" fontId="4" fillId="21" borderId="1" xfId="0" applyFont="1" applyFill="1" applyBorder="1" applyAlignment="1">
      <alignment horizontal="center"/>
    </xf>
    <xf numFmtId="0" fontId="65" fillId="39" borderId="1" xfId="0" applyFont="1" applyFill="1" applyBorder="1" applyAlignment="1">
      <alignment horizontal="center" wrapText="1"/>
    </xf>
    <xf numFmtId="0" fontId="65" fillId="0" borderId="1" xfId="0" applyFont="1" applyBorder="1" applyAlignment="1">
      <alignment horizontal="center" wrapText="1"/>
    </xf>
    <xf numFmtId="0" fontId="65" fillId="17" borderId="1" xfId="0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3" fillId="4" borderId="7" xfId="0" applyFont="1" applyFill="1" applyBorder="1" applyAlignment="1">
      <alignment horizontal="center" vertical="center"/>
    </xf>
    <xf numFmtId="0" fontId="71" fillId="2" borderId="1" xfId="0" applyFont="1" applyFill="1" applyBorder="1" applyAlignment="1">
      <alignment horizontal="center"/>
    </xf>
    <xf numFmtId="0" fontId="67" fillId="34" borderId="1" xfId="0" applyFont="1" applyFill="1" applyBorder="1" applyAlignment="1">
      <alignment horizontal="center" textRotation="255"/>
    </xf>
    <xf numFmtId="0" fontId="63" fillId="38" borderId="1" xfId="0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7" fillId="34" borderId="1" xfId="0" applyFont="1" applyFill="1" applyBorder="1" applyAlignment="1">
      <alignment textRotation="255"/>
    </xf>
    <xf numFmtId="0" fontId="66" fillId="4" borderId="1" xfId="0" applyFont="1" applyFill="1" applyBorder="1" applyAlignment="1">
      <alignment horizontal="center" vertical="center"/>
    </xf>
    <xf numFmtId="0" fontId="69" fillId="40" borderId="1" xfId="0" applyFont="1" applyFill="1" applyBorder="1" applyAlignment="1">
      <alignment horizontal="center"/>
    </xf>
    <xf numFmtId="0" fontId="70" fillId="40" borderId="1" xfId="0" applyFont="1" applyFill="1" applyBorder="1" applyAlignment="1">
      <alignment horizontal="center" wrapText="1"/>
    </xf>
    <xf numFmtId="0" fontId="19" fillId="40" borderId="1" xfId="0" applyFont="1" applyFill="1" applyBorder="1" applyAlignment="1">
      <alignment horizontal="center"/>
    </xf>
    <xf numFmtId="0" fontId="69" fillId="40" borderId="1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 wrapText="1"/>
    </xf>
    <xf numFmtId="0" fontId="7" fillId="4" borderId="0" xfId="0" applyFont="1" applyFill="1"/>
    <xf numFmtId="0" fontId="7" fillId="2" borderId="0" xfId="0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7" fillId="41" borderId="1" xfId="0" applyFont="1" applyFill="1" applyBorder="1" applyAlignment="1">
      <alignment horizontal="center"/>
    </xf>
    <xf numFmtId="0" fontId="7" fillId="40" borderId="1" xfId="0" applyFont="1" applyFill="1" applyBorder="1" applyAlignment="1">
      <alignment horizontal="center"/>
    </xf>
    <xf numFmtId="0" fontId="7" fillId="40" borderId="1" xfId="0" applyFont="1" applyFill="1" applyBorder="1" applyAlignment="1">
      <alignment horizontal="center" wrapText="1"/>
    </xf>
    <xf numFmtId="0" fontId="19" fillId="41" borderId="1" xfId="0" applyFont="1" applyFill="1" applyBorder="1"/>
    <xf numFmtId="2" fontId="19" fillId="41" borderId="1" xfId="0" applyNumberFormat="1" applyFont="1" applyFill="1" applyBorder="1"/>
    <xf numFmtId="0" fontId="15" fillId="41" borderId="0" xfId="0" applyFont="1" applyFill="1"/>
    <xf numFmtId="0" fontId="41" fillId="32" borderId="7" xfId="0" applyFont="1" applyFill="1" applyBorder="1" applyAlignment="1">
      <alignment horizontal="center" vertical="center" wrapText="1"/>
    </xf>
    <xf numFmtId="0" fontId="41" fillId="32" borderId="1" xfId="0" applyFont="1" applyFill="1" applyBorder="1" applyAlignment="1">
      <alignment horizontal="center" vertical="center" wrapText="1"/>
    </xf>
    <xf numFmtId="0" fontId="41" fillId="32" borderId="3" xfId="0" applyFont="1" applyFill="1" applyBorder="1" applyAlignment="1">
      <alignment horizontal="center" vertical="center" wrapText="1"/>
    </xf>
    <xf numFmtId="0" fontId="41" fillId="32" borderId="43" xfId="0" applyFont="1" applyFill="1" applyBorder="1" applyAlignment="1">
      <alignment horizontal="center" vertical="center" wrapText="1"/>
    </xf>
    <xf numFmtId="0" fontId="41" fillId="32" borderId="1" xfId="0" applyFont="1" applyFill="1" applyBorder="1" applyAlignment="1">
      <alignment wrapText="1"/>
    </xf>
    <xf numFmtId="0" fontId="27" fillId="9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hidden="1"/>
    </xf>
    <xf numFmtId="0" fontId="27" fillId="41" borderId="1" xfId="0" applyFont="1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0" fillId="41" borderId="1" xfId="0" applyFill="1" applyBorder="1" applyAlignment="1" applyProtection="1">
      <alignment horizontal="center" vertical="center" wrapText="1"/>
      <protection hidden="1"/>
    </xf>
    <xf numFmtId="0" fontId="51" fillId="4" borderId="0" xfId="0" applyFont="1" applyFill="1"/>
    <xf numFmtId="0" fontId="15" fillId="4" borderId="0" xfId="0" applyFont="1" applyFill="1"/>
    <xf numFmtId="0" fontId="51" fillId="4" borderId="1" xfId="0" applyFont="1" applyFill="1" applyBorder="1"/>
    <xf numFmtId="0" fontId="15" fillId="4" borderId="1" xfId="0" applyFont="1" applyFill="1" applyBorder="1"/>
    <xf numFmtId="0" fontId="38" fillId="28" borderId="45" xfId="0" applyFont="1" applyFill="1" applyBorder="1"/>
    <xf numFmtId="0" fontId="38" fillId="4" borderId="46" xfId="0" applyFont="1" applyFill="1" applyBorder="1" applyAlignment="1">
      <alignment wrapText="1"/>
    </xf>
    <xf numFmtId="0" fontId="38" fillId="42" borderId="1" xfId="0" applyFont="1" applyFill="1" applyBorder="1" applyAlignment="1">
      <alignment wrapText="1"/>
    </xf>
    <xf numFmtId="0" fontId="19" fillId="26" borderId="20" xfId="0" applyFont="1" applyFill="1" applyBorder="1" applyAlignment="1" applyProtection="1">
      <alignment horizontal="left" vertical="center" wrapText="1"/>
      <protection hidden="1"/>
    </xf>
    <xf numFmtId="0" fontId="19" fillId="28" borderId="20" xfId="0" applyFont="1" applyFill="1" applyBorder="1" applyProtection="1">
      <protection hidden="1"/>
    </xf>
    <xf numFmtId="0" fontId="19" fillId="26" borderId="40" xfId="0" applyFont="1" applyFill="1" applyBorder="1" applyAlignment="1" applyProtection="1">
      <alignment horizontal="left" vertical="center" wrapText="1"/>
      <protection hidden="1"/>
    </xf>
    <xf numFmtId="0" fontId="19" fillId="28" borderId="1" xfId="0" applyFont="1" applyFill="1" applyBorder="1" applyProtection="1">
      <protection hidden="1"/>
    </xf>
    <xf numFmtId="0" fontId="19" fillId="0" borderId="40" xfId="0" applyFont="1" applyBorder="1" applyProtection="1">
      <protection hidden="1"/>
    </xf>
    <xf numFmtId="0" fontId="7" fillId="27" borderId="1" xfId="0" applyFont="1" applyFill="1" applyBorder="1" applyAlignment="1" applyProtection="1">
      <alignment horizontal="center"/>
      <protection hidden="1"/>
    </xf>
    <xf numFmtId="0" fontId="7" fillId="20" borderId="4" xfId="0" applyFont="1" applyFill="1" applyBorder="1" applyAlignment="1" applyProtection="1">
      <alignment horizontal="center"/>
      <protection hidden="1"/>
    </xf>
    <xf numFmtId="0" fontId="7" fillId="4" borderId="4" xfId="0" applyFont="1" applyFill="1" applyBorder="1" applyAlignment="1" applyProtection="1">
      <alignment horizontal="center"/>
      <protection hidden="1"/>
    </xf>
    <xf numFmtId="0" fontId="7" fillId="4" borderId="1" xfId="0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Protection="1"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0" borderId="52" xfId="0" applyFont="1" applyBorder="1" applyAlignment="1">
      <alignment horizontal="center"/>
    </xf>
    <xf numFmtId="1" fontId="7" fillId="0" borderId="52" xfId="0" applyNumberFormat="1" applyFont="1" applyBorder="1" applyAlignment="1">
      <alignment horizontal="center"/>
    </xf>
    <xf numFmtId="0" fontId="75" fillId="43" borderId="1" xfId="0" applyFont="1" applyFill="1" applyBorder="1" applyAlignment="1">
      <alignment horizontal="center" wrapText="1"/>
    </xf>
    <xf numFmtId="0" fontId="75" fillId="43" borderId="1" xfId="0" applyFont="1" applyFill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7" borderId="1" xfId="0" applyFont="1" applyFill="1" applyBorder="1" applyAlignment="1">
      <alignment horizontal="center"/>
    </xf>
    <xf numFmtId="0" fontId="75" fillId="43" borderId="0" xfId="0" applyFont="1" applyFill="1" applyAlignment="1">
      <alignment horizontal="center"/>
    </xf>
    <xf numFmtId="0" fontId="75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19" fillId="0" borderId="0" xfId="0" applyFont="1" applyAlignment="1">
      <alignment vertical="center"/>
    </xf>
    <xf numFmtId="0" fontId="34" fillId="43" borderId="1" xfId="0" applyFont="1" applyFill="1" applyBorder="1" applyAlignment="1">
      <alignment horizontal="center" wrapText="1"/>
    </xf>
    <xf numFmtId="0" fontId="34" fillId="0" borderId="1" xfId="0" applyFont="1" applyBorder="1" applyAlignment="1">
      <alignment horizontal="center" wrapText="1"/>
    </xf>
    <xf numFmtId="0" fontId="34" fillId="7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38" fillId="41" borderId="1" xfId="0" applyFont="1" applyFill="1" applyBorder="1" applyAlignment="1">
      <alignment horizontal="center" wrapText="1"/>
    </xf>
    <xf numFmtId="0" fontId="19" fillId="41" borderId="1" xfId="0" applyFont="1" applyFill="1" applyBorder="1" applyAlignment="1">
      <alignment horizontal="center" wrapText="1"/>
    </xf>
    <xf numFmtId="0" fontId="29" fillId="41" borderId="1" xfId="0" applyFont="1" applyFill="1" applyBorder="1" applyAlignment="1">
      <alignment horizontal="center" wrapText="1"/>
    </xf>
    <xf numFmtId="0" fontId="37" fillId="11" borderId="1" xfId="0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/>
    </xf>
    <xf numFmtId="0" fontId="71" fillId="4" borderId="1" xfId="0" applyFon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70" fillId="41" borderId="1" xfId="0" applyFont="1" applyFill="1" applyBorder="1" applyAlignment="1">
      <alignment horizontal="center" wrapText="1"/>
    </xf>
    <xf numFmtId="0" fontId="19" fillId="41" borderId="1" xfId="0" applyFont="1" applyFill="1" applyBorder="1" applyAlignment="1">
      <alignment horizontal="center"/>
    </xf>
    <xf numFmtId="0" fontId="69" fillId="41" borderId="1" xfId="0" applyFont="1" applyFill="1" applyBorder="1" applyAlignment="1">
      <alignment horizontal="center" vertical="center"/>
    </xf>
    <xf numFmtId="0" fontId="71" fillId="41" borderId="1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69" fillId="40" borderId="7" xfId="0" applyFont="1" applyFill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21" borderId="1" xfId="0" applyFont="1" applyFill="1" applyBorder="1" applyAlignment="1">
      <alignment horizontal="center"/>
    </xf>
    <xf numFmtId="0" fontId="9" fillId="0" borderId="1" xfId="0" applyFont="1" applyBorder="1" applyAlignment="1">
      <alignment wrapText="1"/>
    </xf>
    <xf numFmtId="0" fontId="77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wrapText="1"/>
    </xf>
    <xf numFmtId="0" fontId="61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46" fillId="0" borderId="1" xfId="0" applyFont="1" applyBorder="1"/>
    <xf numFmtId="0" fontId="78" fillId="4" borderId="1" xfId="0" applyFont="1" applyFill="1" applyBorder="1" applyAlignment="1">
      <alignment horizontal="center" wrapText="1"/>
    </xf>
    <xf numFmtId="0" fontId="12" fillId="0" borderId="10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78" fillId="4" borderId="1" xfId="0" applyFont="1" applyFill="1" applyBorder="1" applyAlignment="1">
      <alignment horizontal="center" vertical="center"/>
    </xf>
    <xf numFmtId="0" fontId="78" fillId="38" borderId="1" xfId="0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wrapText="1"/>
    </xf>
    <xf numFmtId="0" fontId="61" fillId="0" borderId="1" xfId="0" applyFont="1" applyBorder="1" applyAlignment="1" applyProtection="1">
      <alignment horizontal="center" vertical="center" wrapText="1" readingOrder="1"/>
      <protection locked="0"/>
    </xf>
    <xf numFmtId="0" fontId="46" fillId="0" borderId="0" xfId="0" applyFont="1"/>
    <xf numFmtId="0" fontId="46" fillId="4" borderId="1" xfId="0" applyFont="1" applyFill="1" applyBorder="1" applyAlignment="1">
      <alignment horizontal="center" wrapText="1"/>
    </xf>
    <xf numFmtId="0" fontId="58" fillId="4" borderId="1" xfId="0" applyFont="1" applyFill="1" applyBorder="1" applyAlignment="1">
      <alignment horizontal="center"/>
    </xf>
    <xf numFmtId="0" fontId="46" fillId="4" borderId="0" xfId="0" applyFont="1" applyFill="1"/>
    <xf numFmtId="0" fontId="61" fillId="4" borderId="1" xfId="0" applyFont="1" applyFill="1" applyBorder="1" applyAlignment="1" applyProtection="1">
      <alignment horizontal="center" vertical="center" wrapText="1" readingOrder="1"/>
      <protection locked="0"/>
    </xf>
    <xf numFmtId="0" fontId="62" fillId="34" borderId="1" xfId="0" applyFont="1" applyFill="1" applyBorder="1"/>
    <xf numFmtId="2" fontId="49" fillId="34" borderId="1" xfId="0" applyNumberFormat="1" applyFont="1" applyFill="1" applyBorder="1" applyAlignment="1">
      <alignment horizontal="center" vertical="center"/>
    </xf>
    <xf numFmtId="2" fontId="49" fillId="34" borderId="1" xfId="0" applyNumberFormat="1" applyFont="1" applyFill="1" applyBorder="1"/>
    <xf numFmtId="0" fontId="6" fillId="34" borderId="1" xfId="0" applyFont="1" applyFill="1" applyBorder="1"/>
    <xf numFmtId="0" fontId="62" fillId="34" borderId="4" xfId="0" applyFont="1" applyFill="1" applyBorder="1"/>
    <xf numFmtId="0" fontId="70" fillId="18" borderId="1" xfId="0" applyFont="1" applyFill="1" applyBorder="1" applyAlignment="1">
      <alignment horizontal="center" wrapText="1"/>
    </xf>
    <xf numFmtId="0" fontId="71" fillId="38" borderId="1" xfId="0" applyFont="1" applyFill="1" applyBorder="1" applyAlignment="1">
      <alignment horizontal="center"/>
    </xf>
    <xf numFmtId="0" fontId="34" fillId="0" borderId="0" xfId="0" applyFont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4" fillId="0" borderId="2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9" fillId="43" borderId="22" xfId="0" applyFont="1" applyFill="1" applyBorder="1" applyAlignment="1">
      <alignment vertical="center"/>
    </xf>
    <xf numFmtId="0" fontId="19" fillId="43" borderId="7" xfId="0" applyFont="1" applyFill="1" applyBorder="1" applyAlignment="1">
      <alignment vertical="center"/>
    </xf>
    <xf numFmtId="0" fontId="49" fillId="33" borderId="0" xfId="0" applyFont="1" applyFill="1" applyAlignment="1">
      <alignment vertical="center"/>
    </xf>
    <xf numFmtId="2" fontId="49" fillId="34" borderId="7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65" fillId="39" borderId="3" xfId="0" applyFont="1" applyFill="1" applyBorder="1" applyAlignment="1">
      <alignment horizontal="center" wrapText="1"/>
    </xf>
    <xf numFmtId="0" fontId="62" fillId="34" borderId="3" xfId="0" applyFont="1" applyFill="1" applyBorder="1"/>
    <xf numFmtId="0" fontId="0" fillId="4" borderId="0" xfId="0" applyFill="1" applyAlignment="1">
      <alignment vertical="center"/>
    </xf>
    <xf numFmtId="0" fontId="0" fillId="0" borderId="52" xfId="0" applyBorder="1" applyAlignment="1">
      <alignment vertical="center"/>
    </xf>
    <xf numFmtId="0" fontId="65" fillId="17" borderId="3" xfId="0" applyFont="1" applyFill="1" applyBorder="1" applyAlignment="1">
      <alignment horizontal="center" wrapText="1"/>
    </xf>
    <xf numFmtId="0" fontId="62" fillId="34" borderId="6" xfId="0" applyFont="1" applyFill="1" applyBorder="1"/>
    <xf numFmtId="0" fontId="67" fillId="34" borderId="0" xfId="0" applyFont="1" applyFill="1" applyAlignment="1">
      <alignment horizontal="center" textRotation="255"/>
    </xf>
    <xf numFmtId="0" fontId="67" fillId="34" borderId="7" xfId="0" applyFont="1" applyFill="1" applyBorder="1" applyAlignment="1">
      <alignment textRotation="255"/>
    </xf>
    <xf numFmtId="0" fontId="67" fillId="34" borderId="7" xfId="0" applyFont="1" applyFill="1" applyBorder="1" applyAlignment="1">
      <alignment horizontal="center" textRotation="255"/>
    </xf>
    <xf numFmtId="0" fontId="4" fillId="2" borderId="1" xfId="0" applyFont="1" applyFill="1" applyBorder="1" applyAlignment="1">
      <alignment horizontal="center" vertical="center"/>
    </xf>
    <xf numFmtId="0" fontId="68" fillId="40" borderId="5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4" fillId="0" borderId="5" xfId="0" applyFont="1" applyBorder="1" applyAlignment="1">
      <alignment horizontal="center" wrapText="1"/>
    </xf>
    <xf numFmtId="0" fontId="82" fillId="40" borderId="1" xfId="0" applyFont="1" applyFill="1" applyBorder="1" applyAlignment="1">
      <alignment horizontal="center" vertical="center"/>
    </xf>
    <xf numFmtId="0" fontId="83" fillId="46" borderId="1" xfId="0" applyFont="1" applyFill="1" applyBorder="1" applyAlignment="1">
      <alignment horizontal="center" wrapText="1"/>
    </xf>
    <xf numFmtId="0" fontId="83" fillId="47" borderId="1" xfId="0" applyFont="1" applyFill="1" applyBorder="1" applyAlignment="1">
      <alignment horizontal="center" wrapText="1"/>
    </xf>
    <xf numFmtId="0" fontId="71" fillId="4" borderId="0" xfId="0" applyFont="1" applyFill="1" applyAlignment="1">
      <alignment horizontal="center"/>
    </xf>
    <xf numFmtId="0" fontId="84" fillId="4" borderId="1" xfId="0" applyFont="1" applyFill="1" applyBorder="1" applyAlignment="1">
      <alignment horizontal="center" vertical="center"/>
    </xf>
    <xf numFmtId="0" fontId="84" fillId="2" borderId="1" xfId="0" applyFont="1" applyFill="1" applyBorder="1" applyAlignment="1">
      <alignment horizontal="center" vertical="center"/>
    </xf>
    <xf numFmtId="0" fontId="74" fillId="4" borderId="1" xfId="0" applyFont="1" applyFill="1" applyBorder="1"/>
    <xf numFmtId="0" fontId="23" fillId="41" borderId="1" xfId="2" applyFont="1" applyFill="1" applyBorder="1" applyAlignment="1">
      <alignment horizontal="center"/>
    </xf>
    <xf numFmtId="0" fontId="4" fillId="41" borderId="1" xfId="0" applyFont="1" applyFill="1" applyBorder="1" applyAlignment="1">
      <alignment horizontal="center"/>
    </xf>
    <xf numFmtId="0" fontId="79" fillId="32" borderId="22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0" fillId="34" borderId="1" xfId="0" applyFont="1" applyFill="1" applyBorder="1" applyAlignment="1">
      <alignment horizontal="center"/>
    </xf>
    <xf numFmtId="0" fontId="90" fillId="34" borderId="1" xfId="0" applyFont="1" applyFill="1" applyBorder="1"/>
    <xf numFmtId="0" fontId="34" fillId="0" borderId="3" xfId="0" applyFont="1" applyBorder="1" applyAlignment="1">
      <alignment horizontal="center" wrapText="1"/>
    </xf>
    <xf numFmtId="0" fontId="3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74" fillId="28" borderId="1" xfId="0" applyFont="1" applyFill="1" applyBorder="1" applyAlignment="1">
      <alignment horizontal="center" vertical="center"/>
    </xf>
    <xf numFmtId="0" fontId="74" fillId="4" borderId="4" xfId="0" applyFont="1" applyFill="1" applyBorder="1" applyAlignment="1">
      <alignment horizontal="center" vertical="center"/>
    </xf>
    <xf numFmtId="1" fontId="74" fillId="4" borderId="4" xfId="0" applyNumberFormat="1" applyFont="1" applyFill="1" applyBorder="1" applyAlignment="1">
      <alignment horizontal="center" vertical="center"/>
    </xf>
    <xf numFmtId="0" fontId="74" fillId="42" borderId="1" xfId="0" applyFont="1" applyFill="1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0" fontId="95" fillId="4" borderId="44" xfId="0" applyFont="1" applyFill="1" applyBorder="1" applyAlignment="1">
      <alignment horizontal="center" vertical="center"/>
    </xf>
    <xf numFmtId="0" fontId="96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96" fillId="2" borderId="1" xfId="0" applyFont="1" applyFill="1" applyBorder="1" applyAlignment="1">
      <alignment horizontal="center"/>
    </xf>
    <xf numFmtId="0" fontId="8" fillId="10" borderId="10" xfId="0" applyFont="1" applyFill="1" applyBorder="1" applyAlignment="1">
      <alignment horizontal="justify" vertical="center" wrapText="1"/>
    </xf>
    <xf numFmtId="0" fontId="97" fillId="0" borderId="18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0" fontId="9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 wrapText="1"/>
    </xf>
    <xf numFmtId="0" fontId="8" fillId="10" borderId="41" xfId="0" applyFont="1" applyFill="1" applyBorder="1" applyAlignment="1">
      <alignment horizontal="justify" vertical="center" wrapText="1"/>
    </xf>
    <xf numFmtId="0" fontId="41" fillId="13" borderId="55" xfId="0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vertical="center" wrapText="1"/>
    </xf>
    <xf numFmtId="0" fontId="99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/>
    </xf>
    <xf numFmtId="0" fontId="38" fillId="16" borderId="0" xfId="0" applyFont="1" applyFill="1" applyAlignment="1">
      <alignment horizontal="center" vertical="center"/>
    </xf>
    <xf numFmtId="0" fontId="38" fillId="17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39" fillId="13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20" borderId="1" xfId="0" applyFill="1" applyBorder="1" applyAlignment="1">
      <alignment horizontal="center" vertical="center"/>
    </xf>
    <xf numFmtId="0" fontId="29" fillId="41" borderId="1" xfId="0" applyFont="1" applyFill="1" applyBorder="1" applyAlignment="1">
      <alignment horizontal="center" vertical="center"/>
    </xf>
    <xf numFmtId="0" fontId="29" fillId="41" borderId="1" xfId="0" applyFont="1" applyFill="1" applyBorder="1"/>
    <xf numFmtId="0" fontId="100" fillId="0" borderId="1" xfId="0" applyFont="1" applyBorder="1"/>
    <xf numFmtId="0" fontId="30" fillId="0" borderId="1" xfId="0" applyFont="1" applyBorder="1"/>
    <xf numFmtId="0" fontId="31" fillId="2" borderId="1" xfId="0" applyFont="1" applyFill="1" applyBorder="1" applyAlignment="1">
      <alignment horizontal="center"/>
    </xf>
    <xf numFmtId="0" fontId="101" fillId="0" borderId="1" xfId="0" applyFont="1" applyBorder="1"/>
    <xf numFmtId="0" fontId="15" fillId="0" borderId="0" xfId="0" applyFont="1"/>
    <xf numFmtId="9" fontId="19" fillId="0" borderId="1" xfId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98" fillId="0" borderId="0" xfId="0" applyFont="1" applyAlignment="1">
      <alignment wrapText="1"/>
    </xf>
    <xf numFmtId="164" fontId="0" fillId="0" borderId="1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3" xfId="0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1" fillId="2" borderId="1" xfId="0" applyFont="1" applyFill="1" applyBorder="1" applyAlignment="1">
      <alignment horizontal="center"/>
    </xf>
    <xf numFmtId="0" fontId="51" fillId="4" borderId="4" xfId="0" applyFont="1" applyFill="1" applyBorder="1" applyAlignment="1">
      <alignment horizontal="center"/>
    </xf>
    <xf numFmtId="2" fontId="19" fillId="41" borderId="1" xfId="0" applyNumberFormat="1" applyFont="1" applyFill="1" applyBorder="1" applyAlignment="1">
      <alignment horizontal="center"/>
    </xf>
    <xf numFmtId="0" fontId="0" fillId="26" borderId="0" xfId="0" applyFill="1" applyAlignment="1">
      <alignment horizontal="center"/>
    </xf>
    <xf numFmtId="0" fontId="7" fillId="20" borderId="1" xfId="0" applyFont="1" applyFill="1" applyBorder="1" applyAlignment="1" applyProtection="1">
      <alignment horizontal="center" vertical="center"/>
      <protection hidden="1"/>
    </xf>
    <xf numFmtId="0" fontId="19" fillId="28" borderId="1" xfId="0" applyFont="1" applyFill="1" applyBorder="1" applyAlignment="1" applyProtection="1">
      <alignment horizontal="center" wrapText="1"/>
      <protection hidden="1"/>
    </xf>
    <xf numFmtId="2" fontId="7" fillId="20" borderId="1" xfId="0" applyNumberFormat="1" applyFont="1" applyFill="1" applyBorder="1" applyAlignment="1" applyProtection="1">
      <alignment horizontal="center" vertical="center"/>
      <protection hidden="1"/>
    </xf>
    <xf numFmtId="0" fontId="19" fillId="22" borderId="0" xfId="0" applyFont="1" applyFill="1"/>
    <xf numFmtId="0" fontId="19" fillId="0" borderId="0" xfId="0" applyFont="1"/>
    <xf numFmtId="0" fontId="71" fillId="27" borderId="0" xfId="0" applyFont="1" applyFill="1"/>
    <xf numFmtId="0" fontId="0" fillId="5" borderId="1" xfId="0" applyFill="1" applyBorder="1" applyAlignment="1">
      <alignment horizontal="center"/>
    </xf>
    <xf numFmtId="0" fontId="97" fillId="0" borderId="1" xfId="0" applyFont="1" applyBorder="1" applyAlignment="1">
      <alignment vertical="center"/>
    </xf>
    <xf numFmtId="2" fontId="97" fillId="0" borderId="1" xfId="0" applyNumberFormat="1" applyFont="1" applyBorder="1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4" fillId="10" borderId="5" xfId="0" applyFont="1" applyFill="1" applyBorder="1" applyAlignment="1">
      <alignment horizontal="right" wrapText="1"/>
    </xf>
    <xf numFmtId="0" fontId="96" fillId="4" borderId="5" xfId="0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/>
    </xf>
    <xf numFmtId="1" fontId="19" fillId="5" borderId="1" xfId="0" applyNumberFormat="1" applyFont="1" applyFill="1" applyBorder="1" applyAlignment="1">
      <alignment horizontal="center"/>
    </xf>
    <xf numFmtId="1" fontId="19" fillId="5" borderId="3" xfId="0" applyNumberFormat="1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0" fontId="104" fillId="0" borderId="47" xfId="0" applyFont="1" applyBorder="1" applyAlignment="1">
      <alignment horizontal="center" vertical="center" wrapText="1"/>
    </xf>
    <xf numFmtId="0" fontId="105" fillId="0" borderId="47" xfId="0" applyFont="1" applyBorder="1" applyAlignment="1">
      <alignment vertical="center" wrapText="1"/>
    </xf>
    <xf numFmtId="0" fontId="105" fillId="0" borderId="49" xfId="0" applyFont="1" applyBorder="1" applyAlignment="1">
      <alignment vertical="center" wrapText="1"/>
    </xf>
    <xf numFmtId="0" fontId="105" fillId="0" borderId="48" xfId="0" applyFont="1" applyBorder="1" applyAlignment="1">
      <alignment vertical="center" wrapText="1"/>
    </xf>
    <xf numFmtId="2" fontId="7" fillId="27" borderId="1" xfId="0" applyNumberFormat="1" applyFont="1" applyFill="1" applyBorder="1" applyAlignment="1" applyProtection="1">
      <alignment horizontal="center"/>
      <protection hidden="1"/>
    </xf>
    <xf numFmtId="0" fontId="106" fillId="0" borderId="47" xfId="0" applyFont="1" applyBorder="1"/>
    <xf numFmtId="0" fontId="106" fillId="0" borderId="47" xfId="0" applyFont="1" applyBorder="1" applyAlignment="1">
      <alignment horizontal="left"/>
    </xf>
    <xf numFmtId="0" fontId="8" fillId="10" borderId="63" xfId="0" applyFont="1" applyFill="1" applyBorder="1" applyAlignment="1">
      <alignment horizontal="center" vertical="center" wrapText="1"/>
    </xf>
    <xf numFmtId="0" fontId="0" fillId="10" borderId="64" xfId="0" applyFill="1" applyBorder="1" applyAlignment="1">
      <alignment vertical="center" wrapText="1"/>
    </xf>
    <xf numFmtId="0" fontId="8" fillId="10" borderId="64" xfId="0" applyFont="1" applyFill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0" fillId="0" borderId="64" xfId="0" applyBorder="1" applyAlignment="1">
      <alignment vertical="center" wrapText="1"/>
    </xf>
    <xf numFmtId="0" fontId="8" fillId="0" borderId="65" xfId="0" applyFont="1" applyBorder="1" applyAlignment="1">
      <alignment horizontal="center" vertical="center" wrapText="1"/>
    </xf>
    <xf numFmtId="0" fontId="0" fillId="0" borderId="66" xfId="0" applyBorder="1" applyAlignment="1">
      <alignment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0" fillId="0" borderId="68" xfId="0" applyBorder="1" applyAlignment="1">
      <alignment vertical="center" wrapText="1"/>
    </xf>
    <xf numFmtId="0" fontId="8" fillId="10" borderId="62" xfId="0" applyFont="1" applyFill="1" applyBorder="1" applyAlignment="1">
      <alignment horizontal="center" vertical="center" wrapText="1"/>
    </xf>
    <xf numFmtId="0" fontId="0" fillId="10" borderId="68" xfId="0" applyFill="1" applyBorder="1" applyAlignment="1">
      <alignment vertical="center" wrapText="1"/>
    </xf>
    <xf numFmtId="0" fontId="8" fillId="10" borderId="68" xfId="0" applyFont="1" applyFill="1" applyBorder="1" applyAlignment="1">
      <alignment horizontal="center" vertical="center" wrapText="1"/>
    </xf>
    <xf numFmtId="0" fontId="8" fillId="48" borderId="68" xfId="0" applyFont="1" applyFill="1" applyBorder="1" applyAlignment="1">
      <alignment horizontal="center" vertical="center" wrapText="1"/>
    </xf>
    <xf numFmtId="0" fontId="0" fillId="48" borderId="68" xfId="0" applyFill="1" applyBorder="1" applyAlignment="1">
      <alignment vertical="center" wrapText="1"/>
    </xf>
    <xf numFmtId="0" fontId="7" fillId="0" borderId="68" xfId="0" applyFont="1" applyBorder="1" applyAlignment="1">
      <alignment horizontal="center" vertical="center" wrapText="1"/>
    </xf>
    <xf numFmtId="0" fontId="7" fillId="49" borderId="62" xfId="0" applyFont="1" applyFill="1" applyBorder="1" applyAlignment="1">
      <alignment horizontal="center" vertical="center" wrapText="1"/>
    </xf>
    <xf numFmtId="0" fontId="7" fillId="49" borderId="68" xfId="0" applyFont="1" applyFill="1" applyBorder="1" applyAlignment="1">
      <alignment horizontal="center" vertical="center" wrapText="1"/>
    </xf>
    <xf numFmtId="0" fontId="0" fillId="49" borderId="68" xfId="0" applyFill="1" applyBorder="1" applyAlignment="1">
      <alignment vertical="center" wrapText="1"/>
    </xf>
    <xf numFmtId="0" fontId="8" fillId="40" borderId="62" xfId="0" applyFont="1" applyFill="1" applyBorder="1" applyAlignment="1">
      <alignment horizontal="center" vertical="center" wrapText="1"/>
    </xf>
    <xf numFmtId="0" fontId="8" fillId="40" borderId="68" xfId="0" applyFont="1" applyFill="1" applyBorder="1" applyAlignment="1">
      <alignment horizontal="center" vertical="center" wrapText="1"/>
    </xf>
    <xf numFmtId="0" fontId="8" fillId="41" borderId="68" xfId="0" applyFont="1" applyFill="1" applyBorder="1" applyAlignment="1">
      <alignment horizontal="center" vertical="center" wrapText="1"/>
    </xf>
    <xf numFmtId="0" fontId="108" fillId="0" borderId="62" xfId="0" applyFont="1" applyBorder="1" applyAlignment="1">
      <alignment horizontal="center" vertical="top" wrapText="1"/>
    </xf>
    <xf numFmtId="0" fontId="0" fillId="3" borderId="68" xfId="0" applyFill="1" applyBorder="1" applyAlignment="1">
      <alignment wrapText="1"/>
    </xf>
    <xf numFmtId="0" fontId="108" fillId="0" borderId="68" xfId="0" applyFont="1" applyBorder="1" applyAlignment="1">
      <alignment horizontal="center" vertical="top" wrapText="1"/>
    </xf>
    <xf numFmtId="0" fontId="0" fillId="0" borderId="68" xfId="0" applyBorder="1" applyAlignment="1">
      <alignment wrapText="1"/>
    </xf>
    <xf numFmtId="0" fontId="0" fillId="10" borderId="68" xfId="0" applyFill="1" applyBorder="1" applyAlignment="1">
      <alignment wrapText="1"/>
    </xf>
    <xf numFmtId="0" fontId="0" fillId="48" borderId="68" xfId="0" applyFill="1" applyBorder="1" applyAlignment="1">
      <alignment wrapText="1"/>
    </xf>
    <xf numFmtId="0" fontId="75" fillId="0" borderId="68" xfId="0" applyFont="1" applyBorder="1" applyAlignment="1">
      <alignment horizontal="center" vertical="top" wrapText="1"/>
    </xf>
    <xf numFmtId="0" fontId="109" fillId="0" borderId="68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top" wrapText="1"/>
    </xf>
    <xf numFmtId="0" fontId="8" fillId="0" borderId="68" xfId="0" applyFont="1" applyBorder="1" applyAlignment="1">
      <alignment horizontal="center" wrapText="1"/>
    </xf>
    <xf numFmtId="0" fontId="0" fillId="0" borderId="62" xfId="0" applyBorder="1" applyAlignment="1">
      <alignment wrapText="1"/>
    </xf>
    <xf numFmtId="0" fontId="8" fillId="3" borderId="68" xfId="0" applyFont="1" applyFill="1" applyBorder="1" applyAlignment="1">
      <alignment horizontal="center" wrapText="1"/>
    </xf>
    <xf numFmtId="0" fontId="0" fillId="0" borderId="62" xfId="0" applyBorder="1" applyAlignment="1">
      <alignment vertical="center" wrapText="1"/>
    </xf>
    <xf numFmtId="0" fontId="107" fillId="0" borderId="62" xfId="0" applyFont="1" applyBorder="1" applyAlignment="1">
      <alignment horizontal="center" wrapText="1"/>
    </xf>
    <xf numFmtId="0" fontId="107" fillId="0" borderId="68" xfId="0" applyFont="1" applyBorder="1" applyAlignment="1">
      <alignment horizontal="center" wrapText="1"/>
    </xf>
    <xf numFmtId="0" fontId="108" fillId="0" borderId="73" xfId="0" applyFont="1" applyBorder="1" applyAlignment="1">
      <alignment horizontal="left" vertical="center" wrapText="1"/>
    </xf>
    <xf numFmtId="0" fontId="108" fillId="0" borderId="73" xfId="0" applyFont="1" applyBorder="1" applyAlignment="1">
      <alignment horizontal="center" vertical="center" wrapText="1"/>
    </xf>
    <xf numFmtId="0" fontId="8" fillId="50" borderId="47" xfId="0" applyFont="1" applyFill="1" applyBorder="1" applyAlignment="1">
      <alignment horizontal="center"/>
    </xf>
    <xf numFmtId="0" fontId="110" fillId="0" borderId="73" xfId="0" applyFont="1" applyBorder="1" applyAlignment="1">
      <alignment horizontal="left" vertical="center" wrapText="1"/>
    </xf>
    <xf numFmtId="0" fontId="108" fillId="0" borderId="74" xfId="0" applyFont="1" applyBorder="1" applyAlignment="1">
      <alignment horizontal="center" vertical="center" wrapText="1"/>
    </xf>
    <xf numFmtId="0" fontId="107" fillId="0" borderId="47" xfId="0" applyFont="1" applyBorder="1" applyAlignment="1">
      <alignment horizontal="center" wrapText="1"/>
    </xf>
    <xf numFmtId="0" fontId="8" fillId="51" borderId="47" xfId="0" applyFont="1" applyFill="1" applyBorder="1" applyAlignment="1">
      <alignment horizontal="center"/>
    </xf>
    <xf numFmtId="0" fontId="8" fillId="52" borderId="47" xfId="0" applyFont="1" applyFill="1" applyBorder="1" applyAlignment="1">
      <alignment horizontal="center"/>
    </xf>
    <xf numFmtId="0" fontId="8" fillId="52" borderId="75" xfId="0" applyFont="1" applyFill="1" applyBorder="1" applyAlignment="1">
      <alignment horizontal="center"/>
    </xf>
    <xf numFmtId="0" fontId="8" fillId="52" borderId="75" xfId="0" applyFont="1" applyFill="1" applyBorder="1" applyAlignment="1">
      <alignment horizontal="center" vertical="center"/>
    </xf>
    <xf numFmtId="0" fontId="8" fillId="52" borderId="47" xfId="0" applyFont="1" applyFill="1" applyBorder="1" applyAlignment="1">
      <alignment horizontal="center" vertical="center"/>
    </xf>
    <xf numFmtId="0" fontId="8" fillId="50" borderId="76" xfId="0" applyFont="1" applyFill="1" applyBorder="1" applyAlignment="1">
      <alignment horizontal="center"/>
    </xf>
    <xf numFmtId="0" fontId="110" fillId="0" borderId="74" xfId="0" applyFont="1" applyBorder="1" applyAlignment="1">
      <alignment horizontal="left" vertical="center" wrapText="1"/>
    </xf>
    <xf numFmtId="0" fontId="108" fillId="0" borderId="57" xfId="0" applyFont="1" applyBorder="1" applyAlignment="1">
      <alignment horizontal="center" vertical="center" wrapText="1"/>
    </xf>
    <xf numFmtId="0" fontId="108" fillId="0" borderId="60" xfId="0" applyFont="1" applyBorder="1" applyAlignment="1">
      <alignment horizontal="center" vertical="center" wrapText="1"/>
    </xf>
    <xf numFmtId="0" fontId="110" fillId="0" borderId="60" xfId="0" applyFont="1" applyBorder="1" applyAlignment="1">
      <alignment horizontal="left" vertical="center" wrapText="1"/>
    </xf>
    <xf numFmtId="0" fontId="8" fillId="52" borderId="48" xfId="0" applyFont="1" applyFill="1" applyBorder="1" applyAlignment="1">
      <alignment horizontal="center" vertical="center"/>
    </xf>
    <xf numFmtId="0" fontId="8" fillId="52" borderId="77" xfId="0" applyFont="1" applyFill="1" applyBorder="1" applyAlignment="1">
      <alignment horizontal="center"/>
    </xf>
    <xf numFmtId="0" fontId="0" fillId="48" borderId="78" xfId="0" applyFill="1" applyBorder="1" applyAlignment="1">
      <alignment vertical="center" wrapText="1"/>
    </xf>
    <xf numFmtId="0" fontId="0" fillId="48" borderId="78" xfId="0" applyFill="1" applyBorder="1" applyAlignment="1">
      <alignment wrapText="1"/>
    </xf>
    <xf numFmtId="0" fontId="8" fillId="0" borderId="79" xfId="0" applyFont="1" applyBorder="1" applyAlignment="1">
      <alignment horizontal="center" vertical="center" wrapText="1"/>
    </xf>
    <xf numFmtId="0" fontId="7" fillId="0" borderId="79" xfId="0" applyFont="1" applyBorder="1" applyAlignment="1">
      <alignment horizontal="center" vertical="center" wrapText="1"/>
    </xf>
    <xf numFmtId="0" fontId="75" fillId="0" borderId="80" xfId="0" applyFont="1" applyBorder="1" applyAlignment="1">
      <alignment horizontal="center" vertical="top" wrapText="1"/>
    </xf>
    <xf numFmtId="0" fontId="109" fillId="0" borderId="80" xfId="0" applyFont="1" applyBorder="1" applyAlignment="1">
      <alignment horizontal="center" vertical="center" wrapText="1"/>
    </xf>
    <xf numFmtId="0" fontId="8" fillId="0" borderId="80" xfId="0" applyFont="1" applyBorder="1" applyAlignment="1">
      <alignment horizontal="center" vertical="top" wrapText="1"/>
    </xf>
    <xf numFmtId="0" fontId="8" fillId="0" borderId="80" xfId="0" applyFont="1" applyBorder="1" applyAlignment="1">
      <alignment horizontal="center" wrapText="1"/>
    </xf>
    <xf numFmtId="0" fontId="111" fillId="0" borderId="1" xfId="0" applyFont="1" applyBorder="1" applyAlignment="1">
      <alignment horizontal="center"/>
    </xf>
    <xf numFmtId="2" fontId="64" fillId="0" borderId="1" xfId="0" applyNumberFormat="1" applyFont="1" applyBorder="1" applyAlignment="1">
      <alignment horizontal="center" vertical="top" shrinkToFit="1"/>
    </xf>
    <xf numFmtId="0" fontId="75" fillId="0" borderId="1" xfId="0" applyFont="1" applyBorder="1" applyAlignment="1">
      <alignment horizontal="center" vertical="top" wrapText="1"/>
    </xf>
    <xf numFmtId="0" fontId="10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top" shrinkToFit="1"/>
    </xf>
    <xf numFmtId="0" fontId="0" fillId="0" borderId="67" xfId="0" applyBorder="1" applyAlignment="1">
      <alignment horizontal="center" wrapText="1"/>
    </xf>
    <xf numFmtId="0" fontId="0" fillId="0" borderId="69" xfId="0" applyBorder="1" applyAlignment="1">
      <alignment horizontal="center" wrapText="1"/>
    </xf>
    <xf numFmtId="166" fontId="8" fillId="0" borderId="1" xfId="0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/>
    </xf>
    <xf numFmtId="0" fontId="112" fillId="0" borderId="0" xfId="0" applyFont="1"/>
    <xf numFmtId="0" fontId="8" fillId="0" borderId="57" xfId="0" applyFont="1" applyBorder="1" applyAlignment="1">
      <alignment horizontal="left" vertical="center" wrapText="1"/>
    </xf>
    <xf numFmtId="0" fontId="8" fillId="0" borderId="74" xfId="0" applyFont="1" applyBorder="1" applyAlignment="1">
      <alignment vertical="center" wrapText="1"/>
    </xf>
    <xf numFmtId="0" fontId="8" fillId="0" borderId="74" xfId="0" applyFont="1" applyBorder="1" applyAlignment="1">
      <alignment horizontal="left" vertical="center" wrapText="1"/>
    </xf>
    <xf numFmtId="0" fontId="113" fillId="53" borderId="47" xfId="0" applyFont="1" applyFill="1" applyBorder="1" applyAlignment="1">
      <alignment horizontal="left"/>
    </xf>
    <xf numFmtId="0" fontId="113" fillId="54" borderId="47" xfId="0" applyFont="1" applyFill="1" applyBorder="1" applyAlignment="1">
      <alignment horizontal="left"/>
    </xf>
    <xf numFmtId="0" fontId="4" fillId="25" borderId="1" xfId="0" applyFont="1" applyFill="1" applyBorder="1" applyAlignment="1">
      <alignment horizontal="center" wrapText="1"/>
    </xf>
    <xf numFmtId="0" fontId="7" fillId="3" borderId="58" xfId="0" applyFont="1" applyFill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7" fillId="3" borderId="58" xfId="0" applyFont="1" applyFill="1" applyBorder="1" applyAlignment="1">
      <alignment wrapText="1"/>
    </xf>
    <xf numFmtId="0" fontId="7" fillId="3" borderId="59" xfId="0" applyFont="1" applyFill="1" applyBorder="1" applyAlignment="1">
      <alignment wrapText="1"/>
    </xf>
    <xf numFmtId="0" fontId="7" fillId="3" borderId="60" xfId="0" applyFont="1" applyFill="1" applyBorder="1" applyAlignment="1">
      <alignment wrapText="1"/>
    </xf>
    <xf numFmtId="0" fontId="54" fillId="0" borderId="1" xfId="0" applyFont="1" applyBorder="1" applyAlignment="1">
      <alignment horizontal="center"/>
    </xf>
    <xf numFmtId="0" fontId="54" fillId="40" borderId="70" xfId="0" applyFont="1" applyFill="1" applyBorder="1" applyAlignment="1">
      <alignment horizontal="center" wrapText="1"/>
    </xf>
    <xf numFmtId="0" fontId="54" fillId="40" borderId="71" xfId="0" applyFont="1" applyFill="1" applyBorder="1" applyAlignment="1">
      <alignment horizontal="center" wrapText="1"/>
    </xf>
    <xf numFmtId="0" fontId="54" fillId="40" borderId="72" xfId="0" applyFont="1" applyFill="1" applyBorder="1" applyAlignment="1">
      <alignment horizontal="center" wrapText="1"/>
    </xf>
    <xf numFmtId="0" fontId="17" fillId="8" borderId="6" xfId="2" applyFont="1" applyFill="1" applyBorder="1" applyAlignment="1">
      <alignment horizontal="center" vertical="center"/>
    </xf>
    <xf numFmtId="0" fontId="17" fillId="8" borderId="14" xfId="2" applyFont="1" applyFill="1" applyBorder="1" applyAlignment="1">
      <alignment horizontal="center" vertical="center"/>
    </xf>
    <xf numFmtId="0" fontId="17" fillId="8" borderId="15" xfId="2" applyFont="1" applyFill="1" applyBorder="1" applyAlignment="1">
      <alignment horizontal="center" vertical="center"/>
    </xf>
    <xf numFmtId="0" fontId="17" fillId="3" borderId="9" xfId="2" applyFont="1" applyFill="1" applyBorder="1" applyAlignment="1">
      <alignment horizontal="center" vertical="center"/>
    </xf>
    <xf numFmtId="0" fontId="17" fillId="3" borderId="16" xfId="2" applyFont="1" applyFill="1" applyBorder="1" applyAlignment="1">
      <alignment horizontal="center" vertical="center"/>
    </xf>
    <xf numFmtId="0" fontId="17" fillId="3" borderId="8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0" fontId="88" fillId="40" borderId="3" xfId="0" applyFont="1" applyFill="1" applyBorder="1" applyAlignment="1">
      <alignment horizontal="center"/>
    </xf>
    <xf numFmtId="0" fontId="88" fillId="40" borderId="22" xfId="0" applyFont="1" applyFill="1" applyBorder="1" applyAlignment="1">
      <alignment horizontal="center"/>
    </xf>
    <xf numFmtId="0" fontId="88" fillId="40" borderId="7" xfId="0" applyFont="1" applyFill="1" applyBorder="1" applyAlignment="1">
      <alignment horizontal="center"/>
    </xf>
    <xf numFmtId="0" fontId="85" fillId="4" borderId="1" xfId="0" applyFont="1" applyFill="1" applyBorder="1" applyAlignment="1">
      <alignment horizontal="center"/>
    </xf>
    <xf numFmtId="0" fontId="7" fillId="40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4" fillId="41" borderId="70" xfId="0" applyFont="1" applyFill="1" applyBorder="1" applyAlignment="1">
      <alignment horizontal="center" wrapText="1"/>
    </xf>
    <xf numFmtId="0" fontId="54" fillId="41" borderId="71" xfId="0" applyFont="1" applyFill="1" applyBorder="1" applyAlignment="1">
      <alignment horizontal="center" wrapText="1"/>
    </xf>
    <xf numFmtId="0" fontId="54" fillId="41" borderId="72" xfId="0" applyFont="1" applyFill="1" applyBorder="1" applyAlignment="1">
      <alignment horizontal="center" wrapText="1"/>
    </xf>
    <xf numFmtId="0" fontId="86" fillId="19" borderId="1" xfId="0" applyFont="1" applyFill="1" applyBorder="1" applyAlignment="1">
      <alignment horizontal="center" wrapText="1"/>
    </xf>
    <xf numFmtId="0" fontId="86" fillId="9" borderId="1" xfId="0" applyFont="1" applyFill="1" applyBorder="1" applyAlignment="1">
      <alignment horizontal="center" vertical="center" wrapText="1"/>
    </xf>
    <xf numFmtId="0" fontId="23" fillId="19" borderId="1" xfId="2" applyFont="1" applyFill="1" applyBorder="1" applyAlignment="1">
      <alignment horizontal="center"/>
    </xf>
    <xf numFmtId="0" fontId="23" fillId="9" borderId="1" xfId="2" applyFont="1" applyFill="1" applyBorder="1" applyAlignment="1">
      <alignment horizontal="center"/>
    </xf>
    <xf numFmtId="0" fontId="85" fillId="4" borderId="3" xfId="0" applyFont="1" applyFill="1" applyBorder="1" applyAlignment="1">
      <alignment horizontal="center"/>
    </xf>
    <xf numFmtId="0" fontId="85" fillId="4" borderId="7" xfId="0" applyFont="1" applyFill="1" applyBorder="1" applyAlignment="1">
      <alignment horizontal="center"/>
    </xf>
    <xf numFmtId="0" fontId="80" fillId="45" borderId="1" xfId="0" applyFont="1" applyFill="1" applyBorder="1" applyAlignment="1">
      <alignment horizontal="center"/>
    </xf>
    <xf numFmtId="0" fontId="80" fillId="44" borderId="1" xfId="0" applyFont="1" applyFill="1" applyBorder="1" applyAlignment="1">
      <alignment horizontal="center"/>
    </xf>
    <xf numFmtId="0" fontId="80" fillId="44" borderId="1" xfId="0" applyFont="1" applyFill="1" applyBorder="1" applyAlignment="1">
      <alignment horizontal="center" wrapText="1"/>
    </xf>
    <xf numFmtId="0" fontId="80" fillId="45" borderId="1" xfId="0" applyFont="1" applyFill="1" applyBorder="1" applyAlignment="1">
      <alignment horizontal="center" wrapText="1"/>
    </xf>
    <xf numFmtId="0" fontId="63" fillId="4" borderId="1" xfId="0" applyFont="1" applyFill="1" applyBorder="1" applyAlignment="1">
      <alignment horizontal="center" vertical="center" wrapText="1"/>
    </xf>
    <xf numFmtId="0" fontId="81" fillId="40" borderId="1" xfId="0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0" xfId="0" applyAlignment="1">
      <alignment horizontal="center"/>
    </xf>
    <xf numFmtId="0" fontId="89" fillId="0" borderId="52" xfId="0" applyFont="1" applyBorder="1" applyAlignment="1">
      <alignment horizontal="center"/>
    </xf>
    <xf numFmtId="0" fontId="89" fillId="0" borderId="0" xfId="0" applyFont="1" applyAlignment="1">
      <alignment horizontal="center"/>
    </xf>
    <xf numFmtId="0" fontId="89" fillId="0" borderId="21" xfId="0" applyFont="1" applyBorder="1" applyAlignment="1">
      <alignment horizontal="center"/>
    </xf>
    <xf numFmtId="0" fontId="89" fillId="0" borderId="9" xfId="0" applyFont="1" applyBorder="1" applyAlignment="1">
      <alignment horizontal="center"/>
    </xf>
    <xf numFmtId="0" fontId="89" fillId="0" borderId="16" xfId="0" applyFont="1" applyBorder="1" applyAlignment="1">
      <alignment horizontal="center"/>
    </xf>
    <xf numFmtId="0" fontId="89" fillId="0" borderId="8" xfId="0" applyFont="1" applyBorder="1" applyAlignment="1">
      <alignment horizontal="center"/>
    </xf>
    <xf numFmtId="0" fontId="62" fillId="34" borderId="53" xfId="0" applyFont="1" applyFill="1" applyBorder="1" applyAlignment="1">
      <alignment horizontal="center"/>
    </xf>
    <xf numFmtId="0" fontId="62" fillId="34" borderId="51" xfId="0" applyFont="1" applyFill="1" applyBorder="1" applyAlignment="1">
      <alignment horizontal="center"/>
    </xf>
    <xf numFmtId="0" fontId="63" fillId="17" borderId="1" xfId="0" applyFont="1" applyFill="1" applyBorder="1" applyAlignment="1">
      <alignment horizontal="center" vertical="center"/>
    </xf>
    <xf numFmtId="0" fontId="62" fillId="37" borderId="3" xfId="0" applyFont="1" applyFill="1" applyBorder="1" applyAlignment="1">
      <alignment horizontal="center"/>
    </xf>
    <xf numFmtId="0" fontId="62" fillId="37" borderId="22" xfId="0" applyFont="1" applyFill="1" applyBorder="1" applyAlignment="1">
      <alignment horizontal="center"/>
    </xf>
    <xf numFmtId="0" fontId="62" fillId="37" borderId="7" xfId="0" applyFont="1" applyFill="1" applyBorder="1" applyAlignment="1">
      <alignment horizontal="center"/>
    </xf>
    <xf numFmtId="0" fontId="62" fillId="33" borderId="1" xfId="0" applyFont="1" applyFill="1" applyBorder="1" applyAlignment="1">
      <alignment horizontal="center"/>
    </xf>
    <xf numFmtId="0" fontId="63" fillId="21" borderId="7" xfId="0" applyFont="1" applyFill="1" applyBorder="1" applyAlignment="1">
      <alignment horizontal="center" vertical="center"/>
    </xf>
    <xf numFmtId="0" fontId="63" fillId="21" borderId="1" xfId="0" applyFont="1" applyFill="1" applyBorder="1" applyAlignment="1">
      <alignment horizontal="center" vertical="center"/>
    </xf>
    <xf numFmtId="0" fontId="63" fillId="36" borderId="1" xfId="0" applyFont="1" applyFill="1" applyBorder="1" applyAlignment="1">
      <alignment horizontal="center" vertical="center"/>
    </xf>
    <xf numFmtId="0" fontId="87" fillId="4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3" fillId="38" borderId="4" xfId="0" applyFont="1" applyFill="1" applyBorder="1" applyAlignment="1">
      <alignment horizontal="center" vertical="center" wrapText="1"/>
    </xf>
    <xf numFmtId="0" fontId="63" fillId="38" borderId="5" xfId="0" applyFont="1" applyFill="1" applyBorder="1" applyAlignment="1">
      <alignment horizontal="center" vertical="center" wrapText="1"/>
    </xf>
    <xf numFmtId="0" fontId="63" fillId="38" borderId="15" xfId="0" applyFont="1" applyFill="1" applyBorder="1" applyAlignment="1">
      <alignment horizontal="center" vertical="center" wrapText="1"/>
    </xf>
    <xf numFmtId="0" fontId="63" fillId="38" borderId="8" xfId="0" applyFont="1" applyFill="1" applyBorder="1" applyAlignment="1">
      <alignment horizontal="center" vertical="center" wrapText="1"/>
    </xf>
    <xf numFmtId="0" fontId="7" fillId="35" borderId="1" xfId="0" applyFont="1" applyFill="1" applyBorder="1" applyAlignment="1">
      <alignment horizontal="center" textRotation="255"/>
    </xf>
    <xf numFmtId="0" fontId="7" fillId="35" borderId="3" xfId="0" applyFont="1" applyFill="1" applyBorder="1" applyAlignment="1">
      <alignment horizontal="center" textRotation="255"/>
    </xf>
    <xf numFmtId="0" fontId="79" fillId="9" borderId="52" xfId="0" applyFont="1" applyFill="1" applyBorder="1" applyAlignment="1">
      <alignment horizontal="center" vertical="center"/>
    </xf>
    <xf numFmtId="0" fontId="79" fillId="9" borderId="0" xfId="0" applyFont="1" applyFill="1" applyAlignment="1">
      <alignment horizontal="center" vertical="center"/>
    </xf>
    <xf numFmtId="0" fontId="79" fillId="41" borderId="16" xfId="0" applyFont="1" applyFill="1" applyBorder="1" applyAlignment="1">
      <alignment horizontal="center" vertical="center"/>
    </xf>
    <xf numFmtId="0" fontId="79" fillId="41" borderId="8" xfId="0" applyFont="1" applyFill="1" applyBorder="1" applyAlignment="1">
      <alignment horizontal="center" vertical="center"/>
    </xf>
    <xf numFmtId="0" fontId="79" fillId="32" borderId="3" xfId="0" applyFont="1" applyFill="1" applyBorder="1" applyAlignment="1">
      <alignment horizontal="center" vertical="center"/>
    </xf>
    <xf numFmtId="0" fontId="79" fillId="32" borderId="22" xfId="0" applyFont="1" applyFill="1" applyBorder="1" applyAlignment="1">
      <alignment horizontal="center" vertical="center"/>
    </xf>
    <xf numFmtId="0" fontId="98" fillId="0" borderId="1" xfId="0" applyFont="1" applyBorder="1" applyAlignment="1">
      <alignment horizontal="center" wrapText="1"/>
    </xf>
    <xf numFmtId="0" fontId="102" fillId="0" borderId="0" xfId="0" applyFont="1" applyAlignment="1">
      <alignment horizontal="left" vertical="center"/>
    </xf>
    <xf numFmtId="0" fontId="102" fillId="0" borderId="0" xfId="0" applyFont="1" applyAlignment="1">
      <alignment horizontal="right" vertical="center"/>
    </xf>
    <xf numFmtId="0" fontId="103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0" fontId="0" fillId="19" borderId="3" xfId="0" applyFill="1" applyBorder="1" applyAlignment="1">
      <alignment horizontal="center" vertical="center" wrapText="1"/>
    </xf>
    <xf numFmtId="0" fontId="0" fillId="19" borderId="7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94" fillId="2" borderId="9" xfId="0" applyFont="1" applyFill="1" applyBorder="1" applyAlignment="1">
      <alignment horizontal="center"/>
    </xf>
    <xf numFmtId="0" fontId="94" fillId="2" borderId="16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8" fillId="23" borderId="4" xfId="0" applyFont="1" applyFill="1" applyBorder="1" applyAlignment="1">
      <alignment horizontal="center" vertical="top"/>
    </xf>
    <xf numFmtId="0" fontId="18" fillId="23" borderId="2" xfId="0" applyFont="1" applyFill="1" applyBorder="1" applyAlignment="1">
      <alignment horizontal="center" vertical="top"/>
    </xf>
    <xf numFmtId="0" fontId="18" fillId="9" borderId="1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18" fillId="21" borderId="4" xfId="0" applyFont="1" applyFill="1" applyBorder="1" applyAlignment="1">
      <alignment horizontal="center" vertical="top"/>
    </xf>
    <xf numFmtId="0" fontId="18" fillId="21" borderId="2" xfId="0" applyFont="1" applyFill="1" applyBorder="1" applyAlignment="1">
      <alignment horizontal="center" vertical="top"/>
    </xf>
    <xf numFmtId="0" fontId="18" fillId="21" borderId="21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92" fillId="0" borderId="0" xfId="4" applyFont="1" applyBorder="1" applyAlignment="1" applyProtection="1">
      <alignment wrapText="1"/>
    </xf>
    <xf numFmtId="0" fontId="5" fillId="0" borderId="0" xfId="0" applyFont="1" applyAlignment="1">
      <alignment wrapText="1"/>
    </xf>
    <xf numFmtId="0" fontId="45" fillId="2" borderId="56" xfId="0" applyFont="1" applyFill="1" applyBorder="1" applyAlignment="1" applyProtection="1">
      <alignment horizontal="center"/>
      <protection hidden="1"/>
    </xf>
    <xf numFmtId="0" fontId="45" fillId="2" borderId="16" xfId="0" applyFont="1" applyFill="1" applyBorder="1" applyAlignment="1" applyProtection="1">
      <alignment horizontal="center"/>
      <protection hidden="1"/>
    </xf>
    <xf numFmtId="0" fontId="5" fillId="27" borderId="0" xfId="0" applyFont="1" applyFill="1" applyAlignment="1">
      <alignment horizontal="center"/>
    </xf>
    <xf numFmtId="0" fontId="72" fillId="9" borderId="1" xfId="0" applyFont="1" applyFill="1" applyBorder="1" applyAlignment="1">
      <alignment horizontal="center" vertical="top"/>
    </xf>
    <xf numFmtId="0" fontId="47" fillId="24" borderId="0" xfId="0" applyFont="1" applyFill="1" applyAlignment="1">
      <alignment horizontal="center"/>
    </xf>
    <xf numFmtId="0" fontId="29" fillId="31" borderId="40" xfId="0" applyFont="1" applyFill="1" applyBorder="1" applyAlignment="1">
      <alignment horizontal="left"/>
    </xf>
    <xf numFmtId="0" fontId="29" fillId="31" borderId="0" xfId="0" applyFont="1" applyFill="1" applyAlignment="1">
      <alignment horizontal="left"/>
    </xf>
    <xf numFmtId="0" fontId="29" fillId="31" borderId="39" xfId="0" applyFont="1" applyFill="1" applyBorder="1" applyAlignment="1">
      <alignment horizontal="left"/>
    </xf>
    <xf numFmtId="0" fontId="0" fillId="32" borderId="3" xfId="0" applyFill="1" applyBorder="1" applyAlignment="1">
      <alignment horizontal="center" vertical="center" wrapText="1"/>
    </xf>
    <xf numFmtId="0" fontId="0" fillId="32" borderId="7" xfId="0" applyFill="1" applyBorder="1" applyAlignment="1">
      <alignment horizontal="center" vertical="center" wrapText="1"/>
    </xf>
    <xf numFmtId="0" fontId="37" fillId="32" borderId="15" xfId="0" applyFont="1" applyFill="1" applyBorder="1" applyAlignment="1">
      <alignment horizontal="center" vertical="center"/>
    </xf>
    <xf numFmtId="0" fontId="37" fillId="32" borderId="21" xfId="0" applyFont="1" applyFill="1" applyBorder="1" applyAlignment="1">
      <alignment horizontal="center" vertical="center"/>
    </xf>
    <xf numFmtId="0" fontId="73" fillId="5" borderId="4" xfId="0" applyFont="1" applyFill="1" applyBorder="1" applyAlignment="1">
      <alignment horizontal="center" vertical="top"/>
    </xf>
    <xf numFmtId="0" fontId="73" fillId="5" borderId="2" xfId="0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2" fontId="74" fillId="42" borderId="1" xfId="0" applyNumberFormat="1" applyFont="1" applyFill="1" applyBorder="1" applyAlignment="1">
      <alignment horizontal="center" vertical="center"/>
    </xf>
  </cellXfs>
  <cellStyles count="6">
    <cellStyle name="Hyperlink" xfId="4" builtinId="8"/>
    <cellStyle name="Normal" xfId="0" builtinId="0"/>
    <cellStyle name="Normal 3" xfId="2" xr:uid="{00000000-0005-0000-0000-000002000000}"/>
    <cellStyle name="Normal 3 3" xfId="3" xr:uid="{00000000-0005-0000-0000-000003000000}"/>
    <cellStyle name="Normal 4" xfId="5" xr:uid="{00000000-0005-0000-0000-000004000000}"/>
    <cellStyle name="Percent" xfId="1" builtinId="5"/>
  </cellStyles>
  <dxfs count="46">
    <dxf>
      <fill>
        <patternFill patternType="solid">
          <fgColor indexed="64"/>
          <bgColor theme="6" tint="0.39994506668294322"/>
        </patternFill>
      </fill>
    </dxf>
    <dxf>
      <fill>
        <patternFill patternType="solid">
          <fgColor indexed="64"/>
          <bgColor theme="6" tint="0.39994506668294322"/>
        </patternFill>
      </fill>
    </dxf>
    <dxf>
      <fill>
        <patternFill patternType="solid">
          <fgColor indexed="64"/>
          <bgColor theme="7" tint="0.5999633777886288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  <name val="Perpetua"/>
        <scheme val="none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485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ont>
        <b/>
        <i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5050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rgb="FF66FFFF"/>
          </stop>
        </gradientFill>
      </fill>
    </dxf>
    <dxf>
      <font>
        <b/>
        <i/>
        <color rgb="FFFF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b/>
        <i/>
        <color rgb="FFFF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485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485"/>
          </stop>
        </gradientFill>
      </fill>
    </dxf>
    <dxf>
      <font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485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ont>
        <b/>
        <i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/>
        <i/>
        <u val="none"/>
        <color rgb="FFFF0000"/>
      </font>
      <fill>
        <gradientFill type="path" left="0.5" right="0.5" top="0.5" bottom="0.5">
          <stop position="0">
            <color theme="0"/>
          </stop>
          <stop position="1">
            <color theme="7"/>
          </stop>
        </gradient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  <name val="Perpetua"/>
        <scheme val="none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/>
        <i/>
        <color rgb="FFFF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b/>
        <i/>
        <color rgb="FFFF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485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ont>
        <b/>
        <i/>
        <color rgb="FFFF0000"/>
      </font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ont>
        <b/>
        <i/>
        <color rgb="FFFF0000"/>
      </font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485"/>
          </stop>
        </gradientFill>
      </fill>
    </dxf>
    <dxf>
      <font>
        <b/>
        <i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</dxfs>
  <tableStyles count="0" defaultTableStyle="TableStyleMedium2" defaultPivotStyle="PivotStyleLight16"/>
  <colors>
    <mruColors>
      <color rgb="FF66FFFF"/>
      <color rgb="FF0033CC"/>
      <color rgb="FF00FF99"/>
      <color rgb="FFCA068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SEE Grade distribution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105263157894737"/>
          <c:y val="0.24861785598659281"/>
          <c:w val="0.77631578947368418"/>
          <c:h val="0.5395089413243444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[1]CO_PO_ASESSEMENT!$C$26:$J$26</c:f>
              <c:strCache>
                <c:ptCount val="8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X</c:v>
                </c:pt>
              </c:strCache>
            </c:strRef>
          </c:cat>
          <c:val>
            <c:numRef>
              <c:f>[1]CO_PO_ASESSEMENT!$C$27:$J$27</c:f>
              <c:numCache>
                <c:formatCode>General</c:formatCode>
                <c:ptCount val="8"/>
                <c:pt idx="0">
                  <c:v>1</c:v>
                </c:pt>
                <c:pt idx="1">
                  <c:v>13</c:v>
                </c:pt>
                <c:pt idx="2">
                  <c:v>26</c:v>
                </c:pt>
                <c:pt idx="3">
                  <c:v>14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B-4D8B-978E-254ED2D51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37408"/>
        <c:axId val="180785920"/>
      </c:barChart>
      <c:catAx>
        <c:axId val="16873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endParaRPr lang="en-US"/>
          </a:p>
        </c:txPr>
        <c:crossAx val="180785920"/>
        <c:crosses val="autoZero"/>
        <c:auto val="1"/>
        <c:lblAlgn val="ctr"/>
        <c:lblOffset val="100"/>
        <c:tickMarkSkip val="1"/>
        <c:noMultiLvlLbl val="0"/>
      </c:catAx>
      <c:valAx>
        <c:axId val="180785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endParaRPr lang="en-US"/>
          </a:p>
        </c:txPr>
        <c:crossAx val="16873740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CIE-SEE Correlation</a:t>
            </a:r>
          </a:p>
        </c:rich>
      </c:tx>
      <c:layout>
        <c:manualLayout>
          <c:xMode val="edge"/>
          <c:yMode val="edge"/>
          <c:x val="0.1578131203854475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96883852691218"/>
          <c:y val="0.18100232682158088"/>
          <c:w val="0.38810198300283288"/>
          <c:h val="0.46002625745216619"/>
        </c:manualLayout>
      </c:layout>
      <c:scatterChart>
        <c:scatterStyle val="lineMarker"/>
        <c:varyColors val="0"/>
        <c:ser>
          <c:idx val="0"/>
          <c:order val="0"/>
          <c:tx>
            <c:strRef>
              <c:f>[2]Theory!$DB$13</c:f>
              <c:strCache>
                <c:ptCount val="1"/>
                <c:pt idx="0">
                  <c:v>Final SEE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trendline>
            <c:trendlineType val="linear"/>
            <c:dispRSqr val="0"/>
            <c:dispEq val="0"/>
          </c:trendline>
          <c:xVal>
            <c:numRef>
              <c:f>[1]Theory!$DA$14:$DA$68</c:f>
              <c:numCache>
                <c:formatCode>General</c:formatCode>
                <c:ptCount val="55"/>
                <c:pt idx="0">
                  <c:v>38</c:v>
                </c:pt>
                <c:pt idx="1">
                  <c:v>46</c:v>
                </c:pt>
                <c:pt idx="2">
                  <c:v>45</c:v>
                </c:pt>
                <c:pt idx="3">
                  <c:v>38</c:v>
                </c:pt>
                <c:pt idx="4">
                  <c:v>45</c:v>
                </c:pt>
                <c:pt idx="5">
                  <c:v>35</c:v>
                </c:pt>
                <c:pt idx="6">
                  <c:v>41</c:v>
                </c:pt>
                <c:pt idx="7">
                  <c:v>34</c:v>
                </c:pt>
                <c:pt idx="8">
                  <c:v>41</c:v>
                </c:pt>
                <c:pt idx="9">
                  <c:v>29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41</c:v>
                </c:pt>
                <c:pt idx="14">
                  <c:v>45</c:v>
                </c:pt>
                <c:pt idx="15">
                  <c:v>39</c:v>
                </c:pt>
                <c:pt idx="16">
                  <c:v>44</c:v>
                </c:pt>
                <c:pt idx="17">
                  <c:v>38</c:v>
                </c:pt>
                <c:pt idx="18">
                  <c:v>36</c:v>
                </c:pt>
                <c:pt idx="19">
                  <c:v>48</c:v>
                </c:pt>
                <c:pt idx="20">
                  <c:v>43</c:v>
                </c:pt>
                <c:pt idx="21">
                  <c:v>40</c:v>
                </c:pt>
                <c:pt idx="22">
                  <c:v>34</c:v>
                </c:pt>
                <c:pt idx="23">
                  <c:v>41</c:v>
                </c:pt>
                <c:pt idx="24">
                  <c:v>48</c:v>
                </c:pt>
                <c:pt idx="25">
                  <c:v>47</c:v>
                </c:pt>
                <c:pt idx="26">
                  <c:v>25</c:v>
                </c:pt>
                <c:pt idx="27">
                  <c:v>46</c:v>
                </c:pt>
                <c:pt idx="28">
                  <c:v>27</c:v>
                </c:pt>
                <c:pt idx="29">
                  <c:v>48</c:v>
                </c:pt>
                <c:pt idx="30">
                  <c:v>33</c:v>
                </c:pt>
                <c:pt idx="31">
                  <c:v>37</c:v>
                </c:pt>
                <c:pt idx="32">
                  <c:v>39</c:v>
                </c:pt>
                <c:pt idx="33">
                  <c:v>45</c:v>
                </c:pt>
                <c:pt idx="34">
                  <c:v>46</c:v>
                </c:pt>
                <c:pt idx="35">
                  <c:v>36</c:v>
                </c:pt>
                <c:pt idx="36">
                  <c:v>37</c:v>
                </c:pt>
                <c:pt idx="37">
                  <c:v>45</c:v>
                </c:pt>
                <c:pt idx="38">
                  <c:v>37</c:v>
                </c:pt>
                <c:pt idx="39">
                  <c:v>38</c:v>
                </c:pt>
                <c:pt idx="40">
                  <c:v>36</c:v>
                </c:pt>
                <c:pt idx="41">
                  <c:v>38</c:v>
                </c:pt>
                <c:pt idx="42">
                  <c:v>41</c:v>
                </c:pt>
                <c:pt idx="43">
                  <c:v>40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39</c:v>
                </c:pt>
                <c:pt idx="48">
                  <c:v>41</c:v>
                </c:pt>
                <c:pt idx="49">
                  <c:v>40</c:v>
                </c:pt>
                <c:pt idx="50">
                  <c:v>45</c:v>
                </c:pt>
                <c:pt idx="51">
                  <c:v>34</c:v>
                </c:pt>
                <c:pt idx="52">
                  <c:v>37</c:v>
                </c:pt>
                <c:pt idx="53">
                  <c:v>41</c:v>
                </c:pt>
                <c:pt idx="54">
                  <c:v>42</c:v>
                </c:pt>
              </c:numCache>
            </c:numRef>
          </c:xVal>
          <c:yVal>
            <c:numRef>
              <c:f>[1]Theory!$DB$14:$DB$68</c:f>
              <c:numCache>
                <c:formatCode>General</c:formatCode>
                <c:ptCount val="55"/>
                <c:pt idx="0">
                  <c:v>36</c:v>
                </c:pt>
                <c:pt idx="1">
                  <c:v>38</c:v>
                </c:pt>
                <c:pt idx="2">
                  <c:v>39</c:v>
                </c:pt>
                <c:pt idx="3">
                  <c:v>33</c:v>
                </c:pt>
                <c:pt idx="4">
                  <c:v>40</c:v>
                </c:pt>
                <c:pt idx="5">
                  <c:v>39</c:v>
                </c:pt>
                <c:pt idx="6">
                  <c:v>42</c:v>
                </c:pt>
                <c:pt idx="7">
                  <c:v>43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38</c:v>
                </c:pt>
                <c:pt idx="12">
                  <c:v>39</c:v>
                </c:pt>
                <c:pt idx="13">
                  <c:v>36</c:v>
                </c:pt>
                <c:pt idx="14">
                  <c:v>40</c:v>
                </c:pt>
                <c:pt idx="15">
                  <c:v>37</c:v>
                </c:pt>
                <c:pt idx="16">
                  <c:v>35</c:v>
                </c:pt>
                <c:pt idx="17">
                  <c:v>40</c:v>
                </c:pt>
                <c:pt idx="18">
                  <c:v>31</c:v>
                </c:pt>
                <c:pt idx="19">
                  <c:v>48</c:v>
                </c:pt>
                <c:pt idx="20">
                  <c:v>39</c:v>
                </c:pt>
                <c:pt idx="21">
                  <c:v>33</c:v>
                </c:pt>
                <c:pt idx="22">
                  <c:v>26</c:v>
                </c:pt>
                <c:pt idx="23">
                  <c:v>33</c:v>
                </c:pt>
                <c:pt idx="24">
                  <c:v>43</c:v>
                </c:pt>
                <c:pt idx="25">
                  <c:v>45</c:v>
                </c:pt>
                <c:pt idx="27">
                  <c:v>40</c:v>
                </c:pt>
                <c:pt idx="28">
                  <c:v>26</c:v>
                </c:pt>
                <c:pt idx="29">
                  <c:v>43</c:v>
                </c:pt>
                <c:pt idx="30">
                  <c:v>33</c:v>
                </c:pt>
                <c:pt idx="31">
                  <c:v>37</c:v>
                </c:pt>
                <c:pt idx="32">
                  <c:v>23</c:v>
                </c:pt>
                <c:pt idx="33">
                  <c:v>41</c:v>
                </c:pt>
                <c:pt idx="34">
                  <c:v>42</c:v>
                </c:pt>
                <c:pt idx="35">
                  <c:v>17</c:v>
                </c:pt>
                <c:pt idx="36">
                  <c:v>35</c:v>
                </c:pt>
                <c:pt idx="37">
                  <c:v>39</c:v>
                </c:pt>
                <c:pt idx="38">
                  <c:v>27</c:v>
                </c:pt>
                <c:pt idx="39">
                  <c:v>25</c:v>
                </c:pt>
                <c:pt idx="40">
                  <c:v>35</c:v>
                </c:pt>
                <c:pt idx="41">
                  <c:v>30</c:v>
                </c:pt>
                <c:pt idx="42">
                  <c:v>41</c:v>
                </c:pt>
                <c:pt idx="43">
                  <c:v>27</c:v>
                </c:pt>
                <c:pt idx="44">
                  <c:v>37</c:v>
                </c:pt>
                <c:pt idx="45">
                  <c:v>36</c:v>
                </c:pt>
                <c:pt idx="46">
                  <c:v>39</c:v>
                </c:pt>
                <c:pt idx="47">
                  <c:v>35</c:v>
                </c:pt>
                <c:pt idx="48">
                  <c:v>28</c:v>
                </c:pt>
                <c:pt idx="49">
                  <c:v>40</c:v>
                </c:pt>
                <c:pt idx="50">
                  <c:v>41</c:v>
                </c:pt>
                <c:pt idx="51">
                  <c:v>32</c:v>
                </c:pt>
                <c:pt idx="52">
                  <c:v>29</c:v>
                </c:pt>
                <c:pt idx="53">
                  <c:v>37</c:v>
                </c:pt>
                <c:pt idx="54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B5-4806-9981-996D7DDD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23936"/>
        <c:axId val="182835840"/>
      </c:scatterChart>
      <c:valAx>
        <c:axId val="182823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835840"/>
        <c:crosses val="autoZero"/>
        <c:crossBetween val="midCat"/>
      </c:valAx>
      <c:valAx>
        <c:axId val="1828358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SEE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endParaRPr lang="en-US"/>
          </a:p>
        </c:txPr>
        <c:crossAx val="1828239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574282696733597"/>
          <c:y val="0.17427917554469866"/>
          <c:w val="0.34159444616210061"/>
          <c:h val="0.52657861572051357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 Marks Distibution</a:t>
            </a:r>
          </a:p>
        </c:rich>
      </c:tx>
      <c:layout>
        <c:manualLayout>
          <c:xMode val="edge"/>
          <c:yMode val="edge"/>
          <c:x val="0.3356273822415554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51549642040088"/>
          <c:y val="0.19531699327734292"/>
          <c:w val="0.81352166539569082"/>
          <c:h val="0.4089394199089679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[1]CO_PO_ASESSEMENT!$C$22:$L$22</c:f>
              <c:strCache>
                <c:ptCount val="10"/>
                <c:pt idx="0">
                  <c:v>0-5</c:v>
                </c:pt>
                <c:pt idx="1">
                  <c:v>06--10</c:v>
                </c:pt>
                <c:pt idx="2">
                  <c:v>11--15</c:v>
                </c:pt>
                <c:pt idx="3">
                  <c:v>16--20</c:v>
                </c:pt>
                <c:pt idx="4">
                  <c:v>21--25</c:v>
                </c:pt>
                <c:pt idx="5">
                  <c:v>26--30</c:v>
                </c:pt>
                <c:pt idx="6">
                  <c:v>31--35</c:v>
                </c:pt>
                <c:pt idx="7">
                  <c:v>36--40</c:v>
                </c:pt>
                <c:pt idx="8">
                  <c:v>41--45</c:v>
                </c:pt>
                <c:pt idx="9">
                  <c:v>46--50</c:v>
                </c:pt>
              </c:strCache>
            </c:strRef>
          </c:cat>
          <c:val>
            <c:numRef>
              <c:f>[1]CO_PO_ASESSEMENT!$C$23:$L$23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23</c:v>
                </c:pt>
                <c:pt idx="8">
                  <c:v>21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3-447A-B365-533859F24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942464"/>
        <c:axId val="214944000"/>
      </c:barChart>
      <c:catAx>
        <c:axId val="21494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endParaRPr lang="en-US"/>
          </a:p>
        </c:txPr>
        <c:crossAx val="214944000"/>
        <c:crosses val="autoZero"/>
        <c:auto val="1"/>
        <c:lblAlgn val="ctr"/>
        <c:lblOffset val="100"/>
        <c:tickMarkSkip val="1"/>
        <c:noMultiLvlLbl val="0"/>
      </c:catAx>
      <c:valAx>
        <c:axId val="21494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endParaRPr lang="en-US"/>
          </a:p>
        </c:txPr>
        <c:crossAx val="2149424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Course Outcome Attainment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CO_PO_ASSESSMENT!$B$12</c:f>
              <c:strCache>
                <c:ptCount val="1"/>
                <c:pt idx="0">
                  <c:v>CIE</c:v>
                </c:pt>
              </c:strCache>
            </c:strRef>
          </c:tx>
          <c:invertIfNegative val="0"/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CO_PO_ASSESSMENT!$C$12:$F$12</c:f>
              <c:numCache>
                <c:formatCode>0.00</c:formatCode>
                <c:ptCount val="4"/>
                <c:pt idx="0" formatCode="General">
                  <c:v>63.838095238095242</c:v>
                </c:pt>
                <c:pt idx="1">
                  <c:v>83.821428571428569</c:v>
                </c:pt>
                <c:pt idx="2" formatCode="General">
                  <c:v>86.968027210884358</c:v>
                </c:pt>
                <c:pt idx="3" formatCode="General">
                  <c:v>64.465886939571149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5-4391-8E2D-97485C308C1E}"/>
            </c:ext>
          </c:extLst>
        </c:ser>
        <c:ser>
          <c:idx val="1"/>
          <c:order val="1"/>
          <c:tx>
            <c:strRef>
              <c:f>CO_PO_ASSESSMENT!$B$13</c:f>
              <c:strCache>
                <c:ptCount val="1"/>
                <c:pt idx="0">
                  <c:v>SEE</c:v>
                </c:pt>
              </c:strCache>
            </c:strRef>
          </c:tx>
          <c:invertIfNegative val="0"/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CO_PO_ASSESSMENT!$C$13:$F$13</c:f>
              <c:numCache>
                <c:formatCode>General</c:formatCode>
                <c:ptCount val="4"/>
                <c:pt idx="0">
                  <c:v>76.55</c:v>
                </c:pt>
                <c:pt idx="1">
                  <c:v>76.55</c:v>
                </c:pt>
                <c:pt idx="2">
                  <c:v>76.55</c:v>
                </c:pt>
                <c:pt idx="3">
                  <c:v>76.55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5-4391-8E2D-97485C30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936064"/>
        <c:axId val="236847104"/>
      </c:barChart>
      <c:catAx>
        <c:axId val="22093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Course Outmes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endParaRPr lang="en-US"/>
          </a:p>
        </c:txPr>
        <c:crossAx val="236847104"/>
        <c:crosses val="autoZero"/>
        <c:auto val="1"/>
        <c:lblAlgn val="ctr"/>
        <c:lblOffset val="100"/>
        <c:tickMarkSkip val="1"/>
        <c:noMultiLvlLbl val="0"/>
      </c:catAx>
      <c:valAx>
        <c:axId val="236847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Attainment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endParaRPr lang="en-US"/>
          </a:p>
        </c:txPr>
        <c:crossAx val="22093606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390612123352652"/>
          <c:y val="0.48620689655172411"/>
          <c:w val="9.2348284960422133E-2"/>
          <c:h val="0.1413793103448275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449386</xdr:colOff>
      <xdr:row>88</xdr:row>
      <xdr:rowOff>156307</xdr:rowOff>
    </xdr:from>
    <xdr:to>
      <xdr:col>105</xdr:col>
      <xdr:colOff>815666</xdr:colOff>
      <xdr:row>93</xdr:row>
      <xdr:rowOff>126999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6ED12-D1AB-EC5E-0081-468353678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36078" y="21189461"/>
          <a:ext cx="15195973" cy="17193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74916</xdr:colOff>
      <xdr:row>4</xdr:row>
      <xdr:rowOff>171235</xdr:rowOff>
    </xdr:from>
    <xdr:to>
      <xdr:col>41</xdr:col>
      <xdr:colOff>267557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207BB-FA84-4C64-9D7E-ECD26B42F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9804" y="2654156"/>
          <a:ext cx="4537753" cy="1059524"/>
        </a:xfrm>
        <a:prstGeom prst="rect">
          <a:avLst/>
        </a:prstGeom>
      </xdr:spPr>
    </xdr:pic>
    <xdr:clientData/>
  </xdr:twoCellAnchor>
  <xdr:twoCellAnchor editAs="oneCell">
    <xdr:from>
      <xdr:col>3</xdr:col>
      <xdr:colOff>155504</xdr:colOff>
      <xdr:row>0</xdr:row>
      <xdr:rowOff>10702</xdr:rowOff>
    </xdr:from>
    <xdr:to>
      <xdr:col>30</xdr:col>
      <xdr:colOff>224748</xdr:colOff>
      <xdr:row>2</xdr:row>
      <xdr:rowOff>110371</xdr:rowOff>
    </xdr:to>
    <xdr:pic>
      <xdr:nvPicPr>
        <xdr:cNvPr id="3" name="Picture 2" descr="A close-up of a white background&#10;&#10;Description automatically generated">
          <a:extLst>
            <a:ext uri="{FF2B5EF4-FFF2-40B4-BE49-F238E27FC236}">
              <a16:creationId xmlns:a16="http://schemas.microsoft.com/office/drawing/2014/main" id="{D23F3FDA-EBEE-A3B2-7D8A-8805CBBC2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1628" y="10702"/>
          <a:ext cx="8449103" cy="20367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1363980</xdr:colOff>
      <xdr:row>0</xdr:row>
      <xdr:rowOff>45721</xdr:rowOff>
    </xdr:from>
    <xdr:to>
      <xdr:col>12</xdr:col>
      <xdr:colOff>283845</xdr:colOff>
      <xdr:row>0</xdr:row>
      <xdr:rowOff>1358165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C074AD-F2A8-4C79-A253-95C1DE02C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8020" y="45721"/>
          <a:ext cx="6867525" cy="1312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27</xdr:row>
      <xdr:rowOff>114300</xdr:rowOff>
    </xdr:from>
    <xdr:to>
      <xdr:col>6</xdr:col>
      <xdr:colOff>171450</xdr:colOff>
      <xdr:row>38</xdr:row>
      <xdr:rowOff>161925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AEFC7D15-2D4E-43E8-993E-EABADFA40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27</xdr:row>
      <xdr:rowOff>104775</xdr:rowOff>
    </xdr:from>
    <xdr:to>
      <xdr:col>13</xdr:col>
      <xdr:colOff>314325</xdr:colOff>
      <xdr:row>38</xdr:row>
      <xdr:rowOff>142875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1FD960A6-5162-4DE6-BD99-E292C83B1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27</xdr:row>
      <xdr:rowOff>114300</xdr:rowOff>
    </xdr:from>
    <xdr:to>
      <xdr:col>19</xdr:col>
      <xdr:colOff>523875</xdr:colOff>
      <xdr:row>38</xdr:row>
      <xdr:rowOff>161925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A702CC45-E365-4782-97C5-555D852F7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323850</xdr:colOff>
      <xdr:row>6</xdr:row>
      <xdr:rowOff>219075</xdr:rowOff>
    </xdr:from>
    <xdr:to>
      <xdr:col>18</xdr:col>
      <xdr:colOff>28575</xdr:colOff>
      <xdr:row>15</xdr:row>
      <xdr:rowOff>95250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E92A3538-C3EA-44EA-A0A3-26728C013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BA/co%20attainment/DSA%20ATTAINMENT/2022/final%20dsa/22AI34-Data%20Structures%20with%20Applications-Attainment-2022%20Scheme-Reshma%20S%20-%2014-09-2024%20new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NBA\co%20attainment\DSA%20ATTAINMENT\2022\final%20dsa\22AI34-Data%20Structures%20with%20Applications-Attainment-2022%20Scheme-Reshma%20S%20-%2014-09-2024%20new.xls" TargetMode="External"/><Relationship Id="rId1" Type="http://schemas.openxmlformats.org/officeDocument/2006/relationships/externalLinkPath" Target="file:///E:\NBA\co%20attainment\DSA%20ATTAINMENT\2022\final%20dsa\22AI34-Data%20Structures%20with%20Applications-Attainment-2022%20Scheme-Reshma%20S%20-%2014-09-2024%20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ory"/>
      <sheetName val="Quiz1"/>
      <sheetName val="Quiz2"/>
      <sheetName val="Lab"/>
      <sheetName val="CES"/>
      <sheetName val="CO_PO_PSO_MAPPING"/>
      <sheetName val="CO_PO_ASESSEMENT"/>
      <sheetName val="Compatibility Report"/>
    </sheetNames>
    <sheetDataSet>
      <sheetData sheetId="0" refreshError="1">
        <row r="13">
          <cell r="DB13" t="str">
            <v>Final SEE</v>
          </cell>
        </row>
        <row r="14">
          <cell r="DA14">
            <v>38</v>
          </cell>
          <cell r="DB14">
            <v>36</v>
          </cell>
        </row>
        <row r="15">
          <cell r="DA15">
            <v>46</v>
          </cell>
          <cell r="DB15">
            <v>38</v>
          </cell>
        </row>
        <row r="16">
          <cell r="DA16">
            <v>45</v>
          </cell>
          <cell r="DB16">
            <v>39</v>
          </cell>
        </row>
        <row r="17">
          <cell r="DA17">
            <v>38</v>
          </cell>
          <cell r="DB17">
            <v>33</v>
          </cell>
        </row>
        <row r="18">
          <cell r="DA18">
            <v>45</v>
          </cell>
          <cell r="DB18">
            <v>40</v>
          </cell>
        </row>
        <row r="19">
          <cell r="DA19">
            <v>35</v>
          </cell>
          <cell r="DB19">
            <v>39</v>
          </cell>
        </row>
        <row r="20">
          <cell r="DA20">
            <v>41</v>
          </cell>
          <cell r="DB20">
            <v>42</v>
          </cell>
        </row>
        <row r="21">
          <cell r="DA21">
            <v>34</v>
          </cell>
          <cell r="DB21">
            <v>43</v>
          </cell>
        </row>
        <row r="22">
          <cell r="DA22">
            <v>41</v>
          </cell>
          <cell r="DB22">
            <v>34</v>
          </cell>
        </row>
        <row r="23">
          <cell r="DA23">
            <v>29</v>
          </cell>
          <cell r="DB23">
            <v>36</v>
          </cell>
        </row>
        <row r="24">
          <cell r="DA24">
            <v>38</v>
          </cell>
          <cell r="DB24">
            <v>39</v>
          </cell>
        </row>
        <row r="25">
          <cell r="DA25">
            <v>40</v>
          </cell>
          <cell r="DB25">
            <v>38</v>
          </cell>
        </row>
        <row r="26">
          <cell r="DA26">
            <v>43</v>
          </cell>
          <cell r="DB26">
            <v>39</v>
          </cell>
        </row>
        <row r="27">
          <cell r="DA27">
            <v>41</v>
          </cell>
          <cell r="DB27">
            <v>36</v>
          </cell>
        </row>
        <row r="28">
          <cell r="DA28">
            <v>45</v>
          </cell>
          <cell r="DB28">
            <v>40</v>
          </cell>
        </row>
        <row r="29">
          <cell r="DA29">
            <v>39</v>
          </cell>
          <cell r="DB29">
            <v>37</v>
          </cell>
        </row>
        <row r="30">
          <cell r="DA30">
            <v>44</v>
          </cell>
          <cell r="DB30">
            <v>35</v>
          </cell>
        </row>
        <row r="31">
          <cell r="DA31">
            <v>38</v>
          </cell>
          <cell r="DB31">
            <v>40</v>
          </cell>
        </row>
        <row r="32">
          <cell r="DA32">
            <v>36</v>
          </cell>
          <cell r="DB32">
            <v>31</v>
          </cell>
        </row>
        <row r="33">
          <cell r="DA33">
            <v>48</v>
          </cell>
          <cell r="DB33">
            <v>48</v>
          </cell>
        </row>
        <row r="34">
          <cell r="DA34">
            <v>43</v>
          </cell>
          <cell r="DB34">
            <v>39</v>
          </cell>
        </row>
        <row r="35">
          <cell r="DA35">
            <v>40</v>
          </cell>
          <cell r="DB35">
            <v>33</v>
          </cell>
        </row>
        <row r="36">
          <cell r="DA36">
            <v>34</v>
          </cell>
          <cell r="DB36">
            <v>26</v>
          </cell>
        </row>
        <row r="37">
          <cell r="DA37">
            <v>41</v>
          </cell>
          <cell r="DB37">
            <v>33</v>
          </cell>
        </row>
        <row r="38">
          <cell r="DA38">
            <v>48</v>
          </cell>
          <cell r="DB38">
            <v>43</v>
          </cell>
        </row>
        <row r="39">
          <cell r="DA39">
            <v>47</v>
          </cell>
          <cell r="DB39">
            <v>45</v>
          </cell>
        </row>
        <row r="40">
          <cell r="DA40">
            <v>25</v>
          </cell>
        </row>
        <row r="41">
          <cell r="DA41">
            <v>46</v>
          </cell>
          <cell r="DB41">
            <v>40</v>
          </cell>
        </row>
        <row r="42">
          <cell r="DA42">
            <v>27</v>
          </cell>
          <cell r="DB42">
            <v>26</v>
          </cell>
        </row>
        <row r="43">
          <cell r="DA43">
            <v>48</v>
          </cell>
          <cell r="DB43">
            <v>43</v>
          </cell>
        </row>
        <row r="44">
          <cell r="DA44">
            <v>33</v>
          </cell>
          <cell r="DB44">
            <v>33</v>
          </cell>
        </row>
        <row r="45">
          <cell r="DA45">
            <v>37</v>
          </cell>
          <cell r="DB45">
            <v>37</v>
          </cell>
        </row>
        <row r="46">
          <cell r="DA46">
            <v>39</v>
          </cell>
          <cell r="DB46">
            <v>23</v>
          </cell>
        </row>
        <row r="47">
          <cell r="DA47">
            <v>45</v>
          </cell>
          <cell r="DB47">
            <v>41</v>
          </cell>
        </row>
        <row r="48">
          <cell r="DA48">
            <v>46</v>
          </cell>
          <cell r="DB48">
            <v>42</v>
          </cell>
        </row>
        <row r="49">
          <cell r="DA49">
            <v>36</v>
          </cell>
          <cell r="DB49">
            <v>17</v>
          </cell>
        </row>
        <row r="50">
          <cell r="DA50">
            <v>37</v>
          </cell>
          <cell r="DB50">
            <v>35</v>
          </cell>
        </row>
        <row r="51">
          <cell r="DA51">
            <v>45</v>
          </cell>
          <cell r="DB51">
            <v>39</v>
          </cell>
        </row>
        <row r="52">
          <cell r="DA52">
            <v>37</v>
          </cell>
          <cell r="DB52">
            <v>27</v>
          </cell>
        </row>
        <row r="53">
          <cell r="DA53">
            <v>38</v>
          </cell>
          <cell r="DB53">
            <v>25</v>
          </cell>
        </row>
        <row r="54">
          <cell r="DA54">
            <v>36</v>
          </cell>
          <cell r="DB54">
            <v>35</v>
          </cell>
        </row>
        <row r="55">
          <cell r="DA55">
            <v>38</v>
          </cell>
          <cell r="DB55">
            <v>30</v>
          </cell>
        </row>
        <row r="56">
          <cell r="DA56">
            <v>41</v>
          </cell>
          <cell r="DB56">
            <v>41</v>
          </cell>
        </row>
        <row r="57">
          <cell r="DA57">
            <v>40</v>
          </cell>
          <cell r="DB57">
            <v>27</v>
          </cell>
        </row>
        <row r="58">
          <cell r="DA58">
            <v>41</v>
          </cell>
          <cell r="DB58">
            <v>37</v>
          </cell>
        </row>
        <row r="59">
          <cell r="DA59">
            <v>41</v>
          </cell>
          <cell r="DB59">
            <v>36</v>
          </cell>
        </row>
        <row r="60">
          <cell r="DA60">
            <v>41</v>
          </cell>
          <cell r="DB60">
            <v>39</v>
          </cell>
        </row>
        <row r="61">
          <cell r="DA61">
            <v>39</v>
          </cell>
          <cell r="DB61">
            <v>35</v>
          </cell>
        </row>
        <row r="62">
          <cell r="DA62">
            <v>41</v>
          </cell>
          <cell r="DB62">
            <v>28</v>
          </cell>
        </row>
        <row r="63">
          <cell r="DA63">
            <v>40</v>
          </cell>
          <cell r="DB63">
            <v>40</v>
          </cell>
        </row>
        <row r="64">
          <cell r="DA64">
            <v>45</v>
          </cell>
          <cell r="DB64">
            <v>41</v>
          </cell>
        </row>
        <row r="65">
          <cell r="DA65">
            <v>34</v>
          </cell>
          <cell r="DB65">
            <v>32</v>
          </cell>
        </row>
        <row r="66">
          <cell r="DA66">
            <v>37</v>
          </cell>
          <cell r="DB66">
            <v>29</v>
          </cell>
        </row>
        <row r="67">
          <cell r="DA67">
            <v>41</v>
          </cell>
          <cell r="DB67">
            <v>37</v>
          </cell>
        </row>
        <row r="68">
          <cell r="DA68">
            <v>42</v>
          </cell>
          <cell r="DB68">
            <v>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1">
          <cell r="C11" t="str">
            <v>CO1</v>
          </cell>
        </row>
        <row r="22">
          <cell r="C22" t="str">
            <v>0-5</v>
          </cell>
          <cell r="D22" t="str">
            <v>06--10</v>
          </cell>
          <cell r="E22" t="str">
            <v>11--15</v>
          </cell>
          <cell r="F22" t="str">
            <v>16--20</v>
          </cell>
          <cell r="G22" t="str">
            <v>21--25</v>
          </cell>
          <cell r="H22" t="str">
            <v>26--30</v>
          </cell>
          <cell r="I22" t="str">
            <v>31--35</v>
          </cell>
          <cell r="J22" t="str">
            <v>36--40</v>
          </cell>
          <cell r="K22" t="str">
            <v>41--45</v>
          </cell>
          <cell r="L22" t="str">
            <v>46--50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</v>
          </cell>
          <cell r="H23">
            <v>3</v>
          </cell>
          <cell r="I23">
            <v>5</v>
          </cell>
          <cell r="J23">
            <v>23</v>
          </cell>
          <cell r="K23">
            <v>21</v>
          </cell>
          <cell r="L23">
            <v>9</v>
          </cell>
        </row>
        <row r="26">
          <cell r="C26" t="str">
            <v>S</v>
          </cell>
          <cell r="D26" t="str">
            <v>A</v>
          </cell>
          <cell r="E26" t="str">
            <v>B</v>
          </cell>
          <cell r="F26" t="str">
            <v>C</v>
          </cell>
          <cell r="G26" t="str">
            <v>D</v>
          </cell>
          <cell r="H26" t="str">
            <v>E</v>
          </cell>
          <cell r="I26" t="str">
            <v>F</v>
          </cell>
          <cell r="J26" t="str">
            <v>X</v>
          </cell>
        </row>
        <row r="27">
          <cell r="C27">
            <v>1</v>
          </cell>
          <cell r="D27">
            <v>13</v>
          </cell>
          <cell r="E27">
            <v>26</v>
          </cell>
          <cell r="F27">
            <v>14</v>
          </cell>
          <cell r="G27">
            <v>8</v>
          </cell>
          <cell r="H27">
            <v>4</v>
          </cell>
          <cell r="I27">
            <v>3</v>
          </cell>
          <cell r="J27">
            <v>0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ory"/>
      <sheetName val="CO_PO_ASESSEMENT"/>
      <sheetName val="Quiz1"/>
      <sheetName val="Quiz2"/>
      <sheetName val="Lab"/>
      <sheetName val="CES"/>
      <sheetName val="CO_PO_PSO_MAPPING"/>
      <sheetName val="Compatibility Report"/>
    </sheetNames>
    <sheetDataSet>
      <sheetData sheetId="0" refreshError="1">
        <row r="13">
          <cell r="DB13" t="str">
            <v>Final SEE</v>
          </cell>
        </row>
        <row r="14">
          <cell r="DB14">
            <v>36</v>
          </cell>
        </row>
        <row r="15">
          <cell r="DB15">
            <v>38</v>
          </cell>
        </row>
        <row r="16">
          <cell r="DB16">
            <v>39</v>
          </cell>
        </row>
        <row r="17">
          <cell r="DB17">
            <v>33</v>
          </cell>
        </row>
        <row r="18">
          <cell r="DB18">
            <v>40</v>
          </cell>
        </row>
        <row r="19">
          <cell r="DB19">
            <v>39</v>
          </cell>
        </row>
        <row r="20">
          <cell r="DB20">
            <v>42</v>
          </cell>
        </row>
        <row r="21">
          <cell r="DB21">
            <v>43</v>
          </cell>
        </row>
        <row r="22">
          <cell r="DB22">
            <v>34</v>
          </cell>
        </row>
        <row r="23">
          <cell r="DB23">
            <v>36</v>
          </cell>
        </row>
        <row r="24">
          <cell r="DB24">
            <v>39</v>
          </cell>
        </row>
        <row r="25">
          <cell r="DB25">
            <v>38</v>
          </cell>
        </row>
        <row r="26">
          <cell r="DB26">
            <v>39</v>
          </cell>
        </row>
        <row r="27">
          <cell r="DB27">
            <v>36</v>
          </cell>
        </row>
        <row r="28">
          <cell r="DB28">
            <v>40</v>
          </cell>
        </row>
        <row r="29">
          <cell r="DB29">
            <v>37</v>
          </cell>
        </row>
        <row r="30">
          <cell r="DB30">
            <v>35</v>
          </cell>
        </row>
        <row r="31">
          <cell r="DB31">
            <v>40</v>
          </cell>
        </row>
        <row r="32">
          <cell r="DB32">
            <v>31</v>
          </cell>
        </row>
        <row r="33">
          <cell r="DB33">
            <v>48</v>
          </cell>
        </row>
        <row r="34">
          <cell r="DB34">
            <v>39</v>
          </cell>
        </row>
        <row r="35">
          <cell r="DB35">
            <v>33</v>
          </cell>
        </row>
        <row r="36">
          <cell r="DB36">
            <v>26</v>
          </cell>
        </row>
        <row r="37">
          <cell r="DB37">
            <v>33</v>
          </cell>
        </row>
        <row r="38">
          <cell r="DB38">
            <v>43</v>
          </cell>
        </row>
        <row r="39">
          <cell r="DB39">
            <v>45</v>
          </cell>
        </row>
        <row r="41">
          <cell r="DB41">
            <v>40</v>
          </cell>
        </row>
        <row r="42">
          <cell r="DB42">
            <v>26</v>
          </cell>
        </row>
        <row r="43">
          <cell r="DB43">
            <v>43</v>
          </cell>
        </row>
        <row r="44">
          <cell r="DB44">
            <v>33</v>
          </cell>
        </row>
        <row r="45">
          <cell r="DB45">
            <v>37</v>
          </cell>
        </row>
        <row r="46">
          <cell r="DB46">
            <v>23</v>
          </cell>
        </row>
        <row r="47">
          <cell r="DB47">
            <v>41</v>
          </cell>
        </row>
        <row r="48">
          <cell r="DB48">
            <v>42</v>
          </cell>
        </row>
        <row r="49">
          <cell r="DB49">
            <v>17</v>
          </cell>
        </row>
        <row r="50">
          <cell r="DB50">
            <v>35</v>
          </cell>
        </row>
        <row r="51">
          <cell r="DB51">
            <v>39</v>
          </cell>
        </row>
        <row r="52">
          <cell r="DB52">
            <v>27</v>
          </cell>
        </row>
        <row r="53">
          <cell r="DB53">
            <v>25</v>
          </cell>
        </row>
        <row r="54">
          <cell r="DB54">
            <v>35</v>
          </cell>
        </row>
        <row r="55">
          <cell r="DB55">
            <v>30</v>
          </cell>
        </row>
        <row r="56">
          <cell r="DB56">
            <v>41</v>
          </cell>
        </row>
        <row r="57">
          <cell r="DB57">
            <v>27</v>
          </cell>
        </row>
        <row r="58">
          <cell r="DB58">
            <v>37</v>
          </cell>
        </row>
        <row r="59">
          <cell r="DB59">
            <v>36</v>
          </cell>
        </row>
        <row r="60">
          <cell r="DB60">
            <v>39</v>
          </cell>
        </row>
        <row r="61">
          <cell r="DB61">
            <v>35</v>
          </cell>
        </row>
        <row r="62">
          <cell r="DB62">
            <v>28</v>
          </cell>
        </row>
        <row r="63">
          <cell r="DB63">
            <v>40</v>
          </cell>
        </row>
        <row r="64">
          <cell r="DB64">
            <v>41</v>
          </cell>
        </row>
        <row r="65">
          <cell r="DB65">
            <v>32</v>
          </cell>
        </row>
        <row r="66">
          <cell r="DB66">
            <v>29</v>
          </cell>
        </row>
        <row r="67">
          <cell r="DB67">
            <v>37</v>
          </cell>
        </row>
        <row r="68">
          <cell r="DB68">
            <v>41</v>
          </cell>
        </row>
      </sheetData>
      <sheetData sheetId="1" refreshError="1">
        <row r="11">
          <cell r="C11" t="str">
            <v>CO1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</v>
          </cell>
          <cell r="H23">
            <v>3</v>
          </cell>
          <cell r="I23">
            <v>5</v>
          </cell>
          <cell r="J23">
            <v>23</v>
          </cell>
          <cell r="K23">
            <v>21</v>
          </cell>
          <cell r="L23">
            <v>9</v>
          </cell>
        </row>
        <row r="27">
          <cell r="C27">
            <v>1</v>
          </cell>
          <cell r="D27">
            <v>13</v>
          </cell>
          <cell r="E27">
            <v>26</v>
          </cell>
          <cell r="F27">
            <v>14</v>
          </cell>
          <cell r="G27">
            <v>8</v>
          </cell>
          <cell r="H27">
            <v>4</v>
          </cell>
          <cell r="I27">
            <v>3</v>
          </cell>
          <cell r="J2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classroom.google.com/u/1/c/NDMwMDM2OTkxMDI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51"/>
  <sheetViews>
    <sheetView topLeftCell="A3" zoomScale="78" zoomScaleNormal="78" workbookViewId="0">
      <selection activeCell="DC84" sqref="DC84:DC86"/>
    </sheetView>
  </sheetViews>
  <sheetFormatPr defaultRowHeight="15.6" x14ac:dyDescent="0.3"/>
  <cols>
    <col min="1" max="1" width="5.5546875" style="3" customWidth="1"/>
    <col min="2" max="2" width="13.88671875" style="3" customWidth="1"/>
    <col min="3" max="3" width="31.109375" style="3" customWidth="1"/>
    <col min="4" max="4" width="8.33203125" style="3" customWidth="1"/>
    <col min="5" max="5" width="6.109375" style="3" customWidth="1"/>
    <col min="6" max="6" width="1" style="3" customWidth="1"/>
    <col min="7" max="7" width="1.33203125" style="3" customWidth="1"/>
    <col min="8" max="8" width="5.109375" style="3" customWidth="1"/>
    <col min="9" max="9" width="6.109375" style="3" customWidth="1"/>
    <col min="10" max="10" width="0.6640625" style="3" customWidth="1"/>
    <col min="11" max="11" width="1" style="3" customWidth="1"/>
    <col min="12" max="12" width="4.6640625" style="3" customWidth="1"/>
    <col min="13" max="13" width="6.33203125" style="3" customWidth="1"/>
    <col min="14" max="14" width="0.88671875" style="3" customWidth="1"/>
    <col min="15" max="15" width="1.109375" style="3" customWidth="1"/>
    <col min="16" max="16" width="6.5546875" style="3" customWidth="1"/>
    <col min="17" max="17" width="7.109375" style="3" customWidth="1"/>
    <col min="18" max="19" width="1.5546875" style="3" customWidth="1"/>
    <col min="20" max="20" width="6.88671875" style="3" customWidth="1"/>
    <col min="21" max="21" width="2" style="3" customWidth="1"/>
    <col min="22" max="22" width="1.33203125" style="3" customWidth="1"/>
    <col min="23" max="23" width="2.109375" style="3" customWidth="1"/>
    <col min="24" max="24" width="6.44140625" style="3" customWidth="1"/>
    <col min="25" max="25" width="4.5546875" style="3" customWidth="1"/>
    <col min="26" max="27" width="2" style="3" customWidth="1"/>
    <col min="28" max="28" width="6.6640625" style="3" customWidth="1"/>
    <col min="29" max="29" width="1.33203125" style="3" customWidth="1"/>
    <col min="30" max="30" width="1.5546875" style="3" customWidth="1"/>
    <col min="31" max="31" width="1.44140625" style="3" customWidth="1"/>
    <col min="32" max="32" width="6.109375" style="3" customWidth="1"/>
    <col min="33" max="35" width="1" style="3" customWidth="1"/>
    <col min="36" max="36" width="6.44140625" style="3" customWidth="1"/>
    <col min="37" max="37" width="5.88671875" style="3" customWidth="1"/>
    <col min="38" max="38" width="1.44140625" style="3" customWidth="1"/>
    <col min="39" max="39" width="1.5546875" style="3" customWidth="1"/>
    <col min="40" max="40" width="6.109375" style="3" customWidth="1"/>
    <col min="41" max="41" width="7" style="3" customWidth="1"/>
    <col min="42" max="42" width="1.109375" style="3" customWidth="1"/>
    <col min="43" max="43" width="1.88671875" style="3" customWidth="1"/>
    <col min="44" max="44" width="5.88671875" style="3" customWidth="1"/>
    <col min="45" max="45" width="1.6640625" style="3" customWidth="1"/>
    <col min="46" max="46" width="2.109375" style="3" customWidth="1"/>
    <col min="47" max="47" width="1.109375" style="3" customWidth="1"/>
    <col min="48" max="48" width="7.33203125" style="3" customWidth="1"/>
    <col min="49" max="49" width="4.5546875" style="3" customWidth="1"/>
    <col min="50" max="50" width="2.109375" style="3" customWidth="1"/>
    <col min="51" max="51" width="1.6640625" style="3" customWidth="1"/>
    <col min="52" max="52" width="5.5546875" style="3" customWidth="1"/>
    <col min="53" max="53" width="4.44140625" style="3" customWidth="1"/>
    <col min="54" max="54" width="1.44140625" style="3" customWidth="1"/>
    <col min="55" max="55" width="2" style="3" customWidth="1"/>
    <col min="56" max="56" width="6.88671875" style="3" customWidth="1"/>
    <col min="57" max="57" width="1.6640625" style="3" customWidth="1"/>
    <col min="58" max="58" width="2" style="3" customWidth="1"/>
    <col min="59" max="59" width="1.88671875" style="3" customWidth="1"/>
    <col min="60" max="60" width="6.88671875" style="3" customWidth="1"/>
    <col min="61" max="61" width="1.109375" style="3" customWidth="1"/>
    <col min="62" max="62" width="1.33203125" style="3" customWidth="1"/>
    <col min="63" max="63" width="1.88671875" style="3" customWidth="1"/>
    <col min="64" max="64" width="5.44140625" style="3" customWidth="1"/>
    <col min="65" max="65" width="1.44140625" style="3" customWidth="1"/>
    <col min="66" max="66" width="1.33203125" style="3" customWidth="1"/>
    <col min="67" max="67" width="2.109375" style="3" customWidth="1"/>
    <col min="68" max="68" width="5.109375" style="3" customWidth="1"/>
    <col min="69" max="69" width="2.109375" style="3" customWidth="1"/>
    <col min="70" max="70" width="1.109375" style="3" customWidth="1"/>
    <col min="71" max="71" width="1.44140625" style="3" customWidth="1"/>
    <col min="72" max="72" width="6" style="3" customWidth="1"/>
    <col min="73" max="73" width="5.88671875" style="3" customWidth="1"/>
    <col min="74" max="74" width="1.6640625" style="3" customWidth="1"/>
    <col min="75" max="75" width="2.109375" style="3" customWidth="1"/>
    <col min="76" max="76" width="5.88671875" style="3" customWidth="1"/>
    <col min="77" max="77" width="1.88671875" style="3" customWidth="1"/>
    <col min="78" max="78" width="1.5546875" style="3" customWidth="1"/>
    <col min="79" max="79" width="1.33203125" style="3" customWidth="1"/>
    <col min="80" max="80" width="7.109375" style="3" customWidth="1"/>
    <col min="81" max="81" width="4.5546875" style="3" customWidth="1"/>
    <col min="82" max="82" width="2.33203125" style="3" customWidth="1"/>
    <col min="83" max="83" width="1.5546875" style="3" customWidth="1"/>
    <col min="84" max="84" width="6.33203125" style="3" customWidth="1"/>
    <col min="85" max="86" width="1.88671875" style="3" customWidth="1"/>
    <col min="87" max="87" width="1.5546875" style="3" customWidth="1"/>
    <col min="88" max="88" width="6.109375" style="3" customWidth="1"/>
    <col min="89" max="89" width="4.88671875" style="3" customWidth="1"/>
    <col min="90" max="90" width="1.109375" style="3" customWidth="1"/>
    <col min="91" max="91" width="1.33203125" style="3" customWidth="1"/>
    <col min="92" max="92" width="5.88671875" style="3" customWidth="1"/>
    <col min="93" max="93" width="1.5546875" style="3" customWidth="1"/>
    <col min="94" max="94" width="1.88671875" style="3" customWidth="1"/>
    <col min="95" max="95" width="1.109375" style="3" customWidth="1"/>
    <col min="96" max="96" width="6.88671875" style="3" customWidth="1"/>
    <col min="97" max="97" width="1.33203125" style="3" customWidth="1"/>
    <col min="98" max="99" width="1.6640625" style="3" customWidth="1"/>
    <col min="100" max="101" width="10.6640625" style="4" customWidth="1"/>
    <col min="102" max="103" width="8.33203125" style="4" customWidth="1"/>
    <col min="104" max="104" width="8.6640625" style="4" customWidth="1"/>
    <col min="105" max="105" width="8.109375" style="4" customWidth="1"/>
    <col min="106" max="107" width="13.6640625" style="4" customWidth="1"/>
    <col min="108" max="108" width="12.109375" style="4" customWidth="1"/>
    <col min="109" max="109" width="13.5546875" style="4" customWidth="1"/>
    <col min="110" max="110" width="8.109375" style="3" customWidth="1"/>
    <col min="111" max="111" width="16.44140625" style="4" customWidth="1"/>
    <col min="112" max="112" width="13.5546875" style="4" customWidth="1"/>
    <col min="113" max="114" width="9.109375" style="4"/>
    <col min="115" max="115" width="9.6640625" style="3" bestFit="1" customWidth="1"/>
    <col min="116" max="116" width="12.5546875" style="3" customWidth="1"/>
    <col min="117" max="117" width="11.88671875" style="3" customWidth="1"/>
    <col min="118" max="120" width="12.44140625" style="3" customWidth="1"/>
    <col min="121" max="121" width="12.33203125" style="3" customWidth="1"/>
    <col min="122" max="122" width="11.6640625" style="3" customWidth="1"/>
    <col min="123" max="123" width="13.5546875" style="3" customWidth="1"/>
    <col min="124" max="257" width="9.109375" style="3"/>
    <col min="258" max="258" width="5.5546875" style="3" customWidth="1"/>
    <col min="259" max="259" width="21.33203125" style="3" customWidth="1"/>
    <col min="260" max="260" width="38.88671875" style="3" customWidth="1"/>
    <col min="261" max="261" width="8.33203125" style="3" customWidth="1"/>
    <col min="262" max="262" width="6.109375" style="3" customWidth="1"/>
    <col min="263" max="263" width="1" style="3" customWidth="1"/>
    <col min="264" max="264" width="1.33203125" style="3" customWidth="1"/>
    <col min="265" max="265" width="5.109375" style="3" customWidth="1"/>
    <col min="266" max="266" width="6.109375" style="3" customWidth="1"/>
    <col min="267" max="267" width="0.6640625" style="3" customWidth="1"/>
    <col min="268" max="268" width="1" style="3" customWidth="1"/>
    <col min="269" max="269" width="4.6640625" style="3" customWidth="1"/>
    <col min="270" max="270" width="6.33203125" style="3" customWidth="1"/>
    <col min="271" max="271" width="0.88671875" style="3" customWidth="1"/>
    <col min="272" max="272" width="1.109375" style="3" customWidth="1"/>
    <col min="273" max="273" width="6.5546875" style="3" customWidth="1"/>
    <col min="274" max="274" width="7.109375" style="3" customWidth="1"/>
    <col min="275" max="276" width="1.5546875" style="3" customWidth="1"/>
    <col min="277" max="277" width="6.88671875" style="3" customWidth="1"/>
    <col min="278" max="278" width="2" style="3" customWidth="1"/>
    <col min="279" max="279" width="1.33203125" style="3" customWidth="1"/>
    <col min="280" max="280" width="2.109375" style="3" customWidth="1"/>
    <col min="281" max="281" width="6.44140625" style="3" customWidth="1"/>
    <col min="282" max="284" width="2" style="3" customWidth="1"/>
    <col min="285" max="285" width="7.6640625" style="3" customWidth="1"/>
    <col min="286" max="286" width="1.33203125" style="3" customWidth="1"/>
    <col min="287" max="287" width="1.5546875" style="3" customWidth="1"/>
    <col min="288" max="288" width="1.44140625" style="3" customWidth="1"/>
    <col min="289" max="289" width="6.109375" style="3" customWidth="1"/>
    <col min="290" max="292" width="1" style="3" customWidth="1"/>
    <col min="293" max="293" width="6.44140625" style="3" customWidth="1"/>
    <col min="294" max="294" width="5.88671875" style="3" customWidth="1"/>
    <col min="295" max="295" width="1.44140625" style="3" customWidth="1"/>
    <col min="296" max="296" width="1.5546875" style="3" customWidth="1"/>
    <col min="297" max="297" width="6.109375" style="3" customWidth="1"/>
    <col min="298" max="298" width="7" style="3" customWidth="1"/>
    <col min="299" max="299" width="1.109375" style="3" customWidth="1"/>
    <col min="300" max="300" width="1.88671875" style="3" customWidth="1"/>
    <col min="301" max="301" width="5.88671875" style="3" customWidth="1"/>
    <col min="302" max="302" width="1.6640625" style="3" customWidth="1"/>
    <col min="303" max="303" width="2.109375" style="3" customWidth="1"/>
    <col min="304" max="304" width="1.109375" style="3" customWidth="1"/>
    <col min="305" max="305" width="7.33203125" style="3" customWidth="1"/>
    <col min="306" max="307" width="2.109375" style="3" customWidth="1"/>
    <col min="308" max="308" width="1.6640625" style="3" customWidth="1"/>
    <col min="309" max="309" width="5.5546875" style="3" customWidth="1"/>
    <col min="310" max="310" width="2" style="3" customWidth="1"/>
    <col min="311" max="311" width="1.44140625" style="3" customWidth="1"/>
    <col min="312" max="312" width="2" style="3" customWidth="1"/>
    <col min="313" max="313" width="6.88671875" style="3" customWidth="1"/>
    <col min="314" max="314" width="1.6640625" style="3" customWidth="1"/>
    <col min="315" max="315" width="2" style="3" customWidth="1"/>
    <col min="316" max="316" width="1.88671875" style="3" customWidth="1"/>
    <col min="317" max="317" width="6.88671875" style="3" customWidth="1"/>
    <col min="318" max="318" width="1.109375" style="3" customWidth="1"/>
    <col min="319" max="319" width="1.33203125" style="3" customWidth="1"/>
    <col min="320" max="320" width="1.88671875" style="3" customWidth="1"/>
    <col min="321" max="321" width="6.88671875" style="3" customWidth="1"/>
    <col min="322" max="322" width="1.44140625" style="3" customWidth="1"/>
    <col min="323" max="323" width="1.33203125" style="3" customWidth="1"/>
    <col min="324" max="324" width="2.109375" style="3" customWidth="1"/>
    <col min="325" max="325" width="5.109375" style="3" customWidth="1"/>
    <col min="326" max="326" width="5.5546875" style="3" customWidth="1"/>
    <col min="327" max="327" width="1.109375" style="3" customWidth="1"/>
    <col min="328" max="328" width="1.44140625" style="3" customWidth="1"/>
    <col min="329" max="329" width="6" style="3" customWidth="1"/>
    <col min="330" max="330" width="5.88671875" style="3" customWidth="1"/>
    <col min="331" max="331" width="1.6640625" style="3" customWidth="1"/>
    <col min="332" max="332" width="2.109375" style="3" customWidth="1"/>
    <col min="333" max="336" width="5.88671875" style="3" customWidth="1"/>
    <col min="337" max="337" width="6" style="3" customWidth="1"/>
    <col min="338" max="338" width="1.5546875" style="3" customWidth="1"/>
    <col min="339" max="339" width="2.33203125" style="3" customWidth="1"/>
    <col min="340" max="340" width="1.5546875" style="3" customWidth="1"/>
    <col min="341" max="344" width="6.33203125" style="3" customWidth="1"/>
    <col min="345" max="345" width="6.109375" style="3" customWidth="1"/>
    <col min="346" max="347" width="1.109375" style="3" customWidth="1"/>
    <col min="348" max="348" width="1.33203125" style="3" customWidth="1"/>
    <col min="349" max="352" width="5.88671875" style="3" customWidth="1"/>
    <col min="353" max="353" width="6.88671875" style="3" customWidth="1"/>
    <col min="354" max="354" width="1.33203125" style="3" customWidth="1"/>
    <col min="355" max="356" width="1.6640625" style="3" customWidth="1"/>
    <col min="357" max="358" width="10.6640625" style="3" bestFit="1" customWidth="1"/>
    <col min="359" max="360" width="8.33203125" style="3" customWidth="1"/>
    <col min="361" max="361" width="8.6640625" style="3" customWidth="1"/>
    <col min="362" max="362" width="8.109375" style="3" customWidth="1"/>
    <col min="363" max="364" width="11.33203125" style="3" customWidth="1"/>
    <col min="365" max="365" width="10" style="3" customWidth="1"/>
    <col min="366" max="513" width="9.109375" style="3"/>
    <col min="514" max="514" width="5.5546875" style="3" customWidth="1"/>
    <col min="515" max="515" width="21.33203125" style="3" customWidth="1"/>
    <col min="516" max="516" width="38.88671875" style="3" customWidth="1"/>
    <col min="517" max="517" width="8.33203125" style="3" customWidth="1"/>
    <col min="518" max="518" width="6.109375" style="3" customWidth="1"/>
    <col min="519" max="519" width="1" style="3" customWidth="1"/>
    <col min="520" max="520" width="1.33203125" style="3" customWidth="1"/>
    <col min="521" max="521" width="5.109375" style="3" customWidth="1"/>
    <col min="522" max="522" width="6.109375" style="3" customWidth="1"/>
    <col min="523" max="523" width="0.6640625" style="3" customWidth="1"/>
    <col min="524" max="524" width="1" style="3" customWidth="1"/>
    <col min="525" max="525" width="4.6640625" style="3" customWidth="1"/>
    <col min="526" max="526" width="6.33203125" style="3" customWidth="1"/>
    <col min="527" max="527" width="0.88671875" style="3" customWidth="1"/>
    <col min="528" max="528" width="1.109375" style="3" customWidth="1"/>
    <col min="529" max="529" width="6.5546875" style="3" customWidth="1"/>
    <col min="530" max="530" width="7.109375" style="3" customWidth="1"/>
    <col min="531" max="532" width="1.5546875" style="3" customWidth="1"/>
    <col min="533" max="533" width="6.88671875" style="3" customWidth="1"/>
    <col min="534" max="534" width="2" style="3" customWidth="1"/>
    <col min="535" max="535" width="1.33203125" style="3" customWidth="1"/>
    <col min="536" max="536" width="2.109375" style="3" customWidth="1"/>
    <col min="537" max="537" width="6.44140625" style="3" customWidth="1"/>
    <col min="538" max="540" width="2" style="3" customWidth="1"/>
    <col min="541" max="541" width="7.6640625" style="3" customWidth="1"/>
    <col min="542" max="542" width="1.33203125" style="3" customWidth="1"/>
    <col min="543" max="543" width="1.5546875" style="3" customWidth="1"/>
    <col min="544" max="544" width="1.44140625" style="3" customWidth="1"/>
    <col min="545" max="545" width="6.109375" style="3" customWidth="1"/>
    <col min="546" max="548" width="1" style="3" customWidth="1"/>
    <col min="549" max="549" width="6.44140625" style="3" customWidth="1"/>
    <col min="550" max="550" width="5.88671875" style="3" customWidth="1"/>
    <col min="551" max="551" width="1.44140625" style="3" customWidth="1"/>
    <col min="552" max="552" width="1.5546875" style="3" customWidth="1"/>
    <col min="553" max="553" width="6.109375" style="3" customWidth="1"/>
    <col min="554" max="554" width="7" style="3" customWidth="1"/>
    <col min="555" max="555" width="1.109375" style="3" customWidth="1"/>
    <col min="556" max="556" width="1.88671875" style="3" customWidth="1"/>
    <col min="557" max="557" width="5.88671875" style="3" customWidth="1"/>
    <col min="558" max="558" width="1.6640625" style="3" customWidth="1"/>
    <col min="559" max="559" width="2.109375" style="3" customWidth="1"/>
    <col min="560" max="560" width="1.109375" style="3" customWidth="1"/>
    <col min="561" max="561" width="7.33203125" style="3" customWidth="1"/>
    <col min="562" max="563" width="2.109375" style="3" customWidth="1"/>
    <col min="564" max="564" width="1.6640625" style="3" customWidth="1"/>
    <col min="565" max="565" width="5.5546875" style="3" customWidth="1"/>
    <col min="566" max="566" width="2" style="3" customWidth="1"/>
    <col min="567" max="567" width="1.44140625" style="3" customWidth="1"/>
    <col min="568" max="568" width="2" style="3" customWidth="1"/>
    <col min="569" max="569" width="6.88671875" style="3" customWidth="1"/>
    <col min="570" max="570" width="1.6640625" style="3" customWidth="1"/>
    <col min="571" max="571" width="2" style="3" customWidth="1"/>
    <col min="572" max="572" width="1.88671875" style="3" customWidth="1"/>
    <col min="573" max="573" width="6.88671875" style="3" customWidth="1"/>
    <col min="574" max="574" width="1.109375" style="3" customWidth="1"/>
    <col min="575" max="575" width="1.33203125" style="3" customWidth="1"/>
    <col min="576" max="576" width="1.88671875" style="3" customWidth="1"/>
    <col min="577" max="577" width="6.88671875" style="3" customWidth="1"/>
    <col min="578" max="578" width="1.44140625" style="3" customWidth="1"/>
    <col min="579" max="579" width="1.33203125" style="3" customWidth="1"/>
    <col min="580" max="580" width="2.109375" style="3" customWidth="1"/>
    <col min="581" max="581" width="5.109375" style="3" customWidth="1"/>
    <col min="582" max="582" width="5.5546875" style="3" customWidth="1"/>
    <col min="583" max="583" width="1.109375" style="3" customWidth="1"/>
    <col min="584" max="584" width="1.44140625" style="3" customWidth="1"/>
    <col min="585" max="585" width="6" style="3" customWidth="1"/>
    <col min="586" max="586" width="5.88671875" style="3" customWidth="1"/>
    <col min="587" max="587" width="1.6640625" style="3" customWidth="1"/>
    <col min="588" max="588" width="2.109375" style="3" customWidth="1"/>
    <col min="589" max="592" width="5.88671875" style="3" customWidth="1"/>
    <col min="593" max="593" width="6" style="3" customWidth="1"/>
    <col min="594" max="594" width="1.5546875" style="3" customWidth="1"/>
    <col min="595" max="595" width="2.33203125" style="3" customWidth="1"/>
    <col min="596" max="596" width="1.5546875" style="3" customWidth="1"/>
    <col min="597" max="600" width="6.33203125" style="3" customWidth="1"/>
    <col min="601" max="601" width="6.109375" style="3" customWidth="1"/>
    <col min="602" max="603" width="1.109375" style="3" customWidth="1"/>
    <col min="604" max="604" width="1.33203125" style="3" customWidth="1"/>
    <col min="605" max="608" width="5.88671875" style="3" customWidth="1"/>
    <col min="609" max="609" width="6.88671875" style="3" customWidth="1"/>
    <col min="610" max="610" width="1.33203125" style="3" customWidth="1"/>
    <col min="611" max="612" width="1.6640625" style="3" customWidth="1"/>
    <col min="613" max="614" width="10.6640625" style="3" bestFit="1" customWidth="1"/>
    <col min="615" max="616" width="8.33203125" style="3" customWidth="1"/>
    <col min="617" max="617" width="8.6640625" style="3" customWidth="1"/>
    <col min="618" max="618" width="8.109375" style="3" customWidth="1"/>
    <col min="619" max="620" width="11.33203125" style="3" customWidth="1"/>
    <col min="621" max="621" width="10" style="3" customWidth="1"/>
    <col min="622" max="769" width="9.109375" style="3"/>
    <col min="770" max="770" width="5.5546875" style="3" customWidth="1"/>
    <col min="771" max="771" width="21.33203125" style="3" customWidth="1"/>
    <col min="772" max="772" width="38.88671875" style="3" customWidth="1"/>
    <col min="773" max="773" width="8.33203125" style="3" customWidth="1"/>
    <col min="774" max="774" width="6.109375" style="3" customWidth="1"/>
    <col min="775" max="775" width="1" style="3" customWidth="1"/>
    <col min="776" max="776" width="1.33203125" style="3" customWidth="1"/>
    <col min="777" max="777" width="5.109375" style="3" customWidth="1"/>
    <col min="778" max="778" width="6.109375" style="3" customWidth="1"/>
    <col min="779" max="779" width="0.6640625" style="3" customWidth="1"/>
    <col min="780" max="780" width="1" style="3" customWidth="1"/>
    <col min="781" max="781" width="4.6640625" style="3" customWidth="1"/>
    <col min="782" max="782" width="6.33203125" style="3" customWidth="1"/>
    <col min="783" max="783" width="0.88671875" style="3" customWidth="1"/>
    <col min="784" max="784" width="1.109375" style="3" customWidth="1"/>
    <col min="785" max="785" width="6.5546875" style="3" customWidth="1"/>
    <col min="786" max="786" width="7.109375" style="3" customWidth="1"/>
    <col min="787" max="788" width="1.5546875" style="3" customWidth="1"/>
    <col min="789" max="789" width="6.88671875" style="3" customWidth="1"/>
    <col min="790" max="790" width="2" style="3" customWidth="1"/>
    <col min="791" max="791" width="1.33203125" style="3" customWidth="1"/>
    <col min="792" max="792" width="2.109375" style="3" customWidth="1"/>
    <col min="793" max="793" width="6.44140625" style="3" customWidth="1"/>
    <col min="794" max="796" width="2" style="3" customWidth="1"/>
    <col min="797" max="797" width="7.6640625" style="3" customWidth="1"/>
    <col min="798" max="798" width="1.33203125" style="3" customWidth="1"/>
    <col min="799" max="799" width="1.5546875" style="3" customWidth="1"/>
    <col min="800" max="800" width="1.44140625" style="3" customWidth="1"/>
    <col min="801" max="801" width="6.109375" style="3" customWidth="1"/>
    <col min="802" max="804" width="1" style="3" customWidth="1"/>
    <col min="805" max="805" width="6.44140625" style="3" customWidth="1"/>
    <col min="806" max="806" width="5.88671875" style="3" customWidth="1"/>
    <col min="807" max="807" width="1.44140625" style="3" customWidth="1"/>
    <col min="808" max="808" width="1.5546875" style="3" customWidth="1"/>
    <col min="809" max="809" width="6.109375" style="3" customWidth="1"/>
    <col min="810" max="810" width="7" style="3" customWidth="1"/>
    <col min="811" max="811" width="1.109375" style="3" customWidth="1"/>
    <col min="812" max="812" width="1.88671875" style="3" customWidth="1"/>
    <col min="813" max="813" width="5.88671875" style="3" customWidth="1"/>
    <col min="814" max="814" width="1.6640625" style="3" customWidth="1"/>
    <col min="815" max="815" width="2.109375" style="3" customWidth="1"/>
    <col min="816" max="816" width="1.109375" style="3" customWidth="1"/>
    <col min="817" max="817" width="7.33203125" style="3" customWidth="1"/>
    <col min="818" max="819" width="2.109375" style="3" customWidth="1"/>
    <col min="820" max="820" width="1.6640625" style="3" customWidth="1"/>
    <col min="821" max="821" width="5.5546875" style="3" customWidth="1"/>
    <col min="822" max="822" width="2" style="3" customWidth="1"/>
    <col min="823" max="823" width="1.44140625" style="3" customWidth="1"/>
    <col min="824" max="824" width="2" style="3" customWidth="1"/>
    <col min="825" max="825" width="6.88671875" style="3" customWidth="1"/>
    <col min="826" max="826" width="1.6640625" style="3" customWidth="1"/>
    <col min="827" max="827" width="2" style="3" customWidth="1"/>
    <col min="828" max="828" width="1.88671875" style="3" customWidth="1"/>
    <col min="829" max="829" width="6.88671875" style="3" customWidth="1"/>
    <col min="830" max="830" width="1.109375" style="3" customWidth="1"/>
    <col min="831" max="831" width="1.33203125" style="3" customWidth="1"/>
    <col min="832" max="832" width="1.88671875" style="3" customWidth="1"/>
    <col min="833" max="833" width="6.88671875" style="3" customWidth="1"/>
    <col min="834" max="834" width="1.44140625" style="3" customWidth="1"/>
    <col min="835" max="835" width="1.33203125" style="3" customWidth="1"/>
    <col min="836" max="836" width="2.109375" style="3" customWidth="1"/>
    <col min="837" max="837" width="5.109375" style="3" customWidth="1"/>
    <col min="838" max="838" width="5.5546875" style="3" customWidth="1"/>
    <col min="839" max="839" width="1.109375" style="3" customWidth="1"/>
    <col min="840" max="840" width="1.44140625" style="3" customWidth="1"/>
    <col min="841" max="841" width="6" style="3" customWidth="1"/>
    <col min="842" max="842" width="5.88671875" style="3" customWidth="1"/>
    <col min="843" max="843" width="1.6640625" style="3" customWidth="1"/>
    <col min="844" max="844" width="2.109375" style="3" customWidth="1"/>
    <col min="845" max="848" width="5.88671875" style="3" customWidth="1"/>
    <col min="849" max="849" width="6" style="3" customWidth="1"/>
    <col min="850" max="850" width="1.5546875" style="3" customWidth="1"/>
    <col min="851" max="851" width="2.33203125" style="3" customWidth="1"/>
    <col min="852" max="852" width="1.5546875" style="3" customWidth="1"/>
    <col min="853" max="856" width="6.33203125" style="3" customWidth="1"/>
    <col min="857" max="857" width="6.109375" style="3" customWidth="1"/>
    <col min="858" max="859" width="1.109375" style="3" customWidth="1"/>
    <col min="860" max="860" width="1.33203125" style="3" customWidth="1"/>
    <col min="861" max="864" width="5.88671875" style="3" customWidth="1"/>
    <col min="865" max="865" width="6.88671875" style="3" customWidth="1"/>
    <col min="866" max="866" width="1.33203125" style="3" customWidth="1"/>
    <col min="867" max="868" width="1.6640625" style="3" customWidth="1"/>
    <col min="869" max="870" width="10.6640625" style="3" bestFit="1" customWidth="1"/>
    <col min="871" max="872" width="8.33203125" style="3" customWidth="1"/>
    <col min="873" max="873" width="8.6640625" style="3" customWidth="1"/>
    <col min="874" max="874" width="8.109375" style="3" customWidth="1"/>
    <col min="875" max="876" width="11.33203125" style="3" customWidth="1"/>
    <col min="877" max="877" width="10" style="3" customWidth="1"/>
    <col min="878" max="1025" width="9.109375" style="3"/>
    <col min="1026" max="1026" width="5.5546875" style="3" customWidth="1"/>
    <col min="1027" max="1027" width="21.33203125" style="3" customWidth="1"/>
    <col min="1028" max="1028" width="38.88671875" style="3" customWidth="1"/>
    <col min="1029" max="1029" width="8.33203125" style="3" customWidth="1"/>
    <col min="1030" max="1030" width="6.109375" style="3" customWidth="1"/>
    <col min="1031" max="1031" width="1" style="3" customWidth="1"/>
    <col min="1032" max="1032" width="1.33203125" style="3" customWidth="1"/>
    <col min="1033" max="1033" width="5.109375" style="3" customWidth="1"/>
    <col min="1034" max="1034" width="6.109375" style="3" customWidth="1"/>
    <col min="1035" max="1035" width="0.6640625" style="3" customWidth="1"/>
    <col min="1036" max="1036" width="1" style="3" customWidth="1"/>
    <col min="1037" max="1037" width="4.6640625" style="3" customWidth="1"/>
    <col min="1038" max="1038" width="6.33203125" style="3" customWidth="1"/>
    <col min="1039" max="1039" width="0.88671875" style="3" customWidth="1"/>
    <col min="1040" max="1040" width="1.109375" style="3" customWidth="1"/>
    <col min="1041" max="1041" width="6.5546875" style="3" customWidth="1"/>
    <col min="1042" max="1042" width="7.109375" style="3" customWidth="1"/>
    <col min="1043" max="1044" width="1.5546875" style="3" customWidth="1"/>
    <col min="1045" max="1045" width="6.88671875" style="3" customWidth="1"/>
    <col min="1046" max="1046" width="2" style="3" customWidth="1"/>
    <col min="1047" max="1047" width="1.33203125" style="3" customWidth="1"/>
    <col min="1048" max="1048" width="2.109375" style="3" customWidth="1"/>
    <col min="1049" max="1049" width="6.44140625" style="3" customWidth="1"/>
    <col min="1050" max="1052" width="2" style="3" customWidth="1"/>
    <col min="1053" max="1053" width="7.6640625" style="3" customWidth="1"/>
    <col min="1054" max="1054" width="1.33203125" style="3" customWidth="1"/>
    <col min="1055" max="1055" width="1.5546875" style="3" customWidth="1"/>
    <col min="1056" max="1056" width="1.44140625" style="3" customWidth="1"/>
    <col min="1057" max="1057" width="6.109375" style="3" customWidth="1"/>
    <col min="1058" max="1060" width="1" style="3" customWidth="1"/>
    <col min="1061" max="1061" width="6.44140625" style="3" customWidth="1"/>
    <col min="1062" max="1062" width="5.88671875" style="3" customWidth="1"/>
    <col min="1063" max="1063" width="1.44140625" style="3" customWidth="1"/>
    <col min="1064" max="1064" width="1.5546875" style="3" customWidth="1"/>
    <col min="1065" max="1065" width="6.109375" style="3" customWidth="1"/>
    <col min="1066" max="1066" width="7" style="3" customWidth="1"/>
    <col min="1067" max="1067" width="1.109375" style="3" customWidth="1"/>
    <col min="1068" max="1068" width="1.88671875" style="3" customWidth="1"/>
    <col min="1069" max="1069" width="5.88671875" style="3" customWidth="1"/>
    <col min="1070" max="1070" width="1.6640625" style="3" customWidth="1"/>
    <col min="1071" max="1071" width="2.109375" style="3" customWidth="1"/>
    <col min="1072" max="1072" width="1.109375" style="3" customWidth="1"/>
    <col min="1073" max="1073" width="7.33203125" style="3" customWidth="1"/>
    <col min="1074" max="1075" width="2.109375" style="3" customWidth="1"/>
    <col min="1076" max="1076" width="1.6640625" style="3" customWidth="1"/>
    <col min="1077" max="1077" width="5.5546875" style="3" customWidth="1"/>
    <col min="1078" max="1078" width="2" style="3" customWidth="1"/>
    <col min="1079" max="1079" width="1.44140625" style="3" customWidth="1"/>
    <col min="1080" max="1080" width="2" style="3" customWidth="1"/>
    <col min="1081" max="1081" width="6.88671875" style="3" customWidth="1"/>
    <col min="1082" max="1082" width="1.6640625" style="3" customWidth="1"/>
    <col min="1083" max="1083" width="2" style="3" customWidth="1"/>
    <col min="1084" max="1084" width="1.88671875" style="3" customWidth="1"/>
    <col min="1085" max="1085" width="6.88671875" style="3" customWidth="1"/>
    <col min="1086" max="1086" width="1.109375" style="3" customWidth="1"/>
    <col min="1087" max="1087" width="1.33203125" style="3" customWidth="1"/>
    <col min="1088" max="1088" width="1.88671875" style="3" customWidth="1"/>
    <col min="1089" max="1089" width="6.88671875" style="3" customWidth="1"/>
    <col min="1090" max="1090" width="1.44140625" style="3" customWidth="1"/>
    <col min="1091" max="1091" width="1.33203125" style="3" customWidth="1"/>
    <col min="1092" max="1092" width="2.109375" style="3" customWidth="1"/>
    <col min="1093" max="1093" width="5.109375" style="3" customWidth="1"/>
    <col min="1094" max="1094" width="5.5546875" style="3" customWidth="1"/>
    <col min="1095" max="1095" width="1.109375" style="3" customWidth="1"/>
    <col min="1096" max="1096" width="1.44140625" style="3" customWidth="1"/>
    <col min="1097" max="1097" width="6" style="3" customWidth="1"/>
    <col min="1098" max="1098" width="5.88671875" style="3" customWidth="1"/>
    <col min="1099" max="1099" width="1.6640625" style="3" customWidth="1"/>
    <col min="1100" max="1100" width="2.109375" style="3" customWidth="1"/>
    <col min="1101" max="1104" width="5.88671875" style="3" customWidth="1"/>
    <col min="1105" max="1105" width="6" style="3" customWidth="1"/>
    <col min="1106" max="1106" width="1.5546875" style="3" customWidth="1"/>
    <col min="1107" max="1107" width="2.33203125" style="3" customWidth="1"/>
    <col min="1108" max="1108" width="1.5546875" style="3" customWidth="1"/>
    <col min="1109" max="1112" width="6.33203125" style="3" customWidth="1"/>
    <col min="1113" max="1113" width="6.109375" style="3" customWidth="1"/>
    <col min="1114" max="1115" width="1.109375" style="3" customWidth="1"/>
    <col min="1116" max="1116" width="1.33203125" style="3" customWidth="1"/>
    <col min="1117" max="1120" width="5.88671875" style="3" customWidth="1"/>
    <col min="1121" max="1121" width="6.88671875" style="3" customWidth="1"/>
    <col min="1122" max="1122" width="1.33203125" style="3" customWidth="1"/>
    <col min="1123" max="1124" width="1.6640625" style="3" customWidth="1"/>
    <col min="1125" max="1126" width="10.6640625" style="3" bestFit="1" customWidth="1"/>
    <col min="1127" max="1128" width="8.33203125" style="3" customWidth="1"/>
    <col min="1129" max="1129" width="8.6640625" style="3" customWidth="1"/>
    <col min="1130" max="1130" width="8.109375" style="3" customWidth="1"/>
    <col min="1131" max="1132" width="11.33203125" style="3" customWidth="1"/>
    <col min="1133" max="1133" width="10" style="3" customWidth="1"/>
    <col min="1134" max="1281" width="9.109375" style="3"/>
    <col min="1282" max="1282" width="5.5546875" style="3" customWidth="1"/>
    <col min="1283" max="1283" width="21.33203125" style="3" customWidth="1"/>
    <col min="1284" max="1284" width="38.88671875" style="3" customWidth="1"/>
    <col min="1285" max="1285" width="8.33203125" style="3" customWidth="1"/>
    <col min="1286" max="1286" width="6.109375" style="3" customWidth="1"/>
    <col min="1287" max="1287" width="1" style="3" customWidth="1"/>
    <col min="1288" max="1288" width="1.33203125" style="3" customWidth="1"/>
    <col min="1289" max="1289" width="5.109375" style="3" customWidth="1"/>
    <col min="1290" max="1290" width="6.109375" style="3" customWidth="1"/>
    <col min="1291" max="1291" width="0.6640625" style="3" customWidth="1"/>
    <col min="1292" max="1292" width="1" style="3" customWidth="1"/>
    <col min="1293" max="1293" width="4.6640625" style="3" customWidth="1"/>
    <col min="1294" max="1294" width="6.33203125" style="3" customWidth="1"/>
    <col min="1295" max="1295" width="0.88671875" style="3" customWidth="1"/>
    <col min="1296" max="1296" width="1.109375" style="3" customWidth="1"/>
    <col min="1297" max="1297" width="6.5546875" style="3" customWidth="1"/>
    <col min="1298" max="1298" width="7.109375" style="3" customWidth="1"/>
    <col min="1299" max="1300" width="1.5546875" style="3" customWidth="1"/>
    <col min="1301" max="1301" width="6.88671875" style="3" customWidth="1"/>
    <col min="1302" max="1302" width="2" style="3" customWidth="1"/>
    <col min="1303" max="1303" width="1.33203125" style="3" customWidth="1"/>
    <col min="1304" max="1304" width="2.109375" style="3" customWidth="1"/>
    <col min="1305" max="1305" width="6.44140625" style="3" customWidth="1"/>
    <col min="1306" max="1308" width="2" style="3" customWidth="1"/>
    <col min="1309" max="1309" width="7.6640625" style="3" customWidth="1"/>
    <col min="1310" max="1310" width="1.33203125" style="3" customWidth="1"/>
    <col min="1311" max="1311" width="1.5546875" style="3" customWidth="1"/>
    <col min="1312" max="1312" width="1.44140625" style="3" customWidth="1"/>
    <col min="1313" max="1313" width="6.109375" style="3" customWidth="1"/>
    <col min="1314" max="1316" width="1" style="3" customWidth="1"/>
    <col min="1317" max="1317" width="6.44140625" style="3" customWidth="1"/>
    <col min="1318" max="1318" width="5.88671875" style="3" customWidth="1"/>
    <col min="1319" max="1319" width="1.44140625" style="3" customWidth="1"/>
    <col min="1320" max="1320" width="1.5546875" style="3" customWidth="1"/>
    <col min="1321" max="1321" width="6.109375" style="3" customWidth="1"/>
    <col min="1322" max="1322" width="7" style="3" customWidth="1"/>
    <col min="1323" max="1323" width="1.109375" style="3" customWidth="1"/>
    <col min="1324" max="1324" width="1.88671875" style="3" customWidth="1"/>
    <col min="1325" max="1325" width="5.88671875" style="3" customWidth="1"/>
    <col min="1326" max="1326" width="1.6640625" style="3" customWidth="1"/>
    <col min="1327" max="1327" width="2.109375" style="3" customWidth="1"/>
    <col min="1328" max="1328" width="1.109375" style="3" customWidth="1"/>
    <col min="1329" max="1329" width="7.33203125" style="3" customWidth="1"/>
    <col min="1330" max="1331" width="2.109375" style="3" customWidth="1"/>
    <col min="1332" max="1332" width="1.6640625" style="3" customWidth="1"/>
    <col min="1333" max="1333" width="5.5546875" style="3" customWidth="1"/>
    <col min="1334" max="1334" width="2" style="3" customWidth="1"/>
    <col min="1335" max="1335" width="1.44140625" style="3" customWidth="1"/>
    <col min="1336" max="1336" width="2" style="3" customWidth="1"/>
    <col min="1337" max="1337" width="6.88671875" style="3" customWidth="1"/>
    <col min="1338" max="1338" width="1.6640625" style="3" customWidth="1"/>
    <col min="1339" max="1339" width="2" style="3" customWidth="1"/>
    <col min="1340" max="1340" width="1.88671875" style="3" customWidth="1"/>
    <col min="1341" max="1341" width="6.88671875" style="3" customWidth="1"/>
    <col min="1342" max="1342" width="1.109375" style="3" customWidth="1"/>
    <col min="1343" max="1343" width="1.33203125" style="3" customWidth="1"/>
    <col min="1344" max="1344" width="1.88671875" style="3" customWidth="1"/>
    <col min="1345" max="1345" width="6.88671875" style="3" customWidth="1"/>
    <col min="1346" max="1346" width="1.44140625" style="3" customWidth="1"/>
    <col min="1347" max="1347" width="1.33203125" style="3" customWidth="1"/>
    <col min="1348" max="1348" width="2.109375" style="3" customWidth="1"/>
    <col min="1349" max="1349" width="5.109375" style="3" customWidth="1"/>
    <col min="1350" max="1350" width="5.5546875" style="3" customWidth="1"/>
    <col min="1351" max="1351" width="1.109375" style="3" customWidth="1"/>
    <col min="1352" max="1352" width="1.44140625" style="3" customWidth="1"/>
    <col min="1353" max="1353" width="6" style="3" customWidth="1"/>
    <col min="1354" max="1354" width="5.88671875" style="3" customWidth="1"/>
    <col min="1355" max="1355" width="1.6640625" style="3" customWidth="1"/>
    <col min="1356" max="1356" width="2.109375" style="3" customWidth="1"/>
    <col min="1357" max="1360" width="5.88671875" style="3" customWidth="1"/>
    <col min="1361" max="1361" width="6" style="3" customWidth="1"/>
    <col min="1362" max="1362" width="1.5546875" style="3" customWidth="1"/>
    <col min="1363" max="1363" width="2.33203125" style="3" customWidth="1"/>
    <col min="1364" max="1364" width="1.5546875" style="3" customWidth="1"/>
    <col min="1365" max="1368" width="6.33203125" style="3" customWidth="1"/>
    <col min="1369" max="1369" width="6.109375" style="3" customWidth="1"/>
    <col min="1370" max="1371" width="1.109375" style="3" customWidth="1"/>
    <col min="1372" max="1372" width="1.33203125" style="3" customWidth="1"/>
    <col min="1373" max="1376" width="5.88671875" style="3" customWidth="1"/>
    <col min="1377" max="1377" width="6.88671875" style="3" customWidth="1"/>
    <col min="1378" max="1378" width="1.33203125" style="3" customWidth="1"/>
    <col min="1379" max="1380" width="1.6640625" style="3" customWidth="1"/>
    <col min="1381" max="1382" width="10.6640625" style="3" bestFit="1" customWidth="1"/>
    <col min="1383" max="1384" width="8.33203125" style="3" customWidth="1"/>
    <col min="1385" max="1385" width="8.6640625" style="3" customWidth="1"/>
    <col min="1386" max="1386" width="8.109375" style="3" customWidth="1"/>
    <col min="1387" max="1388" width="11.33203125" style="3" customWidth="1"/>
    <col min="1389" max="1389" width="10" style="3" customWidth="1"/>
    <col min="1390" max="1537" width="9.109375" style="3"/>
    <col min="1538" max="1538" width="5.5546875" style="3" customWidth="1"/>
    <col min="1539" max="1539" width="21.33203125" style="3" customWidth="1"/>
    <col min="1540" max="1540" width="38.88671875" style="3" customWidth="1"/>
    <col min="1541" max="1541" width="8.33203125" style="3" customWidth="1"/>
    <col min="1542" max="1542" width="6.109375" style="3" customWidth="1"/>
    <col min="1543" max="1543" width="1" style="3" customWidth="1"/>
    <col min="1544" max="1544" width="1.33203125" style="3" customWidth="1"/>
    <col min="1545" max="1545" width="5.109375" style="3" customWidth="1"/>
    <col min="1546" max="1546" width="6.109375" style="3" customWidth="1"/>
    <col min="1547" max="1547" width="0.6640625" style="3" customWidth="1"/>
    <col min="1548" max="1548" width="1" style="3" customWidth="1"/>
    <col min="1549" max="1549" width="4.6640625" style="3" customWidth="1"/>
    <col min="1550" max="1550" width="6.33203125" style="3" customWidth="1"/>
    <col min="1551" max="1551" width="0.88671875" style="3" customWidth="1"/>
    <col min="1552" max="1552" width="1.109375" style="3" customWidth="1"/>
    <col min="1553" max="1553" width="6.5546875" style="3" customWidth="1"/>
    <col min="1554" max="1554" width="7.109375" style="3" customWidth="1"/>
    <col min="1555" max="1556" width="1.5546875" style="3" customWidth="1"/>
    <col min="1557" max="1557" width="6.88671875" style="3" customWidth="1"/>
    <col min="1558" max="1558" width="2" style="3" customWidth="1"/>
    <col min="1559" max="1559" width="1.33203125" style="3" customWidth="1"/>
    <col min="1560" max="1560" width="2.109375" style="3" customWidth="1"/>
    <col min="1561" max="1561" width="6.44140625" style="3" customWidth="1"/>
    <col min="1562" max="1564" width="2" style="3" customWidth="1"/>
    <col min="1565" max="1565" width="7.6640625" style="3" customWidth="1"/>
    <col min="1566" max="1566" width="1.33203125" style="3" customWidth="1"/>
    <col min="1567" max="1567" width="1.5546875" style="3" customWidth="1"/>
    <col min="1568" max="1568" width="1.44140625" style="3" customWidth="1"/>
    <col min="1569" max="1569" width="6.109375" style="3" customWidth="1"/>
    <col min="1570" max="1572" width="1" style="3" customWidth="1"/>
    <col min="1573" max="1573" width="6.44140625" style="3" customWidth="1"/>
    <col min="1574" max="1574" width="5.88671875" style="3" customWidth="1"/>
    <col min="1575" max="1575" width="1.44140625" style="3" customWidth="1"/>
    <col min="1576" max="1576" width="1.5546875" style="3" customWidth="1"/>
    <col min="1577" max="1577" width="6.109375" style="3" customWidth="1"/>
    <col min="1578" max="1578" width="7" style="3" customWidth="1"/>
    <col min="1579" max="1579" width="1.109375" style="3" customWidth="1"/>
    <col min="1580" max="1580" width="1.88671875" style="3" customWidth="1"/>
    <col min="1581" max="1581" width="5.88671875" style="3" customWidth="1"/>
    <col min="1582" max="1582" width="1.6640625" style="3" customWidth="1"/>
    <col min="1583" max="1583" width="2.109375" style="3" customWidth="1"/>
    <col min="1584" max="1584" width="1.109375" style="3" customWidth="1"/>
    <col min="1585" max="1585" width="7.33203125" style="3" customWidth="1"/>
    <col min="1586" max="1587" width="2.109375" style="3" customWidth="1"/>
    <col min="1588" max="1588" width="1.6640625" style="3" customWidth="1"/>
    <col min="1589" max="1589" width="5.5546875" style="3" customWidth="1"/>
    <col min="1590" max="1590" width="2" style="3" customWidth="1"/>
    <col min="1591" max="1591" width="1.44140625" style="3" customWidth="1"/>
    <col min="1592" max="1592" width="2" style="3" customWidth="1"/>
    <col min="1593" max="1593" width="6.88671875" style="3" customWidth="1"/>
    <col min="1594" max="1594" width="1.6640625" style="3" customWidth="1"/>
    <col min="1595" max="1595" width="2" style="3" customWidth="1"/>
    <col min="1596" max="1596" width="1.88671875" style="3" customWidth="1"/>
    <col min="1597" max="1597" width="6.88671875" style="3" customWidth="1"/>
    <col min="1598" max="1598" width="1.109375" style="3" customWidth="1"/>
    <col min="1599" max="1599" width="1.33203125" style="3" customWidth="1"/>
    <col min="1600" max="1600" width="1.88671875" style="3" customWidth="1"/>
    <col min="1601" max="1601" width="6.88671875" style="3" customWidth="1"/>
    <col min="1602" max="1602" width="1.44140625" style="3" customWidth="1"/>
    <col min="1603" max="1603" width="1.33203125" style="3" customWidth="1"/>
    <col min="1604" max="1604" width="2.109375" style="3" customWidth="1"/>
    <col min="1605" max="1605" width="5.109375" style="3" customWidth="1"/>
    <col min="1606" max="1606" width="5.5546875" style="3" customWidth="1"/>
    <col min="1607" max="1607" width="1.109375" style="3" customWidth="1"/>
    <col min="1608" max="1608" width="1.44140625" style="3" customWidth="1"/>
    <col min="1609" max="1609" width="6" style="3" customWidth="1"/>
    <col min="1610" max="1610" width="5.88671875" style="3" customWidth="1"/>
    <col min="1611" max="1611" width="1.6640625" style="3" customWidth="1"/>
    <col min="1612" max="1612" width="2.109375" style="3" customWidth="1"/>
    <col min="1613" max="1616" width="5.88671875" style="3" customWidth="1"/>
    <col min="1617" max="1617" width="6" style="3" customWidth="1"/>
    <col min="1618" max="1618" width="1.5546875" style="3" customWidth="1"/>
    <col min="1619" max="1619" width="2.33203125" style="3" customWidth="1"/>
    <col min="1620" max="1620" width="1.5546875" style="3" customWidth="1"/>
    <col min="1621" max="1624" width="6.33203125" style="3" customWidth="1"/>
    <col min="1625" max="1625" width="6.109375" style="3" customWidth="1"/>
    <col min="1626" max="1627" width="1.109375" style="3" customWidth="1"/>
    <col min="1628" max="1628" width="1.33203125" style="3" customWidth="1"/>
    <col min="1629" max="1632" width="5.88671875" style="3" customWidth="1"/>
    <col min="1633" max="1633" width="6.88671875" style="3" customWidth="1"/>
    <col min="1634" max="1634" width="1.33203125" style="3" customWidth="1"/>
    <col min="1635" max="1636" width="1.6640625" style="3" customWidth="1"/>
    <col min="1637" max="1638" width="10.6640625" style="3" bestFit="1" customWidth="1"/>
    <col min="1639" max="1640" width="8.33203125" style="3" customWidth="1"/>
    <col min="1641" max="1641" width="8.6640625" style="3" customWidth="1"/>
    <col min="1642" max="1642" width="8.109375" style="3" customWidth="1"/>
    <col min="1643" max="1644" width="11.33203125" style="3" customWidth="1"/>
    <col min="1645" max="1645" width="10" style="3" customWidth="1"/>
    <col min="1646" max="1793" width="9.109375" style="3"/>
    <col min="1794" max="1794" width="5.5546875" style="3" customWidth="1"/>
    <col min="1795" max="1795" width="21.33203125" style="3" customWidth="1"/>
    <col min="1796" max="1796" width="38.88671875" style="3" customWidth="1"/>
    <col min="1797" max="1797" width="8.33203125" style="3" customWidth="1"/>
    <col min="1798" max="1798" width="6.109375" style="3" customWidth="1"/>
    <col min="1799" max="1799" width="1" style="3" customWidth="1"/>
    <col min="1800" max="1800" width="1.33203125" style="3" customWidth="1"/>
    <col min="1801" max="1801" width="5.109375" style="3" customWidth="1"/>
    <col min="1802" max="1802" width="6.109375" style="3" customWidth="1"/>
    <col min="1803" max="1803" width="0.6640625" style="3" customWidth="1"/>
    <col min="1804" max="1804" width="1" style="3" customWidth="1"/>
    <col min="1805" max="1805" width="4.6640625" style="3" customWidth="1"/>
    <col min="1806" max="1806" width="6.33203125" style="3" customWidth="1"/>
    <col min="1807" max="1807" width="0.88671875" style="3" customWidth="1"/>
    <col min="1808" max="1808" width="1.109375" style="3" customWidth="1"/>
    <col min="1809" max="1809" width="6.5546875" style="3" customWidth="1"/>
    <col min="1810" max="1810" width="7.109375" style="3" customWidth="1"/>
    <col min="1811" max="1812" width="1.5546875" style="3" customWidth="1"/>
    <col min="1813" max="1813" width="6.88671875" style="3" customWidth="1"/>
    <col min="1814" max="1814" width="2" style="3" customWidth="1"/>
    <col min="1815" max="1815" width="1.33203125" style="3" customWidth="1"/>
    <col min="1816" max="1816" width="2.109375" style="3" customWidth="1"/>
    <col min="1817" max="1817" width="6.44140625" style="3" customWidth="1"/>
    <col min="1818" max="1820" width="2" style="3" customWidth="1"/>
    <col min="1821" max="1821" width="7.6640625" style="3" customWidth="1"/>
    <col min="1822" max="1822" width="1.33203125" style="3" customWidth="1"/>
    <col min="1823" max="1823" width="1.5546875" style="3" customWidth="1"/>
    <col min="1824" max="1824" width="1.44140625" style="3" customWidth="1"/>
    <col min="1825" max="1825" width="6.109375" style="3" customWidth="1"/>
    <col min="1826" max="1828" width="1" style="3" customWidth="1"/>
    <col min="1829" max="1829" width="6.44140625" style="3" customWidth="1"/>
    <col min="1830" max="1830" width="5.88671875" style="3" customWidth="1"/>
    <col min="1831" max="1831" width="1.44140625" style="3" customWidth="1"/>
    <col min="1832" max="1832" width="1.5546875" style="3" customWidth="1"/>
    <col min="1833" max="1833" width="6.109375" style="3" customWidth="1"/>
    <col min="1834" max="1834" width="7" style="3" customWidth="1"/>
    <col min="1835" max="1835" width="1.109375" style="3" customWidth="1"/>
    <col min="1836" max="1836" width="1.88671875" style="3" customWidth="1"/>
    <col min="1837" max="1837" width="5.88671875" style="3" customWidth="1"/>
    <col min="1838" max="1838" width="1.6640625" style="3" customWidth="1"/>
    <col min="1839" max="1839" width="2.109375" style="3" customWidth="1"/>
    <col min="1840" max="1840" width="1.109375" style="3" customWidth="1"/>
    <col min="1841" max="1841" width="7.33203125" style="3" customWidth="1"/>
    <col min="1842" max="1843" width="2.109375" style="3" customWidth="1"/>
    <col min="1844" max="1844" width="1.6640625" style="3" customWidth="1"/>
    <col min="1845" max="1845" width="5.5546875" style="3" customWidth="1"/>
    <col min="1846" max="1846" width="2" style="3" customWidth="1"/>
    <col min="1847" max="1847" width="1.44140625" style="3" customWidth="1"/>
    <col min="1848" max="1848" width="2" style="3" customWidth="1"/>
    <col min="1849" max="1849" width="6.88671875" style="3" customWidth="1"/>
    <col min="1850" max="1850" width="1.6640625" style="3" customWidth="1"/>
    <col min="1851" max="1851" width="2" style="3" customWidth="1"/>
    <col min="1852" max="1852" width="1.88671875" style="3" customWidth="1"/>
    <col min="1853" max="1853" width="6.88671875" style="3" customWidth="1"/>
    <col min="1854" max="1854" width="1.109375" style="3" customWidth="1"/>
    <col min="1855" max="1855" width="1.33203125" style="3" customWidth="1"/>
    <col min="1856" max="1856" width="1.88671875" style="3" customWidth="1"/>
    <col min="1857" max="1857" width="6.88671875" style="3" customWidth="1"/>
    <col min="1858" max="1858" width="1.44140625" style="3" customWidth="1"/>
    <col min="1859" max="1859" width="1.33203125" style="3" customWidth="1"/>
    <col min="1860" max="1860" width="2.109375" style="3" customWidth="1"/>
    <col min="1861" max="1861" width="5.109375" style="3" customWidth="1"/>
    <col min="1862" max="1862" width="5.5546875" style="3" customWidth="1"/>
    <col min="1863" max="1863" width="1.109375" style="3" customWidth="1"/>
    <col min="1864" max="1864" width="1.44140625" style="3" customWidth="1"/>
    <col min="1865" max="1865" width="6" style="3" customWidth="1"/>
    <col min="1866" max="1866" width="5.88671875" style="3" customWidth="1"/>
    <col min="1867" max="1867" width="1.6640625" style="3" customWidth="1"/>
    <col min="1868" max="1868" width="2.109375" style="3" customWidth="1"/>
    <col min="1869" max="1872" width="5.88671875" style="3" customWidth="1"/>
    <col min="1873" max="1873" width="6" style="3" customWidth="1"/>
    <col min="1874" max="1874" width="1.5546875" style="3" customWidth="1"/>
    <col min="1875" max="1875" width="2.33203125" style="3" customWidth="1"/>
    <col min="1876" max="1876" width="1.5546875" style="3" customWidth="1"/>
    <col min="1877" max="1880" width="6.33203125" style="3" customWidth="1"/>
    <col min="1881" max="1881" width="6.109375" style="3" customWidth="1"/>
    <col min="1882" max="1883" width="1.109375" style="3" customWidth="1"/>
    <col min="1884" max="1884" width="1.33203125" style="3" customWidth="1"/>
    <col min="1885" max="1888" width="5.88671875" style="3" customWidth="1"/>
    <col min="1889" max="1889" width="6.88671875" style="3" customWidth="1"/>
    <col min="1890" max="1890" width="1.33203125" style="3" customWidth="1"/>
    <col min="1891" max="1892" width="1.6640625" style="3" customWidth="1"/>
    <col min="1893" max="1894" width="10.6640625" style="3" bestFit="1" customWidth="1"/>
    <col min="1895" max="1896" width="8.33203125" style="3" customWidth="1"/>
    <col min="1897" max="1897" width="8.6640625" style="3" customWidth="1"/>
    <col min="1898" max="1898" width="8.109375" style="3" customWidth="1"/>
    <col min="1899" max="1900" width="11.33203125" style="3" customWidth="1"/>
    <col min="1901" max="1901" width="10" style="3" customWidth="1"/>
    <col min="1902" max="2049" width="9.109375" style="3"/>
    <col min="2050" max="2050" width="5.5546875" style="3" customWidth="1"/>
    <col min="2051" max="2051" width="21.33203125" style="3" customWidth="1"/>
    <col min="2052" max="2052" width="38.88671875" style="3" customWidth="1"/>
    <col min="2053" max="2053" width="8.33203125" style="3" customWidth="1"/>
    <col min="2054" max="2054" width="6.109375" style="3" customWidth="1"/>
    <col min="2055" max="2055" width="1" style="3" customWidth="1"/>
    <col min="2056" max="2056" width="1.33203125" style="3" customWidth="1"/>
    <col min="2057" max="2057" width="5.109375" style="3" customWidth="1"/>
    <col min="2058" max="2058" width="6.109375" style="3" customWidth="1"/>
    <col min="2059" max="2059" width="0.6640625" style="3" customWidth="1"/>
    <col min="2060" max="2060" width="1" style="3" customWidth="1"/>
    <col min="2061" max="2061" width="4.6640625" style="3" customWidth="1"/>
    <col min="2062" max="2062" width="6.33203125" style="3" customWidth="1"/>
    <col min="2063" max="2063" width="0.88671875" style="3" customWidth="1"/>
    <col min="2064" max="2064" width="1.109375" style="3" customWidth="1"/>
    <col min="2065" max="2065" width="6.5546875" style="3" customWidth="1"/>
    <col min="2066" max="2066" width="7.109375" style="3" customWidth="1"/>
    <col min="2067" max="2068" width="1.5546875" style="3" customWidth="1"/>
    <col min="2069" max="2069" width="6.88671875" style="3" customWidth="1"/>
    <col min="2070" max="2070" width="2" style="3" customWidth="1"/>
    <col min="2071" max="2071" width="1.33203125" style="3" customWidth="1"/>
    <col min="2072" max="2072" width="2.109375" style="3" customWidth="1"/>
    <col min="2073" max="2073" width="6.44140625" style="3" customWidth="1"/>
    <col min="2074" max="2076" width="2" style="3" customWidth="1"/>
    <col min="2077" max="2077" width="7.6640625" style="3" customWidth="1"/>
    <col min="2078" max="2078" width="1.33203125" style="3" customWidth="1"/>
    <col min="2079" max="2079" width="1.5546875" style="3" customWidth="1"/>
    <col min="2080" max="2080" width="1.44140625" style="3" customWidth="1"/>
    <col min="2081" max="2081" width="6.109375" style="3" customWidth="1"/>
    <col min="2082" max="2084" width="1" style="3" customWidth="1"/>
    <col min="2085" max="2085" width="6.44140625" style="3" customWidth="1"/>
    <col min="2086" max="2086" width="5.88671875" style="3" customWidth="1"/>
    <col min="2087" max="2087" width="1.44140625" style="3" customWidth="1"/>
    <col min="2088" max="2088" width="1.5546875" style="3" customWidth="1"/>
    <col min="2089" max="2089" width="6.109375" style="3" customWidth="1"/>
    <col min="2090" max="2090" width="7" style="3" customWidth="1"/>
    <col min="2091" max="2091" width="1.109375" style="3" customWidth="1"/>
    <col min="2092" max="2092" width="1.88671875" style="3" customWidth="1"/>
    <col min="2093" max="2093" width="5.88671875" style="3" customWidth="1"/>
    <col min="2094" max="2094" width="1.6640625" style="3" customWidth="1"/>
    <col min="2095" max="2095" width="2.109375" style="3" customWidth="1"/>
    <col min="2096" max="2096" width="1.109375" style="3" customWidth="1"/>
    <col min="2097" max="2097" width="7.33203125" style="3" customWidth="1"/>
    <col min="2098" max="2099" width="2.109375" style="3" customWidth="1"/>
    <col min="2100" max="2100" width="1.6640625" style="3" customWidth="1"/>
    <col min="2101" max="2101" width="5.5546875" style="3" customWidth="1"/>
    <col min="2102" max="2102" width="2" style="3" customWidth="1"/>
    <col min="2103" max="2103" width="1.44140625" style="3" customWidth="1"/>
    <col min="2104" max="2104" width="2" style="3" customWidth="1"/>
    <col min="2105" max="2105" width="6.88671875" style="3" customWidth="1"/>
    <col min="2106" max="2106" width="1.6640625" style="3" customWidth="1"/>
    <col min="2107" max="2107" width="2" style="3" customWidth="1"/>
    <col min="2108" max="2108" width="1.88671875" style="3" customWidth="1"/>
    <col min="2109" max="2109" width="6.88671875" style="3" customWidth="1"/>
    <col min="2110" max="2110" width="1.109375" style="3" customWidth="1"/>
    <col min="2111" max="2111" width="1.33203125" style="3" customWidth="1"/>
    <col min="2112" max="2112" width="1.88671875" style="3" customWidth="1"/>
    <col min="2113" max="2113" width="6.88671875" style="3" customWidth="1"/>
    <col min="2114" max="2114" width="1.44140625" style="3" customWidth="1"/>
    <col min="2115" max="2115" width="1.33203125" style="3" customWidth="1"/>
    <col min="2116" max="2116" width="2.109375" style="3" customWidth="1"/>
    <col min="2117" max="2117" width="5.109375" style="3" customWidth="1"/>
    <col min="2118" max="2118" width="5.5546875" style="3" customWidth="1"/>
    <col min="2119" max="2119" width="1.109375" style="3" customWidth="1"/>
    <col min="2120" max="2120" width="1.44140625" style="3" customWidth="1"/>
    <col min="2121" max="2121" width="6" style="3" customWidth="1"/>
    <col min="2122" max="2122" width="5.88671875" style="3" customWidth="1"/>
    <col min="2123" max="2123" width="1.6640625" style="3" customWidth="1"/>
    <col min="2124" max="2124" width="2.109375" style="3" customWidth="1"/>
    <col min="2125" max="2128" width="5.88671875" style="3" customWidth="1"/>
    <col min="2129" max="2129" width="6" style="3" customWidth="1"/>
    <col min="2130" max="2130" width="1.5546875" style="3" customWidth="1"/>
    <col min="2131" max="2131" width="2.33203125" style="3" customWidth="1"/>
    <col min="2132" max="2132" width="1.5546875" style="3" customWidth="1"/>
    <col min="2133" max="2136" width="6.33203125" style="3" customWidth="1"/>
    <col min="2137" max="2137" width="6.109375" style="3" customWidth="1"/>
    <col min="2138" max="2139" width="1.109375" style="3" customWidth="1"/>
    <col min="2140" max="2140" width="1.33203125" style="3" customWidth="1"/>
    <col min="2141" max="2144" width="5.88671875" style="3" customWidth="1"/>
    <col min="2145" max="2145" width="6.88671875" style="3" customWidth="1"/>
    <col min="2146" max="2146" width="1.33203125" style="3" customWidth="1"/>
    <col min="2147" max="2148" width="1.6640625" style="3" customWidth="1"/>
    <col min="2149" max="2150" width="10.6640625" style="3" bestFit="1" customWidth="1"/>
    <col min="2151" max="2152" width="8.33203125" style="3" customWidth="1"/>
    <col min="2153" max="2153" width="8.6640625" style="3" customWidth="1"/>
    <col min="2154" max="2154" width="8.109375" style="3" customWidth="1"/>
    <col min="2155" max="2156" width="11.33203125" style="3" customWidth="1"/>
    <col min="2157" max="2157" width="10" style="3" customWidth="1"/>
    <col min="2158" max="2305" width="9.109375" style="3"/>
    <col min="2306" max="2306" width="5.5546875" style="3" customWidth="1"/>
    <col min="2307" max="2307" width="21.33203125" style="3" customWidth="1"/>
    <col min="2308" max="2308" width="38.88671875" style="3" customWidth="1"/>
    <col min="2309" max="2309" width="8.33203125" style="3" customWidth="1"/>
    <col min="2310" max="2310" width="6.109375" style="3" customWidth="1"/>
    <col min="2311" max="2311" width="1" style="3" customWidth="1"/>
    <col min="2312" max="2312" width="1.33203125" style="3" customWidth="1"/>
    <col min="2313" max="2313" width="5.109375" style="3" customWidth="1"/>
    <col min="2314" max="2314" width="6.109375" style="3" customWidth="1"/>
    <col min="2315" max="2315" width="0.6640625" style="3" customWidth="1"/>
    <col min="2316" max="2316" width="1" style="3" customWidth="1"/>
    <col min="2317" max="2317" width="4.6640625" style="3" customWidth="1"/>
    <col min="2318" max="2318" width="6.33203125" style="3" customWidth="1"/>
    <col min="2319" max="2319" width="0.88671875" style="3" customWidth="1"/>
    <col min="2320" max="2320" width="1.109375" style="3" customWidth="1"/>
    <col min="2321" max="2321" width="6.5546875" style="3" customWidth="1"/>
    <col min="2322" max="2322" width="7.109375" style="3" customWidth="1"/>
    <col min="2323" max="2324" width="1.5546875" style="3" customWidth="1"/>
    <col min="2325" max="2325" width="6.88671875" style="3" customWidth="1"/>
    <col min="2326" max="2326" width="2" style="3" customWidth="1"/>
    <col min="2327" max="2327" width="1.33203125" style="3" customWidth="1"/>
    <col min="2328" max="2328" width="2.109375" style="3" customWidth="1"/>
    <col min="2329" max="2329" width="6.44140625" style="3" customWidth="1"/>
    <col min="2330" max="2332" width="2" style="3" customWidth="1"/>
    <col min="2333" max="2333" width="7.6640625" style="3" customWidth="1"/>
    <col min="2334" max="2334" width="1.33203125" style="3" customWidth="1"/>
    <col min="2335" max="2335" width="1.5546875" style="3" customWidth="1"/>
    <col min="2336" max="2336" width="1.44140625" style="3" customWidth="1"/>
    <col min="2337" max="2337" width="6.109375" style="3" customWidth="1"/>
    <col min="2338" max="2340" width="1" style="3" customWidth="1"/>
    <col min="2341" max="2341" width="6.44140625" style="3" customWidth="1"/>
    <col min="2342" max="2342" width="5.88671875" style="3" customWidth="1"/>
    <col min="2343" max="2343" width="1.44140625" style="3" customWidth="1"/>
    <col min="2344" max="2344" width="1.5546875" style="3" customWidth="1"/>
    <col min="2345" max="2345" width="6.109375" style="3" customWidth="1"/>
    <col min="2346" max="2346" width="7" style="3" customWidth="1"/>
    <col min="2347" max="2347" width="1.109375" style="3" customWidth="1"/>
    <col min="2348" max="2348" width="1.88671875" style="3" customWidth="1"/>
    <col min="2349" max="2349" width="5.88671875" style="3" customWidth="1"/>
    <col min="2350" max="2350" width="1.6640625" style="3" customWidth="1"/>
    <col min="2351" max="2351" width="2.109375" style="3" customWidth="1"/>
    <col min="2352" max="2352" width="1.109375" style="3" customWidth="1"/>
    <col min="2353" max="2353" width="7.33203125" style="3" customWidth="1"/>
    <col min="2354" max="2355" width="2.109375" style="3" customWidth="1"/>
    <col min="2356" max="2356" width="1.6640625" style="3" customWidth="1"/>
    <col min="2357" max="2357" width="5.5546875" style="3" customWidth="1"/>
    <col min="2358" max="2358" width="2" style="3" customWidth="1"/>
    <col min="2359" max="2359" width="1.44140625" style="3" customWidth="1"/>
    <col min="2360" max="2360" width="2" style="3" customWidth="1"/>
    <col min="2361" max="2361" width="6.88671875" style="3" customWidth="1"/>
    <col min="2362" max="2362" width="1.6640625" style="3" customWidth="1"/>
    <col min="2363" max="2363" width="2" style="3" customWidth="1"/>
    <col min="2364" max="2364" width="1.88671875" style="3" customWidth="1"/>
    <col min="2365" max="2365" width="6.88671875" style="3" customWidth="1"/>
    <col min="2366" max="2366" width="1.109375" style="3" customWidth="1"/>
    <col min="2367" max="2367" width="1.33203125" style="3" customWidth="1"/>
    <col min="2368" max="2368" width="1.88671875" style="3" customWidth="1"/>
    <col min="2369" max="2369" width="6.88671875" style="3" customWidth="1"/>
    <col min="2370" max="2370" width="1.44140625" style="3" customWidth="1"/>
    <col min="2371" max="2371" width="1.33203125" style="3" customWidth="1"/>
    <col min="2372" max="2372" width="2.109375" style="3" customWidth="1"/>
    <col min="2373" max="2373" width="5.109375" style="3" customWidth="1"/>
    <col min="2374" max="2374" width="5.5546875" style="3" customWidth="1"/>
    <col min="2375" max="2375" width="1.109375" style="3" customWidth="1"/>
    <col min="2376" max="2376" width="1.44140625" style="3" customWidth="1"/>
    <col min="2377" max="2377" width="6" style="3" customWidth="1"/>
    <col min="2378" max="2378" width="5.88671875" style="3" customWidth="1"/>
    <col min="2379" max="2379" width="1.6640625" style="3" customWidth="1"/>
    <col min="2380" max="2380" width="2.109375" style="3" customWidth="1"/>
    <col min="2381" max="2384" width="5.88671875" style="3" customWidth="1"/>
    <col min="2385" max="2385" width="6" style="3" customWidth="1"/>
    <col min="2386" max="2386" width="1.5546875" style="3" customWidth="1"/>
    <col min="2387" max="2387" width="2.33203125" style="3" customWidth="1"/>
    <col min="2388" max="2388" width="1.5546875" style="3" customWidth="1"/>
    <col min="2389" max="2392" width="6.33203125" style="3" customWidth="1"/>
    <col min="2393" max="2393" width="6.109375" style="3" customWidth="1"/>
    <col min="2394" max="2395" width="1.109375" style="3" customWidth="1"/>
    <col min="2396" max="2396" width="1.33203125" style="3" customWidth="1"/>
    <col min="2397" max="2400" width="5.88671875" style="3" customWidth="1"/>
    <col min="2401" max="2401" width="6.88671875" style="3" customWidth="1"/>
    <col min="2402" max="2402" width="1.33203125" style="3" customWidth="1"/>
    <col min="2403" max="2404" width="1.6640625" style="3" customWidth="1"/>
    <col min="2405" max="2406" width="10.6640625" style="3" bestFit="1" customWidth="1"/>
    <col min="2407" max="2408" width="8.33203125" style="3" customWidth="1"/>
    <col min="2409" max="2409" width="8.6640625" style="3" customWidth="1"/>
    <col min="2410" max="2410" width="8.109375" style="3" customWidth="1"/>
    <col min="2411" max="2412" width="11.33203125" style="3" customWidth="1"/>
    <col min="2413" max="2413" width="10" style="3" customWidth="1"/>
    <col min="2414" max="2561" width="9.109375" style="3"/>
    <col min="2562" max="2562" width="5.5546875" style="3" customWidth="1"/>
    <col min="2563" max="2563" width="21.33203125" style="3" customWidth="1"/>
    <col min="2564" max="2564" width="38.88671875" style="3" customWidth="1"/>
    <col min="2565" max="2565" width="8.33203125" style="3" customWidth="1"/>
    <col min="2566" max="2566" width="6.109375" style="3" customWidth="1"/>
    <col min="2567" max="2567" width="1" style="3" customWidth="1"/>
    <col min="2568" max="2568" width="1.33203125" style="3" customWidth="1"/>
    <col min="2569" max="2569" width="5.109375" style="3" customWidth="1"/>
    <col min="2570" max="2570" width="6.109375" style="3" customWidth="1"/>
    <col min="2571" max="2571" width="0.6640625" style="3" customWidth="1"/>
    <col min="2572" max="2572" width="1" style="3" customWidth="1"/>
    <col min="2573" max="2573" width="4.6640625" style="3" customWidth="1"/>
    <col min="2574" max="2574" width="6.33203125" style="3" customWidth="1"/>
    <col min="2575" max="2575" width="0.88671875" style="3" customWidth="1"/>
    <col min="2576" max="2576" width="1.109375" style="3" customWidth="1"/>
    <col min="2577" max="2577" width="6.5546875" style="3" customWidth="1"/>
    <col min="2578" max="2578" width="7.109375" style="3" customWidth="1"/>
    <col min="2579" max="2580" width="1.5546875" style="3" customWidth="1"/>
    <col min="2581" max="2581" width="6.88671875" style="3" customWidth="1"/>
    <col min="2582" max="2582" width="2" style="3" customWidth="1"/>
    <col min="2583" max="2583" width="1.33203125" style="3" customWidth="1"/>
    <col min="2584" max="2584" width="2.109375" style="3" customWidth="1"/>
    <col min="2585" max="2585" width="6.44140625" style="3" customWidth="1"/>
    <col min="2586" max="2588" width="2" style="3" customWidth="1"/>
    <col min="2589" max="2589" width="7.6640625" style="3" customWidth="1"/>
    <col min="2590" max="2590" width="1.33203125" style="3" customWidth="1"/>
    <col min="2591" max="2591" width="1.5546875" style="3" customWidth="1"/>
    <col min="2592" max="2592" width="1.44140625" style="3" customWidth="1"/>
    <col min="2593" max="2593" width="6.109375" style="3" customWidth="1"/>
    <col min="2594" max="2596" width="1" style="3" customWidth="1"/>
    <col min="2597" max="2597" width="6.44140625" style="3" customWidth="1"/>
    <col min="2598" max="2598" width="5.88671875" style="3" customWidth="1"/>
    <col min="2599" max="2599" width="1.44140625" style="3" customWidth="1"/>
    <col min="2600" max="2600" width="1.5546875" style="3" customWidth="1"/>
    <col min="2601" max="2601" width="6.109375" style="3" customWidth="1"/>
    <col min="2602" max="2602" width="7" style="3" customWidth="1"/>
    <col min="2603" max="2603" width="1.109375" style="3" customWidth="1"/>
    <col min="2604" max="2604" width="1.88671875" style="3" customWidth="1"/>
    <col min="2605" max="2605" width="5.88671875" style="3" customWidth="1"/>
    <col min="2606" max="2606" width="1.6640625" style="3" customWidth="1"/>
    <col min="2607" max="2607" width="2.109375" style="3" customWidth="1"/>
    <col min="2608" max="2608" width="1.109375" style="3" customWidth="1"/>
    <col min="2609" max="2609" width="7.33203125" style="3" customWidth="1"/>
    <col min="2610" max="2611" width="2.109375" style="3" customWidth="1"/>
    <col min="2612" max="2612" width="1.6640625" style="3" customWidth="1"/>
    <col min="2613" max="2613" width="5.5546875" style="3" customWidth="1"/>
    <col min="2614" max="2614" width="2" style="3" customWidth="1"/>
    <col min="2615" max="2615" width="1.44140625" style="3" customWidth="1"/>
    <col min="2616" max="2616" width="2" style="3" customWidth="1"/>
    <col min="2617" max="2617" width="6.88671875" style="3" customWidth="1"/>
    <col min="2618" max="2618" width="1.6640625" style="3" customWidth="1"/>
    <col min="2619" max="2619" width="2" style="3" customWidth="1"/>
    <col min="2620" max="2620" width="1.88671875" style="3" customWidth="1"/>
    <col min="2621" max="2621" width="6.88671875" style="3" customWidth="1"/>
    <col min="2622" max="2622" width="1.109375" style="3" customWidth="1"/>
    <col min="2623" max="2623" width="1.33203125" style="3" customWidth="1"/>
    <col min="2624" max="2624" width="1.88671875" style="3" customWidth="1"/>
    <col min="2625" max="2625" width="6.88671875" style="3" customWidth="1"/>
    <col min="2626" max="2626" width="1.44140625" style="3" customWidth="1"/>
    <col min="2627" max="2627" width="1.33203125" style="3" customWidth="1"/>
    <col min="2628" max="2628" width="2.109375" style="3" customWidth="1"/>
    <col min="2629" max="2629" width="5.109375" style="3" customWidth="1"/>
    <col min="2630" max="2630" width="5.5546875" style="3" customWidth="1"/>
    <col min="2631" max="2631" width="1.109375" style="3" customWidth="1"/>
    <col min="2632" max="2632" width="1.44140625" style="3" customWidth="1"/>
    <col min="2633" max="2633" width="6" style="3" customWidth="1"/>
    <col min="2634" max="2634" width="5.88671875" style="3" customWidth="1"/>
    <col min="2635" max="2635" width="1.6640625" style="3" customWidth="1"/>
    <col min="2636" max="2636" width="2.109375" style="3" customWidth="1"/>
    <col min="2637" max="2640" width="5.88671875" style="3" customWidth="1"/>
    <col min="2641" max="2641" width="6" style="3" customWidth="1"/>
    <col min="2642" max="2642" width="1.5546875" style="3" customWidth="1"/>
    <col min="2643" max="2643" width="2.33203125" style="3" customWidth="1"/>
    <col min="2644" max="2644" width="1.5546875" style="3" customWidth="1"/>
    <col min="2645" max="2648" width="6.33203125" style="3" customWidth="1"/>
    <col min="2649" max="2649" width="6.109375" style="3" customWidth="1"/>
    <col min="2650" max="2651" width="1.109375" style="3" customWidth="1"/>
    <col min="2652" max="2652" width="1.33203125" style="3" customWidth="1"/>
    <col min="2653" max="2656" width="5.88671875" style="3" customWidth="1"/>
    <col min="2657" max="2657" width="6.88671875" style="3" customWidth="1"/>
    <col min="2658" max="2658" width="1.33203125" style="3" customWidth="1"/>
    <col min="2659" max="2660" width="1.6640625" style="3" customWidth="1"/>
    <col min="2661" max="2662" width="10.6640625" style="3" bestFit="1" customWidth="1"/>
    <col min="2663" max="2664" width="8.33203125" style="3" customWidth="1"/>
    <col min="2665" max="2665" width="8.6640625" style="3" customWidth="1"/>
    <col min="2666" max="2666" width="8.109375" style="3" customWidth="1"/>
    <col min="2667" max="2668" width="11.33203125" style="3" customWidth="1"/>
    <col min="2669" max="2669" width="10" style="3" customWidth="1"/>
    <col min="2670" max="2817" width="9.109375" style="3"/>
    <col min="2818" max="2818" width="5.5546875" style="3" customWidth="1"/>
    <col min="2819" max="2819" width="21.33203125" style="3" customWidth="1"/>
    <col min="2820" max="2820" width="38.88671875" style="3" customWidth="1"/>
    <col min="2821" max="2821" width="8.33203125" style="3" customWidth="1"/>
    <col min="2822" max="2822" width="6.109375" style="3" customWidth="1"/>
    <col min="2823" max="2823" width="1" style="3" customWidth="1"/>
    <col min="2824" max="2824" width="1.33203125" style="3" customWidth="1"/>
    <col min="2825" max="2825" width="5.109375" style="3" customWidth="1"/>
    <col min="2826" max="2826" width="6.109375" style="3" customWidth="1"/>
    <col min="2827" max="2827" width="0.6640625" style="3" customWidth="1"/>
    <col min="2828" max="2828" width="1" style="3" customWidth="1"/>
    <col min="2829" max="2829" width="4.6640625" style="3" customWidth="1"/>
    <col min="2830" max="2830" width="6.33203125" style="3" customWidth="1"/>
    <col min="2831" max="2831" width="0.88671875" style="3" customWidth="1"/>
    <col min="2832" max="2832" width="1.109375" style="3" customWidth="1"/>
    <col min="2833" max="2833" width="6.5546875" style="3" customWidth="1"/>
    <col min="2834" max="2834" width="7.109375" style="3" customWidth="1"/>
    <col min="2835" max="2836" width="1.5546875" style="3" customWidth="1"/>
    <col min="2837" max="2837" width="6.88671875" style="3" customWidth="1"/>
    <col min="2838" max="2838" width="2" style="3" customWidth="1"/>
    <col min="2839" max="2839" width="1.33203125" style="3" customWidth="1"/>
    <col min="2840" max="2840" width="2.109375" style="3" customWidth="1"/>
    <col min="2841" max="2841" width="6.44140625" style="3" customWidth="1"/>
    <col min="2842" max="2844" width="2" style="3" customWidth="1"/>
    <col min="2845" max="2845" width="7.6640625" style="3" customWidth="1"/>
    <col min="2846" max="2846" width="1.33203125" style="3" customWidth="1"/>
    <col min="2847" max="2847" width="1.5546875" style="3" customWidth="1"/>
    <col min="2848" max="2848" width="1.44140625" style="3" customWidth="1"/>
    <col min="2849" max="2849" width="6.109375" style="3" customWidth="1"/>
    <col min="2850" max="2852" width="1" style="3" customWidth="1"/>
    <col min="2853" max="2853" width="6.44140625" style="3" customWidth="1"/>
    <col min="2854" max="2854" width="5.88671875" style="3" customWidth="1"/>
    <col min="2855" max="2855" width="1.44140625" style="3" customWidth="1"/>
    <col min="2856" max="2856" width="1.5546875" style="3" customWidth="1"/>
    <col min="2857" max="2857" width="6.109375" style="3" customWidth="1"/>
    <col min="2858" max="2858" width="7" style="3" customWidth="1"/>
    <col min="2859" max="2859" width="1.109375" style="3" customWidth="1"/>
    <col min="2860" max="2860" width="1.88671875" style="3" customWidth="1"/>
    <col min="2861" max="2861" width="5.88671875" style="3" customWidth="1"/>
    <col min="2862" max="2862" width="1.6640625" style="3" customWidth="1"/>
    <col min="2863" max="2863" width="2.109375" style="3" customWidth="1"/>
    <col min="2864" max="2864" width="1.109375" style="3" customWidth="1"/>
    <col min="2865" max="2865" width="7.33203125" style="3" customWidth="1"/>
    <col min="2866" max="2867" width="2.109375" style="3" customWidth="1"/>
    <col min="2868" max="2868" width="1.6640625" style="3" customWidth="1"/>
    <col min="2869" max="2869" width="5.5546875" style="3" customWidth="1"/>
    <col min="2870" max="2870" width="2" style="3" customWidth="1"/>
    <col min="2871" max="2871" width="1.44140625" style="3" customWidth="1"/>
    <col min="2872" max="2872" width="2" style="3" customWidth="1"/>
    <col min="2873" max="2873" width="6.88671875" style="3" customWidth="1"/>
    <col min="2874" max="2874" width="1.6640625" style="3" customWidth="1"/>
    <col min="2875" max="2875" width="2" style="3" customWidth="1"/>
    <col min="2876" max="2876" width="1.88671875" style="3" customWidth="1"/>
    <col min="2877" max="2877" width="6.88671875" style="3" customWidth="1"/>
    <col min="2878" max="2878" width="1.109375" style="3" customWidth="1"/>
    <col min="2879" max="2879" width="1.33203125" style="3" customWidth="1"/>
    <col min="2880" max="2880" width="1.88671875" style="3" customWidth="1"/>
    <col min="2881" max="2881" width="6.88671875" style="3" customWidth="1"/>
    <col min="2882" max="2882" width="1.44140625" style="3" customWidth="1"/>
    <col min="2883" max="2883" width="1.33203125" style="3" customWidth="1"/>
    <col min="2884" max="2884" width="2.109375" style="3" customWidth="1"/>
    <col min="2885" max="2885" width="5.109375" style="3" customWidth="1"/>
    <col min="2886" max="2886" width="5.5546875" style="3" customWidth="1"/>
    <col min="2887" max="2887" width="1.109375" style="3" customWidth="1"/>
    <col min="2888" max="2888" width="1.44140625" style="3" customWidth="1"/>
    <col min="2889" max="2889" width="6" style="3" customWidth="1"/>
    <col min="2890" max="2890" width="5.88671875" style="3" customWidth="1"/>
    <col min="2891" max="2891" width="1.6640625" style="3" customWidth="1"/>
    <col min="2892" max="2892" width="2.109375" style="3" customWidth="1"/>
    <col min="2893" max="2896" width="5.88671875" style="3" customWidth="1"/>
    <col min="2897" max="2897" width="6" style="3" customWidth="1"/>
    <col min="2898" max="2898" width="1.5546875" style="3" customWidth="1"/>
    <col min="2899" max="2899" width="2.33203125" style="3" customWidth="1"/>
    <col min="2900" max="2900" width="1.5546875" style="3" customWidth="1"/>
    <col min="2901" max="2904" width="6.33203125" style="3" customWidth="1"/>
    <col min="2905" max="2905" width="6.109375" style="3" customWidth="1"/>
    <col min="2906" max="2907" width="1.109375" style="3" customWidth="1"/>
    <col min="2908" max="2908" width="1.33203125" style="3" customWidth="1"/>
    <col min="2909" max="2912" width="5.88671875" style="3" customWidth="1"/>
    <col min="2913" max="2913" width="6.88671875" style="3" customWidth="1"/>
    <col min="2914" max="2914" width="1.33203125" style="3" customWidth="1"/>
    <col min="2915" max="2916" width="1.6640625" style="3" customWidth="1"/>
    <col min="2917" max="2918" width="10.6640625" style="3" bestFit="1" customWidth="1"/>
    <col min="2919" max="2920" width="8.33203125" style="3" customWidth="1"/>
    <col min="2921" max="2921" width="8.6640625" style="3" customWidth="1"/>
    <col min="2922" max="2922" width="8.109375" style="3" customWidth="1"/>
    <col min="2923" max="2924" width="11.33203125" style="3" customWidth="1"/>
    <col min="2925" max="2925" width="10" style="3" customWidth="1"/>
    <col min="2926" max="3073" width="9.109375" style="3"/>
    <col min="3074" max="3074" width="5.5546875" style="3" customWidth="1"/>
    <col min="3075" max="3075" width="21.33203125" style="3" customWidth="1"/>
    <col min="3076" max="3076" width="38.88671875" style="3" customWidth="1"/>
    <col min="3077" max="3077" width="8.33203125" style="3" customWidth="1"/>
    <col min="3078" max="3078" width="6.109375" style="3" customWidth="1"/>
    <col min="3079" max="3079" width="1" style="3" customWidth="1"/>
    <col min="3080" max="3080" width="1.33203125" style="3" customWidth="1"/>
    <col min="3081" max="3081" width="5.109375" style="3" customWidth="1"/>
    <col min="3082" max="3082" width="6.109375" style="3" customWidth="1"/>
    <col min="3083" max="3083" width="0.6640625" style="3" customWidth="1"/>
    <col min="3084" max="3084" width="1" style="3" customWidth="1"/>
    <col min="3085" max="3085" width="4.6640625" style="3" customWidth="1"/>
    <col min="3086" max="3086" width="6.33203125" style="3" customWidth="1"/>
    <col min="3087" max="3087" width="0.88671875" style="3" customWidth="1"/>
    <col min="3088" max="3088" width="1.109375" style="3" customWidth="1"/>
    <col min="3089" max="3089" width="6.5546875" style="3" customWidth="1"/>
    <col min="3090" max="3090" width="7.109375" style="3" customWidth="1"/>
    <col min="3091" max="3092" width="1.5546875" style="3" customWidth="1"/>
    <col min="3093" max="3093" width="6.88671875" style="3" customWidth="1"/>
    <col min="3094" max="3094" width="2" style="3" customWidth="1"/>
    <col min="3095" max="3095" width="1.33203125" style="3" customWidth="1"/>
    <col min="3096" max="3096" width="2.109375" style="3" customWidth="1"/>
    <col min="3097" max="3097" width="6.44140625" style="3" customWidth="1"/>
    <col min="3098" max="3100" width="2" style="3" customWidth="1"/>
    <col min="3101" max="3101" width="7.6640625" style="3" customWidth="1"/>
    <col min="3102" max="3102" width="1.33203125" style="3" customWidth="1"/>
    <col min="3103" max="3103" width="1.5546875" style="3" customWidth="1"/>
    <col min="3104" max="3104" width="1.44140625" style="3" customWidth="1"/>
    <col min="3105" max="3105" width="6.109375" style="3" customWidth="1"/>
    <col min="3106" max="3108" width="1" style="3" customWidth="1"/>
    <col min="3109" max="3109" width="6.44140625" style="3" customWidth="1"/>
    <col min="3110" max="3110" width="5.88671875" style="3" customWidth="1"/>
    <col min="3111" max="3111" width="1.44140625" style="3" customWidth="1"/>
    <col min="3112" max="3112" width="1.5546875" style="3" customWidth="1"/>
    <col min="3113" max="3113" width="6.109375" style="3" customWidth="1"/>
    <col min="3114" max="3114" width="7" style="3" customWidth="1"/>
    <col min="3115" max="3115" width="1.109375" style="3" customWidth="1"/>
    <col min="3116" max="3116" width="1.88671875" style="3" customWidth="1"/>
    <col min="3117" max="3117" width="5.88671875" style="3" customWidth="1"/>
    <col min="3118" max="3118" width="1.6640625" style="3" customWidth="1"/>
    <col min="3119" max="3119" width="2.109375" style="3" customWidth="1"/>
    <col min="3120" max="3120" width="1.109375" style="3" customWidth="1"/>
    <col min="3121" max="3121" width="7.33203125" style="3" customWidth="1"/>
    <col min="3122" max="3123" width="2.109375" style="3" customWidth="1"/>
    <col min="3124" max="3124" width="1.6640625" style="3" customWidth="1"/>
    <col min="3125" max="3125" width="5.5546875" style="3" customWidth="1"/>
    <col min="3126" max="3126" width="2" style="3" customWidth="1"/>
    <col min="3127" max="3127" width="1.44140625" style="3" customWidth="1"/>
    <col min="3128" max="3128" width="2" style="3" customWidth="1"/>
    <col min="3129" max="3129" width="6.88671875" style="3" customWidth="1"/>
    <col min="3130" max="3130" width="1.6640625" style="3" customWidth="1"/>
    <col min="3131" max="3131" width="2" style="3" customWidth="1"/>
    <col min="3132" max="3132" width="1.88671875" style="3" customWidth="1"/>
    <col min="3133" max="3133" width="6.88671875" style="3" customWidth="1"/>
    <col min="3134" max="3134" width="1.109375" style="3" customWidth="1"/>
    <col min="3135" max="3135" width="1.33203125" style="3" customWidth="1"/>
    <col min="3136" max="3136" width="1.88671875" style="3" customWidth="1"/>
    <col min="3137" max="3137" width="6.88671875" style="3" customWidth="1"/>
    <col min="3138" max="3138" width="1.44140625" style="3" customWidth="1"/>
    <col min="3139" max="3139" width="1.33203125" style="3" customWidth="1"/>
    <col min="3140" max="3140" width="2.109375" style="3" customWidth="1"/>
    <col min="3141" max="3141" width="5.109375" style="3" customWidth="1"/>
    <col min="3142" max="3142" width="5.5546875" style="3" customWidth="1"/>
    <col min="3143" max="3143" width="1.109375" style="3" customWidth="1"/>
    <col min="3144" max="3144" width="1.44140625" style="3" customWidth="1"/>
    <col min="3145" max="3145" width="6" style="3" customWidth="1"/>
    <col min="3146" max="3146" width="5.88671875" style="3" customWidth="1"/>
    <col min="3147" max="3147" width="1.6640625" style="3" customWidth="1"/>
    <col min="3148" max="3148" width="2.109375" style="3" customWidth="1"/>
    <col min="3149" max="3152" width="5.88671875" style="3" customWidth="1"/>
    <col min="3153" max="3153" width="6" style="3" customWidth="1"/>
    <col min="3154" max="3154" width="1.5546875" style="3" customWidth="1"/>
    <col min="3155" max="3155" width="2.33203125" style="3" customWidth="1"/>
    <col min="3156" max="3156" width="1.5546875" style="3" customWidth="1"/>
    <col min="3157" max="3160" width="6.33203125" style="3" customWidth="1"/>
    <col min="3161" max="3161" width="6.109375" style="3" customWidth="1"/>
    <col min="3162" max="3163" width="1.109375" style="3" customWidth="1"/>
    <col min="3164" max="3164" width="1.33203125" style="3" customWidth="1"/>
    <col min="3165" max="3168" width="5.88671875" style="3" customWidth="1"/>
    <col min="3169" max="3169" width="6.88671875" style="3" customWidth="1"/>
    <col min="3170" max="3170" width="1.33203125" style="3" customWidth="1"/>
    <col min="3171" max="3172" width="1.6640625" style="3" customWidth="1"/>
    <col min="3173" max="3174" width="10.6640625" style="3" bestFit="1" customWidth="1"/>
    <col min="3175" max="3176" width="8.33203125" style="3" customWidth="1"/>
    <col min="3177" max="3177" width="8.6640625" style="3" customWidth="1"/>
    <col min="3178" max="3178" width="8.109375" style="3" customWidth="1"/>
    <col min="3179" max="3180" width="11.33203125" style="3" customWidth="1"/>
    <col min="3181" max="3181" width="10" style="3" customWidth="1"/>
    <col min="3182" max="3329" width="9.109375" style="3"/>
    <col min="3330" max="3330" width="5.5546875" style="3" customWidth="1"/>
    <col min="3331" max="3331" width="21.33203125" style="3" customWidth="1"/>
    <col min="3332" max="3332" width="38.88671875" style="3" customWidth="1"/>
    <col min="3333" max="3333" width="8.33203125" style="3" customWidth="1"/>
    <col min="3334" max="3334" width="6.109375" style="3" customWidth="1"/>
    <col min="3335" max="3335" width="1" style="3" customWidth="1"/>
    <col min="3336" max="3336" width="1.33203125" style="3" customWidth="1"/>
    <col min="3337" max="3337" width="5.109375" style="3" customWidth="1"/>
    <col min="3338" max="3338" width="6.109375" style="3" customWidth="1"/>
    <col min="3339" max="3339" width="0.6640625" style="3" customWidth="1"/>
    <col min="3340" max="3340" width="1" style="3" customWidth="1"/>
    <col min="3341" max="3341" width="4.6640625" style="3" customWidth="1"/>
    <col min="3342" max="3342" width="6.33203125" style="3" customWidth="1"/>
    <col min="3343" max="3343" width="0.88671875" style="3" customWidth="1"/>
    <col min="3344" max="3344" width="1.109375" style="3" customWidth="1"/>
    <col min="3345" max="3345" width="6.5546875" style="3" customWidth="1"/>
    <col min="3346" max="3346" width="7.109375" style="3" customWidth="1"/>
    <col min="3347" max="3348" width="1.5546875" style="3" customWidth="1"/>
    <col min="3349" max="3349" width="6.88671875" style="3" customWidth="1"/>
    <col min="3350" max="3350" width="2" style="3" customWidth="1"/>
    <col min="3351" max="3351" width="1.33203125" style="3" customWidth="1"/>
    <col min="3352" max="3352" width="2.109375" style="3" customWidth="1"/>
    <col min="3353" max="3353" width="6.44140625" style="3" customWidth="1"/>
    <col min="3354" max="3356" width="2" style="3" customWidth="1"/>
    <col min="3357" max="3357" width="7.6640625" style="3" customWidth="1"/>
    <col min="3358" max="3358" width="1.33203125" style="3" customWidth="1"/>
    <col min="3359" max="3359" width="1.5546875" style="3" customWidth="1"/>
    <col min="3360" max="3360" width="1.44140625" style="3" customWidth="1"/>
    <col min="3361" max="3361" width="6.109375" style="3" customWidth="1"/>
    <col min="3362" max="3364" width="1" style="3" customWidth="1"/>
    <col min="3365" max="3365" width="6.44140625" style="3" customWidth="1"/>
    <col min="3366" max="3366" width="5.88671875" style="3" customWidth="1"/>
    <col min="3367" max="3367" width="1.44140625" style="3" customWidth="1"/>
    <col min="3368" max="3368" width="1.5546875" style="3" customWidth="1"/>
    <col min="3369" max="3369" width="6.109375" style="3" customWidth="1"/>
    <col min="3370" max="3370" width="7" style="3" customWidth="1"/>
    <col min="3371" max="3371" width="1.109375" style="3" customWidth="1"/>
    <col min="3372" max="3372" width="1.88671875" style="3" customWidth="1"/>
    <col min="3373" max="3373" width="5.88671875" style="3" customWidth="1"/>
    <col min="3374" max="3374" width="1.6640625" style="3" customWidth="1"/>
    <col min="3375" max="3375" width="2.109375" style="3" customWidth="1"/>
    <col min="3376" max="3376" width="1.109375" style="3" customWidth="1"/>
    <col min="3377" max="3377" width="7.33203125" style="3" customWidth="1"/>
    <col min="3378" max="3379" width="2.109375" style="3" customWidth="1"/>
    <col min="3380" max="3380" width="1.6640625" style="3" customWidth="1"/>
    <col min="3381" max="3381" width="5.5546875" style="3" customWidth="1"/>
    <col min="3382" max="3382" width="2" style="3" customWidth="1"/>
    <col min="3383" max="3383" width="1.44140625" style="3" customWidth="1"/>
    <col min="3384" max="3384" width="2" style="3" customWidth="1"/>
    <col min="3385" max="3385" width="6.88671875" style="3" customWidth="1"/>
    <col min="3386" max="3386" width="1.6640625" style="3" customWidth="1"/>
    <col min="3387" max="3387" width="2" style="3" customWidth="1"/>
    <col min="3388" max="3388" width="1.88671875" style="3" customWidth="1"/>
    <col min="3389" max="3389" width="6.88671875" style="3" customWidth="1"/>
    <col min="3390" max="3390" width="1.109375" style="3" customWidth="1"/>
    <col min="3391" max="3391" width="1.33203125" style="3" customWidth="1"/>
    <col min="3392" max="3392" width="1.88671875" style="3" customWidth="1"/>
    <col min="3393" max="3393" width="6.88671875" style="3" customWidth="1"/>
    <col min="3394" max="3394" width="1.44140625" style="3" customWidth="1"/>
    <col min="3395" max="3395" width="1.33203125" style="3" customWidth="1"/>
    <col min="3396" max="3396" width="2.109375" style="3" customWidth="1"/>
    <col min="3397" max="3397" width="5.109375" style="3" customWidth="1"/>
    <col min="3398" max="3398" width="5.5546875" style="3" customWidth="1"/>
    <col min="3399" max="3399" width="1.109375" style="3" customWidth="1"/>
    <col min="3400" max="3400" width="1.44140625" style="3" customWidth="1"/>
    <col min="3401" max="3401" width="6" style="3" customWidth="1"/>
    <col min="3402" max="3402" width="5.88671875" style="3" customWidth="1"/>
    <col min="3403" max="3403" width="1.6640625" style="3" customWidth="1"/>
    <col min="3404" max="3404" width="2.109375" style="3" customWidth="1"/>
    <col min="3405" max="3408" width="5.88671875" style="3" customWidth="1"/>
    <col min="3409" max="3409" width="6" style="3" customWidth="1"/>
    <col min="3410" max="3410" width="1.5546875" style="3" customWidth="1"/>
    <col min="3411" max="3411" width="2.33203125" style="3" customWidth="1"/>
    <col min="3412" max="3412" width="1.5546875" style="3" customWidth="1"/>
    <col min="3413" max="3416" width="6.33203125" style="3" customWidth="1"/>
    <col min="3417" max="3417" width="6.109375" style="3" customWidth="1"/>
    <col min="3418" max="3419" width="1.109375" style="3" customWidth="1"/>
    <col min="3420" max="3420" width="1.33203125" style="3" customWidth="1"/>
    <col min="3421" max="3424" width="5.88671875" style="3" customWidth="1"/>
    <col min="3425" max="3425" width="6.88671875" style="3" customWidth="1"/>
    <col min="3426" max="3426" width="1.33203125" style="3" customWidth="1"/>
    <col min="3427" max="3428" width="1.6640625" style="3" customWidth="1"/>
    <col min="3429" max="3430" width="10.6640625" style="3" bestFit="1" customWidth="1"/>
    <col min="3431" max="3432" width="8.33203125" style="3" customWidth="1"/>
    <col min="3433" max="3433" width="8.6640625" style="3" customWidth="1"/>
    <col min="3434" max="3434" width="8.109375" style="3" customWidth="1"/>
    <col min="3435" max="3436" width="11.33203125" style="3" customWidth="1"/>
    <col min="3437" max="3437" width="10" style="3" customWidth="1"/>
    <col min="3438" max="3585" width="9.109375" style="3"/>
    <col min="3586" max="3586" width="5.5546875" style="3" customWidth="1"/>
    <col min="3587" max="3587" width="21.33203125" style="3" customWidth="1"/>
    <col min="3588" max="3588" width="38.88671875" style="3" customWidth="1"/>
    <col min="3589" max="3589" width="8.33203125" style="3" customWidth="1"/>
    <col min="3590" max="3590" width="6.109375" style="3" customWidth="1"/>
    <col min="3591" max="3591" width="1" style="3" customWidth="1"/>
    <col min="3592" max="3592" width="1.33203125" style="3" customWidth="1"/>
    <col min="3593" max="3593" width="5.109375" style="3" customWidth="1"/>
    <col min="3594" max="3594" width="6.109375" style="3" customWidth="1"/>
    <col min="3595" max="3595" width="0.6640625" style="3" customWidth="1"/>
    <col min="3596" max="3596" width="1" style="3" customWidth="1"/>
    <col min="3597" max="3597" width="4.6640625" style="3" customWidth="1"/>
    <col min="3598" max="3598" width="6.33203125" style="3" customWidth="1"/>
    <col min="3599" max="3599" width="0.88671875" style="3" customWidth="1"/>
    <col min="3600" max="3600" width="1.109375" style="3" customWidth="1"/>
    <col min="3601" max="3601" width="6.5546875" style="3" customWidth="1"/>
    <col min="3602" max="3602" width="7.109375" style="3" customWidth="1"/>
    <col min="3603" max="3604" width="1.5546875" style="3" customWidth="1"/>
    <col min="3605" max="3605" width="6.88671875" style="3" customWidth="1"/>
    <col min="3606" max="3606" width="2" style="3" customWidth="1"/>
    <col min="3607" max="3607" width="1.33203125" style="3" customWidth="1"/>
    <col min="3608" max="3608" width="2.109375" style="3" customWidth="1"/>
    <col min="3609" max="3609" width="6.44140625" style="3" customWidth="1"/>
    <col min="3610" max="3612" width="2" style="3" customWidth="1"/>
    <col min="3613" max="3613" width="7.6640625" style="3" customWidth="1"/>
    <col min="3614" max="3614" width="1.33203125" style="3" customWidth="1"/>
    <col min="3615" max="3615" width="1.5546875" style="3" customWidth="1"/>
    <col min="3616" max="3616" width="1.44140625" style="3" customWidth="1"/>
    <col min="3617" max="3617" width="6.109375" style="3" customWidth="1"/>
    <col min="3618" max="3620" width="1" style="3" customWidth="1"/>
    <col min="3621" max="3621" width="6.44140625" style="3" customWidth="1"/>
    <col min="3622" max="3622" width="5.88671875" style="3" customWidth="1"/>
    <col min="3623" max="3623" width="1.44140625" style="3" customWidth="1"/>
    <col min="3624" max="3624" width="1.5546875" style="3" customWidth="1"/>
    <col min="3625" max="3625" width="6.109375" style="3" customWidth="1"/>
    <col min="3626" max="3626" width="7" style="3" customWidth="1"/>
    <col min="3627" max="3627" width="1.109375" style="3" customWidth="1"/>
    <col min="3628" max="3628" width="1.88671875" style="3" customWidth="1"/>
    <col min="3629" max="3629" width="5.88671875" style="3" customWidth="1"/>
    <col min="3630" max="3630" width="1.6640625" style="3" customWidth="1"/>
    <col min="3631" max="3631" width="2.109375" style="3" customWidth="1"/>
    <col min="3632" max="3632" width="1.109375" style="3" customWidth="1"/>
    <col min="3633" max="3633" width="7.33203125" style="3" customWidth="1"/>
    <col min="3634" max="3635" width="2.109375" style="3" customWidth="1"/>
    <col min="3636" max="3636" width="1.6640625" style="3" customWidth="1"/>
    <col min="3637" max="3637" width="5.5546875" style="3" customWidth="1"/>
    <col min="3638" max="3638" width="2" style="3" customWidth="1"/>
    <col min="3639" max="3639" width="1.44140625" style="3" customWidth="1"/>
    <col min="3640" max="3640" width="2" style="3" customWidth="1"/>
    <col min="3641" max="3641" width="6.88671875" style="3" customWidth="1"/>
    <col min="3642" max="3642" width="1.6640625" style="3" customWidth="1"/>
    <col min="3643" max="3643" width="2" style="3" customWidth="1"/>
    <col min="3644" max="3644" width="1.88671875" style="3" customWidth="1"/>
    <col min="3645" max="3645" width="6.88671875" style="3" customWidth="1"/>
    <col min="3646" max="3646" width="1.109375" style="3" customWidth="1"/>
    <col min="3647" max="3647" width="1.33203125" style="3" customWidth="1"/>
    <col min="3648" max="3648" width="1.88671875" style="3" customWidth="1"/>
    <col min="3649" max="3649" width="6.88671875" style="3" customWidth="1"/>
    <col min="3650" max="3650" width="1.44140625" style="3" customWidth="1"/>
    <col min="3651" max="3651" width="1.33203125" style="3" customWidth="1"/>
    <col min="3652" max="3652" width="2.109375" style="3" customWidth="1"/>
    <col min="3653" max="3653" width="5.109375" style="3" customWidth="1"/>
    <col min="3654" max="3654" width="5.5546875" style="3" customWidth="1"/>
    <col min="3655" max="3655" width="1.109375" style="3" customWidth="1"/>
    <col min="3656" max="3656" width="1.44140625" style="3" customWidth="1"/>
    <col min="3657" max="3657" width="6" style="3" customWidth="1"/>
    <col min="3658" max="3658" width="5.88671875" style="3" customWidth="1"/>
    <col min="3659" max="3659" width="1.6640625" style="3" customWidth="1"/>
    <col min="3660" max="3660" width="2.109375" style="3" customWidth="1"/>
    <col min="3661" max="3664" width="5.88671875" style="3" customWidth="1"/>
    <col min="3665" max="3665" width="6" style="3" customWidth="1"/>
    <col min="3666" max="3666" width="1.5546875" style="3" customWidth="1"/>
    <col min="3667" max="3667" width="2.33203125" style="3" customWidth="1"/>
    <col min="3668" max="3668" width="1.5546875" style="3" customWidth="1"/>
    <col min="3669" max="3672" width="6.33203125" style="3" customWidth="1"/>
    <col min="3673" max="3673" width="6.109375" style="3" customWidth="1"/>
    <col min="3674" max="3675" width="1.109375" style="3" customWidth="1"/>
    <col min="3676" max="3676" width="1.33203125" style="3" customWidth="1"/>
    <col min="3677" max="3680" width="5.88671875" style="3" customWidth="1"/>
    <col min="3681" max="3681" width="6.88671875" style="3" customWidth="1"/>
    <col min="3682" max="3682" width="1.33203125" style="3" customWidth="1"/>
    <col min="3683" max="3684" width="1.6640625" style="3" customWidth="1"/>
    <col min="3685" max="3686" width="10.6640625" style="3" bestFit="1" customWidth="1"/>
    <col min="3687" max="3688" width="8.33203125" style="3" customWidth="1"/>
    <col min="3689" max="3689" width="8.6640625" style="3" customWidth="1"/>
    <col min="3690" max="3690" width="8.109375" style="3" customWidth="1"/>
    <col min="3691" max="3692" width="11.33203125" style="3" customWidth="1"/>
    <col min="3693" max="3693" width="10" style="3" customWidth="1"/>
    <col min="3694" max="3841" width="9.109375" style="3"/>
    <col min="3842" max="3842" width="5.5546875" style="3" customWidth="1"/>
    <col min="3843" max="3843" width="21.33203125" style="3" customWidth="1"/>
    <col min="3844" max="3844" width="38.88671875" style="3" customWidth="1"/>
    <col min="3845" max="3845" width="8.33203125" style="3" customWidth="1"/>
    <col min="3846" max="3846" width="6.109375" style="3" customWidth="1"/>
    <col min="3847" max="3847" width="1" style="3" customWidth="1"/>
    <col min="3848" max="3848" width="1.33203125" style="3" customWidth="1"/>
    <col min="3849" max="3849" width="5.109375" style="3" customWidth="1"/>
    <col min="3850" max="3850" width="6.109375" style="3" customWidth="1"/>
    <col min="3851" max="3851" width="0.6640625" style="3" customWidth="1"/>
    <col min="3852" max="3852" width="1" style="3" customWidth="1"/>
    <col min="3853" max="3853" width="4.6640625" style="3" customWidth="1"/>
    <col min="3854" max="3854" width="6.33203125" style="3" customWidth="1"/>
    <col min="3855" max="3855" width="0.88671875" style="3" customWidth="1"/>
    <col min="3856" max="3856" width="1.109375" style="3" customWidth="1"/>
    <col min="3857" max="3857" width="6.5546875" style="3" customWidth="1"/>
    <col min="3858" max="3858" width="7.109375" style="3" customWidth="1"/>
    <col min="3859" max="3860" width="1.5546875" style="3" customWidth="1"/>
    <col min="3861" max="3861" width="6.88671875" style="3" customWidth="1"/>
    <col min="3862" max="3862" width="2" style="3" customWidth="1"/>
    <col min="3863" max="3863" width="1.33203125" style="3" customWidth="1"/>
    <col min="3864" max="3864" width="2.109375" style="3" customWidth="1"/>
    <col min="3865" max="3865" width="6.44140625" style="3" customWidth="1"/>
    <col min="3866" max="3868" width="2" style="3" customWidth="1"/>
    <col min="3869" max="3869" width="7.6640625" style="3" customWidth="1"/>
    <col min="3870" max="3870" width="1.33203125" style="3" customWidth="1"/>
    <col min="3871" max="3871" width="1.5546875" style="3" customWidth="1"/>
    <col min="3872" max="3872" width="1.44140625" style="3" customWidth="1"/>
    <col min="3873" max="3873" width="6.109375" style="3" customWidth="1"/>
    <col min="3874" max="3876" width="1" style="3" customWidth="1"/>
    <col min="3877" max="3877" width="6.44140625" style="3" customWidth="1"/>
    <col min="3878" max="3878" width="5.88671875" style="3" customWidth="1"/>
    <col min="3879" max="3879" width="1.44140625" style="3" customWidth="1"/>
    <col min="3880" max="3880" width="1.5546875" style="3" customWidth="1"/>
    <col min="3881" max="3881" width="6.109375" style="3" customWidth="1"/>
    <col min="3882" max="3882" width="7" style="3" customWidth="1"/>
    <col min="3883" max="3883" width="1.109375" style="3" customWidth="1"/>
    <col min="3884" max="3884" width="1.88671875" style="3" customWidth="1"/>
    <col min="3885" max="3885" width="5.88671875" style="3" customWidth="1"/>
    <col min="3886" max="3886" width="1.6640625" style="3" customWidth="1"/>
    <col min="3887" max="3887" width="2.109375" style="3" customWidth="1"/>
    <col min="3888" max="3888" width="1.109375" style="3" customWidth="1"/>
    <col min="3889" max="3889" width="7.33203125" style="3" customWidth="1"/>
    <col min="3890" max="3891" width="2.109375" style="3" customWidth="1"/>
    <col min="3892" max="3892" width="1.6640625" style="3" customWidth="1"/>
    <col min="3893" max="3893" width="5.5546875" style="3" customWidth="1"/>
    <col min="3894" max="3894" width="2" style="3" customWidth="1"/>
    <col min="3895" max="3895" width="1.44140625" style="3" customWidth="1"/>
    <col min="3896" max="3896" width="2" style="3" customWidth="1"/>
    <col min="3897" max="3897" width="6.88671875" style="3" customWidth="1"/>
    <col min="3898" max="3898" width="1.6640625" style="3" customWidth="1"/>
    <col min="3899" max="3899" width="2" style="3" customWidth="1"/>
    <col min="3900" max="3900" width="1.88671875" style="3" customWidth="1"/>
    <col min="3901" max="3901" width="6.88671875" style="3" customWidth="1"/>
    <col min="3902" max="3902" width="1.109375" style="3" customWidth="1"/>
    <col min="3903" max="3903" width="1.33203125" style="3" customWidth="1"/>
    <col min="3904" max="3904" width="1.88671875" style="3" customWidth="1"/>
    <col min="3905" max="3905" width="6.88671875" style="3" customWidth="1"/>
    <col min="3906" max="3906" width="1.44140625" style="3" customWidth="1"/>
    <col min="3907" max="3907" width="1.33203125" style="3" customWidth="1"/>
    <col min="3908" max="3908" width="2.109375" style="3" customWidth="1"/>
    <col min="3909" max="3909" width="5.109375" style="3" customWidth="1"/>
    <col min="3910" max="3910" width="5.5546875" style="3" customWidth="1"/>
    <col min="3911" max="3911" width="1.109375" style="3" customWidth="1"/>
    <col min="3912" max="3912" width="1.44140625" style="3" customWidth="1"/>
    <col min="3913" max="3913" width="6" style="3" customWidth="1"/>
    <col min="3914" max="3914" width="5.88671875" style="3" customWidth="1"/>
    <col min="3915" max="3915" width="1.6640625" style="3" customWidth="1"/>
    <col min="3916" max="3916" width="2.109375" style="3" customWidth="1"/>
    <col min="3917" max="3920" width="5.88671875" style="3" customWidth="1"/>
    <col min="3921" max="3921" width="6" style="3" customWidth="1"/>
    <col min="3922" max="3922" width="1.5546875" style="3" customWidth="1"/>
    <col min="3923" max="3923" width="2.33203125" style="3" customWidth="1"/>
    <col min="3924" max="3924" width="1.5546875" style="3" customWidth="1"/>
    <col min="3925" max="3928" width="6.33203125" style="3" customWidth="1"/>
    <col min="3929" max="3929" width="6.109375" style="3" customWidth="1"/>
    <col min="3930" max="3931" width="1.109375" style="3" customWidth="1"/>
    <col min="3932" max="3932" width="1.33203125" style="3" customWidth="1"/>
    <col min="3933" max="3936" width="5.88671875" style="3" customWidth="1"/>
    <col min="3937" max="3937" width="6.88671875" style="3" customWidth="1"/>
    <col min="3938" max="3938" width="1.33203125" style="3" customWidth="1"/>
    <col min="3939" max="3940" width="1.6640625" style="3" customWidth="1"/>
    <col min="3941" max="3942" width="10.6640625" style="3" bestFit="1" customWidth="1"/>
    <col min="3943" max="3944" width="8.33203125" style="3" customWidth="1"/>
    <col min="3945" max="3945" width="8.6640625" style="3" customWidth="1"/>
    <col min="3946" max="3946" width="8.109375" style="3" customWidth="1"/>
    <col min="3947" max="3948" width="11.33203125" style="3" customWidth="1"/>
    <col min="3949" max="3949" width="10" style="3" customWidth="1"/>
    <col min="3950" max="4097" width="9.109375" style="3"/>
    <col min="4098" max="4098" width="5.5546875" style="3" customWidth="1"/>
    <col min="4099" max="4099" width="21.33203125" style="3" customWidth="1"/>
    <col min="4100" max="4100" width="38.88671875" style="3" customWidth="1"/>
    <col min="4101" max="4101" width="8.33203125" style="3" customWidth="1"/>
    <col min="4102" max="4102" width="6.109375" style="3" customWidth="1"/>
    <col min="4103" max="4103" width="1" style="3" customWidth="1"/>
    <col min="4104" max="4104" width="1.33203125" style="3" customWidth="1"/>
    <col min="4105" max="4105" width="5.109375" style="3" customWidth="1"/>
    <col min="4106" max="4106" width="6.109375" style="3" customWidth="1"/>
    <col min="4107" max="4107" width="0.6640625" style="3" customWidth="1"/>
    <col min="4108" max="4108" width="1" style="3" customWidth="1"/>
    <col min="4109" max="4109" width="4.6640625" style="3" customWidth="1"/>
    <col min="4110" max="4110" width="6.33203125" style="3" customWidth="1"/>
    <col min="4111" max="4111" width="0.88671875" style="3" customWidth="1"/>
    <col min="4112" max="4112" width="1.109375" style="3" customWidth="1"/>
    <col min="4113" max="4113" width="6.5546875" style="3" customWidth="1"/>
    <col min="4114" max="4114" width="7.109375" style="3" customWidth="1"/>
    <col min="4115" max="4116" width="1.5546875" style="3" customWidth="1"/>
    <col min="4117" max="4117" width="6.88671875" style="3" customWidth="1"/>
    <col min="4118" max="4118" width="2" style="3" customWidth="1"/>
    <col min="4119" max="4119" width="1.33203125" style="3" customWidth="1"/>
    <col min="4120" max="4120" width="2.109375" style="3" customWidth="1"/>
    <col min="4121" max="4121" width="6.44140625" style="3" customWidth="1"/>
    <col min="4122" max="4124" width="2" style="3" customWidth="1"/>
    <col min="4125" max="4125" width="7.6640625" style="3" customWidth="1"/>
    <col min="4126" max="4126" width="1.33203125" style="3" customWidth="1"/>
    <col min="4127" max="4127" width="1.5546875" style="3" customWidth="1"/>
    <col min="4128" max="4128" width="1.44140625" style="3" customWidth="1"/>
    <col min="4129" max="4129" width="6.109375" style="3" customWidth="1"/>
    <col min="4130" max="4132" width="1" style="3" customWidth="1"/>
    <col min="4133" max="4133" width="6.44140625" style="3" customWidth="1"/>
    <col min="4134" max="4134" width="5.88671875" style="3" customWidth="1"/>
    <col min="4135" max="4135" width="1.44140625" style="3" customWidth="1"/>
    <col min="4136" max="4136" width="1.5546875" style="3" customWidth="1"/>
    <col min="4137" max="4137" width="6.109375" style="3" customWidth="1"/>
    <col min="4138" max="4138" width="7" style="3" customWidth="1"/>
    <col min="4139" max="4139" width="1.109375" style="3" customWidth="1"/>
    <col min="4140" max="4140" width="1.88671875" style="3" customWidth="1"/>
    <col min="4141" max="4141" width="5.88671875" style="3" customWidth="1"/>
    <col min="4142" max="4142" width="1.6640625" style="3" customWidth="1"/>
    <col min="4143" max="4143" width="2.109375" style="3" customWidth="1"/>
    <col min="4144" max="4144" width="1.109375" style="3" customWidth="1"/>
    <col min="4145" max="4145" width="7.33203125" style="3" customWidth="1"/>
    <col min="4146" max="4147" width="2.109375" style="3" customWidth="1"/>
    <col min="4148" max="4148" width="1.6640625" style="3" customWidth="1"/>
    <col min="4149" max="4149" width="5.5546875" style="3" customWidth="1"/>
    <col min="4150" max="4150" width="2" style="3" customWidth="1"/>
    <col min="4151" max="4151" width="1.44140625" style="3" customWidth="1"/>
    <col min="4152" max="4152" width="2" style="3" customWidth="1"/>
    <col min="4153" max="4153" width="6.88671875" style="3" customWidth="1"/>
    <col min="4154" max="4154" width="1.6640625" style="3" customWidth="1"/>
    <col min="4155" max="4155" width="2" style="3" customWidth="1"/>
    <col min="4156" max="4156" width="1.88671875" style="3" customWidth="1"/>
    <col min="4157" max="4157" width="6.88671875" style="3" customWidth="1"/>
    <col min="4158" max="4158" width="1.109375" style="3" customWidth="1"/>
    <col min="4159" max="4159" width="1.33203125" style="3" customWidth="1"/>
    <col min="4160" max="4160" width="1.88671875" style="3" customWidth="1"/>
    <col min="4161" max="4161" width="6.88671875" style="3" customWidth="1"/>
    <col min="4162" max="4162" width="1.44140625" style="3" customWidth="1"/>
    <col min="4163" max="4163" width="1.33203125" style="3" customWidth="1"/>
    <col min="4164" max="4164" width="2.109375" style="3" customWidth="1"/>
    <col min="4165" max="4165" width="5.109375" style="3" customWidth="1"/>
    <col min="4166" max="4166" width="5.5546875" style="3" customWidth="1"/>
    <col min="4167" max="4167" width="1.109375" style="3" customWidth="1"/>
    <col min="4168" max="4168" width="1.44140625" style="3" customWidth="1"/>
    <col min="4169" max="4169" width="6" style="3" customWidth="1"/>
    <col min="4170" max="4170" width="5.88671875" style="3" customWidth="1"/>
    <col min="4171" max="4171" width="1.6640625" style="3" customWidth="1"/>
    <col min="4172" max="4172" width="2.109375" style="3" customWidth="1"/>
    <col min="4173" max="4176" width="5.88671875" style="3" customWidth="1"/>
    <col min="4177" max="4177" width="6" style="3" customWidth="1"/>
    <col min="4178" max="4178" width="1.5546875" style="3" customWidth="1"/>
    <col min="4179" max="4179" width="2.33203125" style="3" customWidth="1"/>
    <col min="4180" max="4180" width="1.5546875" style="3" customWidth="1"/>
    <col min="4181" max="4184" width="6.33203125" style="3" customWidth="1"/>
    <col min="4185" max="4185" width="6.109375" style="3" customWidth="1"/>
    <col min="4186" max="4187" width="1.109375" style="3" customWidth="1"/>
    <col min="4188" max="4188" width="1.33203125" style="3" customWidth="1"/>
    <col min="4189" max="4192" width="5.88671875" style="3" customWidth="1"/>
    <col min="4193" max="4193" width="6.88671875" style="3" customWidth="1"/>
    <col min="4194" max="4194" width="1.33203125" style="3" customWidth="1"/>
    <col min="4195" max="4196" width="1.6640625" style="3" customWidth="1"/>
    <col min="4197" max="4198" width="10.6640625" style="3" bestFit="1" customWidth="1"/>
    <col min="4199" max="4200" width="8.33203125" style="3" customWidth="1"/>
    <col min="4201" max="4201" width="8.6640625" style="3" customWidth="1"/>
    <col min="4202" max="4202" width="8.109375" style="3" customWidth="1"/>
    <col min="4203" max="4204" width="11.33203125" style="3" customWidth="1"/>
    <col min="4205" max="4205" width="10" style="3" customWidth="1"/>
    <col min="4206" max="4353" width="9.109375" style="3"/>
    <col min="4354" max="4354" width="5.5546875" style="3" customWidth="1"/>
    <col min="4355" max="4355" width="21.33203125" style="3" customWidth="1"/>
    <col min="4356" max="4356" width="38.88671875" style="3" customWidth="1"/>
    <col min="4357" max="4357" width="8.33203125" style="3" customWidth="1"/>
    <col min="4358" max="4358" width="6.109375" style="3" customWidth="1"/>
    <col min="4359" max="4359" width="1" style="3" customWidth="1"/>
    <col min="4360" max="4360" width="1.33203125" style="3" customWidth="1"/>
    <col min="4361" max="4361" width="5.109375" style="3" customWidth="1"/>
    <col min="4362" max="4362" width="6.109375" style="3" customWidth="1"/>
    <col min="4363" max="4363" width="0.6640625" style="3" customWidth="1"/>
    <col min="4364" max="4364" width="1" style="3" customWidth="1"/>
    <col min="4365" max="4365" width="4.6640625" style="3" customWidth="1"/>
    <col min="4366" max="4366" width="6.33203125" style="3" customWidth="1"/>
    <col min="4367" max="4367" width="0.88671875" style="3" customWidth="1"/>
    <col min="4368" max="4368" width="1.109375" style="3" customWidth="1"/>
    <col min="4369" max="4369" width="6.5546875" style="3" customWidth="1"/>
    <col min="4370" max="4370" width="7.109375" style="3" customWidth="1"/>
    <col min="4371" max="4372" width="1.5546875" style="3" customWidth="1"/>
    <col min="4373" max="4373" width="6.88671875" style="3" customWidth="1"/>
    <col min="4374" max="4374" width="2" style="3" customWidth="1"/>
    <col min="4375" max="4375" width="1.33203125" style="3" customWidth="1"/>
    <col min="4376" max="4376" width="2.109375" style="3" customWidth="1"/>
    <col min="4377" max="4377" width="6.44140625" style="3" customWidth="1"/>
    <col min="4378" max="4380" width="2" style="3" customWidth="1"/>
    <col min="4381" max="4381" width="7.6640625" style="3" customWidth="1"/>
    <col min="4382" max="4382" width="1.33203125" style="3" customWidth="1"/>
    <col min="4383" max="4383" width="1.5546875" style="3" customWidth="1"/>
    <col min="4384" max="4384" width="1.44140625" style="3" customWidth="1"/>
    <col min="4385" max="4385" width="6.109375" style="3" customWidth="1"/>
    <col min="4386" max="4388" width="1" style="3" customWidth="1"/>
    <col min="4389" max="4389" width="6.44140625" style="3" customWidth="1"/>
    <col min="4390" max="4390" width="5.88671875" style="3" customWidth="1"/>
    <col min="4391" max="4391" width="1.44140625" style="3" customWidth="1"/>
    <col min="4392" max="4392" width="1.5546875" style="3" customWidth="1"/>
    <col min="4393" max="4393" width="6.109375" style="3" customWidth="1"/>
    <col min="4394" max="4394" width="7" style="3" customWidth="1"/>
    <col min="4395" max="4395" width="1.109375" style="3" customWidth="1"/>
    <col min="4396" max="4396" width="1.88671875" style="3" customWidth="1"/>
    <col min="4397" max="4397" width="5.88671875" style="3" customWidth="1"/>
    <col min="4398" max="4398" width="1.6640625" style="3" customWidth="1"/>
    <col min="4399" max="4399" width="2.109375" style="3" customWidth="1"/>
    <col min="4400" max="4400" width="1.109375" style="3" customWidth="1"/>
    <col min="4401" max="4401" width="7.33203125" style="3" customWidth="1"/>
    <col min="4402" max="4403" width="2.109375" style="3" customWidth="1"/>
    <col min="4404" max="4404" width="1.6640625" style="3" customWidth="1"/>
    <col min="4405" max="4405" width="5.5546875" style="3" customWidth="1"/>
    <col min="4406" max="4406" width="2" style="3" customWidth="1"/>
    <col min="4407" max="4407" width="1.44140625" style="3" customWidth="1"/>
    <col min="4408" max="4408" width="2" style="3" customWidth="1"/>
    <col min="4409" max="4409" width="6.88671875" style="3" customWidth="1"/>
    <col min="4410" max="4410" width="1.6640625" style="3" customWidth="1"/>
    <col min="4411" max="4411" width="2" style="3" customWidth="1"/>
    <col min="4412" max="4412" width="1.88671875" style="3" customWidth="1"/>
    <col min="4413" max="4413" width="6.88671875" style="3" customWidth="1"/>
    <col min="4414" max="4414" width="1.109375" style="3" customWidth="1"/>
    <col min="4415" max="4415" width="1.33203125" style="3" customWidth="1"/>
    <col min="4416" max="4416" width="1.88671875" style="3" customWidth="1"/>
    <col min="4417" max="4417" width="6.88671875" style="3" customWidth="1"/>
    <col min="4418" max="4418" width="1.44140625" style="3" customWidth="1"/>
    <col min="4419" max="4419" width="1.33203125" style="3" customWidth="1"/>
    <col min="4420" max="4420" width="2.109375" style="3" customWidth="1"/>
    <col min="4421" max="4421" width="5.109375" style="3" customWidth="1"/>
    <col min="4422" max="4422" width="5.5546875" style="3" customWidth="1"/>
    <col min="4423" max="4423" width="1.109375" style="3" customWidth="1"/>
    <col min="4424" max="4424" width="1.44140625" style="3" customWidth="1"/>
    <col min="4425" max="4425" width="6" style="3" customWidth="1"/>
    <col min="4426" max="4426" width="5.88671875" style="3" customWidth="1"/>
    <col min="4427" max="4427" width="1.6640625" style="3" customWidth="1"/>
    <col min="4428" max="4428" width="2.109375" style="3" customWidth="1"/>
    <col min="4429" max="4432" width="5.88671875" style="3" customWidth="1"/>
    <col min="4433" max="4433" width="6" style="3" customWidth="1"/>
    <col min="4434" max="4434" width="1.5546875" style="3" customWidth="1"/>
    <col min="4435" max="4435" width="2.33203125" style="3" customWidth="1"/>
    <col min="4436" max="4436" width="1.5546875" style="3" customWidth="1"/>
    <col min="4437" max="4440" width="6.33203125" style="3" customWidth="1"/>
    <col min="4441" max="4441" width="6.109375" style="3" customWidth="1"/>
    <col min="4442" max="4443" width="1.109375" style="3" customWidth="1"/>
    <col min="4444" max="4444" width="1.33203125" style="3" customWidth="1"/>
    <col min="4445" max="4448" width="5.88671875" style="3" customWidth="1"/>
    <col min="4449" max="4449" width="6.88671875" style="3" customWidth="1"/>
    <col min="4450" max="4450" width="1.33203125" style="3" customWidth="1"/>
    <col min="4451" max="4452" width="1.6640625" style="3" customWidth="1"/>
    <col min="4453" max="4454" width="10.6640625" style="3" bestFit="1" customWidth="1"/>
    <col min="4455" max="4456" width="8.33203125" style="3" customWidth="1"/>
    <col min="4457" max="4457" width="8.6640625" style="3" customWidth="1"/>
    <col min="4458" max="4458" width="8.109375" style="3" customWidth="1"/>
    <col min="4459" max="4460" width="11.33203125" style="3" customWidth="1"/>
    <col min="4461" max="4461" width="10" style="3" customWidth="1"/>
    <col min="4462" max="4609" width="9.109375" style="3"/>
    <col min="4610" max="4610" width="5.5546875" style="3" customWidth="1"/>
    <col min="4611" max="4611" width="21.33203125" style="3" customWidth="1"/>
    <col min="4612" max="4612" width="38.88671875" style="3" customWidth="1"/>
    <col min="4613" max="4613" width="8.33203125" style="3" customWidth="1"/>
    <col min="4614" max="4614" width="6.109375" style="3" customWidth="1"/>
    <col min="4615" max="4615" width="1" style="3" customWidth="1"/>
    <col min="4616" max="4616" width="1.33203125" style="3" customWidth="1"/>
    <col min="4617" max="4617" width="5.109375" style="3" customWidth="1"/>
    <col min="4618" max="4618" width="6.109375" style="3" customWidth="1"/>
    <col min="4619" max="4619" width="0.6640625" style="3" customWidth="1"/>
    <col min="4620" max="4620" width="1" style="3" customWidth="1"/>
    <col min="4621" max="4621" width="4.6640625" style="3" customWidth="1"/>
    <col min="4622" max="4622" width="6.33203125" style="3" customWidth="1"/>
    <col min="4623" max="4623" width="0.88671875" style="3" customWidth="1"/>
    <col min="4624" max="4624" width="1.109375" style="3" customWidth="1"/>
    <col min="4625" max="4625" width="6.5546875" style="3" customWidth="1"/>
    <col min="4626" max="4626" width="7.109375" style="3" customWidth="1"/>
    <col min="4627" max="4628" width="1.5546875" style="3" customWidth="1"/>
    <col min="4629" max="4629" width="6.88671875" style="3" customWidth="1"/>
    <col min="4630" max="4630" width="2" style="3" customWidth="1"/>
    <col min="4631" max="4631" width="1.33203125" style="3" customWidth="1"/>
    <col min="4632" max="4632" width="2.109375" style="3" customWidth="1"/>
    <col min="4633" max="4633" width="6.44140625" style="3" customWidth="1"/>
    <col min="4634" max="4636" width="2" style="3" customWidth="1"/>
    <col min="4637" max="4637" width="7.6640625" style="3" customWidth="1"/>
    <col min="4638" max="4638" width="1.33203125" style="3" customWidth="1"/>
    <col min="4639" max="4639" width="1.5546875" style="3" customWidth="1"/>
    <col min="4640" max="4640" width="1.44140625" style="3" customWidth="1"/>
    <col min="4641" max="4641" width="6.109375" style="3" customWidth="1"/>
    <col min="4642" max="4644" width="1" style="3" customWidth="1"/>
    <col min="4645" max="4645" width="6.44140625" style="3" customWidth="1"/>
    <col min="4646" max="4646" width="5.88671875" style="3" customWidth="1"/>
    <col min="4647" max="4647" width="1.44140625" style="3" customWidth="1"/>
    <col min="4648" max="4648" width="1.5546875" style="3" customWidth="1"/>
    <col min="4649" max="4649" width="6.109375" style="3" customWidth="1"/>
    <col min="4650" max="4650" width="7" style="3" customWidth="1"/>
    <col min="4651" max="4651" width="1.109375" style="3" customWidth="1"/>
    <col min="4652" max="4652" width="1.88671875" style="3" customWidth="1"/>
    <col min="4653" max="4653" width="5.88671875" style="3" customWidth="1"/>
    <col min="4654" max="4654" width="1.6640625" style="3" customWidth="1"/>
    <col min="4655" max="4655" width="2.109375" style="3" customWidth="1"/>
    <col min="4656" max="4656" width="1.109375" style="3" customWidth="1"/>
    <col min="4657" max="4657" width="7.33203125" style="3" customWidth="1"/>
    <col min="4658" max="4659" width="2.109375" style="3" customWidth="1"/>
    <col min="4660" max="4660" width="1.6640625" style="3" customWidth="1"/>
    <col min="4661" max="4661" width="5.5546875" style="3" customWidth="1"/>
    <col min="4662" max="4662" width="2" style="3" customWidth="1"/>
    <col min="4663" max="4663" width="1.44140625" style="3" customWidth="1"/>
    <col min="4664" max="4664" width="2" style="3" customWidth="1"/>
    <col min="4665" max="4665" width="6.88671875" style="3" customWidth="1"/>
    <col min="4666" max="4666" width="1.6640625" style="3" customWidth="1"/>
    <col min="4667" max="4667" width="2" style="3" customWidth="1"/>
    <col min="4668" max="4668" width="1.88671875" style="3" customWidth="1"/>
    <col min="4669" max="4669" width="6.88671875" style="3" customWidth="1"/>
    <col min="4670" max="4670" width="1.109375" style="3" customWidth="1"/>
    <col min="4671" max="4671" width="1.33203125" style="3" customWidth="1"/>
    <col min="4672" max="4672" width="1.88671875" style="3" customWidth="1"/>
    <col min="4673" max="4673" width="6.88671875" style="3" customWidth="1"/>
    <col min="4674" max="4674" width="1.44140625" style="3" customWidth="1"/>
    <col min="4675" max="4675" width="1.33203125" style="3" customWidth="1"/>
    <col min="4676" max="4676" width="2.109375" style="3" customWidth="1"/>
    <col min="4677" max="4677" width="5.109375" style="3" customWidth="1"/>
    <col min="4678" max="4678" width="5.5546875" style="3" customWidth="1"/>
    <col min="4679" max="4679" width="1.109375" style="3" customWidth="1"/>
    <col min="4680" max="4680" width="1.44140625" style="3" customWidth="1"/>
    <col min="4681" max="4681" width="6" style="3" customWidth="1"/>
    <col min="4682" max="4682" width="5.88671875" style="3" customWidth="1"/>
    <col min="4683" max="4683" width="1.6640625" style="3" customWidth="1"/>
    <col min="4684" max="4684" width="2.109375" style="3" customWidth="1"/>
    <col min="4685" max="4688" width="5.88671875" style="3" customWidth="1"/>
    <col min="4689" max="4689" width="6" style="3" customWidth="1"/>
    <col min="4690" max="4690" width="1.5546875" style="3" customWidth="1"/>
    <col min="4691" max="4691" width="2.33203125" style="3" customWidth="1"/>
    <col min="4692" max="4692" width="1.5546875" style="3" customWidth="1"/>
    <col min="4693" max="4696" width="6.33203125" style="3" customWidth="1"/>
    <col min="4697" max="4697" width="6.109375" style="3" customWidth="1"/>
    <col min="4698" max="4699" width="1.109375" style="3" customWidth="1"/>
    <col min="4700" max="4700" width="1.33203125" style="3" customWidth="1"/>
    <col min="4701" max="4704" width="5.88671875" style="3" customWidth="1"/>
    <col min="4705" max="4705" width="6.88671875" style="3" customWidth="1"/>
    <col min="4706" max="4706" width="1.33203125" style="3" customWidth="1"/>
    <col min="4707" max="4708" width="1.6640625" style="3" customWidth="1"/>
    <col min="4709" max="4710" width="10.6640625" style="3" bestFit="1" customWidth="1"/>
    <col min="4711" max="4712" width="8.33203125" style="3" customWidth="1"/>
    <col min="4713" max="4713" width="8.6640625" style="3" customWidth="1"/>
    <col min="4714" max="4714" width="8.109375" style="3" customWidth="1"/>
    <col min="4715" max="4716" width="11.33203125" style="3" customWidth="1"/>
    <col min="4717" max="4717" width="10" style="3" customWidth="1"/>
    <col min="4718" max="4865" width="9.109375" style="3"/>
    <col min="4866" max="4866" width="5.5546875" style="3" customWidth="1"/>
    <col min="4867" max="4867" width="21.33203125" style="3" customWidth="1"/>
    <col min="4868" max="4868" width="38.88671875" style="3" customWidth="1"/>
    <col min="4869" max="4869" width="8.33203125" style="3" customWidth="1"/>
    <col min="4870" max="4870" width="6.109375" style="3" customWidth="1"/>
    <col min="4871" max="4871" width="1" style="3" customWidth="1"/>
    <col min="4872" max="4872" width="1.33203125" style="3" customWidth="1"/>
    <col min="4873" max="4873" width="5.109375" style="3" customWidth="1"/>
    <col min="4874" max="4874" width="6.109375" style="3" customWidth="1"/>
    <col min="4875" max="4875" width="0.6640625" style="3" customWidth="1"/>
    <col min="4876" max="4876" width="1" style="3" customWidth="1"/>
    <col min="4877" max="4877" width="4.6640625" style="3" customWidth="1"/>
    <col min="4878" max="4878" width="6.33203125" style="3" customWidth="1"/>
    <col min="4879" max="4879" width="0.88671875" style="3" customWidth="1"/>
    <col min="4880" max="4880" width="1.109375" style="3" customWidth="1"/>
    <col min="4881" max="4881" width="6.5546875" style="3" customWidth="1"/>
    <col min="4882" max="4882" width="7.109375" style="3" customWidth="1"/>
    <col min="4883" max="4884" width="1.5546875" style="3" customWidth="1"/>
    <col min="4885" max="4885" width="6.88671875" style="3" customWidth="1"/>
    <col min="4886" max="4886" width="2" style="3" customWidth="1"/>
    <col min="4887" max="4887" width="1.33203125" style="3" customWidth="1"/>
    <col min="4888" max="4888" width="2.109375" style="3" customWidth="1"/>
    <col min="4889" max="4889" width="6.44140625" style="3" customWidth="1"/>
    <col min="4890" max="4892" width="2" style="3" customWidth="1"/>
    <col min="4893" max="4893" width="7.6640625" style="3" customWidth="1"/>
    <col min="4894" max="4894" width="1.33203125" style="3" customWidth="1"/>
    <col min="4895" max="4895" width="1.5546875" style="3" customWidth="1"/>
    <col min="4896" max="4896" width="1.44140625" style="3" customWidth="1"/>
    <col min="4897" max="4897" width="6.109375" style="3" customWidth="1"/>
    <col min="4898" max="4900" width="1" style="3" customWidth="1"/>
    <col min="4901" max="4901" width="6.44140625" style="3" customWidth="1"/>
    <col min="4902" max="4902" width="5.88671875" style="3" customWidth="1"/>
    <col min="4903" max="4903" width="1.44140625" style="3" customWidth="1"/>
    <col min="4904" max="4904" width="1.5546875" style="3" customWidth="1"/>
    <col min="4905" max="4905" width="6.109375" style="3" customWidth="1"/>
    <col min="4906" max="4906" width="7" style="3" customWidth="1"/>
    <col min="4907" max="4907" width="1.109375" style="3" customWidth="1"/>
    <col min="4908" max="4908" width="1.88671875" style="3" customWidth="1"/>
    <col min="4909" max="4909" width="5.88671875" style="3" customWidth="1"/>
    <col min="4910" max="4910" width="1.6640625" style="3" customWidth="1"/>
    <col min="4911" max="4911" width="2.109375" style="3" customWidth="1"/>
    <col min="4912" max="4912" width="1.109375" style="3" customWidth="1"/>
    <col min="4913" max="4913" width="7.33203125" style="3" customWidth="1"/>
    <col min="4914" max="4915" width="2.109375" style="3" customWidth="1"/>
    <col min="4916" max="4916" width="1.6640625" style="3" customWidth="1"/>
    <col min="4917" max="4917" width="5.5546875" style="3" customWidth="1"/>
    <col min="4918" max="4918" width="2" style="3" customWidth="1"/>
    <col min="4919" max="4919" width="1.44140625" style="3" customWidth="1"/>
    <col min="4920" max="4920" width="2" style="3" customWidth="1"/>
    <col min="4921" max="4921" width="6.88671875" style="3" customWidth="1"/>
    <col min="4922" max="4922" width="1.6640625" style="3" customWidth="1"/>
    <col min="4923" max="4923" width="2" style="3" customWidth="1"/>
    <col min="4924" max="4924" width="1.88671875" style="3" customWidth="1"/>
    <col min="4925" max="4925" width="6.88671875" style="3" customWidth="1"/>
    <col min="4926" max="4926" width="1.109375" style="3" customWidth="1"/>
    <col min="4927" max="4927" width="1.33203125" style="3" customWidth="1"/>
    <col min="4928" max="4928" width="1.88671875" style="3" customWidth="1"/>
    <col min="4929" max="4929" width="6.88671875" style="3" customWidth="1"/>
    <col min="4930" max="4930" width="1.44140625" style="3" customWidth="1"/>
    <col min="4931" max="4931" width="1.33203125" style="3" customWidth="1"/>
    <col min="4932" max="4932" width="2.109375" style="3" customWidth="1"/>
    <col min="4933" max="4933" width="5.109375" style="3" customWidth="1"/>
    <col min="4934" max="4934" width="5.5546875" style="3" customWidth="1"/>
    <col min="4935" max="4935" width="1.109375" style="3" customWidth="1"/>
    <col min="4936" max="4936" width="1.44140625" style="3" customWidth="1"/>
    <col min="4937" max="4937" width="6" style="3" customWidth="1"/>
    <col min="4938" max="4938" width="5.88671875" style="3" customWidth="1"/>
    <col min="4939" max="4939" width="1.6640625" style="3" customWidth="1"/>
    <col min="4940" max="4940" width="2.109375" style="3" customWidth="1"/>
    <col min="4941" max="4944" width="5.88671875" style="3" customWidth="1"/>
    <col min="4945" max="4945" width="6" style="3" customWidth="1"/>
    <col min="4946" max="4946" width="1.5546875" style="3" customWidth="1"/>
    <col min="4947" max="4947" width="2.33203125" style="3" customWidth="1"/>
    <col min="4948" max="4948" width="1.5546875" style="3" customWidth="1"/>
    <col min="4949" max="4952" width="6.33203125" style="3" customWidth="1"/>
    <col min="4953" max="4953" width="6.109375" style="3" customWidth="1"/>
    <col min="4954" max="4955" width="1.109375" style="3" customWidth="1"/>
    <col min="4956" max="4956" width="1.33203125" style="3" customWidth="1"/>
    <col min="4957" max="4960" width="5.88671875" style="3" customWidth="1"/>
    <col min="4961" max="4961" width="6.88671875" style="3" customWidth="1"/>
    <col min="4962" max="4962" width="1.33203125" style="3" customWidth="1"/>
    <col min="4963" max="4964" width="1.6640625" style="3" customWidth="1"/>
    <col min="4965" max="4966" width="10.6640625" style="3" bestFit="1" customWidth="1"/>
    <col min="4967" max="4968" width="8.33203125" style="3" customWidth="1"/>
    <col min="4969" max="4969" width="8.6640625" style="3" customWidth="1"/>
    <col min="4970" max="4970" width="8.109375" style="3" customWidth="1"/>
    <col min="4971" max="4972" width="11.33203125" style="3" customWidth="1"/>
    <col min="4973" max="4973" width="10" style="3" customWidth="1"/>
    <col min="4974" max="5121" width="9.109375" style="3"/>
    <col min="5122" max="5122" width="5.5546875" style="3" customWidth="1"/>
    <col min="5123" max="5123" width="21.33203125" style="3" customWidth="1"/>
    <col min="5124" max="5124" width="38.88671875" style="3" customWidth="1"/>
    <col min="5125" max="5125" width="8.33203125" style="3" customWidth="1"/>
    <col min="5126" max="5126" width="6.109375" style="3" customWidth="1"/>
    <col min="5127" max="5127" width="1" style="3" customWidth="1"/>
    <col min="5128" max="5128" width="1.33203125" style="3" customWidth="1"/>
    <col min="5129" max="5129" width="5.109375" style="3" customWidth="1"/>
    <col min="5130" max="5130" width="6.109375" style="3" customWidth="1"/>
    <col min="5131" max="5131" width="0.6640625" style="3" customWidth="1"/>
    <col min="5132" max="5132" width="1" style="3" customWidth="1"/>
    <col min="5133" max="5133" width="4.6640625" style="3" customWidth="1"/>
    <col min="5134" max="5134" width="6.33203125" style="3" customWidth="1"/>
    <col min="5135" max="5135" width="0.88671875" style="3" customWidth="1"/>
    <col min="5136" max="5136" width="1.109375" style="3" customWidth="1"/>
    <col min="5137" max="5137" width="6.5546875" style="3" customWidth="1"/>
    <col min="5138" max="5138" width="7.109375" style="3" customWidth="1"/>
    <col min="5139" max="5140" width="1.5546875" style="3" customWidth="1"/>
    <col min="5141" max="5141" width="6.88671875" style="3" customWidth="1"/>
    <col min="5142" max="5142" width="2" style="3" customWidth="1"/>
    <col min="5143" max="5143" width="1.33203125" style="3" customWidth="1"/>
    <col min="5144" max="5144" width="2.109375" style="3" customWidth="1"/>
    <col min="5145" max="5145" width="6.44140625" style="3" customWidth="1"/>
    <col min="5146" max="5148" width="2" style="3" customWidth="1"/>
    <col min="5149" max="5149" width="7.6640625" style="3" customWidth="1"/>
    <col min="5150" max="5150" width="1.33203125" style="3" customWidth="1"/>
    <col min="5151" max="5151" width="1.5546875" style="3" customWidth="1"/>
    <col min="5152" max="5152" width="1.44140625" style="3" customWidth="1"/>
    <col min="5153" max="5153" width="6.109375" style="3" customWidth="1"/>
    <col min="5154" max="5156" width="1" style="3" customWidth="1"/>
    <col min="5157" max="5157" width="6.44140625" style="3" customWidth="1"/>
    <col min="5158" max="5158" width="5.88671875" style="3" customWidth="1"/>
    <col min="5159" max="5159" width="1.44140625" style="3" customWidth="1"/>
    <col min="5160" max="5160" width="1.5546875" style="3" customWidth="1"/>
    <col min="5161" max="5161" width="6.109375" style="3" customWidth="1"/>
    <col min="5162" max="5162" width="7" style="3" customWidth="1"/>
    <col min="5163" max="5163" width="1.109375" style="3" customWidth="1"/>
    <col min="5164" max="5164" width="1.88671875" style="3" customWidth="1"/>
    <col min="5165" max="5165" width="5.88671875" style="3" customWidth="1"/>
    <col min="5166" max="5166" width="1.6640625" style="3" customWidth="1"/>
    <col min="5167" max="5167" width="2.109375" style="3" customWidth="1"/>
    <col min="5168" max="5168" width="1.109375" style="3" customWidth="1"/>
    <col min="5169" max="5169" width="7.33203125" style="3" customWidth="1"/>
    <col min="5170" max="5171" width="2.109375" style="3" customWidth="1"/>
    <col min="5172" max="5172" width="1.6640625" style="3" customWidth="1"/>
    <col min="5173" max="5173" width="5.5546875" style="3" customWidth="1"/>
    <col min="5174" max="5174" width="2" style="3" customWidth="1"/>
    <col min="5175" max="5175" width="1.44140625" style="3" customWidth="1"/>
    <col min="5176" max="5176" width="2" style="3" customWidth="1"/>
    <col min="5177" max="5177" width="6.88671875" style="3" customWidth="1"/>
    <col min="5178" max="5178" width="1.6640625" style="3" customWidth="1"/>
    <col min="5179" max="5179" width="2" style="3" customWidth="1"/>
    <col min="5180" max="5180" width="1.88671875" style="3" customWidth="1"/>
    <col min="5181" max="5181" width="6.88671875" style="3" customWidth="1"/>
    <col min="5182" max="5182" width="1.109375" style="3" customWidth="1"/>
    <col min="5183" max="5183" width="1.33203125" style="3" customWidth="1"/>
    <col min="5184" max="5184" width="1.88671875" style="3" customWidth="1"/>
    <col min="5185" max="5185" width="6.88671875" style="3" customWidth="1"/>
    <col min="5186" max="5186" width="1.44140625" style="3" customWidth="1"/>
    <col min="5187" max="5187" width="1.33203125" style="3" customWidth="1"/>
    <col min="5188" max="5188" width="2.109375" style="3" customWidth="1"/>
    <col min="5189" max="5189" width="5.109375" style="3" customWidth="1"/>
    <col min="5190" max="5190" width="5.5546875" style="3" customWidth="1"/>
    <col min="5191" max="5191" width="1.109375" style="3" customWidth="1"/>
    <col min="5192" max="5192" width="1.44140625" style="3" customWidth="1"/>
    <col min="5193" max="5193" width="6" style="3" customWidth="1"/>
    <col min="5194" max="5194" width="5.88671875" style="3" customWidth="1"/>
    <col min="5195" max="5195" width="1.6640625" style="3" customWidth="1"/>
    <col min="5196" max="5196" width="2.109375" style="3" customWidth="1"/>
    <col min="5197" max="5200" width="5.88671875" style="3" customWidth="1"/>
    <col min="5201" max="5201" width="6" style="3" customWidth="1"/>
    <col min="5202" max="5202" width="1.5546875" style="3" customWidth="1"/>
    <col min="5203" max="5203" width="2.33203125" style="3" customWidth="1"/>
    <col min="5204" max="5204" width="1.5546875" style="3" customWidth="1"/>
    <col min="5205" max="5208" width="6.33203125" style="3" customWidth="1"/>
    <col min="5209" max="5209" width="6.109375" style="3" customWidth="1"/>
    <col min="5210" max="5211" width="1.109375" style="3" customWidth="1"/>
    <col min="5212" max="5212" width="1.33203125" style="3" customWidth="1"/>
    <col min="5213" max="5216" width="5.88671875" style="3" customWidth="1"/>
    <col min="5217" max="5217" width="6.88671875" style="3" customWidth="1"/>
    <col min="5218" max="5218" width="1.33203125" style="3" customWidth="1"/>
    <col min="5219" max="5220" width="1.6640625" style="3" customWidth="1"/>
    <col min="5221" max="5222" width="10.6640625" style="3" bestFit="1" customWidth="1"/>
    <col min="5223" max="5224" width="8.33203125" style="3" customWidth="1"/>
    <col min="5225" max="5225" width="8.6640625" style="3" customWidth="1"/>
    <col min="5226" max="5226" width="8.109375" style="3" customWidth="1"/>
    <col min="5227" max="5228" width="11.33203125" style="3" customWidth="1"/>
    <col min="5229" max="5229" width="10" style="3" customWidth="1"/>
    <col min="5230" max="5377" width="9.109375" style="3"/>
    <col min="5378" max="5378" width="5.5546875" style="3" customWidth="1"/>
    <col min="5379" max="5379" width="21.33203125" style="3" customWidth="1"/>
    <col min="5380" max="5380" width="38.88671875" style="3" customWidth="1"/>
    <col min="5381" max="5381" width="8.33203125" style="3" customWidth="1"/>
    <col min="5382" max="5382" width="6.109375" style="3" customWidth="1"/>
    <col min="5383" max="5383" width="1" style="3" customWidth="1"/>
    <col min="5384" max="5384" width="1.33203125" style="3" customWidth="1"/>
    <col min="5385" max="5385" width="5.109375" style="3" customWidth="1"/>
    <col min="5386" max="5386" width="6.109375" style="3" customWidth="1"/>
    <col min="5387" max="5387" width="0.6640625" style="3" customWidth="1"/>
    <col min="5388" max="5388" width="1" style="3" customWidth="1"/>
    <col min="5389" max="5389" width="4.6640625" style="3" customWidth="1"/>
    <col min="5390" max="5390" width="6.33203125" style="3" customWidth="1"/>
    <col min="5391" max="5391" width="0.88671875" style="3" customWidth="1"/>
    <col min="5392" max="5392" width="1.109375" style="3" customWidth="1"/>
    <col min="5393" max="5393" width="6.5546875" style="3" customWidth="1"/>
    <col min="5394" max="5394" width="7.109375" style="3" customWidth="1"/>
    <col min="5395" max="5396" width="1.5546875" style="3" customWidth="1"/>
    <col min="5397" max="5397" width="6.88671875" style="3" customWidth="1"/>
    <col min="5398" max="5398" width="2" style="3" customWidth="1"/>
    <col min="5399" max="5399" width="1.33203125" style="3" customWidth="1"/>
    <col min="5400" max="5400" width="2.109375" style="3" customWidth="1"/>
    <col min="5401" max="5401" width="6.44140625" style="3" customWidth="1"/>
    <col min="5402" max="5404" width="2" style="3" customWidth="1"/>
    <col min="5405" max="5405" width="7.6640625" style="3" customWidth="1"/>
    <col min="5406" max="5406" width="1.33203125" style="3" customWidth="1"/>
    <col min="5407" max="5407" width="1.5546875" style="3" customWidth="1"/>
    <col min="5408" max="5408" width="1.44140625" style="3" customWidth="1"/>
    <col min="5409" max="5409" width="6.109375" style="3" customWidth="1"/>
    <col min="5410" max="5412" width="1" style="3" customWidth="1"/>
    <col min="5413" max="5413" width="6.44140625" style="3" customWidth="1"/>
    <col min="5414" max="5414" width="5.88671875" style="3" customWidth="1"/>
    <col min="5415" max="5415" width="1.44140625" style="3" customWidth="1"/>
    <col min="5416" max="5416" width="1.5546875" style="3" customWidth="1"/>
    <col min="5417" max="5417" width="6.109375" style="3" customWidth="1"/>
    <col min="5418" max="5418" width="7" style="3" customWidth="1"/>
    <col min="5419" max="5419" width="1.109375" style="3" customWidth="1"/>
    <col min="5420" max="5420" width="1.88671875" style="3" customWidth="1"/>
    <col min="5421" max="5421" width="5.88671875" style="3" customWidth="1"/>
    <col min="5422" max="5422" width="1.6640625" style="3" customWidth="1"/>
    <col min="5423" max="5423" width="2.109375" style="3" customWidth="1"/>
    <col min="5424" max="5424" width="1.109375" style="3" customWidth="1"/>
    <col min="5425" max="5425" width="7.33203125" style="3" customWidth="1"/>
    <col min="5426" max="5427" width="2.109375" style="3" customWidth="1"/>
    <col min="5428" max="5428" width="1.6640625" style="3" customWidth="1"/>
    <col min="5429" max="5429" width="5.5546875" style="3" customWidth="1"/>
    <col min="5430" max="5430" width="2" style="3" customWidth="1"/>
    <col min="5431" max="5431" width="1.44140625" style="3" customWidth="1"/>
    <col min="5432" max="5432" width="2" style="3" customWidth="1"/>
    <col min="5433" max="5433" width="6.88671875" style="3" customWidth="1"/>
    <col min="5434" max="5434" width="1.6640625" style="3" customWidth="1"/>
    <col min="5435" max="5435" width="2" style="3" customWidth="1"/>
    <col min="5436" max="5436" width="1.88671875" style="3" customWidth="1"/>
    <col min="5437" max="5437" width="6.88671875" style="3" customWidth="1"/>
    <col min="5438" max="5438" width="1.109375" style="3" customWidth="1"/>
    <col min="5439" max="5439" width="1.33203125" style="3" customWidth="1"/>
    <col min="5440" max="5440" width="1.88671875" style="3" customWidth="1"/>
    <col min="5441" max="5441" width="6.88671875" style="3" customWidth="1"/>
    <col min="5442" max="5442" width="1.44140625" style="3" customWidth="1"/>
    <col min="5443" max="5443" width="1.33203125" style="3" customWidth="1"/>
    <col min="5444" max="5444" width="2.109375" style="3" customWidth="1"/>
    <col min="5445" max="5445" width="5.109375" style="3" customWidth="1"/>
    <col min="5446" max="5446" width="5.5546875" style="3" customWidth="1"/>
    <col min="5447" max="5447" width="1.109375" style="3" customWidth="1"/>
    <col min="5448" max="5448" width="1.44140625" style="3" customWidth="1"/>
    <col min="5449" max="5449" width="6" style="3" customWidth="1"/>
    <col min="5450" max="5450" width="5.88671875" style="3" customWidth="1"/>
    <col min="5451" max="5451" width="1.6640625" style="3" customWidth="1"/>
    <col min="5452" max="5452" width="2.109375" style="3" customWidth="1"/>
    <col min="5453" max="5456" width="5.88671875" style="3" customWidth="1"/>
    <col min="5457" max="5457" width="6" style="3" customWidth="1"/>
    <col min="5458" max="5458" width="1.5546875" style="3" customWidth="1"/>
    <col min="5459" max="5459" width="2.33203125" style="3" customWidth="1"/>
    <col min="5460" max="5460" width="1.5546875" style="3" customWidth="1"/>
    <col min="5461" max="5464" width="6.33203125" style="3" customWidth="1"/>
    <col min="5465" max="5465" width="6.109375" style="3" customWidth="1"/>
    <col min="5466" max="5467" width="1.109375" style="3" customWidth="1"/>
    <col min="5468" max="5468" width="1.33203125" style="3" customWidth="1"/>
    <col min="5469" max="5472" width="5.88671875" style="3" customWidth="1"/>
    <col min="5473" max="5473" width="6.88671875" style="3" customWidth="1"/>
    <col min="5474" max="5474" width="1.33203125" style="3" customWidth="1"/>
    <col min="5475" max="5476" width="1.6640625" style="3" customWidth="1"/>
    <col min="5477" max="5478" width="10.6640625" style="3" bestFit="1" customWidth="1"/>
    <col min="5479" max="5480" width="8.33203125" style="3" customWidth="1"/>
    <col min="5481" max="5481" width="8.6640625" style="3" customWidth="1"/>
    <col min="5482" max="5482" width="8.109375" style="3" customWidth="1"/>
    <col min="5483" max="5484" width="11.33203125" style="3" customWidth="1"/>
    <col min="5485" max="5485" width="10" style="3" customWidth="1"/>
    <col min="5486" max="5633" width="9.109375" style="3"/>
    <col min="5634" max="5634" width="5.5546875" style="3" customWidth="1"/>
    <col min="5635" max="5635" width="21.33203125" style="3" customWidth="1"/>
    <col min="5636" max="5636" width="38.88671875" style="3" customWidth="1"/>
    <col min="5637" max="5637" width="8.33203125" style="3" customWidth="1"/>
    <col min="5638" max="5638" width="6.109375" style="3" customWidth="1"/>
    <col min="5639" max="5639" width="1" style="3" customWidth="1"/>
    <col min="5640" max="5640" width="1.33203125" style="3" customWidth="1"/>
    <col min="5641" max="5641" width="5.109375" style="3" customWidth="1"/>
    <col min="5642" max="5642" width="6.109375" style="3" customWidth="1"/>
    <col min="5643" max="5643" width="0.6640625" style="3" customWidth="1"/>
    <col min="5644" max="5644" width="1" style="3" customWidth="1"/>
    <col min="5645" max="5645" width="4.6640625" style="3" customWidth="1"/>
    <col min="5646" max="5646" width="6.33203125" style="3" customWidth="1"/>
    <col min="5647" max="5647" width="0.88671875" style="3" customWidth="1"/>
    <col min="5648" max="5648" width="1.109375" style="3" customWidth="1"/>
    <col min="5649" max="5649" width="6.5546875" style="3" customWidth="1"/>
    <col min="5650" max="5650" width="7.109375" style="3" customWidth="1"/>
    <col min="5651" max="5652" width="1.5546875" style="3" customWidth="1"/>
    <col min="5653" max="5653" width="6.88671875" style="3" customWidth="1"/>
    <col min="5654" max="5654" width="2" style="3" customWidth="1"/>
    <col min="5655" max="5655" width="1.33203125" style="3" customWidth="1"/>
    <col min="5656" max="5656" width="2.109375" style="3" customWidth="1"/>
    <col min="5657" max="5657" width="6.44140625" style="3" customWidth="1"/>
    <col min="5658" max="5660" width="2" style="3" customWidth="1"/>
    <col min="5661" max="5661" width="7.6640625" style="3" customWidth="1"/>
    <col min="5662" max="5662" width="1.33203125" style="3" customWidth="1"/>
    <col min="5663" max="5663" width="1.5546875" style="3" customWidth="1"/>
    <col min="5664" max="5664" width="1.44140625" style="3" customWidth="1"/>
    <col min="5665" max="5665" width="6.109375" style="3" customWidth="1"/>
    <col min="5666" max="5668" width="1" style="3" customWidth="1"/>
    <col min="5669" max="5669" width="6.44140625" style="3" customWidth="1"/>
    <col min="5670" max="5670" width="5.88671875" style="3" customWidth="1"/>
    <col min="5671" max="5671" width="1.44140625" style="3" customWidth="1"/>
    <col min="5672" max="5672" width="1.5546875" style="3" customWidth="1"/>
    <col min="5673" max="5673" width="6.109375" style="3" customWidth="1"/>
    <col min="5674" max="5674" width="7" style="3" customWidth="1"/>
    <col min="5675" max="5675" width="1.109375" style="3" customWidth="1"/>
    <col min="5676" max="5676" width="1.88671875" style="3" customWidth="1"/>
    <col min="5677" max="5677" width="5.88671875" style="3" customWidth="1"/>
    <col min="5678" max="5678" width="1.6640625" style="3" customWidth="1"/>
    <col min="5679" max="5679" width="2.109375" style="3" customWidth="1"/>
    <col min="5680" max="5680" width="1.109375" style="3" customWidth="1"/>
    <col min="5681" max="5681" width="7.33203125" style="3" customWidth="1"/>
    <col min="5682" max="5683" width="2.109375" style="3" customWidth="1"/>
    <col min="5684" max="5684" width="1.6640625" style="3" customWidth="1"/>
    <col min="5685" max="5685" width="5.5546875" style="3" customWidth="1"/>
    <col min="5686" max="5686" width="2" style="3" customWidth="1"/>
    <col min="5687" max="5687" width="1.44140625" style="3" customWidth="1"/>
    <col min="5688" max="5688" width="2" style="3" customWidth="1"/>
    <col min="5689" max="5689" width="6.88671875" style="3" customWidth="1"/>
    <col min="5690" max="5690" width="1.6640625" style="3" customWidth="1"/>
    <col min="5691" max="5691" width="2" style="3" customWidth="1"/>
    <col min="5692" max="5692" width="1.88671875" style="3" customWidth="1"/>
    <col min="5693" max="5693" width="6.88671875" style="3" customWidth="1"/>
    <col min="5694" max="5694" width="1.109375" style="3" customWidth="1"/>
    <col min="5695" max="5695" width="1.33203125" style="3" customWidth="1"/>
    <col min="5696" max="5696" width="1.88671875" style="3" customWidth="1"/>
    <col min="5697" max="5697" width="6.88671875" style="3" customWidth="1"/>
    <col min="5698" max="5698" width="1.44140625" style="3" customWidth="1"/>
    <col min="5699" max="5699" width="1.33203125" style="3" customWidth="1"/>
    <col min="5700" max="5700" width="2.109375" style="3" customWidth="1"/>
    <col min="5701" max="5701" width="5.109375" style="3" customWidth="1"/>
    <col min="5702" max="5702" width="5.5546875" style="3" customWidth="1"/>
    <col min="5703" max="5703" width="1.109375" style="3" customWidth="1"/>
    <col min="5704" max="5704" width="1.44140625" style="3" customWidth="1"/>
    <col min="5705" max="5705" width="6" style="3" customWidth="1"/>
    <col min="5706" max="5706" width="5.88671875" style="3" customWidth="1"/>
    <col min="5707" max="5707" width="1.6640625" style="3" customWidth="1"/>
    <col min="5708" max="5708" width="2.109375" style="3" customWidth="1"/>
    <col min="5709" max="5712" width="5.88671875" style="3" customWidth="1"/>
    <col min="5713" max="5713" width="6" style="3" customWidth="1"/>
    <col min="5714" max="5714" width="1.5546875" style="3" customWidth="1"/>
    <col min="5715" max="5715" width="2.33203125" style="3" customWidth="1"/>
    <col min="5716" max="5716" width="1.5546875" style="3" customWidth="1"/>
    <col min="5717" max="5720" width="6.33203125" style="3" customWidth="1"/>
    <col min="5721" max="5721" width="6.109375" style="3" customWidth="1"/>
    <col min="5722" max="5723" width="1.109375" style="3" customWidth="1"/>
    <col min="5724" max="5724" width="1.33203125" style="3" customWidth="1"/>
    <col min="5725" max="5728" width="5.88671875" style="3" customWidth="1"/>
    <col min="5729" max="5729" width="6.88671875" style="3" customWidth="1"/>
    <col min="5730" max="5730" width="1.33203125" style="3" customWidth="1"/>
    <col min="5731" max="5732" width="1.6640625" style="3" customWidth="1"/>
    <col min="5733" max="5734" width="10.6640625" style="3" bestFit="1" customWidth="1"/>
    <col min="5735" max="5736" width="8.33203125" style="3" customWidth="1"/>
    <col min="5737" max="5737" width="8.6640625" style="3" customWidth="1"/>
    <col min="5738" max="5738" width="8.109375" style="3" customWidth="1"/>
    <col min="5739" max="5740" width="11.33203125" style="3" customWidth="1"/>
    <col min="5741" max="5741" width="10" style="3" customWidth="1"/>
    <col min="5742" max="5889" width="9.109375" style="3"/>
    <col min="5890" max="5890" width="5.5546875" style="3" customWidth="1"/>
    <col min="5891" max="5891" width="21.33203125" style="3" customWidth="1"/>
    <col min="5892" max="5892" width="38.88671875" style="3" customWidth="1"/>
    <col min="5893" max="5893" width="8.33203125" style="3" customWidth="1"/>
    <col min="5894" max="5894" width="6.109375" style="3" customWidth="1"/>
    <col min="5895" max="5895" width="1" style="3" customWidth="1"/>
    <col min="5896" max="5896" width="1.33203125" style="3" customWidth="1"/>
    <col min="5897" max="5897" width="5.109375" style="3" customWidth="1"/>
    <col min="5898" max="5898" width="6.109375" style="3" customWidth="1"/>
    <col min="5899" max="5899" width="0.6640625" style="3" customWidth="1"/>
    <col min="5900" max="5900" width="1" style="3" customWidth="1"/>
    <col min="5901" max="5901" width="4.6640625" style="3" customWidth="1"/>
    <col min="5902" max="5902" width="6.33203125" style="3" customWidth="1"/>
    <col min="5903" max="5903" width="0.88671875" style="3" customWidth="1"/>
    <col min="5904" max="5904" width="1.109375" style="3" customWidth="1"/>
    <col min="5905" max="5905" width="6.5546875" style="3" customWidth="1"/>
    <col min="5906" max="5906" width="7.109375" style="3" customWidth="1"/>
    <col min="5907" max="5908" width="1.5546875" style="3" customWidth="1"/>
    <col min="5909" max="5909" width="6.88671875" style="3" customWidth="1"/>
    <col min="5910" max="5910" width="2" style="3" customWidth="1"/>
    <col min="5911" max="5911" width="1.33203125" style="3" customWidth="1"/>
    <col min="5912" max="5912" width="2.109375" style="3" customWidth="1"/>
    <col min="5913" max="5913" width="6.44140625" style="3" customWidth="1"/>
    <col min="5914" max="5916" width="2" style="3" customWidth="1"/>
    <col min="5917" max="5917" width="7.6640625" style="3" customWidth="1"/>
    <col min="5918" max="5918" width="1.33203125" style="3" customWidth="1"/>
    <col min="5919" max="5919" width="1.5546875" style="3" customWidth="1"/>
    <col min="5920" max="5920" width="1.44140625" style="3" customWidth="1"/>
    <col min="5921" max="5921" width="6.109375" style="3" customWidth="1"/>
    <col min="5922" max="5924" width="1" style="3" customWidth="1"/>
    <col min="5925" max="5925" width="6.44140625" style="3" customWidth="1"/>
    <col min="5926" max="5926" width="5.88671875" style="3" customWidth="1"/>
    <col min="5927" max="5927" width="1.44140625" style="3" customWidth="1"/>
    <col min="5928" max="5928" width="1.5546875" style="3" customWidth="1"/>
    <col min="5929" max="5929" width="6.109375" style="3" customWidth="1"/>
    <col min="5930" max="5930" width="7" style="3" customWidth="1"/>
    <col min="5931" max="5931" width="1.109375" style="3" customWidth="1"/>
    <col min="5932" max="5932" width="1.88671875" style="3" customWidth="1"/>
    <col min="5933" max="5933" width="5.88671875" style="3" customWidth="1"/>
    <col min="5934" max="5934" width="1.6640625" style="3" customWidth="1"/>
    <col min="5935" max="5935" width="2.109375" style="3" customWidth="1"/>
    <col min="5936" max="5936" width="1.109375" style="3" customWidth="1"/>
    <col min="5937" max="5937" width="7.33203125" style="3" customWidth="1"/>
    <col min="5938" max="5939" width="2.109375" style="3" customWidth="1"/>
    <col min="5940" max="5940" width="1.6640625" style="3" customWidth="1"/>
    <col min="5941" max="5941" width="5.5546875" style="3" customWidth="1"/>
    <col min="5942" max="5942" width="2" style="3" customWidth="1"/>
    <col min="5943" max="5943" width="1.44140625" style="3" customWidth="1"/>
    <col min="5944" max="5944" width="2" style="3" customWidth="1"/>
    <col min="5945" max="5945" width="6.88671875" style="3" customWidth="1"/>
    <col min="5946" max="5946" width="1.6640625" style="3" customWidth="1"/>
    <col min="5947" max="5947" width="2" style="3" customWidth="1"/>
    <col min="5948" max="5948" width="1.88671875" style="3" customWidth="1"/>
    <col min="5949" max="5949" width="6.88671875" style="3" customWidth="1"/>
    <col min="5950" max="5950" width="1.109375" style="3" customWidth="1"/>
    <col min="5951" max="5951" width="1.33203125" style="3" customWidth="1"/>
    <col min="5952" max="5952" width="1.88671875" style="3" customWidth="1"/>
    <col min="5953" max="5953" width="6.88671875" style="3" customWidth="1"/>
    <col min="5954" max="5954" width="1.44140625" style="3" customWidth="1"/>
    <col min="5955" max="5955" width="1.33203125" style="3" customWidth="1"/>
    <col min="5956" max="5956" width="2.109375" style="3" customWidth="1"/>
    <col min="5957" max="5957" width="5.109375" style="3" customWidth="1"/>
    <col min="5958" max="5958" width="5.5546875" style="3" customWidth="1"/>
    <col min="5959" max="5959" width="1.109375" style="3" customWidth="1"/>
    <col min="5960" max="5960" width="1.44140625" style="3" customWidth="1"/>
    <col min="5961" max="5961" width="6" style="3" customWidth="1"/>
    <col min="5962" max="5962" width="5.88671875" style="3" customWidth="1"/>
    <col min="5963" max="5963" width="1.6640625" style="3" customWidth="1"/>
    <col min="5964" max="5964" width="2.109375" style="3" customWidth="1"/>
    <col min="5965" max="5968" width="5.88671875" style="3" customWidth="1"/>
    <col min="5969" max="5969" width="6" style="3" customWidth="1"/>
    <col min="5970" max="5970" width="1.5546875" style="3" customWidth="1"/>
    <col min="5971" max="5971" width="2.33203125" style="3" customWidth="1"/>
    <col min="5972" max="5972" width="1.5546875" style="3" customWidth="1"/>
    <col min="5973" max="5976" width="6.33203125" style="3" customWidth="1"/>
    <col min="5977" max="5977" width="6.109375" style="3" customWidth="1"/>
    <col min="5978" max="5979" width="1.109375" style="3" customWidth="1"/>
    <col min="5980" max="5980" width="1.33203125" style="3" customWidth="1"/>
    <col min="5981" max="5984" width="5.88671875" style="3" customWidth="1"/>
    <col min="5985" max="5985" width="6.88671875" style="3" customWidth="1"/>
    <col min="5986" max="5986" width="1.33203125" style="3" customWidth="1"/>
    <col min="5987" max="5988" width="1.6640625" style="3" customWidth="1"/>
    <col min="5989" max="5990" width="10.6640625" style="3" bestFit="1" customWidth="1"/>
    <col min="5991" max="5992" width="8.33203125" style="3" customWidth="1"/>
    <col min="5993" max="5993" width="8.6640625" style="3" customWidth="1"/>
    <col min="5994" max="5994" width="8.109375" style="3" customWidth="1"/>
    <col min="5995" max="5996" width="11.33203125" style="3" customWidth="1"/>
    <col min="5997" max="5997" width="10" style="3" customWidth="1"/>
    <col min="5998" max="6145" width="9.109375" style="3"/>
    <col min="6146" max="6146" width="5.5546875" style="3" customWidth="1"/>
    <col min="6147" max="6147" width="21.33203125" style="3" customWidth="1"/>
    <col min="6148" max="6148" width="38.88671875" style="3" customWidth="1"/>
    <col min="6149" max="6149" width="8.33203125" style="3" customWidth="1"/>
    <col min="6150" max="6150" width="6.109375" style="3" customWidth="1"/>
    <col min="6151" max="6151" width="1" style="3" customWidth="1"/>
    <col min="6152" max="6152" width="1.33203125" style="3" customWidth="1"/>
    <col min="6153" max="6153" width="5.109375" style="3" customWidth="1"/>
    <col min="6154" max="6154" width="6.109375" style="3" customWidth="1"/>
    <col min="6155" max="6155" width="0.6640625" style="3" customWidth="1"/>
    <col min="6156" max="6156" width="1" style="3" customWidth="1"/>
    <col min="6157" max="6157" width="4.6640625" style="3" customWidth="1"/>
    <col min="6158" max="6158" width="6.33203125" style="3" customWidth="1"/>
    <col min="6159" max="6159" width="0.88671875" style="3" customWidth="1"/>
    <col min="6160" max="6160" width="1.109375" style="3" customWidth="1"/>
    <col min="6161" max="6161" width="6.5546875" style="3" customWidth="1"/>
    <col min="6162" max="6162" width="7.109375" style="3" customWidth="1"/>
    <col min="6163" max="6164" width="1.5546875" style="3" customWidth="1"/>
    <col min="6165" max="6165" width="6.88671875" style="3" customWidth="1"/>
    <col min="6166" max="6166" width="2" style="3" customWidth="1"/>
    <col min="6167" max="6167" width="1.33203125" style="3" customWidth="1"/>
    <col min="6168" max="6168" width="2.109375" style="3" customWidth="1"/>
    <col min="6169" max="6169" width="6.44140625" style="3" customWidth="1"/>
    <col min="6170" max="6172" width="2" style="3" customWidth="1"/>
    <col min="6173" max="6173" width="7.6640625" style="3" customWidth="1"/>
    <col min="6174" max="6174" width="1.33203125" style="3" customWidth="1"/>
    <col min="6175" max="6175" width="1.5546875" style="3" customWidth="1"/>
    <col min="6176" max="6176" width="1.44140625" style="3" customWidth="1"/>
    <col min="6177" max="6177" width="6.109375" style="3" customWidth="1"/>
    <col min="6178" max="6180" width="1" style="3" customWidth="1"/>
    <col min="6181" max="6181" width="6.44140625" style="3" customWidth="1"/>
    <col min="6182" max="6182" width="5.88671875" style="3" customWidth="1"/>
    <col min="6183" max="6183" width="1.44140625" style="3" customWidth="1"/>
    <col min="6184" max="6184" width="1.5546875" style="3" customWidth="1"/>
    <col min="6185" max="6185" width="6.109375" style="3" customWidth="1"/>
    <col min="6186" max="6186" width="7" style="3" customWidth="1"/>
    <col min="6187" max="6187" width="1.109375" style="3" customWidth="1"/>
    <col min="6188" max="6188" width="1.88671875" style="3" customWidth="1"/>
    <col min="6189" max="6189" width="5.88671875" style="3" customWidth="1"/>
    <col min="6190" max="6190" width="1.6640625" style="3" customWidth="1"/>
    <col min="6191" max="6191" width="2.109375" style="3" customWidth="1"/>
    <col min="6192" max="6192" width="1.109375" style="3" customWidth="1"/>
    <col min="6193" max="6193" width="7.33203125" style="3" customWidth="1"/>
    <col min="6194" max="6195" width="2.109375" style="3" customWidth="1"/>
    <col min="6196" max="6196" width="1.6640625" style="3" customWidth="1"/>
    <col min="6197" max="6197" width="5.5546875" style="3" customWidth="1"/>
    <col min="6198" max="6198" width="2" style="3" customWidth="1"/>
    <col min="6199" max="6199" width="1.44140625" style="3" customWidth="1"/>
    <col min="6200" max="6200" width="2" style="3" customWidth="1"/>
    <col min="6201" max="6201" width="6.88671875" style="3" customWidth="1"/>
    <col min="6202" max="6202" width="1.6640625" style="3" customWidth="1"/>
    <col min="6203" max="6203" width="2" style="3" customWidth="1"/>
    <col min="6204" max="6204" width="1.88671875" style="3" customWidth="1"/>
    <col min="6205" max="6205" width="6.88671875" style="3" customWidth="1"/>
    <col min="6206" max="6206" width="1.109375" style="3" customWidth="1"/>
    <col min="6207" max="6207" width="1.33203125" style="3" customWidth="1"/>
    <col min="6208" max="6208" width="1.88671875" style="3" customWidth="1"/>
    <col min="6209" max="6209" width="6.88671875" style="3" customWidth="1"/>
    <col min="6210" max="6210" width="1.44140625" style="3" customWidth="1"/>
    <col min="6211" max="6211" width="1.33203125" style="3" customWidth="1"/>
    <col min="6212" max="6212" width="2.109375" style="3" customWidth="1"/>
    <col min="6213" max="6213" width="5.109375" style="3" customWidth="1"/>
    <col min="6214" max="6214" width="5.5546875" style="3" customWidth="1"/>
    <col min="6215" max="6215" width="1.109375" style="3" customWidth="1"/>
    <col min="6216" max="6216" width="1.44140625" style="3" customWidth="1"/>
    <col min="6217" max="6217" width="6" style="3" customWidth="1"/>
    <col min="6218" max="6218" width="5.88671875" style="3" customWidth="1"/>
    <col min="6219" max="6219" width="1.6640625" style="3" customWidth="1"/>
    <col min="6220" max="6220" width="2.109375" style="3" customWidth="1"/>
    <col min="6221" max="6224" width="5.88671875" style="3" customWidth="1"/>
    <col min="6225" max="6225" width="6" style="3" customWidth="1"/>
    <col min="6226" max="6226" width="1.5546875" style="3" customWidth="1"/>
    <col min="6227" max="6227" width="2.33203125" style="3" customWidth="1"/>
    <col min="6228" max="6228" width="1.5546875" style="3" customWidth="1"/>
    <col min="6229" max="6232" width="6.33203125" style="3" customWidth="1"/>
    <col min="6233" max="6233" width="6.109375" style="3" customWidth="1"/>
    <col min="6234" max="6235" width="1.109375" style="3" customWidth="1"/>
    <col min="6236" max="6236" width="1.33203125" style="3" customWidth="1"/>
    <col min="6237" max="6240" width="5.88671875" style="3" customWidth="1"/>
    <col min="6241" max="6241" width="6.88671875" style="3" customWidth="1"/>
    <col min="6242" max="6242" width="1.33203125" style="3" customWidth="1"/>
    <col min="6243" max="6244" width="1.6640625" style="3" customWidth="1"/>
    <col min="6245" max="6246" width="10.6640625" style="3" bestFit="1" customWidth="1"/>
    <col min="6247" max="6248" width="8.33203125" style="3" customWidth="1"/>
    <col min="6249" max="6249" width="8.6640625" style="3" customWidth="1"/>
    <col min="6250" max="6250" width="8.109375" style="3" customWidth="1"/>
    <col min="6251" max="6252" width="11.33203125" style="3" customWidth="1"/>
    <col min="6253" max="6253" width="10" style="3" customWidth="1"/>
    <col min="6254" max="6401" width="9.109375" style="3"/>
    <col min="6402" max="6402" width="5.5546875" style="3" customWidth="1"/>
    <col min="6403" max="6403" width="21.33203125" style="3" customWidth="1"/>
    <col min="6404" max="6404" width="38.88671875" style="3" customWidth="1"/>
    <col min="6405" max="6405" width="8.33203125" style="3" customWidth="1"/>
    <col min="6406" max="6406" width="6.109375" style="3" customWidth="1"/>
    <col min="6407" max="6407" width="1" style="3" customWidth="1"/>
    <col min="6408" max="6408" width="1.33203125" style="3" customWidth="1"/>
    <col min="6409" max="6409" width="5.109375" style="3" customWidth="1"/>
    <col min="6410" max="6410" width="6.109375" style="3" customWidth="1"/>
    <col min="6411" max="6411" width="0.6640625" style="3" customWidth="1"/>
    <col min="6412" max="6412" width="1" style="3" customWidth="1"/>
    <col min="6413" max="6413" width="4.6640625" style="3" customWidth="1"/>
    <col min="6414" max="6414" width="6.33203125" style="3" customWidth="1"/>
    <col min="6415" max="6415" width="0.88671875" style="3" customWidth="1"/>
    <col min="6416" max="6416" width="1.109375" style="3" customWidth="1"/>
    <col min="6417" max="6417" width="6.5546875" style="3" customWidth="1"/>
    <col min="6418" max="6418" width="7.109375" style="3" customWidth="1"/>
    <col min="6419" max="6420" width="1.5546875" style="3" customWidth="1"/>
    <col min="6421" max="6421" width="6.88671875" style="3" customWidth="1"/>
    <col min="6422" max="6422" width="2" style="3" customWidth="1"/>
    <col min="6423" max="6423" width="1.33203125" style="3" customWidth="1"/>
    <col min="6424" max="6424" width="2.109375" style="3" customWidth="1"/>
    <col min="6425" max="6425" width="6.44140625" style="3" customWidth="1"/>
    <col min="6426" max="6428" width="2" style="3" customWidth="1"/>
    <col min="6429" max="6429" width="7.6640625" style="3" customWidth="1"/>
    <col min="6430" max="6430" width="1.33203125" style="3" customWidth="1"/>
    <col min="6431" max="6431" width="1.5546875" style="3" customWidth="1"/>
    <col min="6432" max="6432" width="1.44140625" style="3" customWidth="1"/>
    <col min="6433" max="6433" width="6.109375" style="3" customWidth="1"/>
    <col min="6434" max="6436" width="1" style="3" customWidth="1"/>
    <col min="6437" max="6437" width="6.44140625" style="3" customWidth="1"/>
    <col min="6438" max="6438" width="5.88671875" style="3" customWidth="1"/>
    <col min="6439" max="6439" width="1.44140625" style="3" customWidth="1"/>
    <col min="6440" max="6440" width="1.5546875" style="3" customWidth="1"/>
    <col min="6441" max="6441" width="6.109375" style="3" customWidth="1"/>
    <col min="6442" max="6442" width="7" style="3" customWidth="1"/>
    <col min="6443" max="6443" width="1.109375" style="3" customWidth="1"/>
    <col min="6444" max="6444" width="1.88671875" style="3" customWidth="1"/>
    <col min="6445" max="6445" width="5.88671875" style="3" customWidth="1"/>
    <col min="6446" max="6446" width="1.6640625" style="3" customWidth="1"/>
    <col min="6447" max="6447" width="2.109375" style="3" customWidth="1"/>
    <col min="6448" max="6448" width="1.109375" style="3" customWidth="1"/>
    <col min="6449" max="6449" width="7.33203125" style="3" customWidth="1"/>
    <col min="6450" max="6451" width="2.109375" style="3" customWidth="1"/>
    <col min="6452" max="6452" width="1.6640625" style="3" customWidth="1"/>
    <col min="6453" max="6453" width="5.5546875" style="3" customWidth="1"/>
    <col min="6454" max="6454" width="2" style="3" customWidth="1"/>
    <col min="6455" max="6455" width="1.44140625" style="3" customWidth="1"/>
    <col min="6456" max="6456" width="2" style="3" customWidth="1"/>
    <col min="6457" max="6457" width="6.88671875" style="3" customWidth="1"/>
    <col min="6458" max="6458" width="1.6640625" style="3" customWidth="1"/>
    <col min="6459" max="6459" width="2" style="3" customWidth="1"/>
    <col min="6460" max="6460" width="1.88671875" style="3" customWidth="1"/>
    <col min="6461" max="6461" width="6.88671875" style="3" customWidth="1"/>
    <col min="6462" max="6462" width="1.109375" style="3" customWidth="1"/>
    <col min="6463" max="6463" width="1.33203125" style="3" customWidth="1"/>
    <col min="6464" max="6464" width="1.88671875" style="3" customWidth="1"/>
    <col min="6465" max="6465" width="6.88671875" style="3" customWidth="1"/>
    <col min="6466" max="6466" width="1.44140625" style="3" customWidth="1"/>
    <col min="6467" max="6467" width="1.33203125" style="3" customWidth="1"/>
    <col min="6468" max="6468" width="2.109375" style="3" customWidth="1"/>
    <col min="6469" max="6469" width="5.109375" style="3" customWidth="1"/>
    <col min="6470" max="6470" width="5.5546875" style="3" customWidth="1"/>
    <col min="6471" max="6471" width="1.109375" style="3" customWidth="1"/>
    <col min="6472" max="6472" width="1.44140625" style="3" customWidth="1"/>
    <col min="6473" max="6473" width="6" style="3" customWidth="1"/>
    <col min="6474" max="6474" width="5.88671875" style="3" customWidth="1"/>
    <col min="6475" max="6475" width="1.6640625" style="3" customWidth="1"/>
    <col min="6476" max="6476" width="2.109375" style="3" customWidth="1"/>
    <col min="6477" max="6480" width="5.88671875" style="3" customWidth="1"/>
    <col min="6481" max="6481" width="6" style="3" customWidth="1"/>
    <col min="6482" max="6482" width="1.5546875" style="3" customWidth="1"/>
    <col min="6483" max="6483" width="2.33203125" style="3" customWidth="1"/>
    <col min="6484" max="6484" width="1.5546875" style="3" customWidth="1"/>
    <col min="6485" max="6488" width="6.33203125" style="3" customWidth="1"/>
    <col min="6489" max="6489" width="6.109375" style="3" customWidth="1"/>
    <col min="6490" max="6491" width="1.109375" style="3" customWidth="1"/>
    <col min="6492" max="6492" width="1.33203125" style="3" customWidth="1"/>
    <col min="6493" max="6496" width="5.88671875" style="3" customWidth="1"/>
    <col min="6497" max="6497" width="6.88671875" style="3" customWidth="1"/>
    <col min="6498" max="6498" width="1.33203125" style="3" customWidth="1"/>
    <col min="6499" max="6500" width="1.6640625" style="3" customWidth="1"/>
    <col min="6501" max="6502" width="10.6640625" style="3" bestFit="1" customWidth="1"/>
    <col min="6503" max="6504" width="8.33203125" style="3" customWidth="1"/>
    <col min="6505" max="6505" width="8.6640625" style="3" customWidth="1"/>
    <col min="6506" max="6506" width="8.109375" style="3" customWidth="1"/>
    <col min="6507" max="6508" width="11.33203125" style="3" customWidth="1"/>
    <col min="6509" max="6509" width="10" style="3" customWidth="1"/>
    <col min="6510" max="6657" width="9.109375" style="3"/>
    <col min="6658" max="6658" width="5.5546875" style="3" customWidth="1"/>
    <col min="6659" max="6659" width="21.33203125" style="3" customWidth="1"/>
    <col min="6660" max="6660" width="38.88671875" style="3" customWidth="1"/>
    <col min="6661" max="6661" width="8.33203125" style="3" customWidth="1"/>
    <col min="6662" max="6662" width="6.109375" style="3" customWidth="1"/>
    <col min="6663" max="6663" width="1" style="3" customWidth="1"/>
    <col min="6664" max="6664" width="1.33203125" style="3" customWidth="1"/>
    <col min="6665" max="6665" width="5.109375" style="3" customWidth="1"/>
    <col min="6666" max="6666" width="6.109375" style="3" customWidth="1"/>
    <col min="6667" max="6667" width="0.6640625" style="3" customWidth="1"/>
    <col min="6668" max="6668" width="1" style="3" customWidth="1"/>
    <col min="6669" max="6669" width="4.6640625" style="3" customWidth="1"/>
    <col min="6670" max="6670" width="6.33203125" style="3" customWidth="1"/>
    <col min="6671" max="6671" width="0.88671875" style="3" customWidth="1"/>
    <col min="6672" max="6672" width="1.109375" style="3" customWidth="1"/>
    <col min="6673" max="6673" width="6.5546875" style="3" customWidth="1"/>
    <col min="6674" max="6674" width="7.109375" style="3" customWidth="1"/>
    <col min="6675" max="6676" width="1.5546875" style="3" customWidth="1"/>
    <col min="6677" max="6677" width="6.88671875" style="3" customWidth="1"/>
    <col min="6678" max="6678" width="2" style="3" customWidth="1"/>
    <col min="6679" max="6679" width="1.33203125" style="3" customWidth="1"/>
    <col min="6680" max="6680" width="2.109375" style="3" customWidth="1"/>
    <col min="6681" max="6681" width="6.44140625" style="3" customWidth="1"/>
    <col min="6682" max="6684" width="2" style="3" customWidth="1"/>
    <col min="6685" max="6685" width="7.6640625" style="3" customWidth="1"/>
    <col min="6686" max="6686" width="1.33203125" style="3" customWidth="1"/>
    <col min="6687" max="6687" width="1.5546875" style="3" customWidth="1"/>
    <col min="6688" max="6688" width="1.44140625" style="3" customWidth="1"/>
    <col min="6689" max="6689" width="6.109375" style="3" customWidth="1"/>
    <col min="6690" max="6692" width="1" style="3" customWidth="1"/>
    <col min="6693" max="6693" width="6.44140625" style="3" customWidth="1"/>
    <col min="6694" max="6694" width="5.88671875" style="3" customWidth="1"/>
    <col min="6695" max="6695" width="1.44140625" style="3" customWidth="1"/>
    <col min="6696" max="6696" width="1.5546875" style="3" customWidth="1"/>
    <col min="6697" max="6697" width="6.109375" style="3" customWidth="1"/>
    <col min="6698" max="6698" width="7" style="3" customWidth="1"/>
    <col min="6699" max="6699" width="1.109375" style="3" customWidth="1"/>
    <col min="6700" max="6700" width="1.88671875" style="3" customWidth="1"/>
    <col min="6701" max="6701" width="5.88671875" style="3" customWidth="1"/>
    <col min="6702" max="6702" width="1.6640625" style="3" customWidth="1"/>
    <col min="6703" max="6703" width="2.109375" style="3" customWidth="1"/>
    <col min="6704" max="6704" width="1.109375" style="3" customWidth="1"/>
    <col min="6705" max="6705" width="7.33203125" style="3" customWidth="1"/>
    <col min="6706" max="6707" width="2.109375" style="3" customWidth="1"/>
    <col min="6708" max="6708" width="1.6640625" style="3" customWidth="1"/>
    <col min="6709" max="6709" width="5.5546875" style="3" customWidth="1"/>
    <col min="6710" max="6710" width="2" style="3" customWidth="1"/>
    <col min="6711" max="6711" width="1.44140625" style="3" customWidth="1"/>
    <col min="6712" max="6712" width="2" style="3" customWidth="1"/>
    <col min="6713" max="6713" width="6.88671875" style="3" customWidth="1"/>
    <col min="6714" max="6714" width="1.6640625" style="3" customWidth="1"/>
    <col min="6715" max="6715" width="2" style="3" customWidth="1"/>
    <col min="6716" max="6716" width="1.88671875" style="3" customWidth="1"/>
    <col min="6717" max="6717" width="6.88671875" style="3" customWidth="1"/>
    <col min="6718" max="6718" width="1.109375" style="3" customWidth="1"/>
    <col min="6719" max="6719" width="1.33203125" style="3" customWidth="1"/>
    <col min="6720" max="6720" width="1.88671875" style="3" customWidth="1"/>
    <col min="6721" max="6721" width="6.88671875" style="3" customWidth="1"/>
    <col min="6722" max="6722" width="1.44140625" style="3" customWidth="1"/>
    <col min="6723" max="6723" width="1.33203125" style="3" customWidth="1"/>
    <col min="6724" max="6724" width="2.109375" style="3" customWidth="1"/>
    <col min="6725" max="6725" width="5.109375" style="3" customWidth="1"/>
    <col min="6726" max="6726" width="5.5546875" style="3" customWidth="1"/>
    <col min="6727" max="6727" width="1.109375" style="3" customWidth="1"/>
    <col min="6728" max="6728" width="1.44140625" style="3" customWidth="1"/>
    <col min="6729" max="6729" width="6" style="3" customWidth="1"/>
    <col min="6730" max="6730" width="5.88671875" style="3" customWidth="1"/>
    <col min="6731" max="6731" width="1.6640625" style="3" customWidth="1"/>
    <col min="6732" max="6732" width="2.109375" style="3" customWidth="1"/>
    <col min="6733" max="6736" width="5.88671875" style="3" customWidth="1"/>
    <col min="6737" max="6737" width="6" style="3" customWidth="1"/>
    <col min="6738" max="6738" width="1.5546875" style="3" customWidth="1"/>
    <col min="6739" max="6739" width="2.33203125" style="3" customWidth="1"/>
    <col min="6740" max="6740" width="1.5546875" style="3" customWidth="1"/>
    <col min="6741" max="6744" width="6.33203125" style="3" customWidth="1"/>
    <col min="6745" max="6745" width="6.109375" style="3" customWidth="1"/>
    <col min="6746" max="6747" width="1.109375" style="3" customWidth="1"/>
    <col min="6748" max="6748" width="1.33203125" style="3" customWidth="1"/>
    <col min="6749" max="6752" width="5.88671875" style="3" customWidth="1"/>
    <col min="6753" max="6753" width="6.88671875" style="3" customWidth="1"/>
    <col min="6754" max="6754" width="1.33203125" style="3" customWidth="1"/>
    <col min="6755" max="6756" width="1.6640625" style="3" customWidth="1"/>
    <col min="6757" max="6758" width="10.6640625" style="3" bestFit="1" customWidth="1"/>
    <col min="6759" max="6760" width="8.33203125" style="3" customWidth="1"/>
    <col min="6761" max="6761" width="8.6640625" style="3" customWidth="1"/>
    <col min="6762" max="6762" width="8.109375" style="3" customWidth="1"/>
    <col min="6763" max="6764" width="11.33203125" style="3" customWidth="1"/>
    <col min="6765" max="6765" width="10" style="3" customWidth="1"/>
    <col min="6766" max="6913" width="9.109375" style="3"/>
    <col min="6914" max="6914" width="5.5546875" style="3" customWidth="1"/>
    <col min="6915" max="6915" width="21.33203125" style="3" customWidth="1"/>
    <col min="6916" max="6916" width="38.88671875" style="3" customWidth="1"/>
    <col min="6917" max="6917" width="8.33203125" style="3" customWidth="1"/>
    <col min="6918" max="6918" width="6.109375" style="3" customWidth="1"/>
    <col min="6919" max="6919" width="1" style="3" customWidth="1"/>
    <col min="6920" max="6920" width="1.33203125" style="3" customWidth="1"/>
    <col min="6921" max="6921" width="5.109375" style="3" customWidth="1"/>
    <col min="6922" max="6922" width="6.109375" style="3" customWidth="1"/>
    <col min="6923" max="6923" width="0.6640625" style="3" customWidth="1"/>
    <col min="6924" max="6924" width="1" style="3" customWidth="1"/>
    <col min="6925" max="6925" width="4.6640625" style="3" customWidth="1"/>
    <col min="6926" max="6926" width="6.33203125" style="3" customWidth="1"/>
    <col min="6927" max="6927" width="0.88671875" style="3" customWidth="1"/>
    <col min="6928" max="6928" width="1.109375" style="3" customWidth="1"/>
    <col min="6929" max="6929" width="6.5546875" style="3" customWidth="1"/>
    <col min="6930" max="6930" width="7.109375" style="3" customWidth="1"/>
    <col min="6931" max="6932" width="1.5546875" style="3" customWidth="1"/>
    <col min="6933" max="6933" width="6.88671875" style="3" customWidth="1"/>
    <col min="6934" max="6934" width="2" style="3" customWidth="1"/>
    <col min="6935" max="6935" width="1.33203125" style="3" customWidth="1"/>
    <col min="6936" max="6936" width="2.109375" style="3" customWidth="1"/>
    <col min="6937" max="6937" width="6.44140625" style="3" customWidth="1"/>
    <col min="6938" max="6940" width="2" style="3" customWidth="1"/>
    <col min="6941" max="6941" width="7.6640625" style="3" customWidth="1"/>
    <col min="6942" max="6942" width="1.33203125" style="3" customWidth="1"/>
    <col min="6943" max="6943" width="1.5546875" style="3" customWidth="1"/>
    <col min="6944" max="6944" width="1.44140625" style="3" customWidth="1"/>
    <col min="6945" max="6945" width="6.109375" style="3" customWidth="1"/>
    <col min="6946" max="6948" width="1" style="3" customWidth="1"/>
    <col min="6949" max="6949" width="6.44140625" style="3" customWidth="1"/>
    <col min="6950" max="6950" width="5.88671875" style="3" customWidth="1"/>
    <col min="6951" max="6951" width="1.44140625" style="3" customWidth="1"/>
    <col min="6952" max="6952" width="1.5546875" style="3" customWidth="1"/>
    <col min="6953" max="6953" width="6.109375" style="3" customWidth="1"/>
    <col min="6954" max="6954" width="7" style="3" customWidth="1"/>
    <col min="6955" max="6955" width="1.109375" style="3" customWidth="1"/>
    <col min="6956" max="6956" width="1.88671875" style="3" customWidth="1"/>
    <col min="6957" max="6957" width="5.88671875" style="3" customWidth="1"/>
    <col min="6958" max="6958" width="1.6640625" style="3" customWidth="1"/>
    <col min="6959" max="6959" width="2.109375" style="3" customWidth="1"/>
    <col min="6960" max="6960" width="1.109375" style="3" customWidth="1"/>
    <col min="6961" max="6961" width="7.33203125" style="3" customWidth="1"/>
    <col min="6962" max="6963" width="2.109375" style="3" customWidth="1"/>
    <col min="6964" max="6964" width="1.6640625" style="3" customWidth="1"/>
    <col min="6965" max="6965" width="5.5546875" style="3" customWidth="1"/>
    <col min="6966" max="6966" width="2" style="3" customWidth="1"/>
    <col min="6967" max="6967" width="1.44140625" style="3" customWidth="1"/>
    <col min="6968" max="6968" width="2" style="3" customWidth="1"/>
    <col min="6969" max="6969" width="6.88671875" style="3" customWidth="1"/>
    <col min="6970" max="6970" width="1.6640625" style="3" customWidth="1"/>
    <col min="6971" max="6971" width="2" style="3" customWidth="1"/>
    <col min="6972" max="6972" width="1.88671875" style="3" customWidth="1"/>
    <col min="6973" max="6973" width="6.88671875" style="3" customWidth="1"/>
    <col min="6974" max="6974" width="1.109375" style="3" customWidth="1"/>
    <col min="6975" max="6975" width="1.33203125" style="3" customWidth="1"/>
    <col min="6976" max="6976" width="1.88671875" style="3" customWidth="1"/>
    <col min="6977" max="6977" width="6.88671875" style="3" customWidth="1"/>
    <col min="6978" max="6978" width="1.44140625" style="3" customWidth="1"/>
    <col min="6979" max="6979" width="1.33203125" style="3" customWidth="1"/>
    <col min="6980" max="6980" width="2.109375" style="3" customWidth="1"/>
    <col min="6981" max="6981" width="5.109375" style="3" customWidth="1"/>
    <col min="6982" max="6982" width="5.5546875" style="3" customWidth="1"/>
    <col min="6983" max="6983" width="1.109375" style="3" customWidth="1"/>
    <col min="6984" max="6984" width="1.44140625" style="3" customWidth="1"/>
    <col min="6985" max="6985" width="6" style="3" customWidth="1"/>
    <col min="6986" max="6986" width="5.88671875" style="3" customWidth="1"/>
    <col min="6987" max="6987" width="1.6640625" style="3" customWidth="1"/>
    <col min="6988" max="6988" width="2.109375" style="3" customWidth="1"/>
    <col min="6989" max="6992" width="5.88671875" style="3" customWidth="1"/>
    <col min="6993" max="6993" width="6" style="3" customWidth="1"/>
    <col min="6994" max="6994" width="1.5546875" style="3" customWidth="1"/>
    <col min="6995" max="6995" width="2.33203125" style="3" customWidth="1"/>
    <col min="6996" max="6996" width="1.5546875" style="3" customWidth="1"/>
    <col min="6997" max="7000" width="6.33203125" style="3" customWidth="1"/>
    <col min="7001" max="7001" width="6.109375" style="3" customWidth="1"/>
    <col min="7002" max="7003" width="1.109375" style="3" customWidth="1"/>
    <col min="7004" max="7004" width="1.33203125" style="3" customWidth="1"/>
    <col min="7005" max="7008" width="5.88671875" style="3" customWidth="1"/>
    <col min="7009" max="7009" width="6.88671875" style="3" customWidth="1"/>
    <col min="7010" max="7010" width="1.33203125" style="3" customWidth="1"/>
    <col min="7011" max="7012" width="1.6640625" style="3" customWidth="1"/>
    <col min="7013" max="7014" width="10.6640625" style="3" bestFit="1" customWidth="1"/>
    <col min="7015" max="7016" width="8.33203125" style="3" customWidth="1"/>
    <col min="7017" max="7017" width="8.6640625" style="3" customWidth="1"/>
    <col min="7018" max="7018" width="8.109375" style="3" customWidth="1"/>
    <col min="7019" max="7020" width="11.33203125" style="3" customWidth="1"/>
    <col min="7021" max="7021" width="10" style="3" customWidth="1"/>
    <col min="7022" max="7169" width="9.109375" style="3"/>
    <col min="7170" max="7170" width="5.5546875" style="3" customWidth="1"/>
    <col min="7171" max="7171" width="21.33203125" style="3" customWidth="1"/>
    <col min="7172" max="7172" width="38.88671875" style="3" customWidth="1"/>
    <col min="7173" max="7173" width="8.33203125" style="3" customWidth="1"/>
    <col min="7174" max="7174" width="6.109375" style="3" customWidth="1"/>
    <col min="7175" max="7175" width="1" style="3" customWidth="1"/>
    <col min="7176" max="7176" width="1.33203125" style="3" customWidth="1"/>
    <col min="7177" max="7177" width="5.109375" style="3" customWidth="1"/>
    <col min="7178" max="7178" width="6.109375" style="3" customWidth="1"/>
    <col min="7179" max="7179" width="0.6640625" style="3" customWidth="1"/>
    <col min="7180" max="7180" width="1" style="3" customWidth="1"/>
    <col min="7181" max="7181" width="4.6640625" style="3" customWidth="1"/>
    <col min="7182" max="7182" width="6.33203125" style="3" customWidth="1"/>
    <col min="7183" max="7183" width="0.88671875" style="3" customWidth="1"/>
    <col min="7184" max="7184" width="1.109375" style="3" customWidth="1"/>
    <col min="7185" max="7185" width="6.5546875" style="3" customWidth="1"/>
    <col min="7186" max="7186" width="7.109375" style="3" customWidth="1"/>
    <col min="7187" max="7188" width="1.5546875" style="3" customWidth="1"/>
    <col min="7189" max="7189" width="6.88671875" style="3" customWidth="1"/>
    <col min="7190" max="7190" width="2" style="3" customWidth="1"/>
    <col min="7191" max="7191" width="1.33203125" style="3" customWidth="1"/>
    <col min="7192" max="7192" width="2.109375" style="3" customWidth="1"/>
    <col min="7193" max="7193" width="6.44140625" style="3" customWidth="1"/>
    <col min="7194" max="7196" width="2" style="3" customWidth="1"/>
    <col min="7197" max="7197" width="7.6640625" style="3" customWidth="1"/>
    <col min="7198" max="7198" width="1.33203125" style="3" customWidth="1"/>
    <col min="7199" max="7199" width="1.5546875" style="3" customWidth="1"/>
    <col min="7200" max="7200" width="1.44140625" style="3" customWidth="1"/>
    <col min="7201" max="7201" width="6.109375" style="3" customWidth="1"/>
    <col min="7202" max="7204" width="1" style="3" customWidth="1"/>
    <col min="7205" max="7205" width="6.44140625" style="3" customWidth="1"/>
    <col min="7206" max="7206" width="5.88671875" style="3" customWidth="1"/>
    <col min="7207" max="7207" width="1.44140625" style="3" customWidth="1"/>
    <col min="7208" max="7208" width="1.5546875" style="3" customWidth="1"/>
    <col min="7209" max="7209" width="6.109375" style="3" customWidth="1"/>
    <col min="7210" max="7210" width="7" style="3" customWidth="1"/>
    <col min="7211" max="7211" width="1.109375" style="3" customWidth="1"/>
    <col min="7212" max="7212" width="1.88671875" style="3" customWidth="1"/>
    <col min="7213" max="7213" width="5.88671875" style="3" customWidth="1"/>
    <col min="7214" max="7214" width="1.6640625" style="3" customWidth="1"/>
    <col min="7215" max="7215" width="2.109375" style="3" customWidth="1"/>
    <col min="7216" max="7216" width="1.109375" style="3" customWidth="1"/>
    <col min="7217" max="7217" width="7.33203125" style="3" customWidth="1"/>
    <col min="7218" max="7219" width="2.109375" style="3" customWidth="1"/>
    <col min="7220" max="7220" width="1.6640625" style="3" customWidth="1"/>
    <col min="7221" max="7221" width="5.5546875" style="3" customWidth="1"/>
    <col min="7222" max="7222" width="2" style="3" customWidth="1"/>
    <col min="7223" max="7223" width="1.44140625" style="3" customWidth="1"/>
    <col min="7224" max="7224" width="2" style="3" customWidth="1"/>
    <col min="7225" max="7225" width="6.88671875" style="3" customWidth="1"/>
    <col min="7226" max="7226" width="1.6640625" style="3" customWidth="1"/>
    <col min="7227" max="7227" width="2" style="3" customWidth="1"/>
    <col min="7228" max="7228" width="1.88671875" style="3" customWidth="1"/>
    <col min="7229" max="7229" width="6.88671875" style="3" customWidth="1"/>
    <col min="7230" max="7230" width="1.109375" style="3" customWidth="1"/>
    <col min="7231" max="7231" width="1.33203125" style="3" customWidth="1"/>
    <col min="7232" max="7232" width="1.88671875" style="3" customWidth="1"/>
    <col min="7233" max="7233" width="6.88671875" style="3" customWidth="1"/>
    <col min="7234" max="7234" width="1.44140625" style="3" customWidth="1"/>
    <col min="7235" max="7235" width="1.33203125" style="3" customWidth="1"/>
    <col min="7236" max="7236" width="2.109375" style="3" customWidth="1"/>
    <col min="7237" max="7237" width="5.109375" style="3" customWidth="1"/>
    <col min="7238" max="7238" width="5.5546875" style="3" customWidth="1"/>
    <col min="7239" max="7239" width="1.109375" style="3" customWidth="1"/>
    <col min="7240" max="7240" width="1.44140625" style="3" customWidth="1"/>
    <col min="7241" max="7241" width="6" style="3" customWidth="1"/>
    <col min="7242" max="7242" width="5.88671875" style="3" customWidth="1"/>
    <col min="7243" max="7243" width="1.6640625" style="3" customWidth="1"/>
    <col min="7244" max="7244" width="2.109375" style="3" customWidth="1"/>
    <col min="7245" max="7248" width="5.88671875" style="3" customWidth="1"/>
    <col min="7249" max="7249" width="6" style="3" customWidth="1"/>
    <col min="7250" max="7250" width="1.5546875" style="3" customWidth="1"/>
    <col min="7251" max="7251" width="2.33203125" style="3" customWidth="1"/>
    <col min="7252" max="7252" width="1.5546875" style="3" customWidth="1"/>
    <col min="7253" max="7256" width="6.33203125" style="3" customWidth="1"/>
    <col min="7257" max="7257" width="6.109375" style="3" customWidth="1"/>
    <col min="7258" max="7259" width="1.109375" style="3" customWidth="1"/>
    <col min="7260" max="7260" width="1.33203125" style="3" customWidth="1"/>
    <col min="7261" max="7264" width="5.88671875" style="3" customWidth="1"/>
    <col min="7265" max="7265" width="6.88671875" style="3" customWidth="1"/>
    <col min="7266" max="7266" width="1.33203125" style="3" customWidth="1"/>
    <col min="7267" max="7268" width="1.6640625" style="3" customWidth="1"/>
    <col min="7269" max="7270" width="10.6640625" style="3" bestFit="1" customWidth="1"/>
    <col min="7271" max="7272" width="8.33203125" style="3" customWidth="1"/>
    <col min="7273" max="7273" width="8.6640625" style="3" customWidth="1"/>
    <col min="7274" max="7274" width="8.109375" style="3" customWidth="1"/>
    <col min="7275" max="7276" width="11.33203125" style="3" customWidth="1"/>
    <col min="7277" max="7277" width="10" style="3" customWidth="1"/>
    <col min="7278" max="7425" width="9.109375" style="3"/>
    <col min="7426" max="7426" width="5.5546875" style="3" customWidth="1"/>
    <col min="7427" max="7427" width="21.33203125" style="3" customWidth="1"/>
    <col min="7428" max="7428" width="38.88671875" style="3" customWidth="1"/>
    <col min="7429" max="7429" width="8.33203125" style="3" customWidth="1"/>
    <col min="7430" max="7430" width="6.109375" style="3" customWidth="1"/>
    <col min="7431" max="7431" width="1" style="3" customWidth="1"/>
    <col min="7432" max="7432" width="1.33203125" style="3" customWidth="1"/>
    <col min="7433" max="7433" width="5.109375" style="3" customWidth="1"/>
    <col min="7434" max="7434" width="6.109375" style="3" customWidth="1"/>
    <col min="7435" max="7435" width="0.6640625" style="3" customWidth="1"/>
    <col min="7436" max="7436" width="1" style="3" customWidth="1"/>
    <col min="7437" max="7437" width="4.6640625" style="3" customWidth="1"/>
    <col min="7438" max="7438" width="6.33203125" style="3" customWidth="1"/>
    <col min="7439" max="7439" width="0.88671875" style="3" customWidth="1"/>
    <col min="7440" max="7440" width="1.109375" style="3" customWidth="1"/>
    <col min="7441" max="7441" width="6.5546875" style="3" customWidth="1"/>
    <col min="7442" max="7442" width="7.109375" style="3" customWidth="1"/>
    <col min="7443" max="7444" width="1.5546875" style="3" customWidth="1"/>
    <col min="7445" max="7445" width="6.88671875" style="3" customWidth="1"/>
    <col min="7446" max="7446" width="2" style="3" customWidth="1"/>
    <col min="7447" max="7447" width="1.33203125" style="3" customWidth="1"/>
    <col min="7448" max="7448" width="2.109375" style="3" customWidth="1"/>
    <col min="7449" max="7449" width="6.44140625" style="3" customWidth="1"/>
    <col min="7450" max="7452" width="2" style="3" customWidth="1"/>
    <col min="7453" max="7453" width="7.6640625" style="3" customWidth="1"/>
    <col min="7454" max="7454" width="1.33203125" style="3" customWidth="1"/>
    <col min="7455" max="7455" width="1.5546875" style="3" customWidth="1"/>
    <col min="7456" max="7456" width="1.44140625" style="3" customWidth="1"/>
    <col min="7457" max="7457" width="6.109375" style="3" customWidth="1"/>
    <col min="7458" max="7460" width="1" style="3" customWidth="1"/>
    <col min="7461" max="7461" width="6.44140625" style="3" customWidth="1"/>
    <col min="7462" max="7462" width="5.88671875" style="3" customWidth="1"/>
    <col min="7463" max="7463" width="1.44140625" style="3" customWidth="1"/>
    <col min="7464" max="7464" width="1.5546875" style="3" customWidth="1"/>
    <col min="7465" max="7465" width="6.109375" style="3" customWidth="1"/>
    <col min="7466" max="7466" width="7" style="3" customWidth="1"/>
    <col min="7467" max="7467" width="1.109375" style="3" customWidth="1"/>
    <col min="7468" max="7468" width="1.88671875" style="3" customWidth="1"/>
    <col min="7469" max="7469" width="5.88671875" style="3" customWidth="1"/>
    <col min="7470" max="7470" width="1.6640625" style="3" customWidth="1"/>
    <col min="7471" max="7471" width="2.109375" style="3" customWidth="1"/>
    <col min="7472" max="7472" width="1.109375" style="3" customWidth="1"/>
    <col min="7473" max="7473" width="7.33203125" style="3" customWidth="1"/>
    <col min="7474" max="7475" width="2.109375" style="3" customWidth="1"/>
    <col min="7476" max="7476" width="1.6640625" style="3" customWidth="1"/>
    <col min="7477" max="7477" width="5.5546875" style="3" customWidth="1"/>
    <col min="7478" max="7478" width="2" style="3" customWidth="1"/>
    <col min="7479" max="7479" width="1.44140625" style="3" customWidth="1"/>
    <col min="7480" max="7480" width="2" style="3" customWidth="1"/>
    <col min="7481" max="7481" width="6.88671875" style="3" customWidth="1"/>
    <col min="7482" max="7482" width="1.6640625" style="3" customWidth="1"/>
    <col min="7483" max="7483" width="2" style="3" customWidth="1"/>
    <col min="7484" max="7484" width="1.88671875" style="3" customWidth="1"/>
    <col min="7485" max="7485" width="6.88671875" style="3" customWidth="1"/>
    <col min="7486" max="7486" width="1.109375" style="3" customWidth="1"/>
    <col min="7487" max="7487" width="1.33203125" style="3" customWidth="1"/>
    <col min="7488" max="7488" width="1.88671875" style="3" customWidth="1"/>
    <col min="7489" max="7489" width="6.88671875" style="3" customWidth="1"/>
    <col min="7490" max="7490" width="1.44140625" style="3" customWidth="1"/>
    <col min="7491" max="7491" width="1.33203125" style="3" customWidth="1"/>
    <col min="7492" max="7492" width="2.109375" style="3" customWidth="1"/>
    <col min="7493" max="7493" width="5.109375" style="3" customWidth="1"/>
    <col min="7494" max="7494" width="5.5546875" style="3" customWidth="1"/>
    <col min="7495" max="7495" width="1.109375" style="3" customWidth="1"/>
    <col min="7496" max="7496" width="1.44140625" style="3" customWidth="1"/>
    <col min="7497" max="7497" width="6" style="3" customWidth="1"/>
    <col min="7498" max="7498" width="5.88671875" style="3" customWidth="1"/>
    <col min="7499" max="7499" width="1.6640625" style="3" customWidth="1"/>
    <col min="7500" max="7500" width="2.109375" style="3" customWidth="1"/>
    <col min="7501" max="7504" width="5.88671875" style="3" customWidth="1"/>
    <col min="7505" max="7505" width="6" style="3" customWidth="1"/>
    <col min="7506" max="7506" width="1.5546875" style="3" customWidth="1"/>
    <col min="7507" max="7507" width="2.33203125" style="3" customWidth="1"/>
    <col min="7508" max="7508" width="1.5546875" style="3" customWidth="1"/>
    <col min="7509" max="7512" width="6.33203125" style="3" customWidth="1"/>
    <col min="7513" max="7513" width="6.109375" style="3" customWidth="1"/>
    <col min="7514" max="7515" width="1.109375" style="3" customWidth="1"/>
    <col min="7516" max="7516" width="1.33203125" style="3" customWidth="1"/>
    <col min="7517" max="7520" width="5.88671875" style="3" customWidth="1"/>
    <col min="7521" max="7521" width="6.88671875" style="3" customWidth="1"/>
    <col min="7522" max="7522" width="1.33203125" style="3" customWidth="1"/>
    <col min="7523" max="7524" width="1.6640625" style="3" customWidth="1"/>
    <col min="7525" max="7526" width="10.6640625" style="3" bestFit="1" customWidth="1"/>
    <col min="7527" max="7528" width="8.33203125" style="3" customWidth="1"/>
    <col min="7529" max="7529" width="8.6640625" style="3" customWidth="1"/>
    <col min="7530" max="7530" width="8.109375" style="3" customWidth="1"/>
    <col min="7531" max="7532" width="11.33203125" style="3" customWidth="1"/>
    <col min="7533" max="7533" width="10" style="3" customWidth="1"/>
    <col min="7534" max="7681" width="9.109375" style="3"/>
    <col min="7682" max="7682" width="5.5546875" style="3" customWidth="1"/>
    <col min="7683" max="7683" width="21.33203125" style="3" customWidth="1"/>
    <col min="7684" max="7684" width="38.88671875" style="3" customWidth="1"/>
    <col min="7685" max="7685" width="8.33203125" style="3" customWidth="1"/>
    <col min="7686" max="7686" width="6.109375" style="3" customWidth="1"/>
    <col min="7687" max="7687" width="1" style="3" customWidth="1"/>
    <col min="7688" max="7688" width="1.33203125" style="3" customWidth="1"/>
    <col min="7689" max="7689" width="5.109375" style="3" customWidth="1"/>
    <col min="7690" max="7690" width="6.109375" style="3" customWidth="1"/>
    <col min="7691" max="7691" width="0.6640625" style="3" customWidth="1"/>
    <col min="7692" max="7692" width="1" style="3" customWidth="1"/>
    <col min="7693" max="7693" width="4.6640625" style="3" customWidth="1"/>
    <col min="7694" max="7694" width="6.33203125" style="3" customWidth="1"/>
    <col min="7695" max="7695" width="0.88671875" style="3" customWidth="1"/>
    <col min="7696" max="7696" width="1.109375" style="3" customWidth="1"/>
    <col min="7697" max="7697" width="6.5546875" style="3" customWidth="1"/>
    <col min="7698" max="7698" width="7.109375" style="3" customWidth="1"/>
    <col min="7699" max="7700" width="1.5546875" style="3" customWidth="1"/>
    <col min="7701" max="7701" width="6.88671875" style="3" customWidth="1"/>
    <col min="7702" max="7702" width="2" style="3" customWidth="1"/>
    <col min="7703" max="7703" width="1.33203125" style="3" customWidth="1"/>
    <col min="7704" max="7704" width="2.109375" style="3" customWidth="1"/>
    <col min="7705" max="7705" width="6.44140625" style="3" customWidth="1"/>
    <col min="7706" max="7708" width="2" style="3" customWidth="1"/>
    <col min="7709" max="7709" width="7.6640625" style="3" customWidth="1"/>
    <col min="7710" max="7710" width="1.33203125" style="3" customWidth="1"/>
    <col min="7711" max="7711" width="1.5546875" style="3" customWidth="1"/>
    <col min="7712" max="7712" width="1.44140625" style="3" customWidth="1"/>
    <col min="7713" max="7713" width="6.109375" style="3" customWidth="1"/>
    <col min="7714" max="7716" width="1" style="3" customWidth="1"/>
    <col min="7717" max="7717" width="6.44140625" style="3" customWidth="1"/>
    <col min="7718" max="7718" width="5.88671875" style="3" customWidth="1"/>
    <col min="7719" max="7719" width="1.44140625" style="3" customWidth="1"/>
    <col min="7720" max="7720" width="1.5546875" style="3" customWidth="1"/>
    <col min="7721" max="7721" width="6.109375" style="3" customWidth="1"/>
    <col min="7722" max="7722" width="7" style="3" customWidth="1"/>
    <col min="7723" max="7723" width="1.109375" style="3" customWidth="1"/>
    <col min="7724" max="7724" width="1.88671875" style="3" customWidth="1"/>
    <col min="7725" max="7725" width="5.88671875" style="3" customWidth="1"/>
    <col min="7726" max="7726" width="1.6640625" style="3" customWidth="1"/>
    <col min="7727" max="7727" width="2.109375" style="3" customWidth="1"/>
    <col min="7728" max="7728" width="1.109375" style="3" customWidth="1"/>
    <col min="7729" max="7729" width="7.33203125" style="3" customWidth="1"/>
    <col min="7730" max="7731" width="2.109375" style="3" customWidth="1"/>
    <col min="7732" max="7732" width="1.6640625" style="3" customWidth="1"/>
    <col min="7733" max="7733" width="5.5546875" style="3" customWidth="1"/>
    <col min="7734" max="7734" width="2" style="3" customWidth="1"/>
    <col min="7735" max="7735" width="1.44140625" style="3" customWidth="1"/>
    <col min="7736" max="7736" width="2" style="3" customWidth="1"/>
    <col min="7737" max="7737" width="6.88671875" style="3" customWidth="1"/>
    <col min="7738" max="7738" width="1.6640625" style="3" customWidth="1"/>
    <col min="7739" max="7739" width="2" style="3" customWidth="1"/>
    <col min="7740" max="7740" width="1.88671875" style="3" customWidth="1"/>
    <col min="7741" max="7741" width="6.88671875" style="3" customWidth="1"/>
    <col min="7742" max="7742" width="1.109375" style="3" customWidth="1"/>
    <col min="7743" max="7743" width="1.33203125" style="3" customWidth="1"/>
    <col min="7744" max="7744" width="1.88671875" style="3" customWidth="1"/>
    <col min="7745" max="7745" width="6.88671875" style="3" customWidth="1"/>
    <col min="7746" max="7746" width="1.44140625" style="3" customWidth="1"/>
    <col min="7747" max="7747" width="1.33203125" style="3" customWidth="1"/>
    <col min="7748" max="7748" width="2.109375" style="3" customWidth="1"/>
    <col min="7749" max="7749" width="5.109375" style="3" customWidth="1"/>
    <col min="7750" max="7750" width="5.5546875" style="3" customWidth="1"/>
    <col min="7751" max="7751" width="1.109375" style="3" customWidth="1"/>
    <col min="7752" max="7752" width="1.44140625" style="3" customWidth="1"/>
    <col min="7753" max="7753" width="6" style="3" customWidth="1"/>
    <col min="7754" max="7754" width="5.88671875" style="3" customWidth="1"/>
    <col min="7755" max="7755" width="1.6640625" style="3" customWidth="1"/>
    <col min="7756" max="7756" width="2.109375" style="3" customWidth="1"/>
    <col min="7757" max="7760" width="5.88671875" style="3" customWidth="1"/>
    <col min="7761" max="7761" width="6" style="3" customWidth="1"/>
    <col min="7762" max="7762" width="1.5546875" style="3" customWidth="1"/>
    <col min="7763" max="7763" width="2.33203125" style="3" customWidth="1"/>
    <col min="7764" max="7764" width="1.5546875" style="3" customWidth="1"/>
    <col min="7765" max="7768" width="6.33203125" style="3" customWidth="1"/>
    <col min="7769" max="7769" width="6.109375" style="3" customWidth="1"/>
    <col min="7770" max="7771" width="1.109375" style="3" customWidth="1"/>
    <col min="7772" max="7772" width="1.33203125" style="3" customWidth="1"/>
    <col min="7773" max="7776" width="5.88671875" style="3" customWidth="1"/>
    <col min="7777" max="7777" width="6.88671875" style="3" customWidth="1"/>
    <col min="7778" max="7778" width="1.33203125" style="3" customWidth="1"/>
    <col min="7779" max="7780" width="1.6640625" style="3" customWidth="1"/>
    <col min="7781" max="7782" width="10.6640625" style="3" bestFit="1" customWidth="1"/>
    <col min="7783" max="7784" width="8.33203125" style="3" customWidth="1"/>
    <col min="7785" max="7785" width="8.6640625" style="3" customWidth="1"/>
    <col min="7786" max="7786" width="8.109375" style="3" customWidth="1"/>
    <col min="7787" max="7788" width="11.33203125" style="3" customWidth="1"/>
    <col min="7789" max="7789" width="10" style="3" customWidth="1"/>
    <col min="7790" max="7937" width="9.109375" style="3"/>
    <col min="7938" max="7938" width="5.5546875" style="3" customWidth="1"/>
    <col min="7939" max="7939" width="21.33203125" style="3" customWidth="1"/>
    <col min="7940" max="7940" width="38.88671875" style="3" customWidth="1"/>
    <col min="7941" max="7941" width="8.33203125" style="3" customWidth="1"/>
    <col min="7942" max="7942" width="6.109375" style="3" customWidth="1"/>
    <col min="7943" max="7943" width="1" style="3" customWidth="1"/>
    <col min="7944" max="7944" width="1.33203125" style="3" customWidth="1"/>
    <col min="7945" max="7945" width="5.109375" style="3" customWidth="1"/>
    <col min="7946" max="7946" width="6.109375" style="3" customWidth="1"/>
    <col min="7947" max="7947" width="0.6640625" style="3" customWidth="1"/>
    <col min="7948" max="7948" width="1" style="3" customWidth="1"/>
    <col min="7949" max="7949" width="4.6640625" style="3" customWidth="1"/>
    <col min="7950" max="7950" width="6.33203125" style="3" customWidth="1"/>
    <col min="7951" max="7951" width="0.88671875" style="3" customWidth="1"/>
    <col min="7952" max="7952" width="1.109375" style="3" customWidth="1"/>
    <col min="7953" max="7953" width="6.5546875" style="3" customWidth="1"/>
    <col min="7954" max="7954" width="7.109375" style="3" customWidth="1"/>
    <col min="7955" max="7956" width="1.5546875" style="3" customWidth="1"/>
    <col min="7957" max="7957" width="6.88671875" style="3" customWidth="1"/>
    <col min="7958" max="7958" width="2" style="3" customWidth="1"/>
    <col min="7959" max="7959" width="1.33203125" style="3" customWidth="1"/>
    <col min="7960" max="7960" width="2.109375" style="3" customWidth="1"/>
    <col min="7961" max="7961" width="6.44140625" style="3" customWidth="1"/>
    <col min="7962" max="7964" width="2" style="3" customWidth="1"/>
    <col min="7965" max="7965" width="7.6640625" style="3" customWidth="1"/>
    <col min="7966" max="7966" width="1.33203125" style="3" customWidth="1"/>
    <col min="7967" max="7967" width="1.5546875" style="3" customWidth="1"/>
    <col min="7968" max="7968" width="1.44140625" style="3" customWidth="1"/>
    <col min="7969" max="7969" width="6.109375" style="3" customWidth="1"/>
    <col min="7970" max="7972" width="1" style="3" customWidth="1"/>
    <col min="7973" max="7973" width="6.44140625" style="3" customWidth="1"/>
    <col min="7974" max="7974" width="5.88671875" style="3" customWidth="1"/>
    <col min="7975" max="7975" width="1.44140625" style="3" customWidth="1"/>
    <col min="7976" max="7976" width="1.5546875" style="3" customWidth="1"/>
    <col min="7977" max="7977" width="6.109375" style="3" customWidth="1"/>
    <col min="7978" max="7978" width="7" style="3" customWidth="1"/>
    <col min="7979" max="7979" width="1.109375" style="3" customWidth="1"/>
    <col min="7980" max="7980" width="1.88671875" style="3" customWidth="1"/>
    <col min="7981" max="7981" width="5.88671875" style="3" customWidth="1"/>
    <col min="7982" max="7982" width="1.6640625" style="3" customWidth="1"/>
    <col min="7983" max="7983" width="2.109375" style="3" customWidth="1"/>
    <col min="7984" max="7984" width="1.109375" style="3" customWidth="1"/>
    <col min="7985" max="7985" width="7.33203125" style="3" customWidth="1"/>
    <col min="7986" max="7987" width="2.109375" style="3" customWidth="1"/>
    <col min="7988" max="7988" width="1.6640625" style="3" customWidth="1"/>
    <col min="7989" max="7989" width="5.5546875" style="3" customWidth="1"/>
    <col min="7990" max="7990" width="2" style="3" customWidth="1"/>
    <col min="7991" max="7991" width="1.44140625" style="3" customWidth="1"/>
    <col min="7992" max="7992" width="2" style="3" customWidth="1"/>
    <col min="7993" max="7993" width="6.88671875" style="3" customWidth="1"/>
    <col min="7994" max="7994" width="1.6640625" style="3" customWidth="1"/>
    <col min="7995" max="7995" width="2" style="3" customWidth="1"/>
    <col min="7996" max="7996" width="1.88671875" style="3" customWidth="1"/>
    <col min="7997" max="7997" width="6.88671875" style="3" customWidth="1"/>
    <col min="7998" max="7998" width="1.109375" style="3" customWidth="1"/>
    <col min="7999" max="7999" width="1.33203125" style="3" customWidth="1"/>
    <col min="8000" max="8000" width="1.88671875" style="3" customWidth="1"/>
    <col min="8001" max="8001" width="6.88671875" style="3" customWidth="1"/>
    <col min="8002" max="8002" width="1.44140625" style="3" customWidth="1"/>
    <col min="8003" max="8003" width="1.33203125" style="3" customWidth="1"/>
    <col min="8004" max="8004" width="2.109375" style="3" customWidth="1"/>
    <col min="8005" max="8005" width="5.109375" style="3" customWidth="1"/>
    <col min="8006" max="8006" width="5.5546875" style="3" customWidth="1"/>
    <col min="8007" max="8007" width="1.109375" style="3" customWidth="1"/>
    <col min="8008" max="8008" width="1.44140625" style="3" customWidth="1"/>
    <col min="8009" max="8009" width="6" style="3" customWidth="1"/>
    <col min="8010" max="8010" width="5.88671875" style="3" customWidth="1"/>
    <col min="8011" max="8011" width="1.6640625" style="3" customWidth="1"/>
    <col min="8012" max="8012" width="2.109375" style="3" customWidth="1"/>
    <col min="8013" max="8016" width="5.88671875" style="3" customWidth="1"/>
    <col min="8017" max="8017" width="6" style="3" customWidth="1"/>
    <col min="8018" max="8018" width="1.5546875" style="3" customWidth="1"/>
    <col min="8019" max="8019" width="2.33203125" style="3" customWidth="1"/>
    <col min="8020" max="8020" width="1.5546875" style="3" customWidth="1"/>
    <col min="8021" max="8024" width="6.33203125" style="3" customWidth="1"/>
    <col min="8025" max="8025" width="6.109375" style="3" customWidth="1"/>
    <col min="8026" max="8027" width="1.109375" style="3" customWidth="1"/>
    <col min="8028" max="8028" width="1.33203125" style="3" customWidth="1"/>
    <col min="8029" max="8032" width="5.88671875" style="3" customWidth="1"/>
    <col min="8033" max="8033" width="6.88671875" style="3" customWidth="1"/>
    <col min="8034" max="8034" width="1.33203125" style="3" customWidth="1"/>
    <col min="8035" max="8036" width="1.6640625" style="3" customWidth="1"/>
    <col min="8037" max="8038" width="10.6640625" style="3" bestFit="1" customWidth="1"/>
    <col min="8039" max="8040" width="8.33203125" style="3" customWidth="1"/>
    <col min="8041" max="8041" width="8.6640625" style="3" customWidth="1"/>
    <col min="8042" max="8042" width="8.109375" style="3" customWidth="1"/>
    <col min="8043" max="8044" width="11.33203125" style="3" customWidth="1"/>
    <col min="8045" max="8045" width="10" style="3" customWidth="1"/>
    <col min="8046" max="8193" width="9.109375" style="3"/>
    <col min="8194" max="8194" width="5.5546875" style="3" customWidth="1"/>
    <col min="8195" max="8195" width="21.33203125" style="3" customWidth="1"/>
    <col min="8196" max="8196" width="38.88671875" style="3" customWidth="1"/>
    <col min="8197" max="8197" width="8.33203125" style="3" customWidth="1"/>
    <col min="8198" max="8198" width="6.109375" style="3" customWidth="1"/>
    <col min="8199" max="8199" width="1" style="3" customWidth="1"/>
    <col min="8200" max="8200" width="1.33203125" style="3" customWidth="1"/>
    <col min="8201" max="8201" width="5.109375" style="3" customWidth="1"/>
    <col min="8202" max="8202" width="6.109375" style="3" customWidth="1"/>
    <col min="8203" max="8203" width="0.6640625" style="3" customWidth="1"/>
    <col min="8204" max="8204" width="1" style="3" customWidth="1"/>
    <col min="8205" max="8205" width="4.6640625" style="3" customWidth="1"/>
    <col min="8206" max="8206" width="6.33203125" style="3" customWidth="1"/>
    <col min="8207" max="8207" width="0.88671875" style="3" customWidth="1"/>
    <col min="8208" max="8208" width="1.109375" style="3" customWidth="1"/>
    <col min="8209" max="8209" width="6.5546875" style="3" customWidth="1"/>
    <col min="8210" max="8210" width="7.109375" style="3" customWidth="1"/>
    <col min="8211" max="8212" width="1.5546875" style="3" customWidth="1"/>
    <col min="8213" max="8213" width="6.88671875" style="3" customWidth="1"/>
    <col min="8214" max="8214" width="2" style="3" customWidth="1"/>
    <col min="8215" max="8215" width="1.33203125" style="3" customWidth="1"/>
    <col min="8216" max="8216" width="2.109375" style="3" customWidth="1"/>
    <col min="8217" max="8217" width="6.44140625" style="3" customWidth="1"/>
    <col min="8218" max="8220" width="2" style="3" customWidth="1"/>
    <col min="8221" max="8221" width="7.6640625" style="3" customWidth="1"/>
    <col min="8222" max="8222" width="1.33203125" style="3" customWidth="1"/>
    <col min="8223" max="8223" width="1.5546875" style="3" customWidth="1"/>
    <col min="8224" max="8224" width="1.44140625" style="3" customWidth="1"/>
    <col min="8225" max="8225" width="6.109375" style="3" customWidth="1"/>
    <col min="8226" max="8228" width="1" style="3" customWidth="1"/>
    <col min="8229" max="8229" width="6.44140625" style="3" customWidth="1"/>
    <col min="8230" max="8230" width="5.88671875" style="3" customWidth="1"/>
    <col min="8231" max="8231" width="1.44140625" style="3" customWidth="1"/>
    <col min="8232" max="8232" width="1.5546875" style="3" customWidth="1"/>
    <col min="8233" max="8233" width="6.109375" style="3" customWidth="1"/>
    <col min="8234" max="8234" width="7" style="3" customWidth="1"/>
    <col min="8235" max="8235" width="1.109375" style="3" customWidth="1"/>
    <col min="8236" max="8236" width="1.88671875" style="3" customWidth="1"/>
    <col min="8237" max="8237" width="5.88671875" style="3" customWidth="1"/>
    <col min="8238" max="8238" width="1.6640625" style="3" customWidth="1"/>
    <col min="8239" max="8239" width="2.109375" style="3" customWidth="1"/>
    <col min="8240" max="8240" width="1.109375" style="3" customWidth="1"/>
    <col min="8241" max="8241" width="7.33203125" style="3" customWidth="1"/>
    <col min="8242" max="8243" width="2.109375" style="3" customWidth="1"/>
    <col min="8244" max="8244" width="1.6640625" style="3" customWidth="1"/>
    <col min="8245" max="8245" width="5.5546875" style="3" customWidth="1"/>
    <col min="8246" max="8246" width="2" style="3" customWidth="1"/>
    <col min="8247" max="8247" width="1.44140625" style="3" customWidth="1"/>
    <col min="8248" max="8248" width="2" style="3" customWidth="1"/>
    <col min="8249" max="8249" width="6.88671875" style="3" customWidth="1"/>
    <col min="8250" max="8250" width="1.6640625" style="3" customWidth="1"/>
    <col min="8251" max="8251" width="2" style="3" customWidth="1"/>
    <col min="8252" max="8252" width="1.88671875" style="3" customWidth="1"/>
    <col min="8253" max="8253" width="6.88671875" style="3" customWidth="1"/>
    <col min="8254" max="8254" width="1.109375" style="3" customWidth="1"/>
    <col min="8255" max="8255" width="1.33203125" style="3" customWidth="1"/>
    <col min="8256" max="8256" width="1.88671875" style="3" customWidth="1"/>
    <col min="8257" max="8257" width="6.88671875" style="3" customWidth="1"/>
    <col min="8258" max="8258" width="1.44140625" style="3" customWidth="1"/>
    <col min="8259" max="8259" width="1.33203125" style="3" customWidth="1"/>
    <col min="8260" max="8260" width="2.109375" style="3" customWidth="1"/>
    <col min="8261" max="8261" width="5.109375" style="3" customWidth="1"/>
    <col min="8262" max="8262" width="5.5546875" style="3" customWidth="1"/>
    <col min="8263" max="8263" width="1.109375" style="3" customWidth="1"/>
    <col min="8264" max="8264" width="1.44140625" style="3" customWidth="1"/>
    <col min="8265" max="8265" width="6" style="3" customWidth="1"/>
    <col min="8266" max="8266" width="5.88671875" style="3" customWidth="1"/>
    <col min="8267" max="8267" width="1.6640625" style="3" customWidth="1"/>
    <col min="8268" max="8268" width="2.109375" style="3" customWidth="1"/>
    <col min="8269" max="8272" width="5.88671875" style="3" customWidth="1"/>
    <col min="8273" max="8273" width="6" style="3" customWidth="1"/>
    <col min="8274" max="8274" width="1.5546875" style="3" customWidth="1"/>
    <col min="8275" max="8275" width="2.33203125" style="3" customWidth="1"/>
    <col min="8276" max="8276" width="1.5546875" style="3" customWidth="1"/>
    <col min="8277" max="8280" width="6.33203125" style="3" customWidth="1"/>
    <col min="8281" max="8281" width="6.109375" style="3" customWidth="1"/>
    <col min="8282" max="8283" width="1.109375" style="3" customWidth="1"/>
    <col min="8284" max="8284" width="1.33203125" style="3" customWidth="1"/>
    <col min="8285" max="8288" width="5.88671875" style="3" customWidth="1"/>
    <col min="8289" max="8289" width="6.88671875" style="3" customWidth="1"/>
    <col min="8290" max="8290" width="1.33203125" style="3" customWidth="1"/>
    <col min="8291" max="8292" width="1.6640625" style="3" customWidth="1"/>
    <col min="8293" max="8294" width="10.6640625" style="3" bestFit="1" customWidth="1"/>
    <col min="8295" max="8296" width="8.33203125" style="3" customWidth="1"/>
    <col min="8297" max="8297" width="8.6640625" style="3" customWidth="1"/>
    <col min="8298" max="8298" width="8.109375" style="3" customWidth="1"/>
    <col min="8299" max="8300" width="11.33203125" style="3" customWidth="1"/>
    <col min="8301" max="8301" width="10" style="3" customWidth="1"/>
    <col min="8302" max="8449" width="9.109375" style="3"/>
    <col min="8450" max="8450" width="5.5546875" style="3" customWidth="1"/>
    <col min="8451" max="8451" width="21.33203125" style="3" customWidth="1"/>
    <col min="8452" max="8452" width="38.88671875" style="3" customWidth="1"/>
    <col min="8453" max="8453" width="8.33203125" style="3" customWidth="1"/>
    <col min="8454" max="8454" width="6.109375" style="3" customWidth="1"/>
    <col min="8455" max="8455" width="1" style="3" customWidth="1"/>
    <col min="8456" max="8456" width="1.33203125" style="3" customWidth="1"/>
    <col min="8457" max="8457" width="5.109375" style="3" customWidth="1"/>
    <col min="8458" max="8458" width="6.109375" style="3" customWidth="1"/>
    <col min="8459" max="8459" width="0.6640625" style="3" customWidth="1"/>
    <col min="8460" max="8460" width="1" style="3" customWidth="1"/>
    <col min="8461" max="8461" width="4.6640625" style="3" customWidth="1"/>
    <col min="8462" max="8462" width="6.33203125" style="3" customWidth="1"/>
    <col min="8463" max="8463" width="0.88671875" style="3" customWidth="1"/>
    <col min="8464" max="8464" width="1.109375" style="3" customWidth="1"/>
    <col min="8465" max="8465" width="6.5546875" style="3" customWidth="1"/>
    <col min="8466" max="8466" width="7.109375" style="3" customWidth="1"/>
    <col min="8467" max="8468" width="1.5546875" style="3" customWidth="1"/>
    <col min="8469" max="8469" width="6.88671875" style="3" customWidth="1"/>
    <col min="8470" max="8470" width="2" style="3" customWidth="1"/>
    <col min="8471" max="8471" width="1.33203125" style="3" customWidth="1"/>
    <col min="8472" max="8472" width="2.109375" style="3" customWidth="1"/>
    <col min="8473" max="8473" width="6.44140625" style="3" customWidth="1"/>
    <col min="8474" max="8476" width="2" style="3" customWidth="1"/>
    <col min="8477" max="8477" width="7.6640625" style="3" customWidth="1"/>
    <col min="8478" max="8478" width="1.33203125" style="3" customWidth="1"/>
    <col min="8479" max="8479" width="1.5546875" style="3" customWidth="1"/>
    <col min="8480" max="8480" width="1.44140625" style="3" customWidth="1"/>
    <col min="8481" max="8481" width="6.109375" style="3" customWidth="1"/>
    <col min="8482" max="8484" width="1" style="3" customWidth="1"/>
    <col min="8485" max="8485" width="6.44140625" style="3" customWidth="1"/>
    <col min="8486" max="8486" width="5.88671875" style="3" customWidth="1"/>
    <col min="8487" max="8487" width="1.44140625" style="3" customWidth="1"/>
    <col min="8488" max="8488" width="1.5546875" style="3" customWidth="1"/>
    <col min="8489" max="8489" width="6.109375" style="3" customWidth="1"/>
    <col min="8490" max="8490" width="7" style="3" customWidth="1"/>
    <col min="8491" max="8491" width="1.109375" style="3" customWidth="1"/>
    <col min="8492" max="8492" width="1.88671875" style="3" customWidth="1"/>
    <col min="8493" max="8493" width="5.88671875" style="3" customWidth="1"/>
    <col min="8494" max="8494" width="1.6640625" style="3" customWidth="1"/>
    <col min="8495" max="8495" width="2.109375" style="3" customWidth="1"/>
    <col min="8496" max="8496" width="1.109375" style="3" customWidth="1"/>
    <col min="8497" max="8497" width="7.33203125" style="3" customWidth="1"/>
    <col min="8498" max="8499" width="2.109375" style="3" customWidth="1"/>
    <col min="8500" max="8500" width="1.6640625" style="3" customWidth="1"/>
    <col min="8501" max="8501" width="5.5546875" style="3" customWidth="1"/>
    <col min="8502" max="8502" width="2" style="3" customWidth="1"/>
    <col min="8503" max="8503" width="1.44140625" style="3" customWidth="1"/>
    <col min="8504" max="8504" width="2" style="3" customWidth="1"/>
    <col min="8505" max="8505" width="6.88671875" style="3" customWidth="1"/>
    <col min="8506" max="8506" width="1.6640625" style="3" customWidth="1"/>
    <col min="8507" max="8507" width="2" style="3" customWidth="1"/>
    <col min="8508" max="8508" width="1.88671875" style="3" customWidth="1"/>
    <col min="8509" max="8509" width="6.88671875" style="3" customWidth="1"/>
    <col min="8510" max="8510" width="1.109375" style="3" customWidth="1"/>
    <col min="8511" max="8511" width="1.33203125" style="3" customWidth="1"/>
    <col min="8512" max="8512" width="1.88671875" style="3" customWidth="1"/>
    <col min="8513" max="8513" width="6.88671875" style="3" customWidth="1"/>
    <col min="8514" max="8514" width="1.44140625" style="3" customWidth="1"/>
    <col min="8515" max="8515" width="1.33203125" style="3" customWidth="1"/>
    <col min="8516" max="8516" width="2.109375" style="3" customWidth="1"/>
    <col min="8517" max="8517" width="5.109375" style="3" customWidth="1"/>
    <col min="8518" max="8518" width="5.5546875" style="3" customWidth="1"/>
    <col min="8519" max="8519" width="1.109375" style="3" customWidth="1"/>
    <col min="8520" max="8520" width="1.44140625" style="3" customWidth="1"/>
    <col min="8521" max="8521" width="6" style="3" customWidth="1"/>
    <col min="8522" max="8522" width="5.88671875" style="3" customWidth="1"/>
    <col min="8523" max="8523" width="1.6640625" style="3" customWidth="1"/>
    <col min="8524" max="8524" width="2.109375" style="3" customWidth="1"/>
    <col min="8525" max="8528" width="5.88671875" style="3" customWidth="1"/>
    <col min="8529" max="8529" width="6" style="3" customWidth="1"/>
    <col min="8530" max="8530" width="1.5546875" style="3" customWidth="1"/>
    <col min="8531" max="8531" width="2.33203125" style="3" customWidth="1"/>
    <col min="8532" max="8532" width="1.5546875" style="3" customWidth="1"/>
    <col min="8533" max="8536" width="6.33203125" style="3" customWidth="1"/>
    <col min="8537" max="8537" width="6.109375" style="3" customWidth="1"/>
    <col min="8538" max="8539" width="1.109375" style="3" customWidth="1"/>
    <col min="8540" max="8540" width="1.33203125" style="3" customWidth="1"/>
    <col min="8541" max="8544" width="5.88671875" style="3" customWidth="1"/>
    <col min="8545" max="8545" width="6.88671875" style="3" customWidth="1"/>
    <col min="8546" max="8546" width="1.33203125" style="3" customWidth="1"/>
    <col min="8547" max="8548" width="1.6640625" style="3" customWidth="1"/>
    <col min="8549" max="8550" width="10.6640625" style="3" bestFit="1" customWidth="1"/>
    <col min="8551" max="8552" width="8.33203125" style="3" customWidth="1"/>
    <col min="8553" max="8553" width="8.6640625" style="3" customWidth="1"/>
    <col min="8554" max="8554" width="8.109375" style="3" customWidth="1"/>
    <col min="8555" max="8556" width="11.33203125" style="3" customWidth="1"/>
    <col min="8557" max="8557" width="10" style="3" customWidth="1"/>
    <col min="8558" max="8705" width="9.109375" style="3"/>
    <col min="8706" max="8706" width="5.5546875" style="3" customWidth="1"/>
    <col min="8707" max="8707" width="21.33203125" style="3" customWidth="1"/>
    <col min="8708" max="8708" width="38.88671875" style="3" customWidth="1"/>
    <col min="8709" max="8709" width="8.33203125" style="3" customWidth="1"/>
    <col min="8710" max="8710" width="6.109375" style="3" customWidth="1"/>
    <col min="8711" max="8711" width="1" style="3" customWidth="1"/>
    <col min="8712" max="8712" width="1.33203125" style="3" customWidth="1"/>
    <col min="8713" max="8713" width="5.109375" style="3" customWidth="1"/>
    <col min="8714" max="8714" width="6.109375" style="3" customWidth="1"/>
    <col min="8715" max="8715" width="0.6640625" style="3" customWidth="1"/>
    <col min="8716" max="8716" width="1" style="3" customWidth="1"/>
    <col min="8717" max="8717" width="4.6640625" style="3" customWidth="1"/>
    <col min="8718" max="8718" width="6.33203125" style="3" customWidth="1"/>
    <col min="8719" max="8719" width="0.88671875" style="3" customWidth="1"/>
    <col min="8720" max="8720" width="1.109375" style="3" customWidth="1"/>
    <col min="8721" max="8721" width="6.5546875" style="3" customWidth="1"/>
    <col min="8722" max="8722" width="7.109375" style="3" customWidth="1"/>
    <col min="8723" max="8724" width="1.5546875" style="3" customWidth="1"/>
    <col min="8725" max="8725" width="6.88671875" style="3" customWidth="1"/>
    <col min="8726" max="8726" width="2" style="3" customWidth="1"/>
    <col min="8727" max="8727" width="1.33203125" style="3" customWidth="1"/>
    <col min="8728" max="8728" width="2.109375" style="3" customWidth="1"/>
    <col min="8729" max="8729" width="6.44140625" style="3" customWidth="1"/>
    <col min="8730" max="8732" width="2" style="3" customWidth="1"/>
    <col min="8733" max="8733" width="7.6640625" style="3" customWidth="1"/>
    <col min="8734" max="8734" width="1.33203125" style="3" customWidth="1"/>
    <col min="8735" max="8735" width="1.5546875" style="3" customWidth="1"/>
    <col min="8736" max="8736" width="1.44140625" style="3" customWidth="1"/>
    <col min="8737" max="8737" width="6.109375" style="3" customWidth="1"/>
    <col min="8738" max="8740" width="1" style="3" customWidth="1"/>
    <col min="8741" max="8741" width="6.44140625" style="3" customWidth="1"/>
    <col min="8742" max="8742" width="5.88671875" style="3" customWidth="1"/>
    <col min="8743" max="8743" width="1.44140625" style="3" customWidth="1"/>
    <col min="8744" max="8744" width="1.5546875" style="3" customWidth="1"/>
    <col min="8745" max="8745" width="6.109375" style="3" customWidth="1"/>
    <col min="8746" max="8746" width="7" style="3" customWidth="1"/>
    <col min="8747" max="8747" width="1.109375" style="3" customWidth="1"/>
    <col min="8748" max="8748" width="1.88671875" style="3" customWidth="1"/>
    <col min="8749" max="8749" width="5.88671875" style="3" customWidth="1"/>
    <col min="8750" max="8750" width="1.6640625" style="3" customWidth="1"/>
    <col min="8751" max="8751" width="2.109375" style="3" customWidth="1"/>
    <col min="8752" max="8752" width="1.109375" style="3" customWidth="1"/>
    <col min="8753" max="8753" width="7.33203125" style="3" customWidth="1"/>
    <col min="8754" max="8755" width="2.109375" style="3" customWidth="1"/>
    <col min="8756" max="8756" width="1.6640625" style="3" customWidth="1"/>
    <col min="8757" max="8757" width="5.5546875" style="3" customWidth="1"/>
    <col min="8758" max="8758" width="2" style="3" customWidth="1"/>
    <col min="8759" max="8759" width="1.44140625" style="3" customWidth="1"/>
    <col min="8760" max="8760" width="2" style="3" customWidth="1"/>
    <col min="8761" max="8761" width="6.88671875" style="3" customWidth="1"/>
    <col min="8762" max="8762" width="1.6640625" style="3" customWidth="1"/>
    <col min="8763" max="8763" width="2" style="3" customWidth="1"/>
    <col min="8764" max="8764" width="1.88671875" style="3" customWidth="1"/>
    <col min="8765" max="8765" width="6.88671875" style="3" customWidth="1"/>
    <col min="8766" max="8766" width="1.109375" style="3" customWidth="1"/>
    <col min="8767" max="8767" width="1.33203125" style="3" customWidth="1"/>
    <col min="8768" max="8768" width="1.88671875" style="3" customWidth="1"/>
    <col min="8769" max="8769" width="6.88671875" style="3" customWidth="1"/>
    <col min="8770" max="8770" width="1.44140625" style="3" customWidth="1"/>
    <col min="8771" max="8771" width="1.33203125" style="3" customWidth="1"/>
    <col min="8772" max="8772" width="2.109375" style="3" customWidth="1"/>
    <col min="8773" max="8773" width="5.109375" style="3" customWidth="1"/>
    <col min="8774" max="8774" width="5.5546875" style="3" customWidth="1"/>
    <col min="8775" max="8775" width="1.109375" style="3" customWidth="1"/>
    <col min="8776" max="8776" width="1.44140625" style="3" customWidth="1"/>
    <col min="8777" max="8777" width="6" style="3" customWidth="1"/>
    <col min="8778" max="8778" width="5.88671875" style="3" customWidth="1"/>
    <col min="8779" max="8779" width="1.6640625" style="3" customWidth="1"/>
    <col min="8780" max="8780" width="2.109375" style="3" customWidth="1"/>
    <col min="8781" max="8784" width="5.88671875" style="3" customWidth="1"/>
    <col min="8785" max="8785" width="6" style="3" customWidth="1"/>
    <col min="8786" max="8786" width="1.5546875" style="3" customWidth="1"/>
    <col min="8787" max="8787" width="2.33203125" style="3" customWidth="1"/>
    <col min="8788" max="8788" width="1.5546875" style="3" customWidth="1"/>
    <col min="8789" max="8792" width="6.33203125" style="3" customWidth="1"/>
    <col min="8793" max="8793" width="6.109375" style="3" customWidth="1"/>
    <col min="8794" max="8795" width="1.109375" style="3" customWidth="1"/>
    <col min="8796" max="8796" width="1.33203125" style="3" customWidth="1"/>
    <col min="8797" max="8800" width="5.88671875" style="3" customWidth="1"/>
    <col min="8801" max="8801" width="6.88671875" style="3" customWidth="1"/>
    <col min="8802" max="8802" width="1.33203125" style="3" customWidth="1"/>
    <col min="8803" max="8804" width="1.6640625" style="3" customWidth="1"/>
    <col min="8805" max="8806" width="10.6640625" style="3" bestFit="1" customWidth="1"/>
    <col min="8807" max="8808" width="8.33203125" style="3" customWidth="1"/>
    <col min="8809" max="8809" width="8.6640625" style="3" customWidth="1"/>
    <col min="8810" max="8810" width="8.109375" style="3" customWidth="1"/>
    <col min="8811" max="8812" width="11.33203125" style="3" customWidth="1"/>
    <col min="8813" max="8813" width="10" style="3" customWidth="1"/>
    <col min="8814" max="8961" width="9.109375" style="3"/>
    <col min="8962" max="8962" width="5.5546875" style="3" customWidth="1"/>
    <col min="8963" max="8963" width="21.33203125" style="3" customWidth="1"/>
    <col min="8964" max="8964" width="38.88671875" style="3" customWidth="1"/>
    <col min="8965" max="8965" width="8.33203125" style="3" customWidth="1"/>
    <col min="8966" max="8966" width="6.109375" style="3" customWidth="1"/>
    <col min="8967" max="8967" width="1" style="3" customWidth="1"/>
    <col min="8968" max="8968" width="1.33203125" style="3" customWidth="1"/>
    <col min="8969" max="8969" width="5.109375" style="3" customWidth="1"/>
    <col min="8970" max="8970" width="6.109375" style="3" customWidth="1"/>
    <col min="8971" max="8971" width="0.6640625" style="3" customWidth="1"/>
    <col min="8972" max="8972" width="1" style="3" customWidth="1"/>
    <col min="8973" max="8973" width="4.6640625" style="3" customWidth="1"/>
    <col min="8974" max="8974" width="6.33203125" style="3" customWidth="1"/>
    <col min="8975" max="8975" width="0.88671875" style="3" customWidth="1"/>
    <col min="8976" max="8976" width="1.109375" style="3" customWidth="1"/>
    <col min="8977" max="8977" width="6.5546875" style="3" customWidth="1"/>
    <col min="8978" max="8978" width="7.109375" style="3" customWidth="1"/>
    <col min="8979" max="8980" width="1.5546875" style="3" customWidth="1"/>
    <col min="8981" max="8981" width="6.88671875" style="3" customWidth="1"/>
    <col min="8982" max="8982" width="2" style="3" customWidth="1"/>
    <col min="8983" max="8983" width="1.33203125" style="3" customWidth="1"/>
    <col min="8984" max="8984" width="2.109375" style="3" customWidth="1"/>
    <col min="8985" max="8985" width="6.44140625" style="3" customWidth="1"/>
    <col min="8986" max="8988" width="2" style="3" customWidth="1"/>
    <col min="8989" max="8989" width="7.6640625" style="3" customWidth="1"/>
    <col min="8990" max="8990" width="1.33203125" style="3" customWidth="1"/>
    <col min="8991" max="8991" width="1.5546875" style="3" customWidth="1"/>
    <col min="8992" max="8992" width="1.44140625" style="3" customWidth="1"/>
    <col min="8993" max="8993" width="6.109375" style="3" customWidth="1"/>
    <col min="8994" max="8996" width="1" style="3" customWidth="1"/>
    <col min="8997" max="8997" width="6.44140625" style="3" customWidth="1"/>
    <col min="8998" max="8998" width="5.88671875" style="3" customWidth="1"/>
    <col min="8999" max="8999" width="1.44140625" style="3" customWidth="1"/>
    <col min="9000" max="9000" width="1.5546875" style="3" customWidth="1"/>
    <col min="9001" max="9001" width="6.109375" style="3" customWidth="1"/>
    <col min="9002" max="9002" width="7" style="3" customWidth="1"/>
    <col min="9003" max="9003" width="1.109375" style="3" customWidth="1"/>
    <col min="9004" max="9004" width="1.88671875" style="3" customWidth="1"/>
    <col min="9005" max="9005" width="5.88671875" style="3" customWidth="1"/>
    <col min="9006" max="9006" width="1.6640625" style="3" customWidth="1"/>
    <col min="9007" max="9007" width="2.109375" style="3" customWidth="1"/>
    <col min="9008" max="9008" width="1.109375" style="3" customWidth="1"/>
    <col min="9009" max="9009" width="7.33203125" style="3" customWidth="1"/>
    <col min="9010" max="9011" width="2.109375" style="3" customWidth="1"/>
    <col min="9012" max="9012" width="1.6640625" style="3" customWidth="1"/>
    <col min="9013" max="9013" width="5.5546875" style="3" customWidth="1"/>
    <col min="9014" max="9014" width="2" style="3" customWidth="1"/>
    <col min="9015" max="9015" width="1.44140625" style="3" customWidth="1"/>
    <col min="9016" max="9016" width="2" style="3" customWidth="1"/>
    <col min="9017" max="9017" width="6.88671875" style="3" customWidth="1"/>
    <col min="9018" max="9018" width="1.6640625" style="3" customWidth="1"/>
    <col min="9019" max="9019" width="2" style="3" customWidth="1"/>
    <col min="9020" max="9020" width="1.88671875" style="3" customWidth="1"/>
    <col min="9021" max="9021" width="6.88671875" style="3" customWidth="1"/>
    <col min="9022" max="9022" width="1.109375" style="3" customWidth="1"/>
    <col min="9023" max="9023" width="1.33203125" style="3" customWidth="1"/>
    <col min="9024" max="9024" width="1.88671875" style="3" customWidth="1"/>
    <col min="9025" max="9025" width="6.88671875" style="3" customWidth="1"/>
    <col min="9026" max="9026" width="1.44140625" style="3" customWidth="1"/>
    <col min="9027" max="9027" width="1.33203125" style="3" customWidth="1"/>
    <col min="9028" max="9028" width="2.109375" style="3" customWidth="1"/>
    <col min="9029" max="9029" width="5.109375" style="3" customWidth="1"/>
    <col min="9030" max="9030" width="5.5546875" style="3" customWidth="1"/>
    <col min="9031" max="9031" width="1.109375" style="3" customWidth="1"/>
    <col min="9032" max="9032" width="1.44140625" style="3" customWidth="1"/>
    <col min="9033" max="9033" width="6" style="3" customWidth="1"/>
    <col min="9034" max="9034" width="5.88671875" style="3" customWidth="1"/>
    <col min="9035" max="9035" width="1.6640625" style="3" customWidth="1"/>
    <col min="9036" max="9036" width="2.109375" style="3" customWidth="1"/>
    <col min="9037" max="9040" width="5.88671875" style="3" customWidth="1"/>
    <col min="9041" max="9041" width="6" style="3" customWidth="1"/>
    <col min="9042" max="9042" width="1.5546875" style="3" customWidth="1"/>
    <col min="9043" max="9043" width="2.33203125" style="3" customWidth="1"/>
    <col min="9044" max="9044" width="1.5546875" style="3" customWidth="1"/>
    <col min="9045" max="9048" width="6.33203125" style="3" customWidth="1"/>
    <col min="9049" max="9049" width="6.109375" style="3" customWidth="1"/>
    <col min="9050" max="9051" width="1.109375" style="3" customWidth="1"/>
    <col min="9052" max="9052" width="1.33203125" style="3" customWidth="1"/>
    <col min="9053" max="9056" width="5.88671875" style="3" customWidth="1"/>
    <col min="9057" max="9057" width="6.88671875" style="3" customWidth="1"/>
    <col min="9058" max="9058" width="1.33203125" style="3" customWidth="1"/>
    <col min="9059" max="9060" width="1.6640625" style="3" customWidth="1"/>
    <col min="9061" max="9062" width="10.6640625" style="3" bestFit="1" customWidth="1"/>
    <col min="9063" max="9064" width="8.33203125" style="3" customWidth="1"/>
    <col min="9065" max="9065" width="8.6640625" style="3" customWidth="1"/>
    <col min="9066" max="9066" width="8.109375" style="3" customWidth="1"/>
    <col min="9067" max="9068" width="11.33203125" style="3" customWidth="1"/>
    <col min="9069" max="9069" width="10" style="3" customWidth="1"/>
    <col min="9070" max="9217" width="9.109375" style="3"/>
    <col min="9218" max="9218" width="5.5546875" style="3" customWidth="1"/>
    <col min="9219" max="9219" width="21.33203125" style="3" customWidth="1"/>
    <col min="9220" max="9220" width="38.88671875" style="3" customWidth="1"/>
    <col min="9221" max="9221" width="8.33203125" style="3" customWidth="1"/>
    <col min="9222" max="9222" width="6.109375" style="3" customWidth="1"/>
    <col min="9223" max="9223" width="1" style="3" customWidth="1"/>
    <col min="9224" max="9224" width="1.33203125" style="3" customWidth="1"/>
    <col min="9225" max="9225" width="5.109375" style="3" customWidth="1"/>
    <col min="9226" max="9226" width="6.109375" style="3" customWidth="1"/>
    <col min="9227" max="9227" width="0.6640625" style="3" customWidth="1"/>
    <col min="9228" max="9228" width="1" style="3" customWidth="1"/>
    <col min="9229" max="9229" width="4.6640625" style="3" customWidth="1"/>
    <col min="9230" max="9230" width="6.33203125" style="3" customWidth="1"/>
    <col min="9231" max="9231" width="0.88671875" style="3" customWidth="1"/>
    <col min="9232" max="9232" width="1.109375" style="3" customWidth="1"/>
    <col min="9233" max="9233" width="6.5546875" style="3" customWidth="1"/>
    <col min="9234" max="9234" width="7.109375" style="3" customWidth="1"/>
    <col min="9235" max="9236" width="1.5546875" style="3" customWidth="1"/>
    <col min="9237" max="9237" width="6.88671875" style="3" customWidth="1"/>
    <col min="9238" max="9238" width="2" style="3" customWidth="1"/>
    <col min="9239" max="9239" width="1.33203125" style="3" customWidth="1"/>
    <col min="9240" max="9240" width="2.109375" style="3" customWidth="1"/>
    <col min="9241" max="9241" width="6.44140625" style="3" customWidth="1"/>
    <col min="9242" max="9244" width="2" style="3" customWidth="1"/>
    <col min="9245" max="9245" width="7.6640625" style="3" customWidth="1"/>
    <col min="9246" max="9246" width="1.33203125" style="3" customWidth="1"/>
    <col min="9247" max="9247" width="1.5546875" style="3" customWidth="1"/>
    <col min="9248" max="9248" width="1.44140625" style="3" customWidth="1"/>
    <col min="9249" max="9249" width="6.109375" style="3" customWidth="1"/>
    <col min="9250" max="9252" width="1" style="3" customWidth="1"/>
    <col min="9253" max="9253" width="6.44140625" style="3" customWidth="1"/>
    <col min="9254" max="9254" width="5.88671875" style="3" customWidth="1"/>
    <col min="9255" max="9255" width="1.44140625" style="3" customWidth="1"/>
    <col min="9256" max="9256" width="1.5546875" style="3" customWidth="1"/>
    <col min="9257" max="9257" width="6.109375" style="3" customWidth="1"/>
    <col min="9258" max="9258" width="7" style="3" customWidth="1"/>
    <col min="9259" max="9259" width="1.109375" style="3" customWidth="1"/>
    <col min="9260" max="9260" width="1.88671875" style="3" customWidth="1"/>
    <col min="9261" max="9261" width="5.88671875" style="3" customWidth="1"/>
    <col min="9262" max="9262" width="1.6640625" style="3" customWidth="1"/>
    <col min="9263" max="9263" width="2.109375" style="3" customWidth="1"/>
    <col min="9264" max="9264" width="1.109375" style="3" customWidth="1"/>
    <col min="9265" max="9265" width="7.33203125" style="3" customWidth="1"/>
    <col min="9266" max="9267" width="2.109375" style="3" customWidth="1"/>
    <col min="9268" max="9268" width="1.6640625" style="3" customWidth="1"/>
    <col min="9269" max="9269" width="5.5546875" style="3" customWidth="1"/>
    <col min="9270" max="9270" width="2" style="3" customWidth="1"/>
    <col min="9271" max="9271" width="1.44140625" style="3" customWidth="1"/>
    <col min="9272" max="9272" width="2" style="3" customWidth="1"/>
    <col min="9273" max="9273" width="6.88671875" style="3" customWidth="1"/>
    <col min="9274" max="9274" width="1.6640625" style="3" customWidth="1"/>
    <col min="9275" max="9275" width="2" style="3" customWidth="1"/>
    <col min="9276" max="9276" width="1.88671875" style="3" customWidth="1"/>
    <col min="9277" max="9277" width="6.88671875" style="3" customWidth="1"/>
    <col min="9278" max="9278" width="1.109375" style="3" customWidth="1"/>
    <col min="9279" max="9279" width="1.33203125" style="3" customWidth="1"/>
    <col min="9280" max="9280" width="1.88671875" style="3" customWidth="1"/>
    <col min="9281" max="9281" width="6.88671875" style="3" customWidth="1"/>
    <col min="9282" max="9282" width="1.44140625" style="3" customWidth="1"/>
    <col min="9283" max="9283" width="1.33203125" style="3" customWidth="1"/>
    <col min="9284" max="9284" width="2.109375" style="3" customWidth="1"/>
    <col min="9285" max="9285" width="5.109375" style="3" customWidth="1"/>
    <col min="9286" max="9286" width="5.5546875" style="3" customWidth="1"/>
    <col min="9287" max="9287" width="1.109375" style="3" customWidth="1"/>
    <col min="9288" max="9288" width="1.44140625" style="3" customWidth="1"/>
    <col min="9289" max="9289" width="6" style="3" customWidth="1"/>
    <col min="9290" max="9290" width="5.88671875" style="3" customWidth="1"/>
    <col min="9291" max="9291" width="1.6640625" style="3" customWidth="1"/>
    <col min="9292" max="9292" width="2.109375" style="3" customWidth="1"/>
    <col min="9293" max="9296" width="5.88671875" style="3" customWidth="1"/>
    <col min="9297" max="9297" width="6" style="3" customWidth="1"/>
    <col min="9298" max="9298" width="1.5546875" style="3" customWidth="1"/>
    <col min="9299" max="9299" width="2.33203125" style="3" customWidth="1"/>
    <col min="9300" max="9300" width="1.5546875" style="3" customWidth="1"/>
    <col min="9301" max="9304" width="6.33203125" style="3" customWidth="1"/>
    <col min="9305" max="9305" width="6.109375" style="3" customWidth="1"/>
    <col min="9306" max="9307" width="1.109375" style="3" customWidth="1"/>
    <col min="9308" max="9308" width="1.33203125" style="3" customWidth="1"/>
    <col min="9309" max="9312" width="5.88671875" style="3" customWidth="1"/>
    <col min="9313" max="9313" width="6.88671875" style="3" customWidth="1"/>
    <col min="9314" max="9314" width="1.33203125" style="3" customWidth="1"/>
    <col min="9315" max="9316" width="1.6640625" style="3" customWidth="1"/>
    <col min="9317" max="9318" width="10.6640625" style="3" bestFit="1" customWidth="1"/>
    <col min="9319" max="9320" width="8.33203125" style="3" customWidth="1"/>
    <col min="9321" max="9321" width="8.6640625" style="3" customWidth="1"/>
    <col min="9322" max="9322" width="8.109375" style="3" customWidth="1"/>
    <col min="9323" max="9324" width="11.33203125" style="3" customWidth="1"/>
    <col min="9325" max="9325" width="10" style="3" customWidth="1"/>
    <col min="9326" max="9473" width="9.109375" style="3"/>
    <col min="9474" max="9474" width="5.5546875" style="3" customWidth="1"/>
    <col min="9475" max="9475" width="21.33203125" style="3" customWidth="1"/>
    <col min="9476" max="9476" width="38.88671875" style="3" customWidth="1"/>
    <col min="9477" max="9477" width="8.33203125" style="3" customWidth="1"/>
    <col min="9478" max="9478" width="6.109375" style="3" customWidth="1"/>
    <col min="9479" max="9479" width="1" style="3" customWidth="1"/>
    <col min="9480" max="9480" width="1.33203125" style="3" customWidth="1"/>
    <col min="9481" max="9481" width="5.109375" style="3" customWidth="1"/>
    <col min="9482" max="9482" width="6.109375" style="3" customWidth="1"/>
    <col min="9483" max="9483" width="0.6640625" style="3" customWidth="1"/>
    <col min="9484" max="9484" width="1" style="3" customWidth="1"/>
    <col min="9485" max="9485" width="4.6640625" style="3" customWidth="1"/>
    <col min="9486" max="9486" width="6.33203125" style="3" customWidth="1"/>
    <col min="9487" max="9487" width="0.88671875" style="3" customWidth="1"/>
    <col min="9488" max="9488" width="1.109375" style="3" customWidth="1"/>
    <col min="9489" max="9489" width="6.5546875" style="3" customWidth="1"/>
    <col min="9490" max="9490" width="7.109375" style="3" customWidth="1"/>
    <col min="9491" max="9492" width="1.5546875" style="3" customWidth="1"/>
    <col min="9493" max="9493" width="6.88671875" style="3" customWidth="1"/>
    <col min="9494" max="9494" width="2" style="3" customWidth="1"/>
    <col min="9495" max="9495" width="1.33203125" style="3" customWidth="1"/>
    <col min="9496" max="9496" width="2.109375" style="3" customWidth="1"/>
    <col min="9497" max="9497" width="6.44140625" style="3" customWidth="1"/>
    <col min="9498" max="9500" width="2" style="3" customWidth="1"/>
    <col min="9501" max="9501" width="7.6640625" style="3" customWidth="1"/>
    <col min="9502" max="9502" width="1.33203125" style="3" customWidth="1"/>
    <col min="9503" max="9503" width="1.5546875" style="3" customWidth="1"/>
    <col min="9504" max="9504" width="1.44140625" style="3" customWidth="1"/>
    <col min="9505" max="9505" width="6.109375" style="3" customWidth="1"/>
    <col min="9506" max="9508" width="1" style="3" customWidth="1"/>
    <col min="9509" max="9509" width="6.44140625" style="3" customWidth="1"/>
    <col min="9510" max="9510" width="5.88671875" style="3" customWidth="1"/>
    <col min="9511" max="9511" width="1.44140625" style="3" customWidth="1"/>
    <col min="9512" max="9512" width="1.5546875" style="3" customWidth="1"/>
    <col min="9513" max="9513" width="6.109375" style="3" customWidth="1"/>
    <col min="9514" max="9514" width="7" style="3" customWidth="1"/>
    <col min="9515" max="9515" width="1.109375" style="3" customWidth="1"/>
    <col min="9516" max="9516" width="1.88671875" style="3" customWidth="1"/>
    <col min="9517" max="9517" width="5.88671875" style="3" customWidth="1"/>
    <col min="9518" max="9518" width="1.6640625" style="3" customWidth="1"/>
    <col min="9519" max="9519" width="2.109375" style="3" customWidth="1"/>
    <col min="9520" max="9520" width="1.109375" style="3" customWidth="1"/>
    <col min="9521" max="9521" width="7.33203125" style="3" customWidth="1"/>
    <col min="9522" max="9523" width="2.109375" style="3" customWidth="1"/>
    <col min="9524" max="9524" width="1.6640625" style="3" customWidth="1"/>
    <col min="9525" max="9525" width="5.5546875" style="3" customWidth="1"/>
    <col min="9526" max="9526" width="2" style="3" customWidth="1"/>
    <col min="9527" max="9527" width="1.44140625" style="3" customWidth="1"/>
    <col min="9528" max="9528" width="2" style="3" customWidth="1"/>
    <col min="9529" max="9529" width="6.88671875" style="3" customWidth="1"/>
    <col min="9530" max="9530" width="1.6640625" style="3" customWidth="1"/>
    <col min="9531" max="9531" width="2" style="3" customWidth="1"/>
    <col min="9532" max="9532" width="1.88671875" style="3" customWidth="1"/>
    <col min="9533" max="9533" width="6.88671875" style="3" customWidth="1"/>
    <col min="9534" max="9534" width="1.109375" style="3" customWidth="1"/>
    <col min="9535" max="9535" width="1.33203125" style="3" customWidth="1"/>
    <col min="9536" max="9536" width="1.88671875" style="3" customWidth="1"/>
    <col min="9537" max="9537" width="6.88671875" style="3" customWidth="1"/>
    <col min="9538" max="9538" width="1.44140625" style="3" customWidth="1"/>
    <col min="9539" max="9539" width="1.33203125" style="3" customWidth="1"/>
    <col min="9540" max="9540" width="2.109375" style="3" customWidth="1"/>
    <col min="9541" max="9541" width="5.109375" style="3" customWidth="1"/>
    <col min="9542" max="9542" width="5.5546875" style="3" customWidth="1"/>
    <col min="9543" max="9543" width="1.109375" style="3" customWidth="1"/>
    <col min="9544" max="9544" width="1.44140625" style="3" customWidth="1"/>
    <col min="9545" max="9545" width="6" style="3" customWidth="1"/>
    <col min="9546" max="9546" width="5.88671875" style="3" customWidth="1"/>
    <col min="9547" max="9547" width="1.6640625" style="3" customWidth="1"/>
    <col min="9548" max="9548" width="2.109375" style="3" customWidth="1"/>
    <col min="9549" max="9552" width="5.88671875" style="3" customWidth="1"/>
    <col min="9553" max="9553" width="6" style="3" customWidth="1"/>
    <col min="9554" max="9554" width="1.5546875" style="3" customWidth="1"/>
    <col min="9555" max="9555" width="2.33203125" style="3" customWidth="1"/>
    <col min="9556" max="9556" width="1.5546875" style="3" customWidth="1"/>
    <col min="9557" max="9560" width="6.33203125" style="3" customWidth="1"/>
    <col min="9561" max="9561" width="6.109375" style="3" customWidth="1"/>
    <col min="9562" max="9563" width="1.109375" style="3" customWidth="1"/>
    <col min="9564" max="9564" width="1.33203125" style="3" customWidth="1"/>
    <col min="9565" max="9568" width="5.88671875" style="3" customWidth="1"/>
    <col min="9569" max="9569" width="6.88671875" style="3" customWidth="1"/>
    <col min="9570" max="9570" width="1.33203125" style="3" customWidth="1"/>
    <col min="9571" max="9572" width="1.6640625" style="3" customWidth="1"/>
    <col min="9573" max="9574" width="10.6640625" style="3" bestFit="1" customWidth="1"/>
    <col min="9575" max="9576" width="8.33203125" style="3" customWidth="1"/>
    <col min="9577" max="9577" width="8.6640625" style="3" customWidth="1"/>
    <col min="9578" max="9578" width="8.109375" style="3" customWidth="1"/>
    <col min="9579" max="9580" width="11.33203125" style="3" customWidth="1"/>
    <col min="9581" max="9581" width="10" style="3" customWidth="1"/>
    <col min="9582" max="9729" width="9.109375" style="3"/>
    <col min="9730" max="9730" width="5.5546875" style="3" customWidth="1"/>
    <col min="9731" max="9731" width="21.33203125" style="3" customWidth="1"/>
    <col min="9732" max="9732" width="38.88671875" style="3" customWidth="1"/>
    <col min="9733" max="9733" width="8.33203125" style="3" customWidth="1"/>
    <col min="9734" max="9734" width="6.109375" style="3" customWidth="1"/>
    <col min="9735" max="9735" width="1" style="3" customWidth="1"/>
    <col min="9736" max="9736" width="1.33203125" style="3" customWidth="1"/>
    <col min="9737" max="9737" width="5.109375" style="3" customWidth="1"/>
    <col min="9738" max="9738" width="6.109375" style="3" customWidth="1"/>
    <col min="9739" max="9739" width="0.6640625" style="3" customWidth="1"/>
    <col min="9740" max="9740" width="1" style="3" customWidth="1"/>
    <col min="9741" max="9741" width="4.6640625" style="3" customWidth="1"/>
    <col min="9742" max="9742" width="6.33203125" style="3" customWidth="1"/>
    <col min="9743" max="9743" width="0.88671875" style="3" customWidth="1"/>
    <col min="9744" max="9744" width="1.109375" style="3" customWidth="1"/>
    <col min="9745" max="9745" width="6.5546875" style="3" customWidth="1"/>
    <col min="9746" max="9746" width="7.109375" style="3" customWidth="1"/>
    <col min="9747" max="9748" width="1.5546875" style="3" customWidth="1"/>
    <col min="9749" max="9749" width="6.88671875" style="3" customWidth="1"/>
    <col min="9750" max="9750" width="2" style="3" customWidth="1"/>
    <col min="9751" max="9751" width="1.33203125" style="3" customWidth="1"/>
    <col min="9752" max="9752" width="2.109375" style="3" customWidth="1"/>
    <col min="9753" max="9753" width="6.44140625" style="3" customWidth="1"/>
    <col min="9754" max="9756" width="2" style="3" customWidth="1"/>
    <col min="9757" max="9757" width="7.6640625" style="3" customWidth="1"/>
    <col min="9758" max="9758" width="1.33203125" style="3" customWidth="1"/>
    <col min="9759" max="9759" width="1.5546875" style="3" customWidth="1"/>
    <col min="9760" max="9760" width="1.44140625" style="3" customWidth="1"/>
    <col min="9761" max="9761" width="6.109375" style="3" customWidth="1"/>
    <col min="9762" max="9764" width="1" style="3" customWidth="1"/>
    <col min="9765" max="9765" width="6.44140625" style="3" customWidth="1"/>
    <col min="9766" max="9766" width="5.88671875" style="3" customWidth="1"/>
    <col min="9767" max="9767" width="1.44140625" style="3" customWidth="1"/>
    <col min="9768" max="9768" width="1.5546875" style="3" customWidth="1"/>
    <col min="9769" max="9769" width="6.109375" style="3" customWidth="1"/>
    <col min="9770" max="9770" width="7" style="3" customWidth="1"/>
    <col min="9771" max="9771" width="1.109375" style="3" customWidth="1"/>
    <col min="9772" max="9772" width="1.88671875" style="3" customWidth="1"/>
    <col min="9773" max="9773" width="5.88671875" style="3" customWidth="1"/>
    <col min="9774" max="9774" width="1.6640625" style="3" customWidth="1"/>
    <col min="9775" max="9775" width="2.109375" style="3" customWidth="1"/>
    <col min="9776" max="9776" width="1.109375" style="3" customWidth="1"/>
    <col min="9777" max="9777" width="7.33203125" style="3" customWidth="1"/>
    <col min="9778" max="9779" width="2.109375" style="3" customWidth="1"/>
    <col min="9780" max="9780" width="1.6640625" style="3" customWidth="1"/>
    <col min="9781" max="9781" width="5.5546875" style="3" customWidth="1"/>
    <col min="9782" max="9782" width="2" style="3" customWidth="1"/>
    <col min="9783" max="9783" width="1.44140625" style="3" customWidth="1"/>
    <col min="9784" max="9784" width="2" style="3" customWidth="1"/>
    <col min="9785" max="9785" width="6.88671875" style="3" customWidth="1"/>
    <col min="9786" max="9786" width="1.6640625" style="3" customWidth="1"/>
    <col min="9787" max="9787" width="2" style="3" customWidth="1"/>
    <col min="9788" max="9788" width="1.88671875" style="3" customWidth="1"/>
    <col min="9789" max="9789" width="6.88671875" style="3" customWidth="1"/>
    <col min="9790" max="9790" width="1.109375" style="3" customWidth="1"/>
    <col min="9791" max="9791" width="1.33203125" style="3" customWidth="1"/>
    <col min="9792" max="9792" width="1.88671875" style="3" customWidth="1"/>
    <col min="9793" max="9793" width="6.88671875" style="3" customWidth="1"/>
    <col min="9794" max="9794" width="1.44140625" style="3" customWidth="1"/>
    <col min="9795" max="9795" width="1.33203125" style="3" customWidth="1"/>
    <col min="9796" max="9796" width="2.109375" style="3" customWidth="1"/>
    <col min="9797" max="9797" width="5.109375" style="3" customWidth="1"/>
    <col min="9798" max="9798" width="5.5546875" style="3" customWidth="1"/>
    <col min="9799" max="9799" width="1.109375" style="3" customWidth="1"/>
    <col min="9800" max="9800" width="1.44140625" style="3" customWidth="1"/>
    <col min="9801" max="9801" width="6" style="3" customWidth="1"/>
    <col min="9802" max="9802" width="5.88671875" style="3" customWidth="1"/>
    <col min="9803" max="9803" width="1.6640625" style="3" customWidth="1"/>
    <col min="9804" max="9804" width="2.109375" style="3" customWidth="1"/>
    <col min="9805" max="9808" width="5.88671875" style="3" customWidth="1"/>
    <col min="9809" max="9809" width="6" style="3" customWidth="1"/>
    <col min="9810" max="9810" width="1.5546875" style="3" customWidth="1"/>
    <col min="9811" max="9811" width="2.33203125" style="3" customWidth="1"/>
    <col min="9812" max="9812" width="1.5546875" style="3" customWidth="1"/>
    <col min="9813" max="9816" width="6.33203125" style="3" customWidth="1"/>
    <col min="9817" max="9817" width="6.109375" style="3" customWidth="1"/>
    <col min="9818" max="9819" width="1.109375" style="3" customWidth="1"/>
    <col min="9820" max="9820" width="1.33203125" style="3" customWidth="1"/>
    <col min="9821" max="9824" width="5.88671875" style="3" customWidth="1"/>
    <col min="9825" max="9825" width="6.88671875" style="3" customWidth="1"/>
    <col min="9826" max="9826" width="1.33203125" style="3" customWidth="1"/>
    <col min="9827" max="9828" width="1.6640625" style="3" customWidth="1"/>
    <col min="9829" max="9830" width="10.6640625" style="3" bestFit="1" customWidth="1"/>
    <col min="9831" max="9832" width="8.33203125" style="3" customWidth="1"/>
    <col min="9833" max="9833" width="8.6640625" style="3" customWidth="1"/>
    <col min="9834" max="9834" width="8.109375" style="3" customWidth="1"/>
    <col min="9835" max="9836" width="11.33203125" style="3" customWidth="1"/>
    <col min="9837" max="9837" width="10" style="3" customWidth="1"/>
    <col min="9838" max="9985" width="9.109375" style="3"/>
    <col min="9986" max="9986" width="5.5546875" style="3" customWidth="1"/>
    <col min="9987" max="9987" width="21.33203125" style="3" customWidth="1"/>
    <col min="9988" max="9988" width="38.88671875" style="3" customWidth="1"/>
    <col min="9989" max="9989" width="8.33203125" style="3" customWidth="1"/>
    <col min="9990" max="9990" width="6.109375" style="3" customWidth="1"/>
    <col min="9991" max="9991" width="1" style="3" customWidth="1"/>
    <col min="9992" max="9992" width="1.33203125" style="3" customWidth="1"/>
    <col min="9993" max="9993" width="5.109375" style="3" customWidth="1"/>
    <col min="9994" max="9994" width="6.109375" style="3" customWidth="1"/>
    <col min="9995" max="9995" width="0.6640625" style="3" customWidth="1"/>
    <col min="9996" max="9996" width="1" style="3" customWidth="1"/>
    <col min="9997" max="9997" width="4.6640625" style="3" customWidth="1"/>
    <col min="9998" max="9998" width="6.33203125" style="3" customWidth="1"/>
    <col min="9999" max="9999" width="0.88671875" style="3" customWidth="1"/>
    <col min="10000" max="10000" width="1.109375" style="3" customWidth="1"/>
    <col min="10001" max="10001" width="6.5546875" style="3" customWidth="1"/>
    <col min="10002" max="10002" width="7.109375" style="3" customWidth="1"/>
    <col min="10003" max="10004" width="1.5546875" style="3" customWidth="1"/>
    <col min="10005" max="10005" width="6.88671875" style="3" customWidth="1"/>
    <col min="10006" max="10006" width="2" style="3" customWidth="1"/>
    <col min="10007" max="10007" width="1.33203125" style="3" customWidth="1"/>
    <col min="10008" max="10008" width="2.109375" style="3" customWidth="1"/>
    <col min="10009" max="10009" width="6.44140625" style="3" customWidth="1"/>
    <col min="10010" max="10012" width="2" style="3" customWidth="1"/>
    <col min="10013" max="10013" width="7.6640625" style="3" customWidth="1"/>
    <col min="10014" max="10014" width="1.33203125" style="3" customWidth="1"/>
    <col min="10015" max="10015" width="1.5546875" style="3" customWidth="1"/>
    <col min="10016" max="10016" width="1.44140625" style="3" customWidth="1"/>
    <col min="10017" max="10017" width="6.109375" style="3" customWidth="1"/>
    <col min="10018" max="10020" width="1" style="3" customWidth="1"/>
    <col min="10021" max="10021" width="6.44140625" style="3" customWidth="1"/>
    <col min="10022" max="10022" width="5.88671875" style="3" customWidth="1"/>
    <col min="10023" max="10023" width="1.44140625" style="3" customWidth="1"/>
    <col min="10024" max="10024" width="1.5546875" style="3" customWidth="1"/>
    <col min="10025" max="10025" width="6.109375" style="3" customWidth="1"/>
    <col min="10026" max="10026" width="7" style="3" customWidth="1"/>
    <col min="10027" max="10027" width="1.109375" style="3" customWidth="1"/>
    <col min="10028" max="10028" width="1.88671875" style="3" customWidth="1"/>
    <col min="10029" max="10029" width="5.88671875" style="3" customWidth="1"/>
    <col min="10030" max="10030" width="1.6640625" style="3" customWidth="1"/>
    <col min="10031" max="10031" width="2.109375" style="3" customWidth="1"/>
    <col min="10032" max="10032" width="1.109375" style="3" customWidth="1"/>
    <col min="10033" max="10033" width="7.33203125" style="3" customWidth="1"/>
    <col min="10034" max="10035" width="2.109375" style="3" customWidth="1"/>
    <col min="10036" max="10036" width="1.6640625" style="3" customWidth="1"/>
    <col min="10037" max="10037" width="5.5546875" style="3" customWidth="1"/>
    <col min="10038" max="10038" width="2" style="3" customWidth="1"/>
    <col min="10039" max="10039" width="1.44140625" style="3" customWidth="1"/>
    <col min="10040" max="10040" width="2" style="3" customWidth="1"/>
    <col min="10041" max="10041" width="6.88671875" style="3" customWidth="1"/>
    <col min="10042" max="10042" width="1.6640625" style="3" customWidth="1"/>
    <col min="10043" max="10043" width="2" style="3" customWidth="1"/>
    <col min="10044" max="10044" width="1.88671875" style="3" customWidth="1"/>
    <col min="10045" max="10045" width="6.88671875" style="3" customWidth="1"/>
    <col min="10046" max="10046" width="1.109375" style="3" customWidth="1"/>
    <col min="10047" max="10047" width="1.33203125" style="3" customWidth="1"/>
    <col min="10048" max="10048" width="1.88671875" style="3" customWidth="1"/>
    <col min="10049" max="10049" width="6.88671875" style="3" customWidth="1"/>
    <col min="10050" max="10050" width="1.44140625" style="3" customWidth="1"/>
    <col min="10051" max="10051" width="1.33203125" style="3" customWidth="1"/>
    <col min="10052" max="10052" width="2.109375" style="3" customWidth="1"/>
    <col min="10053" max="10053" width="5.109375" style="3" customWidth="1"/>
    <col min="10054" max="10054" width="5.5546875" style="3" customWidth="1"/>
    <col min="10055" max="10055" width="1.109375" style="3" customWidth="1"/>
    <col min="10056" max="10056" width="1.44140625" style="3" customWidth="1"/>
    <col min="10057" max="10057" width="6" style="3" customWidth="1"/>
    <col min="10058" max="10058" width="5.88671875" style="3" customWidth="1"/>
    <col min="10059" max="10059" width="1.6640625" style="3" customWidth="1"/>
    <col min="10060" max="10060" width="2.109375" style="3" customWidth="1"/>
    <col min="10061" max="10064" width="5.88671875" style="3" customWidth="1"/>
    <col min="10065" max="10065" width="6" style="3" customWidth="1"/>
    <col min="10066" max="10066" width="1.5546875" style="3" customWidth="1"/>
    <col min="10067" max="10067" width="2.33203125" style="3" customWidth="1"/>
    <col min="10068" max="10068" width="1.5546875" style="3" customWidth="1"/>
    <col min="10069" max="10072" width="6.33203125" style="3" customWidth="1"/>
    <col min="10073" max="10073" width="6.109375" style="3" customWidth="1"/>
    <col min="10074" max="10075" width="1.109375" style="3" customWidth="1"/>
    <col min="10076" max="10076" width="1.33203125" style="3" customWidth="1"/>
    <col min="10077" max="10080" width="5.88671875" style="3" customWidth="1"/>
    <col min="10081" max="10081" width="6.88671875" style="3" customWidth="1"/>
    <col min="10082" max="10082" width="1.33203125" style="3" customWidth="1"/>
    <col min="10083" max="10084" width="1.6640625" style="3" customWidth="1"/>
    <col min="10085" max="10086" width="10.6640625" style="3" bestFit="1" customWidth="1"/>
    <col min="10087" max="10088" width="8.33203125" style="3" customWidth="1"/>
    <col min="10089" max="10089" width="8.6640625" style="3" customWidth="1"/>
    <col min="10090" max="10090" width="8.109375" style="3" customWidth="1"/>
    <col min="10091" max="10092" width="11.33203125" style="3" customWidth="1"/>
    <col min="10093" max="10093" width="10" style="3" customWidth="1"/>
    <col min="10094" max="10241" width="9.109375" style="3"/>
    <col min="10242" max="10242" width="5.5546875" style="3" customWidth="1"/>
    <col min="10243" max="10243" width="21.33203125" style="3" customWidth="1"/>
    <col min="10244" max="10244" width="38.88671875" style="3" customWidth="1"/>
    <col min="10245" max="10245" width="8.33203125" style="3" customWidth="1"/>
    <col min="10246" max="10246" width="6.109375" style="3" customWidth="1"/>
    <col min="10247" max="10247" width="1" style="3" customWidth="1"/>
    <col min="10248" max="10248" width="1.33203125" style="3" customWidth="1"/>
    <col min="10249" max="10249" width="5.109375" style="3" customWidth="1"/>
    <col min="10250" max="10250" width="6.109375" style="3" customWidth="1"/>
    <col min="10251" max="10251" width="0.6640625" style="3" customWidth="1"/>
    <col min="10252" max="10252" width="1" style="3" customWidth="1"/>
    <col min="10253" max="10253" width="4.6640625" style="3" customWidth="1"/>
    <col min="10254" max="10254" width="6.33203125" style="3" customWidth="1"/>
    <col min="10255" max="10255" width="0.88671875" style="3" customWidth="1"/>
    <col min="10256" max="10256" width="1.109375" style="3" customWidth="1"/>
    <col min="10257" max="10257" width="6.5546875" style="3" customWidth="1"/>
    <col min="10258" max="10258" width="7.109375" style="3" customWidth="1"/>
    <col min="10259" max="10260" width="1.5546875" style="3" customWidth="1"/>
    <col min="10261" max="10261" width="6.88671875" style="3" customWidth="1"/>
    <col min="10262" max="10262" width="2" style="3" customWidth="1"/>
    <col min="10263" max="10263" width="1.33203125" style="3" customWidth="1"/>
    <col min="10264" max="10264" width="2.109375" style="3" customWidth="1"/>
    <col min="10265" max="10265" width="6.44140625" style="3" customWidth="1"/>
    <col min="10266" max="10268" width="2" style="3" customWidth="1"/>
    <col min="10269" max="10269" width="7.6640625" style="3" customWidth="1"/>
    <col min="10270" max="10270" width="1.33203125" style="3" customWidth="1"/>
    <col min="10271" max="10271" width="1.5546875" style="3" customWidth="1"/>
    <col min="10272" max="10272" width="1.44140625" style="3" customWidth="1"/>
    <col min="10273" max="10273" width="6.109375" style="3" customWidth="1"/>
    <col min="10274" max="10276" width="1" style="3" customWidth="1"/>
    <col min="10277" max="10277" width="6.44140625" style="3" customWidth="1"/>
    <col min="10278" max="10278" width="5.88671875" style="3" customWidth="1"/>
    <col min="10279" max="10279" width="1.44140625" style="3" customWidth="1"/>
    <col min="10280" max="10280" width="1.5546875" style="3" customWidth="1"/>
    <col min="10281" max="10281" width="6.109375" style="3" customWidth="1"/>
    <col min="10282" max="10282" width="7" style="3" customWidth="1"/>
    <col min="10283" max="10283" width="1.109375" style="3" customWidth="1"/>
    <col min="10284" max="10284" width="1.88671875" style="3" customWidth="1"/>
    <col min="10285" max="10285" width="5.88671875" style="3" customWidth="1"/>
    <col min="10286" max="10286" width="1.6640625" style="3" customWidth="1"/>
    <col min="10287" max="10287" width="2.109375" style="3" customWidth="1"/>
    <col min="10288" max="10288" width="1.109375" style="3" customWidth="1"/>
    <col min="10289" max="10289" width="7.33203125" style="3" customWidth="1"/>
    <col min="10290" max="10291" width="2.109375" style="3" customWidth="1"/>
    <col min="10292" max="10292" width="1.6640625" style="3" customWidth="1"/>
    <col min="10293" max="10293" width="5.5546875" style="3" customWidth="1"/>
    <col min="10294" max="10294" width="2" style="3" customWidth="1"/>
    <col min="10295" max="10295" width="1.44140625" style="3" customWidth="1"/>
    <col min="10296" max="10296" width="2" style="3" customWidth="1"/>
    <col min="10297" max="10297" width="6.88671875" style="3" customWidth="1"/>
    <col min="10298" max="10298" width="1.6640625" style="3" customWidth="1"/>
    <col min="10299" max="10299" width="2" style="3" customWidth="1"/>
    <col min="10300" max="10300" width="1.88671875" style="3" customWidth="1"/>
    <col min="10301" max="10301" width="6.88671875" style="3" customWidth="1"/>
    <col min="10302" max="10302" width="1.109375" style="3" customWidth="1"/>
    <col min="10303" max="10303" width="1.33203125" style="3" customWidth="1"/>
    <col min="10304" max="10304" width="1.88671875" style="3" customWidth="1"/>
    <col min="10305" max="10305" width="6.88671875" style="3" customWidth="1"/>
    <col min="10306" max="10306" width="1.44140625" style="3" customWidth="1"/>
    <col min="10307" max="10307" width="1.33203125" style="3" customWidth="1"/>
    <col min="10308" max="10308" width="2.109375" style="3" customWidth="1"/>
    <col min="10309" max="10309" width="5.109375" style="3" customWidth="1"/>
    <col min="10310" max="10310" width="5.5546875" style="3" customWidth="1"/>
    <col min="10311" max="10311" width="1.109375" style="3" customWidth="1"/>
    <col min="10312" max="10312" width="1.44140625" style="3" customWidth="1"/>
    <col min="10313" max="10313" width="6" style="3" customWidth="1"/>
    <col min="10314" max="10314" width="5.88671875" style="3" customWidth="1"/>
    <col min="10315" max="10315" width="1.6640625" style="3" customWidth="1"/>
    <col min="10316" max="10316" width="2.109375" style="3" customWidth="1"/>
    <col min="10317" max="10320" width="5.88671875" style="3" customWidth="1"/>
    <col min="10321" max="10321" width="6" style="3" customWidth="1"/>
    <col min="10322" max="10322" width="1.5546875" style="3" customWidth="1"/>
    <col min="10323" max="10323" width="2.33203125" style="3" customWidth="1"/>
    <col min="10324" max="10324" width="1.5546875" style="3" customWidth="1"/>
    <col min="10325" max="10328" width="6.33203125" style="3" customWidth="1"/>
    <col min="10329" max="10329" width="6.109375" style="3" customWidth="1"/>
    <col min="10330" max="10331" width="1.109375" style="3" customWidth="1"/>
    <col min="10332" max="10332" width="1.33203125" style="3" customWidth="1"/>
    <col min="10333" max="10336" width="5.88671875" style="3" customWidth="1"/>
    <col min="10337" max="10337" width="6.88671875" style="3" customWidth="1"/>
    <col min="10338" max="10338" width="1.33203125" style="3" customWidth="1"/>
    <col min="10339" max="10340" width="1.6640625" style="3" customWidth="1"/>
    <col min="10341" max="10342" width="10.6640625" style="3" bestFit="1" customWidth="1"/>
    <col min="10343" max="10344" width="8.33203125" style="3" customWidth="1"/>
    <col min="10345" max="10345" width="8.6640625" style="3" customWidth="1"/>
    <col min="10346" max="10346" width="8.109375" style="3" customWidth="1"/>
    <col min="10347" max="10348" width="11.33203125" style="3" customWidth="1"/>
    <col min="10349" max="10349" width="10" style="3" customWidth="1"/>
    <col min="10350" max="10497" width="9.109375" style="3"/>
    <col min="10498" max="10498" width="5.5546875" style="3" customWidth="1"/>
    <col min="10499" max="10499" width="21.33203125" style="3" customWidth="1"/>
    <col min="10500" max="10500" width="38.88671875" style="3" customWidth="1"/>
    <col min="10501" max="10501" width="8.33203125" style="3" customWidth="1"/>
    <col min="10502" max="10502" width="6.109375" style="3" customWidth="1"/>
    <col min="10503" max="10503" width="1" style="3" customWidth="1"/>
    <col min="10504" max="10504" width="1.33203125" style="3" customWidth="1"/>
    <col min="10505" max="10505" width="5.109375" style="3" customWidth="1"/>
    <col min="10506" max="10506" width="6.109375" style="3" customWidth="1"/>
    <col min="10507" max="10507" width="0.6640625" style="3" customWidth="1"/>
    <col min="10508" max="10508" width="1" style="3" customWidth="1"/>
    <col min="10509" max="10509" width="4.6640625" style="3" customWidth="1"/>
    <col min="10510" max="10510" width="6.33203125" style="3" customWidth="1"/>
    <col min="10511" max="10511" width="0.88671875" style="3" customWidth="1"/>
    <col min="10512" max="10512" width="1.109375" style="3" customWidth="1"/>
    <col min="10513" max="10513" width="6.5546875" style="3" customWidth="1"/>
    <col min="10514" max="10514" width="7.109375" style="3" customWidth="1"/>
    <col min="10515" max="10516" width="1.5546875" style="3" customWidth="1"/>
    <col min="10517" max="10517" width="6.88671875" style="3" customWidth="1"/>
    <col min="10518" max="10518" width="2" style="3" customWidth="1"/>
    <col min="10519" max="10519" width="1.33203125" style="3" customWidth="1"/>
    <col min="10520" max="10520" width="2.109375" style="3" customWidth="1"/>
    <col min="10521" max="10521" width="6.44140625" style="3" customWidth="1"/>
    <col min="10522" max="10524" width="2" style="3" customWidth="1"/>
    <col min="10525" max="10525" width="7.6640625" style="3" customWidth="1"/>
    <col min="10526" max="10526" width="1.33203125" style="3" customWidth="1"/>
    <col min="10527" max="10527" width="1.5546875" style="3" customWidth="1"/>
    <col min="10528" max="10528" width="1.44140625" style="3" customWidth="1"/>
    <col min="10529" max="10529" width="6.109375" style="3" customWidth="1"/>
    <col min="10530" max="10532" width="1" style="3" customWidth="1"/>
    <col min="10533" max="10533" width="6.44140625" style="3" customWidth="1"/>
    <col min="10534" max="10534" width="5.88671875" style="3" customWidth="1"/>
    <col min="10535" max="10535" width="1.44140625" style="3" customWidth="1"/>
    <col min="10536" max="10536" width="1.5546875" style="3" customWidth="1"/>
    <col min="10537" max="10537" width="6.109375" style="3" customWidth="1"/>
    <col min="10538" max="10538" width="7" style="3" customWidth="1"/>
    <col min="10539" max="10539" width="1.109375" style="3" customWidth="1"/>
    <col min="10540" max="10540" width="1.88671875" style="3" customWidth="1"/>
    <col min="10541" max="10541" width="5.88671875" style="3" customWidth="1"/>
    <col min="10542" max="10542" width="1.6640625" style="3" customWidth="1"/>
    <col min="10543" max="10543" width="2.109375" style="3" customWidth="1"/>
    <col min="10544" max="10544" width="1.109375" style="3" customWidth="1"/>
    <col min="10545" max="10545" width="7.33203125" style="3" customWidth="1"/>
    <col min="10546" max="10547" width="2.109375" style="3" customWidth="1"/>
    <col min="10548" max="10548" width="1.6640625" style="3" customWidth="1"/>
    <col min="10549" max="10549" width="5.5546875" style="3" customWidth="1"/>
    <col min="10550" max="10550" width="2" style="3" customWidth="1"/>
    <col min="10551" max="10551" width="1.44140625" style="3" customWidth="1"/>
    <col min="10552" max="10552" width="2" style="3" customWidth="1"/>
    <col min="10553" max="10553" width="6.88671875" style="3" customWidth="1"/>
    <col min="10554" max="10554" width="1.6640625" style="3" customWidth="1"/>
    <col min="10555" max="10555" width="2" style="3" customWidth="1"/>
    <col min="10556" max="10556" width="1.88671875" style="3" customWidth="1"/>
    <col min="10557" max="10557" width="6.88671875" style="3" customWidth="1"/>
    <col min="10558" max="10558" width="1.109375" style="3" customWidth="1"/>
    <col min="10559" max="10559" width="1.33203125" style="3" customWidth="1"/>
    <col min="10560" max="10560" width="1.88671875" style="3" customWidth="1"/>
    <col min="10561" max="10561" width="6.88671875" style="3" customWidth="1"/>
    <col min="10562" max="10562" width="1.44140625" style="3" customWidth="1"/>
    <col min="10563" max="10563" width="1.33203125" style="3" customWidth="1"/>
    <col min="10564" max="10564" width="2.109375" style="3" customWidth="1"/>
    <col min="10565" max="10565" width="5.109375" style="3" customWidth="1"/>
    <col min="10566" max="10566" width="5.5546875" style="3" customWidth="1"/>
    <col min="10567" max="10567" width="1.109375" style="3" customWidth="1"/>
    <col min="10568" max="10568" width="1.44140625" style="3" customWidth="1"/>
    <col min="10569" max="10569" width="6" style="3" customWidth="1"/>
    <col min="10570" max="10570" width="5.88671875" style="3" customWidth="1"/>
    <col min="10571" max="10571" width="1.6640625" style="3" customWidth="1"/>
    <col min="10572" max="10572" width="2.109375" style="3" customWidth="1"/>
    <col min="10573" max="10576" width="5.88671875" style="3" customWidth="1"/>
    <col min="10577" max="10577" width="6" style="3" customWidth="1"/>
    <col min="10578" max="10578" width="1.5546875" style="3" customWidth="1"/>
    <col min="10579" max="10579" width="2.33203125" style="3" customWidth="1"/>
    <col min="10580" max="10580" width="1.5546875" style="3" customWidth="1"/>
    <col min="10581" max="10584" width="6.33203125" style="3" customWidth="1"/>
    <col min="10585" max="10585" width="6.109375" style="3" customWidth="1"/>
    <col min="10586" max="10587" width="1.109375" style="3" customWidth="1"/>
    <col min="10588" max="10588" width="1.33203125" style="3" customWidth="1"/>
    <col min="10589" max="10592" width="5.88671875" style="3" customWidth="1"/>
    <col min="10593" max="10593" width="6.88671875" style="3" customWidth="1"/>
    <col min="10594" max="10594" width="1.33203125" style="3" customWidth="1"/>
    <col min="10595" max="10596" width="1.6640625" style="3" customWidth="1"/>
    <col min="10597" max="10598" width="10.6640625" style="3" bestFit="1" customWidth="1"/>
    <col min="10599" max="10600" width="8.33203125" style="3" customWidth="1"/>
    <col min="10601" max="10601" width="8.6640625" style="3" customWidth="1"/>
    <col min="10602" max="10602" width="8.109375" style="3" customWidth="1"/>
    <col min="10603" max="10604" width="11.33203125" style="3" customWidth="1"/>
    <col min="10605" max="10605" width="10" style="3" customWidth="1"/>
    <col min="10606" max="10753" width="9.109375" style="3"/>
    <col min="10754" max="10754" width="5.5546875" style="3" customWidth="1"/>
    <col min="10755" max="10755" width="21.33203125" style="3" customWidth="1"/>
    <col min="10756" max="10756" width="38.88671875" style="3" customWidth="1"/>
    <col min="10757" max="10757" width="8.33203125" style="3" customWidth="1"/>
    <col min="10758" max="10758" width="6.109375" style="3" customWidth="1"/>
    <col min="10759" max="10759" width="1" style="3" customWidth="1"/>
    <col min="10760" max="10760" width="1.33203125" style="3" customWidth="1"/>
    <col min="10761" max="10761" width="5.109375" style="3" customWidth="1"/>
    <col min="10762" max="10762" width="6.109375" style="3" customWidth="1"/>
    <col min="10763" max="10763" width="0.6640625" style="3" customWidth="1"/>
    <col min="10764" max="10764" width="1" style="3" customWidth="1"/>
    <col min="10765" max="10765" width="4.6640625" style="3" customWidth="1"/>
    <col min="10766" max="10766" width="6.33203125" style="3" customWidth="1"/>
    <col min="10767" max="10767" width="0.88671875" style="3" customWidth="1"/>
    <col min="10768" max="10768" width="1.109375" style="3" customWidth="1"/>
    <col min="10769" max="10769" width="6.5546875" style="3" customWidth="1"/>
    <col min="10770" max="10770" width="7.109375" style="3" customWidth="1"/>
    <col min="10771" max="10772" width="1.5546875" style="3" customWidth="1"/>
    <col min="10773" max="10773" width="6.88671875" style="3" customWidth="1"/>
    <col min="10774" max="10774" width="2" style="3" customWidth="1"/>
    <col min="10775" max="10775" width="1.33203125" style="3" customWidth="1"/>
    <col min="10776" max="10776" width="2.109375" style="3" customWidth="1"/>
    <col min="10777" max="10777" width="6.44140625" style="3" customWidth="1"/>
    <col min="10778" max="10780" width="2" style="3" customWidth="1"/>
    <col min="10781" max="10781" width="7.6640625" style="3" customWidth="1"/>
    <col min="10782" max="10782" width="1.33203125" style="3" customWidth="1"/>
    <col min="10783" max="10783" width="1.5546875" style="3" customWidth="1"/>
    <col min="10784" max="10784" width="1.44140625" style="3" customWidth="1"/>
    <col min="10785" max="10785" width="6.109375" style="3" customWidth="1"/>
    <col min="10786" max="10788" width="1" style="3" customWidth="1"/>
    <col min="10789" max="10789" width="6.44140625" style="3" customWidth="1"/>
    <col min="10790" max="10790" width="5.88671875" style="3" customWidth="1"/>
    <col min="10791" max="10791" width="1.44140625" style="3" customWidth="1"/>
    <col min="10792" max="10792" width="1.5546875" style="3" customWidth="1"/>
    <col min="10793" max="10793" width="6.109375" style="3" customWidth="1"/>
    <col min="10794" max="10794" width="7" style="3" customWidth="1"/>
    <col min="10795" max="10795" width="1.109375" style="3" customWidth="1"/>
    <col min="10796" max="10796" width="1.88671875" style="3" customWidth="1"/>
    <col min="10797" max="10797" width="5.88671875" style="3" customWidth="1"/>
    <col min="10798" max="10798" width="1.6640625" style="3" customWidth="1"/>
    <col min="10799" max="10799" width="2.109375" style="3" customWidth="1"/>
    <col min="10800" max="10800" width="1.109375" style="3" customWidth="1"/>
    <col min="10801" max="10801" width="7.33203125" style="3" customWidth="1"/>
    <col min="10802" max="10803" width="2.109375" style="3" customWidth="1"/>
    <col min="10804" max="10804" width="1.6640625" style="3" customWidth="1"/>
    <col min="10805" max="10805" width="5.5546875" style="3" customWidth="1"/>
    <col min="10806" max="10806" width="2" style="3" customWidth="1"/>
    <col min="10807" max="10807" width="1.44140625" style="3" customWidth="1"/>
    <col min="10808" max="10808" width="2" style="3" customWidth="1"/>
    <col min="10809" max="10809" width="6.88671875" style="3" customWidth="1"/>
    <col min="10810" max="10810" width="1.6640625" style="3" customWidth="1"/>
    <col min="10811" max="10811" width="2" style="3" customWidth="1"/>
    <col min="10812" max="10812" width="1.88671875" style="3" customWidth="1"/>
    <col min="10813" max="10813" width="6.88671875" style="3" customWidth="1"/>
    <col min="10814" max="10814" width="1.109375" style="3" customWidth="1"/>
    <col min="10815" max="10815" width="1.33203125" style="3" customWidth="1"/>
    <col min="10816" max="10816" width="1.88671875" style="3" customWidth="1"/>
    <col min="10817" max="10817" width="6.88671875" style="3" customWidth="1"/>
    <col min="10818" max="10818" width="1.44140625" style="3" customWidth="1"/>
    <col min="10819" max="10819" width="1.33203125" style="3" customWidth="1"/>
    <col min="10820" max="10820" width="2.109375" style="3" customWidth="1"/>
    <col min="10821" max="10821" width="5.109375" style="3" customWidth="1"/>
    <col min="10822" max="10822" width="5.5546875" style="3" customWidth="1"/>
    <col min="10823" max="10823" width="1.109375" style="3" customWidth="1"/>
    <col min="10824" max="10824" width="1.44140625" style="3" customWidth="1"/>
    <col min="10825" max="10825" width="6" style="3" customWidth="1"/>
    <col min="10826" max="10826" width="5.88671875" style="3" customWidth="1"/>
    <col min="10827" max="10827" width="1.6640625" style="3" customWidth="1"/>
    <col min="10828" max="10828" width="2.109375" style="3" customWidth="1"/>
    <col min="10829" max="10832" width="5.88671875" style="3" customWidth="1"/>
    <col min="10833" max="10833" width="6" style="3" customWidth="1"/>
    <col min="10834" max="10834" width="1.5546875" style="3" customWidth="1"/>
    <col min="10835" max="10835" width="2.33203125" style="3" customWidth="1"/>
    <col min="10836" max="10836" width="1.5546875" style="3" customWidth="1"/>
    <col min="10837" max="10840" width="6.33203125" style="3" customWidth="1"/>
    <col min="10841" max="10841" width="6.109375" style="3" customWidth="1"/>
    <col min="10842" max="10843" width="1.109375" style="3" customWidth="1"/>
    <col min="10844" max="10844" width="1.33203125" style="3" customWidth="1"/>
    <col min="10845" max="10848" width="5.88671875" style="3" customWidth="1"/>
    <col min="10849" max="10849" width="6.88671875" style="3" customWidth="1"/>
    <col min="10850" max="10850" width="1.33203125" style="3" customWidth="1"/>
    <col min="10851" max="10852" width="1.6640625" style="3" customWidth="1"/>
    <col min="10853" max="10854" width="10.6640625" style="3" bestFit="1" customWidth="1"/>
    <col min="10855" max="10856" width="8.33203125" style="3" customWidth="1"/>
    <col min="10857" max="10857" width="8.6640625" style="3" customWidth="1"/>
    <col min="10858" max="10858" width="8.109375" style="3" customWidth="1"/>
    <col min="10859" max="10860" width="11.33203125" style="3" customWidth="1"/>
    <col min="10861" max="10861" width="10" style="3" customWidth="1"/>
    <col min="10862" max="11009" width="9.109375" style="3"/>
    <col min="11010" max="11010" width="5.5546875" style="3" customWidth="1"/>
    <col min="11011" max="11011" width="21.33203125" style="3" customWidth="1"/>
    <col min="11012" max="11012" width="38.88671875" style="3" customWidth="1"/>
    <col min="11013" max="11013" width="8.33203125" style="3" customWidth="1"/>
    <col min="11014" max="11014" width="6.109375" style="3" customWidth="1"/>
    <col min="11015" max="11015" width="1" style="3" customWidth="1"/>
    <col min="11016" max="11016" width="1.33203125" style="3" customWidth="1"/>
    <col min="11017" max="11017" width="5.109375" style="3" customWidth="1"/>
    <col min="11018" max="11018" width="6.109375" style="3" customWidth="1"/>
    <col min="11019" max="11019" width="0.6640625" style="3" customWidth="1"/>
    <col min="11020" max="11020" width="1" style="3" customWidth="1"/>
    <col min="11021" max="11021" width="4.6640625" style="3" customWidth="1"/>
    <col min="11022" max="11022" width="6.33203125" style="3" customWidth="1"/>
    <col min="11023" max="11023" width="0.88671875" style="3" customWidth="1"/>
    <col min="11024" max="11024" width="1.109375" style="3" customWidth="1"/>
    <col min="11025" max="11025" width="6.5546875" style="3" customWidth="1"/>
    <col min="11026" max="11026" width="7.109375" style="3" customWidth="1"/>
    <col min="11027" max="11028" width="1.5546875" style="3" customWidth="1"/>
    <col min="11029" max="11029" width="6.88671875" style="3" customWidth="1"/>
    <col min="11030" max="11030" width="2" style="3" customWidth="1"/>
    <col min="11031" max="11031" width="1.33203125" style="3" customWidth="1"/>
    <col min="11032" max="11032" width="2.109375" style="3" customWidth="1"/>
    <col min="11033" max="11033" width="6.44140625" style="3" customWidth="1"/>
    <col min="11034" max="11036" width="2" style="3" customWidth="1"/>
    <col min="11037" max="11037" width="7.6640625" style="3" customWidth="1"/>
    <col min="11038" max="11038" width="1.33203125" style="3" customWidth="1"/>
    <col min="11039" max="11039" width="1.5546875" style="3" customWidth="1"/>
    <col min="11040" max="11040" width="1.44140625" style="3" customWidth="1"/>
    <col min="11041" max="11041" width="6.109375" style="3" customWidth="1"/>
    <col min="11042" max="11044" width="1" style="3" customWidth="1"/>
    <col min="11045" max="11045" width="6.44140625" style="3" customWidth="1"/>
    <col min="11046" max="11046" width="5.88671875" style="3" customWidth="1"/>
    <col min="11047" max="11047" width="1.44140625" style="3" customWidth="1"/>
    <col min="11048" max="11048" width="1.5546875" style="3" customWidth="1"/>
    <col min="11049" max="11049" width="6.109375" style="3" customWidth="1"/>
    <col min="11050" max="11050" width="7" style="3" customWidth="1"/>
    <col min="11051" max="11051" width="1.109375" style="3" customWidth="1"/>
    <col min="11052" max="11052" width="1.88671875" style="3" customWidth="1"/>
    <col min="11053" max="11053" width="5.88671875" style="3" customWidth="1"/>
    <col min="11054" max="11054" width="1.6640625" style="3" customWidth="1"/>
    <col min="11055" max="11055" width="2.109375" style="3" customWidth="1"/>
    <col min="11056" max="11056" width="1.109375" style="3" customWidth="1"/>
    <col min="11057" max="11057" width="7.33203125" style="3" customWidth="1"/>
    <col min="11058" max="11059" width="2.109375" style="3" customWidth="1"/>
    <col min="11060" max="11060" width="1.6640625" style="3" customWidth="1"/>
    <col min="11061" max="11061" width="5.5546875" style="3" customWidth="1"/>
    <col min="11062" max="11062" width="2" style="3" customWidth="1"/>
    <col min="11063" max="11063" width="1.44140625" style="3" customWidth="1"/>
    <col min="11064" max="11064" width="2" style="3" customWidth="1"/>
    <col min="11065" max="11065" width="6.88671875" style="3" customWidth="1"/>
    <col min="11066" max="11066" width="1.6640625" style="3" customWidth="1"/>
    <col min="11067" max="11067" width="2" style="3" customWidth="1"/>
    <col min="11068" max="11068" width="1.88671875" style="3" customWidth="1"/>
    <col min="11069" max="11069" width="6.88671875" style="3" customWidth="1"/>
    <col min="11070" max="11070" width="1.109375" style="3" customWidth="1"/>
    <col min="11071" max="11071" width="1.33203125" style="3" customWidth="1"/>
    <col min="11072" max="11072" width="1.88671875" style="3" customWidth="1"/>
    <col min="11073" max="11073" width="6.88671875" style="3" customWidth="1"/>
    <col min="11074" max="11074" width="1.44140625" style="3" customWidth="1"/>
    <col min="11075" max="11075" width="1.33203125" style="3" customWidth="1"/>
    <col min="11076" max="11076" width="2.109375" style="3" customWidth="1"/>
    <col min="11077" max="11077" width="5.109375" style="3" customWidth="1"/>
    <col min="11078" max="11078" width="5.5546875" style="3" customWidth="1"/>
    <col min="11079" max="11079" width="1.109375" style="3" customWidth="1"/>
    <col min="11080" max="11080" width="1.44140625" style="3" customWidth="1"/>
    <col min="11081" max="11081" width="6" style="3" customWidth="1"/>
    <col min="11082" max="11082" width="5.88671875" style="3" customWidth="1"/>
    <col min="11083" max="11083" width="1.6640625" style="3" customWidth="1"/>
    <col min="11084" max="11084" width="2.109375" style="3" customWidth="1"/>
    <col min="11085" max="11088" width="5.88671875" style="3" customWidth="1"/>
    <col min="11089" max="11089" width="6" style="3" customWidth="1"/>
    <col min="11090" max="11090" width="1.5546875" style="3" customWidth="1"/>
    <col min="11091" max="11091" width="2.33203125" style="3" customWidth="1"/>
    <col min="11092" max="11092" width="1.5546875" style="3" customWidth="1"/>
    <col min="11093" max="11096" width="6.33203125" style="3" customWidth="1"/>
    <col min="11097" max="11097" width="6.109375" style="3" customWidth="1"/>
    <col min="11098" max="11099" width="1.109375" style="3" customWidth="1"/>
    <col min="11100" max="11100" width="1.33203125" style="3" customWidth="1"/>
    <col min="11101" max="11104" width="5.88671875" style="3" customWidth="1"/>
    <col min="11105" max="11105" width="6.88671875" style="3" customWidth="1"/>
    <col min="11106" max="11106" width="1.33203125" style="3" customWidth="1"/>
    <col min="11107" max="11108" width="1.6640625" style="3" customWidth="1"/>
    <col min="11109" max="11110" width="10.6640625" style="3" bestFit="1" customWidth="1"/>
    <col min="11111" max="11112" width="8.33203125" style="3" customWidth="1"/>
    <col min="11113" max="11113" width="8.6640625" style="3" customWidth="1"/>
    <col min="11114" max="11114" width="8.109375" style="3" customWidth="1"/>
    <col min="11115" max="11116" width="11.33203125" style="3" customWidth="1"/>
    <col min="11117" max="11117" width="10" style="3" customWidth="1"/>
    <col min="11118" max="11265" width="9.109375" style="3"/>
    <col min="11266" max="11266" width="5.5546875" style="3" customWidth="1"/>
    <col min="11267" max="11267" width="21.33203125" style="3" customWidth="1"/>
    <col min="11268" max="11268" width="38.88671875" style="3" customWidth="1"/>
    <col min="11269" max="11269" width="8.33203125" style="3" customWidth="1"/>
    <col min="11270" max="11270" width="6.109375" style="3" customWidth="1"/>
    <col min="11271" max="11271" width="1" style="3" customWidth="1"/>
    <col min="11272" max="11272" width="1.33203125" style="3" customWidth="1"/>
    <col min="11273" max="11273" width="5.109375" style="3" customWidth="1"/>
    <col min="11274" max="11274" width="6.109375" style="3" customWidth="1"/>
    <col min="11275" max="11275" width="0.6640625" style="3" customWidth="1"/>
    <col min="11276" max="11276" width="1" style="3" customWidth="1"/>
    <col min="11277" max="11277" width="4.6640625" style="3" customWidth="1"/>
    <col min="11278" max="11278" width="6.33203125" style="3" customWidth="1"/>
    <col min="11279" max="11279" width="0.88671875" style="3" customWidth="1"/>
    <col min="11280" max="11280" width="1.109375" style="3" customWidth="1"/>
    <col min="11281" max="11281" width="6.5546875" style="3" customWidth="1"/>
    <col min="11282" max="11282" width="7.109375" style="3" customWidth="1"/>
    <col min="11283" max="11284" width="1.5546875" style="3" customWidth="1"/>
    <col min="11285" max="11285" width="6.88671875" style="3" customWidth="1"/>
    <col min="11286" max="11286" width="2" style="3" customWidth="1"/>
    <col min="11287" max="11287" width="1.33203125" style="3" customWidth="1"/>
    <col min="11288" max="11288" width="2.109375" style="3" customWidth="1"/>
    <col min="11289" max="11289" width="6.44140625" style="3" customWidth="1"/>
    <col min="11290" max="11292" width="2" style="3" customWidth="1"/>
    <col min="11293" max="11293" width="7.6640625" style="3" customWidth="1"/>
    <col min="11294" max="11294" width="1.33203125" style="3" customWidth="1"/>
    <col min="11295" max="11295" width="1.5546875" style="3" customWidth="1"/>
    <col min="11296" max="11296" width="1.44140625" style="3" customWidth="1"/>
    <col min="11297" max="11297" width="6.109375" style="3" customWidth="1"/>
    <col min="11298" max="11300" width="1" style="3" customWidth="1"/>
    <col min="11301" max="11301" width="6.44140625" style="3" customWidth="1"/>
    <col min="11302" max="11302" width="5.88671875" style="3" customWidth="1"/>
    <col min="11303" max="11303" width="1.44140625" style="3" customWidth="1"/>
    <col min="11304" max="11304" width="1.5546875" style="3" customWidth="1"/>
    <col min="11305" max="11305" width="6.109375" style="3" customWidth="1"/>
    <col min="11306" max="11306" width="7" style="3" customWidth="1"/>
    <col min="11307" max="11307" width="1.109375" style="3" customWidth="1"/>
    <col min="11308" max="11308" width="1.88671875" style="3" customWidth="1"/>
    <col min="11309" max="11309" width="5.88671875" style="3" customWidth="1"/>
    <col min="11310" max="11310" width="1.6640625" style="3" customWidth="1"/>
    <col min="11311" max="11311" width="2.109375" style="3" customWidth="1"/>
    <col min="11312" max="11312" width="1.109375" style="3" customWidth="1"/>
    <col min="11313" max="11313" width="7.33203125" style="3" customWidth="1"/>
    <col min="11314" max="11315" width="2.109375" style="3" customWidth="1"/>
    <col min="11316" max="11316" width="1.6640625" style="3" customWidth="1"/>
    <col min="11317" max="11317" width="5.5546875" style="3" customWidth="1"/>
    <col min="11318" max="11318" width="2" style="3" customWidth="1"/>
    <col min="11319" max="11319" width="1.44140625" style="3" customWidth="1"/>
    <col min="11320" max="11320" width="2" style="3" customWidth="1"/>
    <col min="11321" max="11321" width="6.88671875" style="3" customWidth="1"/>
    <col min="11322" max="11322" width="1.6640625" style="3" customWidth="1"/>
    <col min="11323" max="11323" width="2" style="3" customWidth="1"/>
    <col min="11324" max="11324" width="1.88671875" style="3" customWidth="1"/>
    <col min="11325" max="11325" width="6.88671875" style="3" customWidth="1"/>
    <col min="11326" max="11326" width="1.109375" style="3" customWidth="1"/>
    <col min="11327" max="11327" width="1.33203125" style="3" customWidth="1"/>
    <col min="11328" max="11328" width="1.88671875" style="3" customWidth="1"/>
    <col min="11329" max="11329" width="6.88671875" style="3" customWidth="1"/>
    <col min="11330" max="11330" width="1.44140625" style="3" customWidth="1"/>
    <col min="11331" max="11331" width="1.33203125" style="3" customWidth="1"/>
    <col min="11332" max="11332" width="2.109375" style="3" customWidth="1"/>
    <col min="11333" max="11333" width="5.109375" style="3" customWidth="1"/>
    <col min="11334" max="11334" width="5.5546875" style="3" customWidth="1"/>
    <col min="11335" max="11335" width="1.109375" style="3" customWidth="1"/>
    <col min="11336" max="11336" width="1.44140625" style="3" customWidth="1"/>
    <col min="11337" max="11337" width="6" style="3" customWidth="1"/>
    <col min="11338" max="11338" width="5.88671875" style="3" customWidth="1"/>
    <col min="11339" max="11339" width="1.6640625" style="3" customWidth="1"/>
    <col min="11340" max="11340" width="2.109375" style="3" customWidth="1"/>
    <col min="11341" max="11344" width="5.88671875" style="3" customWidth="1"/>
    <col min="11345" max="11345" width="6" style="3" customWidth="1"/>
    <col min="11346" max="11346" width="1.5546875" style="3" customWidth="1"/>
    <col min="11347" max="11347" width="2.33203125" style="3" customWidth="1"/>
    <col min="11348" max="11348" width="1.5546875" style="3" customWidth="1"/>
    <col min="11349" max="11352" width="6.33203125" style="3" customWidth="1"/>
    <col min="11353" max="11353" width="6.109375" style="3" customWidth="1"/>
    <col min="11354" max="11355" width="1.109375" style="3" customWidth="1"/>
    <col min="11356" max="11356" width="1.33203125" style="3" customWidth="1"/>
    <col min="11357" max="11360" width="5.88671875" style="3" customWidth="1"/>
    <col min="11361" max="11361" width="6.88671875" style="3" customWidth="1"/>
    <col min="11362" max="11362" width="1.33203125" style="3" customWidth="1"/>
    <col min="11363" max="11364" width="1.6640625" style="3" customWidth="1"/>
    <col min="11365" max="11366" width="10.6640625" style="3" bestFit="1" customWidth="1"/>
    <col min="11367" max="11368" width="8.33203125" style="3" customWidth="1"/>
    <col min="11369" max="11369" width="8.6640625" style="3" customWidth="1"/>
    <col min="11370" max="11370" width="8.109375" style="3" customWidth="1"/>
    <col min="11371" max="11372" width="11.33203125" style="3" customWidth="1"/>
    <col min="11373" max="11373" width="10" style="3" customWidth="1"/>
    <col min="11374" max="11521" width="9.109375" style="3"/>
    <col min="11522" max="11522" width="5.5546875" style="3" customWidth="1"/>
    <col min="11523" max="11523" width="21.33203125" style="3" customWidth="1"/>
    <col min="11524" max="11524" width="38.88671875" style="3" customWidth="1"/>
    <col min="11525" max="11525" width="8.33203125" style="3" customWidth="1"/>
    <col min="11526" max="11526" width="6.109375" style="3" customWidth="1"/>
    <col min="11527" max="11527" width="1" style="3" customWidth="1"/>
    <col min="11528" max="11528" width="1.33203125" style="3" customWidth="1"/>
    <col min="11529" max="11529" width="5.109375" style="3" customWidth="1"/>
    <col min="11530" max="11530" width="6.109375" style="3" customWidth="1"/>
    <col min="11531" max="11531" width="0.6640625" style="3" customWidth="1"/>
    <col min="11532" max="11532" width="1" style="3" customWidth="1"/>
    <col min="11533" max="11533" width="4.6640625" style="3" customWidth="1"/>
    <col min="11534" max="11534" width="6.33203125" style="3" customWidth="1"/>
    <col min="11535" max="11535" width="0.88671875" style="3" customWidth="1"/>
    <col min="11536" max="11536" width="1.109375" style="3" customWidth="1"/>
    <col min="11537" max="11537" width="6.5546875" style="3" customWidth="1"/>
    <col min="11538" max="11538" width="7.109375" style="3" customWidth="1"/>
    <col min="11539" max="11540" width="1.5546875" style="3" customWidth="1"/>
    <col min="11541" max="11541" width="6.88671875" style="3" customWidth="1"/>
    <col min="11542" max="11542" width="2" style="3" customWidth="1"/>
    <col min="11543" max="11543" width="1.33203125" style="3" customWidth="1"/>
    <col min="11544" max="11544" width="2.109375" style="3" customWidth="1"/>
    <col min="11545" max="11545" width="6.44140625" style="3" customWidth="1"/>
    <col min="11546" max="11548" width="2" style="3" customWidth="1"/>
    <col min="11549" max="11549" width="7.6640625" style="3" customWidth="1"/>
    <col min="11550" max="11550" width="1.33203125" style="3" customWidth="1"/>
    <col min="11551" max="11551" width="1.5546875" style="3" customWidth="1"/>
    <col min="11552" max="11552" width="1.44140625" style="3" customWidth="1"/>
    <col min="11553" max="11553" width="6.109375" style="3" customWidth="1"/>
    <col min="11554" max="11556" width="1" style="3" customWidth="1"/>
    <col min="11557" max="11557" width="6.44140625" style="3" customWidth="1"/>
    <col min="11558" max="11558" width="5.88671875" style="3" customWidth="1"/>
    <col min="11559" max="11559" width="1.44140625" style="3" customWidth="1"/>
    <col min="11560" max="11560" width="1.5546875" style="3" customWidth="1"/>
    <col min="11561" max="11561" width="6.109375" style="3" customWidth="1"/>
    <col min="11562" max="11562" width="7" style="3" customWidth="1"/>
    <col min="11563" max="11563" width="1.109375" style="3" customWidth="1"/>
    <col min="11564" max="11564" width="1.88671875" style="3" customWidth="1"/>
    <col min="11565" max="11565" width="5.88671875" style="3" customWidth="1"/>
    <col min="11566" max="11566" width="1.6640625" style="3" customWidth="1"/>
    <col min="11567" max="11567" width="2.109375" style="3" customWidth="1"/>
    <col min="11568" max="11568" width="1.109375" style="3" customWidth="1"/>
    <col min="11569" max="11569" width="7.33203125" style="3" customWidth="1"/>
    <col min="11570" max="11571" width="2.109375" style="3" customWidth="1"/>
    <col min="11572" max="11572" width="1.6640625" style="3" customWidth="1"/>
    <col min="11573" max="11573" width="5.5546875" style="3" customWidth="1"/>
    <col min="11574" max="11574" width="2" style="3" customWidth="1"/>
    <col min="11575" max="11575" width="1.44140625" style="3" customWidth="1"/>
    <col min="11576" max="11576" width="2" style="3" customWidth="1"/>
    <col min="11577" max="11577" width="6.88671875" style="3" customWidth="1"/>
    <col min="11578" max="11578" width="1.6640625" style="3" customWidth="1"/>
    <col min="11579" max="11579" width="2" style="3" customWidth="1"/>
    <col min="11580" max="11580" width="1.88671875" style="3" customWidth="1"/>
    <col min="11581" max="11581" width="6.88671875" style="3" customWidth="1"/>
    <col min="11582" max="11582" width="1.109375" style="3" customWidth="1"/>
    <col min="11583" max="11583" width="1.33203125" style="3" customWidth="1"/>
    <col min="11584" max="11584" width="1.88671875" style="3" customWidth="1"/>
    <col min="11585" max="11585" width="6.88671875" style="3" customWidth="1"/>
    <col min="11586" max="11586" width="1.44140625" style="3" customWidth="1"/>
    <col min="11587" max="11587" width="1.33203125" style="3" customWidth="1"/>
    <col min="11588" max="11588" width="2.109375" style="3" customWidth="1"/>
    <col min="11589" max="11589" width="5.109375" style="3" customWidth="1"/>
    <col min="11590" max="11590" width="5.5546875" style="3" customWidth="1"/>
    <col min="11591" max="11591" width="1.109375" style="3" customWidth="1"/>
    <col min="11592" max="11592" width="1.44140625" style="3" customWidth="1"/>
    <col min="11593" max="11593" width="6" style="3" customWidth="1"/>
    <col min="11594" max="11594" width="5.88671875" style="3" customWidth="1"/>
    <col min="11595" max="11595" width="1.6640625" style="3" customWidth="1"/>
    <col min="11596" max="11596" width="2.109375" style="3" customWidth="1"/>
    <col min="11597" max="11600" width="5.88671875" style="3" customWidth="1"/>
    <col min="11601" max="11601" width="6" style="3" customWidth="1"/>
    <col min="11602" max="11602" width="1.5546875" style="3" customWidth="1"/>
    <col min="11603" max="11603" width="2.33203125" style="3" customWidth="1"/>
    <col min="11604" max="11604" width="1.5546875" style="3" customWidth="1"/>
    <col min="11605" max="11608" width="6.33203125" style="3" customWidth="1"/>
    <col min="11609" max="11609" width="6.109375" style="3" customWidth="1"/>
    <col min="11610" max="11611" width="1.109375" style="3" customWidth="1"/>
    <col min="11612" max="11612" width="1.33203125" style="3" customWidth="1"/>
    <col min="11613" max="11616" width="5.88671875" style="3" customWidth="1"/>
    <col min="11617" max="11617" width="6.88671875" style="3" customWidth="1"/>
    <col min="11618" max="11618" width="1.33203125" style="3" customWidth="1"/>
    <col min="11619" max="11620" width="1.6640625" style="3" customWidth="1"/>
    <col min="11621" max="11622" width="10.6640625" style="3" bestFit="1" customWidth="1"/>
    <col min="11623" max="11624" width="8.33203125" style="3" customWidth="1"/>
    <col min="11625" max="11625" width="8.6640625" style="3" customWidth="1"/>
    <col min="11626" max="11626" width="8.109375" style="3" customWidth="1"/>
    <col min="11627" max="11628" width="11.33203125" style="3" customWidth="1"/>
    <col min="11629" max="11629" width="10" style="3" customWidth="1"/>
    <col min="11630" max="11777" width="9.109375" style="3"/>
    <col min="11778" max="11778" width="5.5546875" style="3" customWidth="1"/>
    <col min="11779" max="11779" width="21.33203125" style="3" customWidth="1"/>
    <col min="11780" max="11780" width="38.88671875" style="3" customWidth="1"/>
    <col min="11781" max="11781" width="8.33203125" style="3" customWidth="1"/>
    <col min="11782" max="11782" width="6.109375" style="3" customWidth="1"/>
    <col min="11783" max="11783" width="1" style="3" customWidth="1"/>
    <col min="11784" max="11784" width="1.33203125" style="3" customWidth="1"/>
    <col min="11785" max="11785" width="5.109375" style="3" customWidth="1"/>
    <col min="11786" max="11786" width="6.109375" style="3" customWidth="1"/>
    <col min="11787" max="11787" width="0.6640625" style="3" customWidth="1"/>
    <col min="11788" max="11788" width="1" style="3" customWidth="1"/>
    <col min="11789" max="11789" width="4.6640625" style="3" customWidth="1"/>
    <col min="11790" max="11790" width="6.33203125" style="3" customWidth="1"/>
    <col min="11791" max="11791" width="0.88671875" style="3" customWidth="1"/>
    <col min="11792" max="11792" width="1.109375" style="3" customWidth="1"/>
    <col min="11793" max="11793" width="6.5546875" style="3" customWidth="1"/>
    <col min="11794" max="11794" width="7.109375" style="3" customWidth="1"/>
    <col min="11795" max="11796" width="1.5546875" style="3" customWidth="1"/>
    <col min="11797" max="11797" width="6.88671875" style="3" customWidth="1"/>
    <col min="11798" max="11798" width="2" style="3" customWidth="1"/>
    <col min="11799" max="11799" width="1.33203125" style="3" customWidth="1"/>
    <col min="11800" max="11800" width="2.109375" style="3" customWidth="1"/>
    <col min="11801" max="11801" width="6.44140625" style="3" customWidth="1"/>
    <col min="11802" max="11804" width="2" style="3" customWidth="1"/>
    <col min="11805" max="11805" width="7.6640625" style="3" customWidth="1"/>
    <col min="11806" max="11806" width="1.33203125" style="3" customWidth="1"/>
    <col min="11807" max="11807" width="1.5546875" style="3" customWidth="1"/>
    <col min="11808" max="11808" width="1.44140625" style="3" customWidth="1"/>
    <col min="11809" max="11809" width="6.109375" style="3" customWidth="1"/>
    <col min="11810" max="11812" width="1" style="3" customWidth="1"/>
    <col min="11813" max="11813" width="6.44140625" style="3" customWidth="1"/>
    <col min="11814" max="11814" width="5.88671875" style="3" customWidth="1"/>
    <col min="11815" max="11815" width="1.44140625" style="3" customWidth="1"/>
    <col min="11816" max="11816" width="1.5546875" style="3" customWidth="1"/>
    <col min="11817" max="11817" width="6.109375" style="3" customWidth="1"/>
    <col min="11818" max="11818" width="7" style="3" customWidth="1"/>
    <col min="11819" max="11819" width="1.109375" style="3" customWidth="1"/>
    <col min="11820" max="11820" width="1.88671875" style="3" customWidth="1"/>
    <col min="11821" max="11821" width="5.88671875" style="3" customWidth="1"/>
    <col min="11822" max="11822" width="1.6640625" style="3" customWidth="1"/>
    <col min="11823" max="11823" width="2.109375" style="3" customWidth="1"/>
    <col min="11824" max="11824" width="1.109375" style="3" customWidth="1"/>
    <col min="11825" max="11825" width="7.33203125" style="3" customWidth="1"/>
    <col min="11826" max="11827" width="2.109375" style="3" customWidth="1"/>
    <col min="11828" max="11828" width="1.6640625" style="3" customWidth="1"/>
    <col min="11829" max="11829" width="5.5546875" style="3" customWidth="1"/>
    <col min="11830" max="11830" width="2" style="3" customWidth="1"/>
    <col min="11831" max="11831" width="1.44140625" style="3" customWidth="1"/>
    <col min="11832" max="11832" width="2" style="3" customWidth="1"/>
    <col min="11833" max="11833" width="6.88671875" style="3" customWidth="1"/>
    <col min="11834" max="11834" width="1.6640625" style="3" customWidth="1"/>
    <col min="11835" max="11835" width="2" style="3" customWidth="1"/>
    <col min="11836" max="11836" width="1.88671875" style="3" customWidth="1"/>
    <col min="11837" max="11837" width="6.88671875" style="3" customWidth="1"/>
    <col min="11838" max="11838" width="1.109375" style="3" customWidth="1"/>
    <col min="11839" max="11839" width="1.33203125" style="3" customWidth="1"/>
    <col min="11840" max="11840" width="1.88671875" style="3" customWidth="1"/>
    <col min="11841" max="11841" width="6.88671875" style="3" customWidth="1"/>
    <col min="11842" max="11842" width="1.44140625" style="3" customWidth="1"/>
    <col min="11843" max="11843" width="1.33203125" style="3" customWidth="1"/>
    <col min="11844" max="11844" width="2.109375" style="3" customWidth="1"/>
    <col min="11845" max="11845" width="5.109375" style="3" customWidth="1"/>
    <col min="11846" max="11846" width="5.5546875" style="3" customWidth="1"/>
    <col min="11847" max="11847" width="1.109375" style="3" customWidth="1"/>
    <col min="11848" max="11848" width="1.44140625" style="3" customWidth="1"/>
    <col min="11849" max="11849" width="6" style="3" customWidth="1"/>
    <col min="11850" max="11850" width="5.88671875" style="3" customWidth="1"/>
    <col min="11851" max="11851" width="1.6640625" style="3" customWidth="1"/>
    <col min="11852" max="11852" width="2.109375" style="3" customWidth="1"/>
    <col min="11853" max="11856" width="5.88671875" style="3" customWidth="1"/>
    <col min="11857" max="11857" width="6" style="3" customWidth="1"/>
    <col min="11858" max="11858" width="1.5546875" style="3" customWidth="1"/>
    <col min="11859" max="11859" width="2.33203125" style="3" customWidth="1"/>
    <col min="11860" max="11860" width="1.5546875" style="3" customWidth="1"/>
    <col min="11861" max="11864" width="6.33203125" style="3" customWidth="1"/>
    <col min="11865" max="11865" width="6.109375" style="3" customWidth="1"/>
    <col min="11866" max="11867" width="1.109375" style="3" customWidth="1"/>
    <col min="11868" max="11868" width="1.33203125" style="3" customWidth="1"/>
    <col min="11869" max="11872" width="5.88671875" style="3" customWidth="1"/>
    <col min="11873" max="11873" width="6.88671875" style="3" customWidth="1"/>
    <col min="11874" max="11874" width="1.33203125" style="3" customWidth="1"/>
    <col min="11875" max="11876" width="1.6640625" style="3" customWidth="1"/>
    <col min="11877" max="11878" width="10.6640625" style="3" bestFit="1" customWidth="1"/>
    <col min="11879" max="11880" width="8.33203125" style="3" customWidth="1"/>
    <col min="11881" max="11881" width="8.6640625" style="3" customWidth="1"/>
    <col min="11882" max="11882" width="8.109375" style="3" customWidth="1"/>
    <col min="11883" max="11884" width="11.33203125" style="3" customWidth="1"/>
    <col min="11885" max="11885" width="10" style="3" customWidth="1"/>
    <col min="11886" max="12033" width="9.109375" style="3"/>
    <col min="12034" max="12034" width="5.5546875" style="3" customWidth="1"/>
    <col min="12035" max="12035" width="21.33203125" style="3" customWidth="1"/>
    <col min="12036" max="12036" width="38.88671875" style="3" customWidth="1"/>
    <col min="12037" max="12037" width="8.33203125" style="3" customWidth="1"/>
    <col min="12038" max="12038" width="6.109375" style="3" customWidth="1"/>
    <col min="12039" max="12039" width="1" style="3" customWidth="1"/>
    <col min="12040" max="12040" width="1.33203125" style="3" customWidth="1"/>
    <col min="12041" max="12041" width="5.109375" style="3" customWidth="1"/>
    <col min="12042" max="12042" width="6.109375" style="3" customWidth="1"/>
    <col min="12043" max="12043" width="0.6640625" style="3" customWidth="1"/>
    <col min="12044" max="12044" width="1" style="3" customWidth="1"/>
    <col min="12045" max="12045" width="4.6640625" style="3" customWidth="1"/>
    <col min="12046" max="12046" width="6.33203125" style="3" customWidth="1"/>
    <col min="12047" max="12047" width="0.88671875" style="3" customWidth="1"/>
    <col min="12048" max="12048" width="1.109375" style="3" customWidth="1"/>
    <col min="12049" max="12049" width="6.5546875" style="3" customWidth="1"/>
    <col min="12050" max="12050" width="7.109375" style="3" customWidth="1"/>
    <col min="12051" max="12052" width="1.5546875" style="3" customWidth="1"/>
    <col min="12053" max="12053" width="6.88671875" style="3" customWidth="1"/>
    <col min="12054" max="12054" width="2" style="3" customWidth="1"/>
    <col min="12055" max="12055" width="1.33203125" style="3" customWidth="1"/>
    <col min="12056" max="12056" width="2.109375" style="3" customWidth="1"/>
    <col min="12057" max="12057" width="6.44140625" style="3" customWidth="1"/>
    <col min="12058" max="12060" width="2" style="3" customWidth="1"/>
    <col min="12061" max="12061" width="7.6640625" style="3" customWidth="1"/>
    <col min="12062" max="12062" width="1.33203125" style="3" customWidth="1"/>
    <col min="12063" max="12063" width="1.5546875" style="3" customWidth="1"/>
    <col min="12064" max="12064" width="1.44140625" style="3" customWidth="1"/>
    <col min="12065" max="12065" width="6.109375" style="3" customWidth="1"/>
    <col min="12066" max="12068" width="1" style="3" customWidth="1"/>
    <col min="12069" max="12069" width="6.44140625" style="3" customWidth="1"/>
    <col min="12070" max="12070" width="5.88671875" style="3" customWidth="1"/>
    <col min="12071" max="12071" width="1.44140625" style="3" customWidth="1"/>
    <col min="12072" max="12072" width="1.5546875" style="3" customWidth="1"/>
    <col min="12073" max="12073" width="6.109375" style="3" customWidth="1"/>
    <col min="12074" max="12074" width="7" style="3" customWidth="1"/>
    <col min="12075" max="12075" width="1.109375" style="3" customWidth="1"/>
    <col min="12076" max="12076" width="1.88671875" style="3" customWidth="1"/>
    <col min="12077" max="12077" width="5.88671875" style="3" customWidth="1"/>
    <col min="12078" max="12078" width="1.6640625" style="3" customWidth="1"/>
    <col min="12079" max="12079" width="2.109375" style="3" customWidth="1"/>
    <col min="12080" max="12080" width="1.109375" style="3" customWidth="1"/>
    <col min="12081" max="12081" width="7.33203125" style="3" customWidth="1"/>
    <col min="12082" max="12083" width="2.109375" style="3" customWidth="1"/>
    <col min="12084" max="12084" width="1.6640625" style="3" customWidth="1"/>
    <col min="12085" max="12085" width="5.5546875" style="3" customWidth="1"/>
    <col min="12086" max="12086" width="2" style="3" customWidth="1"/>
    <col min="12087" max="12087" width="1.44140625" style="3" customWidth="1"/>
    <col min="12088" max="12088" width="2" style="3" customWidth="1"/>
    <col min="12089" max="12089" width="6.88671875" style="3" customWidth="1"/>
    <col min="12090" max="12090" width="1.6640625" style="3" customWidth="1"/>
    <col min="12091" max="12091" width="2" style="3" customWidth="1"/>
    <col min="12092" max="12092" width="1.88671875" style="3" customWidth="1"/>
    <col min="12093" max="12093" width="6.88671875" style="3" customWidth="1"/>
    <col min="12094" max="12094" width="1.109375" style="3" customWidth="1"/>
    <col min="12095" max="12095" width="1.33203125" style="3" customWidth="1"/>
    <col min="12096" max="12096" width="1.88671875" style="3" customWidth="1"/>
    <col min="12097" max="12097" width="6.88671875" style="3" customWidth="1"/>
    <col min="12098" max="12098" width="1.44140625" style="3" customWidth="1"/>
    <col min="12099" max="12099" width="1.33203125" style="3" customWidth="1"/>
    <col min="12100" max="12100" width="2.109375" style="3" customWidth="1"/>
    <col min="12101" max="12101" width="5.109375" style="3" customWidth="1"/>
    <col min="12102" max="12102" width="5.5546875" style="3" customWidth="1"/>
    <col min="12103" max="12103" width="1.109375" style="3" customWidth="1"/>
    <col min="12104" max="12104" width="1.44140625" style="3" customWidth="1"/>
    <col min="12105" max="12105" width="6" style="3" customWidth="1"/>
    <col min="12106" max="12106" width="5.88671875" style="3" customWidth="1"/>
    <col min="12107" max="12107" width="1.6640625" style="3" customWidth="1"/>
    <col min="12108" max="12108" width="2.109375" style="3" customWidth="1"/>
    <col min="12109" max="12112" width="5.88671875" style="3" customWidth="1"/>
    <col min="12113" max="12113" width="6" style="3" customWidth="1"/>
    <col min="12114" max="12114" width="1.5546875" style="3" customWidth="1"/>
    <col min="12115" max="12115" width="2.33203125" style="3" customWidth="1"/>
    <col min="12116" max="12116" width="1.5546875" style="3" customWidth="1"/>
    <col min="12117" max="12120" width="6.33203125" style="3" customWidth="1"/>
    <col min="12121" max="12121" width="6.109375" style="3" customWidth="1"/>
    <col min="12122" max="12123" width="1.109375" style="3" customWidth="1"/>
    <col min="12124" max="12124" width="1.33203125" style="3" customWidth="1"/>
    <col min="12125" max="12128" width="5.88671875" style="3" customWidth="1"/>
    <col min="12129" max="12129" width="6.88671875" style="3" customWidth="1"/>
    <col min="12130" max="12130" width="1.33203125" style="3" customWidth="1"/>
    <col min="12131" max="12132" width="1.6640625" style="3" customWidth="1"/>
    <col min="12133" max="12134" width="10.6640625" style="3" bestFit="1" customWidth="1"/>
    <col min="12135" max="12136" width="8.33203125" style="3" customWidth="1"/>
    <col min="12137" max="12137" width="8.6640625" style="3" customWidth="1"/>
    <col min="12138" max="12138" width="8.109375" style="3" customWidth="1"/>
    <col min="12139" max="12140" width="11.33203125" style="3" customWidth="1"/>
    <col min="12141" max="12141" width="10" style="3" customWidth="1"/>
    <col min="12142" max="12289" width="9.109375" style="3"/>
    <col min="12290" max="12290" width="5.5546875" style="3" customWidth="1"/>
    <col min="12291" max="12291" width="21.33203125" style="3" customWidth="1"/>
    <col min="12292" max="12292" width="38.88671875" style="3" customWidth="1"/>
    <col min="12293" max="12293" width="8.33203125" style="3" customWidth="1"/>
    <col min="12294" max="12294" width="6.109375" style="3" customWidth="1"/>
    <col min="12295" max="12295" width="1" style="3" customWidth="1"/>
    <col min="12296" max="12296" width="1.33203125" style="3" customWidth="1"/>
    <col min="12297" max="12297" width="5.109375" style="3" customWidth="1"/>
    <col min="12298" max="12298" width="6.109375" style="3" customWidth="1"/>
    <col min="12299" max="12299" width="0.6640625" style="3" customWidth="1"/>
    <col min="12300" max="12300" width="1" style="3" customWidth="1"/>
    <col min="12301" max="12301" width="4.6640625" style="3" customWidth="1"/>
    <col min="12302" max="12302" width="6.33203125" style="3" customWidth="1"/>
    <col min="12303" max="12303" width="0.88671875" style="3" customWidth="1"/>
    <col min="12304" max="12304" width="1.109375" style="3" customWidth="1"/>
    <col min="12305" max="12305" width="6.5546875" style="3" customWidth="1"/>
    <col min="12306" max="12306" width="7.109375" style="3" customWidth="1"/>
    <col min="12307" max="12308" width="1.5546875" style="3" customWidth="1"/>
    <col min="12309" max="12309" width="6.88671875" style="3" customWidth="1"/>
    <col min="12310" max="12310" width="2" style="3" customWidth="1"/>
    <col min="12311" max="12311" width="1.33203125" style="3" customWidth="1"/>
    <col min="12312" max="12312" width="2.109375" style="3" customWidth="1"/>
    <col min="12313" max="12313" width="6.44140625" style="3" customWidth="1"/>
    <col min="12314" max="12316" width="2" style="3" customWidth="1"/>
    <col min="12317" max="12317" width="7.6640625" style="3" customWidth="1"/>
    <col min="12318" max="12318" width="1.33203125" style="3" customWidth="1"/>
    <col min="12319" max="12319" width="1.5546875" style="3" customWidth="1"/>
    <col min="12320" max="12320" width="1.44140625" style="3" customWidth="1"/>
    <col min="12321" max="12321" width="6.109375" style="3" customWidth="1"/>
    <col min="12322" max="12324" width="1" style="3" customWidth="1"/>
    <col min="12325" max="12325" width="6.44140625" style="3" customWidth="1"/>
    <col min="12326" max="12326" width="5.88671875" style="3" customWidth="1"/>
    <col min="12327" max="12327" width="1.44140625" style="3" customWidth="1"/>
    <col min="12328" max="12328" width="1.5546875" style="3" customWidth="1"/>
    <col min="12329" max="12329" width="6.109375" style="3" customWidth="1"/>
    <col min="12330" max="12330" width="7" style="3" customWidth="1"/>
    <col min="12331" max="12331" width="1.109375" style="3" customWidth="1"/>
    <col min="12332" max="12332" width="1.88671875" style="3" customWidth="1"/>
    <col min="12333" max="12333" width="5.88671875" style="3" customWidth="1"/>
    <col min="12334" max="12334" width="1.6640625" style="3" customWidth="1"/>
    <col min="12335" max="12335" width="2.109375" style="3" customWidth="1"/>
    <col min="12336" max="12336" width="1.109375" style="3" customWidth="1"/>
    <col min="12337" max="12337" width="7.33203125" style="3" customWidth="1"/>
    <col min="12338" max="12339" width="2.109375" style="3" customWidth="1"/>
    <col min="12340" max="12340" width="1.6640625" style="3" customWidth="1"/>
    <col min="12341" max="12341" width="5.5546875" style="3" customWidth="1"/>
    <col min="12342" max="12342" width="2" style="3" customWidth="1"/>
    <col min="12343" max="12343" width="1.44140625" style="3" customWidth="1"/>
    <col min="12344" max="12344" width="2" style="3" customWidth="1"/>
    <col min="12345" max="12345" width="6.88671875" style="3" customWidth="1"/>
    <col min="12346" max="12346" width="1.6640625" style="3" customWidth="1"/>
    <col min="12347" max="12347" width="2" style="3" customWidth="1"/>
    <col min="12348" max="12348" width="1.88671875" style="3" customWidth="1"/>
    <col min="12349" max="12349" width="6.88671875" style="3" customWidth="1"/>
    <col min="12350" max="12350" width="1.109375" style="3" customWidth="1"/>
    <col min="12351" max="12351" width="1.33203125" style="3" customWidth="1"/>
    <col min="12352" max="12352" width="1.88671875" style="3" customWidth="1"/>
    <col min="12353" max="12353" width="6.88671875" style="3" customWidth="1"/>
    <col min="12354" max="12354" width="1.44140625" style="3" customWidth="1"/>
    <col min="12355" max="12355" width="1.33203125" style="3" customWidth="1"/>
    <col min="12356" max="12356" width="2.109375" style="3" customWidth="1"/>
    <col min="12357" max="12357" width="5.109375" style="3" customWidth="1"/>
    <col min="12358" max="12358" width="5.5546875" style="3" customWidth="1"/>
    <col min="12359" max="12359" width="1.109375" style="3" customWidth="1"/>
    <col min="12360" max="12360" width="1.44140625" style="3" customWidth="1"/>
    <col min="12361" max="12361" width="6" style="3" customWidth="1"/>
    <col min="12362" max="12362" width="5.88671875" style="3" customWidth="1"/>
    <col min="12363" max="12363" width="1.6640625" style="3" customWidth="1"/>
    <col min="12364" max="12364" width="2.109375" style="3" customWidth="1"/>
    <col min="12365" max="12368" width="5.88671875" style="3" customWidth="1"/>
    <col min="12369" max="12369" width="6" style="3" customWidth="1"/>
    <col min="12370" max="12370" width="1.5546875" style="3" customWidth="1"/>
    <col min="12371" max="12371" width="2.33203125" style="3" customWidth="1"/>
    <col min="12372" max="12372" width="1.5546875" style="3" customWidth="1"/>
    <col min="12373" max="12376" width="6.33203125" style="3" customWidth="1"/>
    <col min="12377" max="12377" width="6.109375" style="3" customWidth="1"/>
    <col min="12378" max="12379" width="1.109375" style="3" customWidth="1"/>
    <col min="12380" max="12380" width="1.33203125" style="3" customWidth="1"/>
    <col min="12381" max="12384" width="5.88671875" style="3" customWidth="1"/>
    <col min="12385" max="12385" width="6.88671875" style="3" customWidth="1"/>
    <col min="12386" max="12386" width="1.33203125" style="3" customWidth="1"/>
    <col min="12387" max="12388" width="1.6640625" style="3" customWidth="1"/>
    <col min="12389" max="12390" width="10.6640625" style="3" bestFit="1" customWidth="1"/>
    <col min="12391" max="12392" width="8.33203125" style="3" customWidth="1"/>
    <col min="12393" max="12393" width="8.6640625" style="3" customWidth="1"/>
    <col min="12394" max="12394" width="8.109375" style="3" customWidth="1"/>
    <col min="12395" max="12396" width="11.33203125" style="3" customWidth="1"/>
    <col min="12397" max="12397" width="10" style="3" customWidth="1"/>
    <col min="12398" max="12545" width="9.109375" style="3"/>
    <col min="12546" max="12546" width="5.5546875" style="3" customWidth="1"/>
    <col min="12547" max="12547" width="21.33203125" style="3" customWidth="1"/>
    <col min="12548" max="12548" width="38.88671875" style="3" customWidth="1"/>
    <col min="12549" max="12549" width="8.33203125" style="3" customWidth="1"/>
    <col min="12550" max="12550" width="6.109375" style="3" customWidth="1"/>
    <col min="12551" max="12551" width="1" style="3" customWidth="1"/>
    <col min="12552" max="12552" width="1.33203125" style="3" customWidth="1"/>
    <col min="12553" max="12553" width="5.109375" style="3" customWidth="1"/>
    <col min="12554" max="12554" width="6.109375" style="3" customWidth="1"/>
    <col min="12555" max="12555" width="0.6640625" style="3" customWidth="1"/>
    <col min="12556" max="12556" width="1" style="3" customWidth="1"/>
    <col min="12557" max="12557" width="4.6640625" style="3" customWidth="1"/>
    <col min="12558" max="12558" width="6.33203125" style="3" customWidth="1"/>
    <col min="12559" max="12559" width="0.88671875" style="3" customWidth="1"/>
    <col min="12560" max="12560" width="1.109375" style="3" customWidth="1"/>
    <col min="12561" max="12561" width="6.5546875" style="3" customWidth="1"/>
    <col min="12562" max="12562" width="7.109375" style="3" customWidth="1"/>
    <col min="12563" max="12564" width="1.5546875" style="3" customWidth="1"/>
    <col min="12565" max="12565" width="6.88671875" style="3" customWidth="1"/>
    <col min="12566" max="12566" width="2" style="3" customWidth="1"/>
    <col min="12567" max="12567" width="1.33203125" style="3" customWidth="1"/>
    <col min="12568" max="12568" width="2.109375" style="3" customWidth="1"/>
    <col min="12569" max="12569" width="6.44140625" style="3" customWidth="1"/>
    <col min="12570" max="12572" width="2" style="3" customWidth="1"/>
    <col min="12573" max="12573" width="7.6640625" style="3" customWidth="1"/>
    <col min="12574" max="12574" width="1.33203125" style="3" customWidth="1"/>
    <col min="12575" max="12575" width="1.5546875" style="3" customWidth="1"/>
    <col min="12576" max="12576" width="1.44140625" style="3" customWidth="1"/>
    <col min="12577" max="12577" width="6.109375" style="3" customWidth="1"/>
    <col min="12578" max="12580" width="1" style="3" customWidth="1"/>
    <col min="12581" max="12581" width="6.44140625" style="3" customWidth="1"/>
    <col min="12582" max="12582" width="5.88671875" style="3" customWidth="1"/>
    <col min="12583" max="12583" width="1.44140625" style="3" customWidth="1"/>
    <col min="12584" max="12584" width="1.5546875" style="3" customWidth="1"/>
    <col min="12585" max="12585" width="6.109375" style="3" customWidth="1"/>
    <col min="12586" max="12586" width="7" style="3" customWidth="1"/>
    <col min="12587" max="12587" width="1.109375" style="3" customWidth="1"/>
    <col min="12588" max="12588" width="1.88671875" style="3" customWidth="1"/>
    <col min="12589" max="12589" width="5.88671875" style="3" customWidth="1"/>
    <col min="12590" max="12590" width="1.6640625" style="3" customWidth="1"/>
    <col min="12591" max="12591" width="2.109375" style="3" customWidth="1"/>
    <col min="12592" max="12592" width="1.109375" style="3" customWidth="1"/>
    <col min="12593" max="12593" width="7.33203125" style="3" customWidth="1"/>
    <col min="12594" max="12595" width="2.109375" style="3" customWidth="1"/>
    <col min="12596" max="12596" width="1.6640625" style="3" customWidth="1"/>
    <col min="12597" max="12597" width="5.5546875" style="3" customWidth="1"/>
    <col min="12598" max="12598" width="2" style="3" customWidth="1"/>
    <col min="12599" max="12599" width="1.44140625" style="3" customWidth="1"/>
    <col min="12600" max="12600" width="2" style="3" customWidth="1"/>
    <col min="12601" max="12601" width="6.88671875" style="3" customWidth="1"/>
    <col min="12602" max="12602" width="1.6640625" style="3" customWidth="1"/>
    <col min="12603" max="12603" width="2" style="3" customWidth="1"/>
    <col min="12604" max="12604" width="1.88671875" style="3" customWidth="1"/>
    <col min="12605" max="12605" width="6.88671875" style="3" customWidth="1"/>
    <col min="12606" max="12606" width="1.109375" style="3" customWidth="1"/>
    <col min="12607" max="12607" width="1.33203125" style="3" customWidth="1"/>
    <col min="12608" max="12608" width="1.88671875" style="3" customWidth="1"/>
    <col min="12609" max="12609" width="6.88671875" style="3" customWidth="1"/>
    <col min="12610" max="12610" width="1.44140625" style="3" customWidth="1"/>
    <col min="12611" max="12611" width="1.33203125" style="3" customWidth="1"/>
    <col min="12612" max="12612" width="2.109375" style="3" customWidth="1"/>
    <col min="12613" max="12613" width="5.109375" style="3" customWidth="1"/>
    <col min="12614" max="12614" width="5.5546875" style="3" customWidth="1"/>
    <col min="12615" max="12615" width="1.109375" style="3" customWidth="1"/>
    <col min="12616" max="12616" width="1.44140625" style="3" customWidth="1"/>
    <col min="12617" max="12617" width="6" style="3" customWidth="1"/>
    <col min="12618" max="12618" width="5.88671875" style="3" customWidth="1"/>
    <col min="12619" max="12619" width="1.6640625" style="3" customWidth="1"/>
    <col min="12620" max="12620" width="2.109375" style="3" customWidth="1"/>
    <col min="12621" max="12624" width="5.88671875" style="3" customWidth="1"/>
    <col min="12625" max="12625" width="6" style="3" customWidth="1"/>
    <col min="12626" max="12626" width="1.5546875" style="3" customWidth="1"/>
    <col min="12627" max="12627" width="2.33203125" style="3" customWidth="1"/>
    <col min="12628" max="12628" width="1.5546875" style="3" customWidth="1"/>
    <col min="12629" max="12632" width="6.33203125" style="3" customWidth="1"/>
    <col min="12633" max="12633" width="6.109375" style="3" customWidth="1"/>
    <col min="12634" max="12635" width="1.109375" style="3" customWidth="1"/>
    <col min="12636" max="12636" width="1.33203125" style="3" customWidth="1"/>
    <col min="12637" max="12640" width="5.88671875" style="3" customWidth="1"/>
    <col min="12641" max="12641" width="6.88671875" style="3" customWidth="1"/>
    <col min="12642" max="12642" width="1.33203125" style="3" customWidth="1"/>
    <col min="12643" max="12644" width="1.6640625" style="3" customWidth="1"/>
    <col min="12645" max="12646" width="10.6640625" style="3" bestFit="1" customWidth="1"/>
    <col min="12647" max="12648" width="8.33203125" style="3" customWidth="1"/>
    <col min="12649" max="12649" width="8.6640625" style="3" customWidth="1"/>
    <col min="12650" max="12650" width="8.109375" style="3" customWidth="1"/>
    <col min="12651" max="12652" width="11.33203125" style="3" customWidth="1"/>
    <col min="12653" max="12653" width="10" style="3" customWidth="1"/>
    <col min="12654" max="12801" width="9.109375" style="3"/>
    <col min="12802" max="12802" width="5.5546875" style="3" customWidth="1"/>
    <col min="12803" max="12803" width="21.33203125" style="3" customWidth="1"/>
    <col min="12804" max="12804" width="38.88671875" style="3" customWidth="1"/>
    <col min="12805" max="12805" width="8.33203125" style="3" customWidth="1"/>
    <col min="12806" max="12806" width="6.109375" style="3" customWidth="1"/>
    <col min="12807" max="12807" width="1" style="3" customWidth="1"/>
    <col min="12808" max="12808" width="1.33203125" style="3" customWidth="1"/>
    <col min="12809" max="12809" width="5.109375" style="3" customWidth="1"/>
    <col min="12810" max="12810" width="6.109375" style="3" customWidth="1"/>
    <col min="12811" max="12811" width="0.6640625" style="3" customWidth="1"/>
    <col min="12812" max="12812" width="1" style="3" customWidth="1"/>
    <col min="12813" max="12813" width="4.6640625" style="3" customWidth="1"/>
    <col min="12814" max="12814" width="6.33203125" style="3" customWidth="1"/>
    <col min="12815" max="12815" width="0.88671875" style="3" customWidth="1"/>
    <col min="12816" max="12816" width="1.109375" style="3" customWidth="1"/>
    <col min="12817" max="12817" width="6.5546875" style="3" customWidth="1"/>
    <col min="12818" max="12818" width="7.109375" style="3" customWidth="1"/>
    <col min="12819" max="12820" width="1.5546875" style="3" customWidth="1"/>
    <col min="12821" max="12821" width="6.88671875" style="3" customWidth="1"/>
    <col min="12822" max="12822" width="2" style="3" customWidth="1"/>
    <col min="12823" max="12823" width="1.33203125" style="3" customWidth="1"/>
    <col min="12824" max="12824" width="2.109375" style="3" customWidth="1"/>
    <col min="12825" max="12825" width="6.44140625" style="3" customWidth="1"/>
    <col min="12826" max="12828" width="2" style="3" customWidth="1"/>
    <col min="12829" max="12829" width="7.6640625" style="3" customWidth="1"/>
    <col min="12830" max="12830" width="1.33203125" style="3" customWidth="1"/>
    <col min="12831" max="12831" width="1.5546875" style="3" customWidth="1"/>
    <col min="12832" max="12832" width="1.44140625" style="3" customWidth="1"/>
    <col min="12833" max="12833" width="6.109375" style="3" customWidth="1"/>
    <col min="12834" max="12836" width="1" style="3" customWidth="1"/>
    <col min="12837" max="12837" width="6.44140625" style="3" customWidth="1"/>
    <col min="12838" max="12838" width="5.88671875" style="3" customWidth="1"/>
    <col min="12839" max="12839" width="1.44140625" style="3" customWidth="1"/>
    <col min="12840" max="12840" width="1.5546875" style="3" customWidth="1"/>
    <col min="12841" max="12841" width="6.109375" style="3" customWidth="1"/>
    <col min="12842" max="12842" width="7" style="3" customWidth="1"/>
    <col min="12843" max="12843" width="1.109375" style="3" customWidth="1"/>
    <col min="12844" max="12844" width="1.88671875" style="3" customWidth="1"/>
    <col min="12845" max="12845" width="5.88671875" style="3" customWidth="1"/>
    <col min="12846" max="12846" width="1.6640625" style="3" customWidth="1"/>
    <col min="12847" max="12847" width="2.109375" style="3" customWidth="1"/>
    <col min="12848" max="12848" width="1.109375" style="3" customWidth="1"/>
    <col min="12849" max="12849" width="7.33203125" style="3" customWidth="1"/>
    <col min="12850" max="12851" width="2.109375" style="3" customWidth="1"/>
    <col min="12852" max="12852" width="1.6640625" style="3" customWidth="1"/>
    <col min="12853" max="12853" width="5.5546875" style="3" customWidth="1"/>
    <col min="12854" max="12854" width="2" style="3" customWidth="1"/>
    <col min="12855" max="12855" width="1.44140625" style="3" customWidth="1"/>
    <col min="12856" max="12856" width="2" style="3" customWidth="1"/>
    <col min="12857" max="12857" width="6.88671875" style="3" customWidth="1"/>
    <col min="12858" max="12858" width="1.6640625" style="3" customWidth="1"/>
    <col min="12859" max="12859" width="2" style="3" customWidth="1"/>
    <col min="12860" max="12860" width="1.88671875" style="3" customWidth="1"/>
    <col min="12861" max="12861" width="6.88671875" style="3" customWidth="1"/>
    <col min="12862" max="12862" width="1.109375" style="3" customWidth="1"/>
    <col min="12863" max="12863" width="1.33203125" style="3" customWidth="1"/>
    <col min="12864" max="12864" width="1.88671875" style="3" customWidth="1"/>
    <col min="12865" max="12865" width="6.88671875" style="3" customWidth="1"/>
    <col min="12866" max="12866" width="1.44140625" style="3" customWidth="1"/>
    <col min="12867" max="12867" width="1.33203125" style="3" customWidth="1"/>
    <col min="12868" max="12868" width="2.109375" style="3" customWidth="1"/>
    <col min="12869" max="12869" width="5.109375" style="3" customWidth="1"/>
    <col min="12870" max="12870" width="5.5546875" style="3" customWidth="1"/>
    <col min="12871" max="12871" width="1.109375" style="3" customWidth="1"/>
    <col min="12872" max="12872" width="1.44140625" style="3" customWidth="1"/>
    <col min="12873" max="12873" width="6" style="3" customWidth="1"/>
    <col min="12874" max="12874" width="5.88671875" style="3" customWidth="1"/>
    <col min="12875" max="12875" width="1.6640625" style="3" customWidth="1"/>
    <col min="12876" max="12876" width="2.109375" style="3" customWidth="1"/>
    <col min="12877" max="12880" width="5.88671875" style="3" customWidth="1"/>
    <col min="12881" max="12881" width="6" style="3" customWidth="1"/>
    <col min="12882" max="12882" width="1.5546875" style="3" customWidth="1"/>
    <col min="12883" max="12883" width="2.33203125" style="3" customWidth="1"/>
    <col min="12884" max="12884" width="1.5546875" style="3" customWidth="1"/>
    <col min="12885" max="12888" width="6.33203125" style="3" customWidth="1"/>
    <col min="12889" max="12889" width="6.109375" style="3" customWidth="1"/>
    <col min="12890" max="12891" width="1.109375" style="3" customWidth="1"/>
    <col min="12892" max="12892" width="1.33203125" style="3" customWidth="1"/>
    <col min="12893" max="12896" width="5.88671875" style="3" customWidth="1"/>
    <col min="12897" max="12897" width="6.88671875" style="3" customWidth="1"/>
    <col min="12898" max="12898" width="1.33203125" style="3" customWidth="1"/>
    <col min="12899" max="12900" width="1.6640625" style="3" customWidth="1"/>
    <col min="12901" max="12902" width="10.6640625" style="3" bestFit="1" customWidth="1"/>
    <col min="12903" max="12904" width="8.33203125" style="3" customWidth="1"/>
    <col min="12905" max="12905" width="8.6640625" style="3" customWidth="1"/>
    <col min="12906" max="12906" width="8.109375" style="3" customWidth="1"/>
    <col min="12907" max="12908" width="11.33203125" style="3" customWidth="1"/>
    <col min="12909" max="12909" width="10" style="3" customWidth="1"/>
    <col min="12910" max="13057" width="9.109375" style="3"/>
    <col min="13058" max="13058" width="5.5546875" style="3" customWidth="1"/>
    <col min="13059" max="13059" width="21.33203125" style="3" customWidth="1"/>
    <col min="13060" max="13060" width="38.88671875" style="3" customWidth="1"/>
    <col min="13061" max="13061" width="8.33203125" style="3" customWidth="1"/>
    <col min="13062" max="13062" width="6.109375" style="3" customWidth="1"/>
    <col min="13063" max="13063" width="1" style="3" customWidth="1"/>
    <col min="13064" max="13064" width="1.33203125" style="3" customWidth="1"/>
    <col min="13065" max="13065" width="5.109375" style="3" customWidth="1"/>
    <col min="13066" max="13066" width="6.109375" style="3" customWidth="1"/>
    <col min="13067" max="13067" width="0.6640625" style="3" customWidth="1"/>
    <col min="13068" max="13068" width="1" style="3" customWidth="1"/>
    <col min="13069" max="13069" width="4.6640625" style="3" customWidth="1"/>
    <col min="13070" max="13070" width="6.33203125" style="3" customWidth="1"/>
    <col min="13071" max="13071" width="0.88671875" style="3" customWidth="1"/>
    <col min="13072" max="13072" width="1.109375" style="3" customWidth="1"/>
    <col min="13073" max="13073" width="6.5546875" style="3" customWidth="1"/>
    <col min="13074" max="13074" width="7.109375" style="3" customWidth="1"/>
    <col min="13075" max="13076" width="1.5546875" style="3" customWidth="1"/>
    <col min="13077" max="13077" width="6.88671875" style="3" customWidth="1"/>
    <col min="13078" max="13078" width="2" style="3" customWidth="1"/>
    <col min="13079" max="13079" width="1.33203125" style="3" customWidth="1"/>
    <col min="13080" max="13080" width="2.109375" style="3" customWidth="1"/>
    <col min="13081" max="13081" width="6.44140625" style="3" customWidth="1"/>
    <col min="13082" max="13084" width="2" style="3" customWidth="1"/>
    <col min="13085" max="13085" width="7.6640625" style="3" customWidth="1"/>
    <col min="13086" max="13086" width="1.33203125" style="3" customWidth="1"/>
    <col min="13087" max="13087" width="1.5546875" style="3" customWidth="1"/>
    <col min="13088" max="13088" width="1.44140625" style="3" customWidth="1"/>
    <col min="13089" max="13089" width="6.109375" style="3" customWidth="1"/>
    <col min="13090" max="13092" width="1" style="3" customWidth="1"/>
    <col min="13093" max="13093" width="6.44140625" style="3" customWidth="1"/>
    <col min="13094" max="13094" width="5.88671875" style="3" customWidth="1"/>
    <col min="13095" max="13095" width="1.44140625" style="3" customWidth="1"/>
    <col min="13096" max="13096" width="1.5546875" style="3" customWidth="1"/>
    <col min="13097" max="13097" width="6.109375" style="3" customWidth="1"/>
    <col min="13098" max="13098" width="7" style="3" customWidth="1"/>
    <col min="13099" max="13099" width="1.109375" style="3" customWidth="1"/>
    <col min="13100" max="13100" width="1.88671875" style="3" customWidth="1"/>
    <col min="13101" max="13101" width="5.88671875" style="3" customWidth="1"/>
    <col min="13102" max="13102" width="1.6640625" style="3" customWidth="1"/>
    <col min="13103" max="13103" width="2.109375" style="3" customWidth="1"/>
    <col min="13104" max="13104" width="1.109375" style="3" customWidth="1"/>
    <col min="13105" max="13105" width="7.33203125" style="3" customWidth="1"/>
    <col min="13106" max="13107" width="2.109375" style="3" customWidth="1"/>
    <col min="13108" max="13108" width="1.6640625" style="3" customWidth="1"/>
    <col min="13109" max="13109" width="5.5546875" style="3" customWidth="1"/>
    <col min="13110" max="13110" width="2" style="3" customWidth="1"/>
    <col min="13111" max="13111" width="1.44140625" style="3" customWidth="1"/>
    <col min="13112" max="13112" width="2" style="3" customWidth="1"/>
    <col min="13113" max="13113" width="6.88671875" style="3" customWidth="1"/>
    <col min="13114" max="13114" width="1.6640625" style="3" customWidth="1"/>
    <col min="13115" max="13115" width="2" style="3" customWidth="1"/>
    <col min="13116" max="13116" width="1.88671875" style="3" customWidth="1"/>
    <col min="13117" max="13117" width="6.88671875" style="3" customWidth="1"/>
    <col min="13118" max="13118" width="1.109375" style="3" customWidth="1"/>
    <col min="13119" max="13119" width="1.33203125" style="3" customWidth="1"/>
    <col min="13120" max="13120" width="1.88671875" style="3" customWidth="1"/>
    <col min="13121" max="13121" width="6.88671875" style="3" customWidth="1"/>
    <col min="13122" max="13122" width="1.44140625" style="3" customWidth="1"/>
    <col min="13123" max="13123" width="1.33203125" style="3" customWidth="1"/>
    <col min="13124" max="13124" width="2.109375" style="3" customWidth="1"/>
    <col min="13125" max="13125" width="5.109375" style="3" customWidth="1"/>
    <col min="13126" max="13126" width="5.5546875" style="3" customWidth="1"/>
    <col min="13127" max="13127" width="1.109375" style="3" customWidth="1"/>
    <col min="13128" max="13128" width="1.44140625" style="3" customWidth="1"/>
    <col min="13129" max="13129" width="6" style="3" customWidth="1"/>
    <col min="13130" max="13130" width="5.88671875" style="3" customWidth="1"/>
    <col min="13131" max="13131" width="1.6640625" style="3" customWidth="1"/>
    <col min="13132" max="13132" width="2.109375" style="3" customWidth="1"/>
    <col min="13133" max="13136" width="5.88671875" style="3" customWidth="1"/>
    <col min="13137" max="13137" width="6" style="3" customWidth="1"/>
    <col min="13138" max="13138" width="1.5546875" style="3" customWidth="1"/>
    <col min="13139" max="13139" width="2.33203125" style="3" customWidth="1"/>
    <col min="13140" max="13140" width="1.5546875" style="3" customWidth="1"/>
    <col min="13141" max="13144" width="6.33203125" style="3" customWidth="1"/>
    <col min="13145" max="13145" width="6.109375" style="3" customWidth="1"/>
    <col min="13146" max="13147" width="1.109375" style="3" customWidth="1"/>
    <col min="13148" max="13148" width="1.33203125" style="3" customWidth="1"/>
    <col min="13149" max="13152" width="5.88671875" style="3" customWidth="1"/>
    <col min="13153" max="13153" width="6.88671875" style="3" customWidth="1"/>
    <col min="13154" max="13154" width="1.33203125" style="3" customWidth="1"/>
    <col min="13155" max="13156" width="1.6640625" style="3" customWidth="1"/>
    <col min="13157" max="13158" width="10.6640625" style="3" bestFit="1" customWidth="1"/>
    <col min="13159" max="13160" width="8.33203125" style="3" customWidth="1"/>
    <col min="13161" max="13161" width="8.6640625" style="3" customWidth="1"/>
    <col min="13162" max="13162" width="8.109375" style="3" customWidth="1"/>
    <col min="13163" max="13164" width="11.33203125" style="3" customWidth="1"/>
    <col min="13165" max="13165" width="10" style="3" customWidth="1"/>
    <col min="13166" max="13313" width="9.109375" style="3"/>
    <col min="13314" max="13314" width="5.5546875" style="3" customWidth="1"/>
    <col min="13315" max="13315" width="21.33203125" style="3" customWidth="1"/>
    <col min="13316" max="13316" width="38.88671875" style="3" customWidth="1"/>
    <col min="13317" max="13317" width="8.33203125" style="3" customWidth="1"/>
    <col min="13318" max="13318" width="6.109375" style="3" customWidth="1"/>
    <col min="13319" max="13319" width="1" style="3" customWidth="1"/>
    <col min="13320" max="13320" width="1.33203125" style="3" customWidth="1"/>
    <col min="13321" max="13321" width="5.109375" style="3" customWidth="1"/>
    <col min="13322" max="13322" width="6.109375" style="3" customWidth="1"/>
    <col min="13323" max="13323" width="0.6640625" style="3" customWidth="1"/>
    <col min="13324" max="13324" width="1" style="3" customWidth="1"/>
    <col min="13325" max="13325" width="4.6640625" style="3" customWidth="1"/>
    <col min="13326" max="13326" width="6.33203125" style="3" customWidth="1"/>
    <col min="13327" max="13327" width="0.88671875" style="3" customWidth="1"/>
    <col min="13328" max="13328" width="1.109375" style="3" customWidth="1"/>
    <col min="13329" max="13329" width="6.5546875" style="3" customWidth="1"/>
    <col min="13330" max="13330" width="7.109375" style="3" customWidth="1"/>
    <col min="13331" max="13332" width="1.5546875" style="3" customWidth="1"/>
    <col min="13333" max="13333" width="6.88671875" style="3" customWidth="1"/>
    <col min="13334" max="13334" width="2" style="3" customWidth="1"/>
    <col min="13335" max="13335" width="1.33203125" style="3" customWidth="1"/>
    <col min="13336" max="13336" width="2.109375" style="3" customWidth="1"/>
    <col min="13337" max="13337" width="6.44140625" style="3" customWidth="1"/>
    <col min="13338" max="13340" width="2" style="3" customWidth="1"/>
    <col min="13341" max="13341" width="7.6640625" style="3" customWidth="1"/>
    <col min="13342" max="13342" width="1.33203125" style="3" customWidth="1"/>
    <col min="13343" max="13343" width="1.5546875" style="3" customWidth="1"/>
    <col min="13344" max="13344" width="1.44140625" style="3" customWidth="1"/>
    <col min="13345" max="13345" width="6.109375" style="3" customWidth="1"/>
    <col min="13346" max="13348" width="1" style="3" customWidth="1"/>
    <col min="13349" max="13349" width="6.44140625" style="3" customWidth="1"/>
    <col min="13350" max="13350" width="5.88671875" style="3" customWidth="1"/>
    <col min="13351" max="13351" width="1.44140625" style="3" customWidth="1"/>
    <col min="13352" max="13352" width="1.5546875" style="3" customWidth="1"/>
    <col min="13353" max="13353" width="6.109375" style="3" customWidth="1"/>
    <col min="13354" max="13354" width="7" style="3" customWidth="1"/>
    <col min="13355" max="13355" width="1.109375" style="3" customWidth="1"/>
    <col min="13356" max="13356" width="1.88671875" style="3" customWidth="1"/>
    <col min="13357" max="13357" width="5.88671875" style="3" customWidth="1"/>
    <col min="13358" max="13358" width="1.6640625" style="3" customWidth="1"/>
    <col min="13359" max="13359" width="2.109375" style="3" customWidth="1"/>
    <col min="13360" max="13360" width="1.109375" style="3" customWidth="1"/>
    <col min="13361" max="13361" width="7.33203125" style="3" customWidth="1"/>
    <col min="13362" max="13363" width="2.109375" style="3" customWidth="1"/>
    <col min="13364" max="13364" width="1.6640625" style="3" customWidth="1"/>
    <col min="13365" max="13365" width="5.5546875" style="3" customWidth="1"/>
    <col min="13366" max="13366" width="2" style="3" customWidth="1"/>
    <col min="13367" max="13367" width="1.44140625" style="3" customWidth="1"/>
    <col min="13368" max="13368" width="2" style="3" customWidth="1"/>
    <col min="13369" max="13369" width="6.88671875" style="3" customWidth="1"/>
    <col min="13370" max="13370" width="1.6640625" style="3" customWidth="1"/>
    <col min="13371" max="13371" width="2" style="3" customWidth="1"/>
    <col min="13372" max="13372" width="1.88671875" style="3" customWidth="1"/>
    <col min="13373" max="13373" width="6.88671875" style="3" customWidth="1"/>
    <col min="13374" max="13374" width="1.109375" style="3" customWidth="1"/>
    <col min="13375" max="13375" width="1.33203125" style="3" customWidth="1"/>
    <col min="13376" max="13376" width="1.88671875" style="3" customWidth="1"/>
    <col min="13377" max="13377" width="6.88671875" style="3" customWidth="1"/>
    <col min="13378" max="13378" width="1.44140625" style="3" customWidth="1"/>
    <col min="13379" max="13379" width="1.33203125" style="3" customWidth="1"/>
    <col min="13380" max="13380" width="2.109375" style="3" customWidth="1"/>
    <col min="13381" max="13381" width="5.109375" style="3" customWidth="1"/>
    <col min="13382" max="13382" width="5.5546875" style="3" customWidth="1"/>
    <col min="13383" max="13383" width="1.109375" style="3" customWidth="1"/>
    <col min="13384" max="13384" width="1.44140625" style="3" customWidth="1"/>
    <col min="13385" max="13385" width="6" style="3" customWidth="1"/>
    <col min="13386" max="13386" width="5.88671875" style="3" customWidth="1"/>
    <col min="13387" max="13387" width="1.6640625" style="3" customWidth="1"/>
    <col min="13388" max="13388" width="2.109375" style="3" customWidth="1"/>
    <col min="13389" max="13392" width="5.88671875" style="3" customWidth="1"/>
    <col min="13393" max="13393" width="6" style="3" customWidth="1"/>
    <col min="13394" max="13394" width="1.5546875" style="3" customWidth="1"/>
    <col min="13395" max="13395" width="2.33203125" style="3" customWidth="1"/>
    <col min="13396" max="13396" width="1.5546875" style="3" customWidth="1"/>
    <col min="13397" max="13400" width="6.33203125" style="3" customWidth="1"/>
    <col min="13401" max="13401" width="6.109375" style="3" customWidth="1"/>
    <col min="13402" max="13403" width="1.109375" style="3" customWidth="1"/>
    <col min="13404" max="13404" width="1.33203125" style="3" customWidth="1"/>
    <col min="13405" max="13408" width="5.88671875" style="3" customWidth="1"/>
    <col min="13409" max="13409" width="6.88671875" style="3" customWidth="1"/>
    <col min="13410" max="13410" width="1.33203125" style="3" customWidth="1"/>
    <col min="13411" max="13412" width="1.6640625" style="3" customWidth="1"/>
    <col min="13413" max="13414" width="10.6640625" style="3" bestFit="1" customWidth="1"/>
    <col min="13415" max="13416" width="8.33203125" style="3" customWidth="1"/>
    <col min="13417" max="13417" width="8.6640625" style="3" customWidth="1"/>
    <col min="13418" max="13418" width="8.109375" style="3" customWidth="1"/>
    <col min="13419" max="13420" width="11.33203125" style="3" customWidth="1"/>
    <col min="13421" max="13421" width="10" style="3" customWidth="1"/>
    <col min="13422" max="13569" width="9.109375" style="3"/>
    <col min="13570" max="13570" width="5.5546875" style="3" customWidth="1"/>
    <col min="13571" max="13571" width="21.33203125" style="3" customWidth="1"/>
    <col min="13572" max="13572" width="38.88671875" style="3" customWidth="1"/>
    <col min="13573" max="13573" width="8.33203125" style="3" customWidth="1"/>
    <col min="13574" max="13574" width="6.109375" style="3" customWidth="1"/>
    <col min="13575" max="13575" width="1" style="3" customWidth="1"/>
    <col min="13576" max="13576" width="1.33203125" style="3" customWidth="1"/>
    <col min="13577" max="13577" width="5.109375" style="3" customWidth="1"/>
    <col min="13578" max="13578" width="6.109375" style="3" customWidth="1"/>
    <col min="13579" max="13579" width="0.6640625" style="3" customWidth="1"/>
    <col min="13580" max="13580" width="1" style="3" customWidth="1"/>
    <col min="13581" max="13581" width="4.6640625" style="3" customWidth="1"/>
    <col min="13582" max="13582" width="6.33203125" style="3" customWidth="1"/>
    <col min="13583" max="13583" width="0.88671875" style="3" customWidth="1"/>
    <col min="13584" max="13584" width="1.109375" style="3" customWidth="1"/>
    <col min="13585" max="13585" width="6.5546875" style="3" customWidth="1"/>
    <col min="13586" max="13586" width="7.109375" style="3" customWidth="1"/>
    <col min="13587" max="13588" width="1.5546875" style="3" customWidth="1"/>
    <col min="13589" max="13589" width="6.88671875" style="3" customWidth="1"/>
    <col min="13590" max="13590" width="2" style="3" customWidth="1"/>
    <col min="13591" max="13591" width="1.33203125" style="3" customWidth="1"/>
    <col min="13592" max="13592" width="2.109375" style="3" customWidth="1"/>
    <col min="13593" max="13593" width="6.44140625" style="3" customWidth="1"/>
    <col min="13594" max="13596" width="2" style="3" customWidth="1"/>
    <col min="13597" max="13597" width="7.6640625" style="3" customWidth="1"/>
    <col min="13598" max="13598" width="1.33203125" style="3" customWidth="1"/>
    <col min="13599" max="13599" width="1.5546875" style="3" customWidth="1"/>
    <col min="13600" max="13600" width="1.44140625" style="3" customWidth="1"/>
    <col min="13601" max="13601" width="6.109375" style="3" customWidth="1"/>
    <col min="13602" max="13604" width="1" style="3" customWidth="1"/>
    <col min="13605" max="13605" width="6.44140625" style="3" customWidth="1"/>
    <col min="13606" max="13606" width="5.88671875" style="3" customWidth="1"/>
    <col min="13607" max="13607" width="1.44140625" style="3" customWidth="1"/>
    <col min="13608" max="13608" width="1.5546875" style="3" customWidth="1"/>
    <col min="13609" max="13609" width="6.109375" style="3" customWidth="1"/>
    <col min="13610" max="13610" width="7" style="3" customWidth="1"/>
    <col min="13611" max="13611" width="1.109375" style="3" customWidth="1"/>
    <col min="13612" max="13612" width="1.88671875" style="3" customWidth="1"/>
    <col min="13613" max="13613" width="5.88671875" style="3" customWidth="1"/>
    <col min="13614" max="13614" width="1.6640625" style="3" customWidth="1"/>
    <col min="13615" max="13615" width="2.109375" style="3" customWidth="1"/>
    <col min="13616" max="13616" width="1.109375" style="3" customWidth="1"/>
    <col min="13617" max="13617" width="7.33203125" style="3" customWidth="1"/>
    <col min="13618" max="13619" width="2.109375" style="3" customWidth="1"/>
    <col min="13620" max="13620" width="1.6640625" style="3" customWidth="1"/>
    <col min="13621" max="13621" width="5.5546875" style="3" customWidth="1"/>
    <col min="13622" max="13622" width="2" style="3" customWidth="1"/>
    <col min="13623" max="13623" width="1.44140625" style="3" customWidth="1"/>
    <col min="13624" max="13624" width="2" style="3" customWidth="1"/>
    <col min="13625" max="13625" width="6.88671875" style="3" customWidth="1"/>
    <col min="13626" max="13626" width="1.6640625" style="3" customWidth="1"/>
    <col min="13627" max="13627" width="2" style="3" customWidth="1"/>
    <col min="13628" max="13628" width="1.88671875" style="3" customWidth="1"/>
    <col min="13629" max="13629" width="6.88671875" style="3" customWidth="1"/>
    <col min="13630" max="13630" width="1.109375" style="3" customWidth="1"/>
    <col min="13631" max="13631" width="1.33203125" style="3" customWidth="1"/>
    <col min="13632" max="13632" width="1.88671875" style="3" customWidth="1"/>
    <col min="13633" max="13633" width="6.88671875" style="3" customWidth="1"/>
    <col min="13634" max="13634" width="1.44140625" style="3" customWidth="1"/>
    <col min="13635" max="13635" width="1.33203125" style="3" customWidth="1"/>
    <col min="13636" max="13636" width="2.109375" style="3" customWidth="1"/>
    <col min="13637" max="13637" width="5.109375" style="3" customWidth="1"/>
    <col min="13638" max="13638" width="5.5546875" style="3" customWidth="1"/>
    <col min="13639" max="13639" width="1.109375" style="3" customWidth="1"/>
    <col min="13640" max="13640" width="1.44140625" style="3" customWidth="1"/>
    <col min="13641" max="13641" width="6" style="3" customWidth="1"/>
    <col min="13642" max="13642" width="5.88671875" style="3" customWidth="1"/>
    <col min="13643" max="13643" width="1.6640625" style="3" customWidth="1"/>
    <col min="13644" max="13644" width="2.109375" style="3" customWidth="1"/>
    <col min="13645" max="13648" width="5.88671875" style="3" customWidth="1"/>
    <col min="13649" max="13649" width="6" style="3" customWidth="1"/>
    <col min="13650" max="13650" width="1.5546875" style="3" customWidth="1"/>
    <col min="13651" max="13651" width="2.33203125" style="3" customWidth="1"/>
    <col min="13652" max="13652" width="1.5546875" style="3" customWidth="1"/>
    <col min="13653" max="13656" width="6.33203125" style="3" customWidth="1"/>
    <col min="13657" max="13657" width="6.109375" style="3" customWidth="1"/>
    <col min="13658" max="13659" width="1.109375" style="3" customWidth="1"/>
    <col min="13660" max="13660" width="1.33203125" style="3" customWidth="1"/>
    <col min="13661" max="13664" width="5.88671875" style="3" customWidth="1"/>
    <col min="13665" max="13665" width="6.88671875" style="3" customWidth="1"/>
    <col min="13666" max="13666" width="1.33203125" style="3" customWidth="1"/>
    <col min="13667" max="13668" width="1.6640625" style="3" customWidth="1"/>
    <col min="13669" max="13670" width="10.6640625" style="3" bestFit="1" customWidth="1"/>
    <col min="13671" max="13672" width="8.33203125" style="3" customWidth="1"/>
    <col min="13673" max="13673" width="8.6640625" style="3" customWidth="1"/>
    <col min="13674" max="13674" width="8.109375" style="3" customWidth="1"/>
    <col min="13675" max="13676" width="11.33203125" style="3" customWidth="1"/>
    <col min="13677" max="13677" width="10" style="3" customWidth="1"/>
    <col min="13678" max="13825" width="9.109375" style="3"/>
    <col min="13826" max="13826" width="5.5546875" style="3" customWidth="1"/>
    <col min="13827" max="13827" width="21.33203125" style="3" customWidth="1"/>
    <col min="13828" max="13828" width="38.88671875" style="3" customWidth="1"/>
    <col min="13829" max="13829" width="8.33203125" style="3" customWidth="1"/>
    <col min="13830" max="13830" width="6.109375" style="3" customWidth="1"/>
    <col min="13831" max="13831" width="1" style="3" customWidth="1"/>
    <col min="13832" max="13832" width="1.33203125" style="3" customWidth="1"/>
    <col min="13833" max="13833" width="5.109375" style="3" customWidth="1"/>
    <col min="13834" max="13834" width="6.109375" style="3" customWidth="1"/>
    <col min="13835" max="13835" width="0.6640625" style="3" customWidth="1"/>
    <col min="13836" max="13836" width="1" style="3" customWidth="1"/>
    <col min="13837" max="13837" width="4.6640625" style="3" customWidth="1"/>
    <col min="13838" max="13838" width="6.33203125" style="3" customWidth="1"/>
    <col min="13839" max="13839" width="0.88671875" style="3" customWidth="1"/>
    <col min="13840" max="13840" width="1.109375" style="3" customWidth="1"/>
    <col min="13841" max="13841" width="6.5546875" style="3" customWidth="1"/>
    <col min="13842" max="13842" width="7.109375" style="3" customWidth="1"/>
    <col min="13843" max="13844" width="1.5546875" style="3" customWidth="1"/>
    <col min="13845" max="13845" width="6.88671875" style="3" customWidth="1"/>
    <col min="13846" max="13846" width="2" style="3" customWidth="1"/>
    <col min="13847" max="13847" width="1.33203125" style="3" customWidth="1"/>
    <col min="13848" max="13848" width="2.109375" style="3" customWidth="1"/>
    <col min="13849" max="13849" width="6.44140625" style="3" customWidth="1"/>
    <col min="13850" max="13852" width="2" style="3" customWidth="1"/>
    <col min="13853" max="13853" width="7.6640625" style="3" customWidth="1"/>
    <col min="13854" max="13854" width="1.33203125" style="3" customWidth="1"/>
    <col min="13855" max="13855" width="1.5546875" style="3" customWidth="1"/>
    <col min="13856" max="13856" width="1.44140625" style="3" customWidth="1"/>
    <col min="13857" max="13857" width="6.109375" style="3" customWidth="1"/>
    <col min="13858" max="13860" width="1" style="3" customWidth="1"/>
    <col min="13861" max="13861" width="6.44140625" style="3" customWidth="1"/>
    <col min="13862" max="13862" width="5.88671875" style="3" customWidth="1"/>
    <col min="13863" max="13863" width="1.44140625" style="3" customWidth="1"/>
    <col min="13864" max="13864" width="1.5546875" style="3" customWidth="1"/>
    <col min="13865" max="13865" width="6.109375" style="3" customWidth="1"/>
    <col min="13866" max="13866" width="7" style="3" customWidth="1"/>
    <col min="13867" max="13867" width="1.109375" style="3" customWidth="1"/>
    <col min="13868" max="13868" width="1.88671875" style="3" customWidth="1"/>
    <col min="13869" max="13869" width="5.88671875" style="3" customWidth="1"/>
    <col min="13870" max="13870" width="1.6640625" style="3" customWidth="1"/>
    <col min="13871" max="13871" width="2.109375" style="3" customWidth="1"/>
    <col min="13872" max="13872" width="1.109375" style="3" customWidth="1"/>
    <col min="13873" max="13873" width="7.33203125" style="3" customWidth="1"/>
    <col min="13874" max="13875" width="2.109375" style="3" customWidth="1"/>
    <col min="13876" max="13876" width="1.6640625" style="3" customWidth="1"/>
    <col min="13877" max="13877" width="5.5546875" style="3" customWidth="1"/>
    <col min="13878" max="13878" width="2" style="3" customWidth="1"/>
    <col min="13879" max="13879" width="1.44140625" style="3" customWidth="1"/>
    <col min="13880" max="13880" width="2" style="3" customWidth="1"/>
    <col min="13881" max="13881" width="6.88671875" style="3" customWidth="1"/>
    <col min="13882" max="13882" width="1.6640625" style="3" customWidth="1"/>
    <col min="13883" max="13883" width="2" style="3" customWidth="1"/>
    <col min="13884" max="13884" width="1.88671875" style="3" customWidth="1"/>
    <col min="13885" max="13885" width="6.88671875" style="3" customWidth="1"/>
    <col min="13886" max="13886" width="1.109375" style="3" customWidth="1"/>
    <col min="13887" max="13887" width="1.33203125" style="3" customWidth="1"/>
    <col min="13888" max="13888" width="1.88671875" style="3" customWidth="1"/>
    <col min="13889" max="13889" width="6.88671875" style="3" customWidth="1"/>
    <col min="13890" max="13890" width="1.44140625" style="3" customWidth="1"/>
    <col min="13891" max="13891" width="1.33203125" style="3" customWidth="1"/>
    <col min="13892" max="13892" width="2.109375" style="3" customWidth="1"/>
    <col min="13893" max="13893" width="5.109375" style="3" customWidth="1"/>
    <col min="13894" max="13894" width="5.5546875" style="3" customWidth="1"/>
    <col min="13895" max="13895" width="1.109375" style="3" customWidth="1"/>
    <col min="13896" max="13896" width="1.44140625" style="3" customWidth="1"/>
    <col min="13897" max="13897" width="6" style="3" customWidth="1"/>
    <col min="13898" max="13898" width="5.88671875" style="3" customWidth="1"/>
    <col min="13899" max="13899" width="1.6640625" style="3" customWidth="1"/>
    <col min="13900" max="13900" width="2.109375" style="3" customWidth="1"/>
    <col min="13901" max="13904" width="5.88671875" style="3" customWidth="1"/>
    <col min="13905" max="13905" width="6" style="3" customWidth="1"/>
    <col min="13906" max="13906" width="1.5546875" style="3" customWidth="1"/>
    <col min="13907" max="13907" width="2.33203125" style="3" customWidth="1"/>
    <col min="13908" max="13908" width="1.5546875" style="3" customWidth="1"/>
    <col min="13909" max="13912" width="6.33203125" style="3" customWidth="1"/>
    <col min="13913" max="13913" width="6.109375" style="3" customWidth="1"/>
    <col min="13914" max="13915" width="1.109375" style="3" customWidth="1"/>
    <col min="13916" max="13916" width="1.33203125" style="3" customWidth="1"/>
    <col min="13917" max="13920" width="5.88671875" style="3" customWidth="1"/>
    <col min="13921" max="13921" width="6.88671875" style="3" customWidth="1"/>
    <col min="13922" max="13922" width="1.33203125" style="3" customWidth="1"/>
    <col min="13923" max="13924" width="1.6640625" style="3" customWidth="1"/>
    <col min="13925" max="13926" width="10.6640625" style="3" bestFit="1" customWidth="1"/>
    <col min="13927" max="13928" width="8.33203125" style="3" customWidth="1"/>
    <col min="13929" max="13929" width="8.6640625" style="3" customWidth="1"/>
    <col min="13930" max="13930" width="8.109375" style="3" customWidth="1"/>
    <col min="13931" max="13932" width="11.33203125" style="3" customWidth="1"/>
    <col min="13933" max="13933" width="10" style="3" customWidth="1"/>
    <col min="13934" max="14081" width="9.109375" style="3"/>
    <col min="14082" max="14082" width="5.5546875" style="3" customWidth="1"/>
    <col min="14083" max="14083" width="21.33203125" style="3" customWidth="1"/>
    <col min="14084" max="14084" width="38.88671875" style="3" customWidth="1"/>
    <col min="14085" max="14085" width="8.33203125" style="3" customWidth="1"/>
    <col min="14086" max="14086" width="6.109375" style="3" customWidth="1"/>
    <col min="14087" max="14087" width="1" style="3" customWidth="1"/>
    <col min="14088" max="14088" width="1.33203125" style="3" customWidth="1"/>
    <col min="14089" max="14089" width="5.109375" style="3" customWidth="1"/>
    <col min="14090" max="14090" width="6.109375" style="3" customWidth="1"/>
    <col min="14091" max="14091" width="0.6640625" style="3" customWidth="1"/>
    <col min="14092" max="14092" width="1" style="3" customWidth="1"/>
    <col min="14093" max="14093" width="4.6640625" style="3" customWidth="1"/>
    <col min="14094" max="14094" width="6.33203125" style="3" customWidth="1"/>
    <col min="14095" max="14095" width="0.88671875" style="3" customWidth="1"/>
    <col min="14096" max="14096" width="1.109375" style="3" customWidth="1"/>
    <col min="14097" max="14097" width="6.5546875" style="3" customWidth="1"/>
    <col min="14098" max="14098" width="7.109375" style="3" customWidth="1"/>
    <col min="14099" max="14100" width="1.5546875" style="3" customWidth="1"/>
    <col min="14101" max="14101" width="6.88671875" style="3" customWidth="1"/>
    <col min="14102" max="14102" width="2" style="3" customWidth="1"/>
    <col min="14103" max="14103" width="1.33203125" style="3" customWidth="1"/>
    <col min="14104" max="14104" width="2.109375" style="3" customWidth="1"/>
    <col min="14105" max="14105" width="6.44140625" style="3" customWidth="1"/>
    <col min="14106" max="14108" width="2" style="3" customWidth="1"/>
    <col min="14109" max="14109" width="7.6640625" style="3" customWidth="1"/>
    <col min="14110" max="14110" width="1.33203125" style="3" customWidth="1"/>
    <col min="14111" max="14111" width="1.5546875" style="3" customWidth="1"/>
    <col min="14112" max="14112" width="1.44140625" style="3" customWidth="1"/>
    <col min="14113" max="14113" width="6.109375" style="3" customWidth="1"/>
    <col min="14114" max="14116" width="1" style="3" customWidth="1"/>
    <col min="14117" max="14117" width="6.44140625" style="3" customWidth="1"/>
    <col min="14118" max="14118" width="5.88671875" style="3" customWidth="1"/>
    <col min="14119" max="14119" width="1.44140625" style="3" customWidth="1"/>
    <col min="14120" max="14120" width="1.5546875" style="3" customWidth="1"/>
    <col min="14121" max="14121" width="6.109375" style="3" customWidth="1"/>
    <col min="14122" max="14122" width="7" style="3" customWidth="1"/>
    <col min="14123" max="14123" width="1.109375" style="3" customWidth="1"/>
    <col min="14124" max="14124" width="1.88671875" style="3" customWidth="1"/>
    <col min="14125" max="14125" width="5.88671875" style="3" customWidth="1"/>
    <col min="14126" max="14126" width="1.6640625" style="3" customWidth="1"/>
    <col min="14127" max="14127" width="2.109375" style="3" customWidth="1"/>
    <col min="14128" max="14128" width="1.109375" style="3" customWidth="1"/>
    <col min="14129" max="14129" width="7.33203125" style="3" customWidth="1"/>
    <col min="14130" max="14131" width="2.109375" style="3" customWidth="1"/>
    <col min="14132" max="14132" width="1.6640625" style="3" customWidth="1"/>
    <col min="14133" max="14133" width="5.5546875" style="3" customWidth="1"/>
    <col min="14134" max="14134" width="2" style="3" customWidth="1"/>
    <col min="14135" max="14135" width="1.44140625" style="3" customWidth="1"/>
    <col min="14136" max="14136" width="2" style="3" customWidth="1"/>
    <col min="14137" max="14137" width="6.88671875" style="3" customWidth="1"/>
    <col min="14138" max="14138" width="1.6640625" style="3" customWidth="1"/>
    <col min="14139" max="14139" width="2" style="3" customWidth="1"/>
    <col min="14140" max="14140" width="1.88671875" style="3" customWidth="1"/>
    <col min="14141" max="14141" width="6.88671875" style="3" customWidth="1"/>
    <col min="14142" max="14142" width="1.109375" style="3" customWidth="1"/>
    <col min="14143" max="14143" width="1.33203125" style="3" customWidth="1"/>
    <col min="14144" max="14144" width="1.88671875" style="3" customWidth="1"/>
    <col min="14145" max="14145" width="6.88671875" style="3" customWidth="1"/>
    <col min="14146" max="14146" width="1.44140625" style="3" customWidth="1"/>
    <col min="14147" max="14147" width="1.33203125" style="3" customWidth="1"/>
    <col min="14148" max="14148" width="2.109375" style="3" customWidth="1"/>
    <col min="14149" max="14149" width="5.109375" style="3" customWidth="1"/>
    <col min="14150" max="14150" width="5.5546875" style="3" customWidth="1"/>
    <col min="14151" max="14151" width="1.109375" style="3" customWidth="1"/>
    <col min="14152" max="14152" width="1.44140625" style="3" customWidth="1"/>
    <col min="14153" max="14153" width="6" style="3" customWidth="1"/>
    <col min="14154" max="14154" width="5.88671875" style="3" customWidth="1"/>
    <col min="14155" max="14155" width="1.6640625" style="3" customWidth="1"/>
    <col min="14156" max="14156" width="2.109375" style="3" customWidth="1"/>
    <col min="14157" max="14160" width="5.88671875" style="3" customWidth="1"/>
    <col min="14161" max="14161" width="6" style="3" customWidth="1"/>
    <col min="14162" max="14162" width="1.5546875" style="3" customWidth="1"/>
    <col min="14163" max="14163" width="2.33203125" style="3" customWidth="1"/>
    <col min="14164" max="14164" width="1.5546875" style="3" customWidth="1"/>
    <col min="14165" max="14168" width="6.33203125" style="3" customWidth="1"/>
    <col min="14169" max="14169" width="6.109375" style="3" customWidth="1"/>
    <col min="14170" max="14171" width="1.109375" style="3" customWidth="1"/>
    <col min="14172" max="14172" width="1.33203125" style="3" customWidth="1"/>
    <col min="14173" max="14176" width="5.88671875" style="3" customWidth="1"/>
    <col min="14177" max="14177" width="6.88671875" style="3" customWidth="1"/>
    <col min="14178" max="14178" width="1.33203125" style="3" customWidth="1"/>
    <col min="14179" max="14180" width="1.6640625" style="3" customWidth="1"/>
    <col min="14181" max="14182" width="10.6640625" style="3" bestFit="1" customWidth="1"/>
    <col min="14183" max="14184" width="8.33203125" style="3" customWidth="1"/>
    <col min="14185" max="14185" width="8.6640625" style="3" customWidth="1"/>
    <col min="14186" max="14186" width="8.109375" style="3" customWidth="1"/>
    <col min="14187" max="14188" width="11.33203125" style="3" customWidth="1"/>
    <col min="14189" max="14189" width="10" style="3" customWidth="1"/>
    <col min="14190" max="14337" width="9.109375" style="3"/>
    <col min="14338" max="14338" width="5.5546875" style="3" customWidth="1"/>
    <col min="14339" max="14339" width="21.33203125" style="3" customWidth="1"/>
    <col min="14340" max="14340" width="38.88671875" style="3" customWidth="1"/>
    <col min="14341" max="14341" width="8.33203125" style="3" customWidth="1"/>
    <col min="14342" max="14342" width="6.109375" style="3" customWidth="1"/>
    <col min="14343" max="14343" width="1" style="3" customWidth="1"/>
    <col min="14344" max="14344" width="1.33203125" style="3" customWidth="1"/>
    <col min="14345" max="14345" width="5.109375" style="3" customWidth="1"/>
    <col min="14346" max="14346" width="6.109375" style="3" customWidth="1"/>
    <col min="14347" max="14347" width="0.6640625" style="3" customWidth="1"/>
    <col min="14348" max="14348" width="1" style="3" customWidth="1"/>
    <col min="14349" max="14349" width="4.6640625" style="3" customWidth="1"/>
    <col min="14350" max="14350" width="6.33203125" style="3" customWidth="1"/>
    <col min="14351" max="14351" width="0.88671875" style="3" customWidth="1"/>
    <col min="14352" max="14352" width="1.109375" style="3" customWidth="1"/>
    <col min="14353" max="14353" width="6.5546875" style="3" customWidth="1"/>
    <col min="14354" max="14354" width="7.109375" style="3" customWidth="1"/>
    <col min="14355" max="14356" width="1.5546875" style="3" customWidth="1"/>
    <col min="14357" max="14357" width="6.88671875" style="3" customWidth="1"/>
    <col min="14358" max="14358" width="2" style="3" customWidth="1"/>
    <col min="14359" max="14359" width="1.33203125" style="3" customWidth="1"/>
    <col min="14360" max="14360" width="2.109375" style="3" customWidth="1"/>
    <col min="14361" max="14361" width="6.44140625" style="3" customWidth="1"/>
    <col min="14362" max="14364" width="2" style="3" customWidth="1"/>
    <col min="14365" max="14365" width="7.6640625" style="3" customWidth="1"/>
    <col min="14366" max="14366" width="1.33203125" style="3" customWidth="1"/>
    <col min="14367" max="14367" width="1.5546875" style="3" customWidth="1"/>
    <col min="14368" max="14368" width="1.44140625" style="3" customWidth="1"/>
    <col min="14369" max="14369" width="6.109375" style="3" customWidth="1"/>
    <col min="14370" max="14372" width="1" style="3" customWidth="1"/>
    <col min="14373" max="14373" width="6.44140625" style="3" customWidth="1"/>
    <col min="14374" max="14374" width="5.88671875" style="3" customWidth="1"/>
    <col min="14375" max="14375" width="1.44140625" style="3" customWidth="1"/>
    <col min="14376" max="14376" width="1.5546875" style="3" customWidth="1"/>
    <col min="14377" max="14377" width="6.109375" style="3" customWidth="1"/>
    <col min="14378" max="14378" width="7" style="3" customWidth="1"/>
    <col min="14379" max="14379" width="1.109375" style="3" customWidth="1"/>
    <col min="14380" max="14380" width="1.88671875" style="3" customWidth="1"/>
    <col min="14381" max="14381" width="5.88671875" style="3" customWidth="1"/>
    <col min="14382" max="14382" width="1.6640625" style="3" customWidth="1"/>
    <col min="14383" max="14383" width="2.109375" style="3" customWidth="1"/>
    <col min="14384" max="14384" width="1.109375" style="3" customWidth="1"/>
    <col min="14385" max="14385" width="7.33203125" style="3" customWidth="1"/>
    <col min="14386" max="14387" width="2.109375" style="3" customWidth="1"/>
    <col min="14388" max="14388" width="1.6640625" style="3" customWidth="1"/>
    <col min="14389" max="14389" width="5.5546875" style="3" customWidth="1"/>
    <col min="14390" max="14390" width="2" style="3" customWidth="1"/>
    <col min="14391" max="14391" width="1.44140625" style="3" customWidth="1"/>
    <col min="14392" max="14392" width="2" style="3" customWidth="1"/>
    <col min="14393" max="14393" width="6.88671875" style="3" customWidth="1"/>
    <col min="14394" max="14394" width="1.6640625" style="3" customWidth="1"/>
    <col min="14395" max="14395" width="2" style="3" customWidth="1"/>
    <col min="14396" max="14396" width="1.88671875" style="3" customWidth="1"/>
    <col min="14397" max="14397" width="6.88671875" style="3" customWidth="1"/>
    <col min="14398" max="14398" width="1.109375" style="3" customWidth="1"/>
    <col min="14399" max="14399" width="1.33203125" style="3" customWidth="1"/>
    <col min="14400" max="14400" width="1.88671875" style="3" customWidth="1"/>
    <col min="14401" max="14401" width="6.88671875" style="3" customWidth="1"/>
    <col min="14402" max="14402" width="1.44140625" style="3" customWidth="1"/>
    <col min="14403" max="14403" width="1.33203125" style="3" customWidth="1"/>
    <col min="14404" max="14404" width="2.109375" style="3" customWidth="1"/>
    <col min="14405" max="14405" width="5.109375" style="3" customWidth="1"/>
    <col min="14406" max="14406" width="5.5546875" style="3" customWidth="1"/>
    <col min="14407" max="14407" width="1.109375" style="3" customWidth="1"/>
    <col min="14408" max="14408" width="1.44140625" style="3" customWidth="1"/>
    <col min="14409" max="14409" width="6" style="3" customWidth="1"/>
    <col min="14410" max="14410" width="5.88671875" style="3" customWidth="1"/>
    <col min="14411" max="14411" width="1.6640625" style="3" customWidth="1"/>
    <col min="14412" max="14412" width="2.109375" style="3" customWidth="1"/>
    <col min="14413" max="14416" width="5.88671875" style="3" customWidth="1"/>
    <col min="14417" max="14417" width="6" style="3" customWidth="1"/>
    <col min="14418" max="14418" width="1.5546875" style="3" customWidth="1"/>
    <col min="14419" max="14419" width="2.33203125" style="3" customWidth="1"/>
    <col min="14420" max="14420" width="1.5546875" style="3" customWidth="1"/>
    <col min="14421" max="14424" width="6.33203125" style="3" customWidth="1"/>
    <col min="14425" max="14425" width="6.109375" style="3" customWidth="1"/>
    <col min="14426" max="14427" width="1.109375" style="3" customWidth="1"/>
    <col min="14428" max="14428" width="1.33203125" style="3" customWidth="1"/>
    <col min="14429" max="14432" width="5.88671875" style="3" customWidth="1"/>
    <col min="14433" max="14433" width="6.88671875" style="3" customWidth="1"/>
    <col min="14434" max="14434" width="1.33203125" style="3" customWidth="1"/>
    <col min="14435" max="14436" width="1.6640625" style="3" customWidth="1"/>
    <col min="14437" max="14438" width="10.6640625" style="3" bestFit="1" customWidth="1"/>
    <col min="14439" max="14440" width="8.33203125" style="3" customWidth="1"/>
    <col min="14441" max="14441" width="8.6640625" style="3" customWidth="1"/>
    <col min="14442" max="14442" width="8.109375" style="3" customWidth="1"/>
    <col min="14443" max="14444" width="11.33203125" style="3" customWidth="1"/>
    <col min="14445" max="14445" width="10" style="3" customWidth="1"/>
    <col min="14446" max="14593" width="9.109375" style="3"/>
    <col min="14594" max="14594" width="5.5546875" style="3" customWidth="1"/>
    <col min="14595" max="14595" width="21.33203125" style="3" customWidth="1"/>
    <col min="14596" max="14596" width="38.88671875" style="3" customWidth="1"/>
    <col min="14597" max="14597" width="8.33203125" style="3" customWidth="1"/>
    <col min="14598" max="14598" width="6.109375" style="3" customWidth="1"/>
    <col min="14599" max="14599" width="1" style="3" customWidth="1"/>
    <col min="14600" max="14600" width="1.33203125" style="3" customWidth="1"/>
    <col min="14601" max="14601" width="5.109375" style="3" customWidth="1"/>
    <col min="14602" max="14602" width="6.109375" style="3" customWidth="1"/>
    <col min="14603" max="14603" width="0.6640625" style="3" customWidth="1"/>
    <col min="14604" max="14604" width="1" style="3" customWidth="1"/>
    <col min="14605" max="14605" width="4.6640625" style="3" customWidth="1"/>
    <col min="14606" max="14606" width="6.33203125" style="3" customWidth="1"/>
    <col min="14607" max="14607" width="0.88671875" style="3" customWidth="1"/>
    <col min="14608" max="14608" width="1.109375" style="3" customWidth="1"/>
    <col min="14609" max="14609" width="6.5546875" style="3" customWidth="1"/>
    <col min="14610" max="14610" width="7.109375" style="3" customWidth="1"/>
    <col min="14611" max="14612" width="1.5546875" style="3" customWidth="1"/>
    <col min="14613" max="14613" width="6.88671875" style="3" customWidth="1"/>
    <col min="14614" max="14614" width="2" style="3" customWidth="1"/>
    <col min="14615" max="14615" width="1.33203125" style="3" customWidth="1"/>
    <col min="14616" max="14616" width="2.109375" style="3" customWidth="1"/>
    <col min="14617" max="14617" width="6.44140625" style="3" customWidth="1"/>
    <col min="14618" max="14620" width="2" style="3" customWidth="1"/>
    <col min="14621" max="14621" width="7.6640625" style="3" customWidth="1"/>
    <col min="14622" max="14622" width="1.33203125" style="3" customWidth="1"/>
    <col min="14623" max="14623" width="1.5546875" style="3" customWidth="1"/>
    <col min="14624" max="14624" width="1.44140625" style="3" customWidth="1"/>
    <col min="14625" max="14625" width="6.109375" style="3" customWidth="1"/>
    <col min="14626" max="14628" width="1" style="3" customWidth="1"/>
    <col min="14629" max="14629" width="6.44140625" style="3" customWidth="1"/>
    <col min="14630" max="14630" width="5.88671875" style="3" customWidth="1"/>
    <col min="14631" max="14631" width="1.44140625" style="3" customWidth="1"/>
    <col min="14632" max="14632" width="1.5546875" style="3" customWidth="1"/>
    <col min="14633" max="14633" width="6.109375" style="3" customWidth="1"/>
    <col min="14634" max="14634" width="7" style="3" customWidth="1"/>
    <col min="14635" max="14635" width="1.109375" style="3" customWidth="1"/>
    <col min="14636" max="14636" width="1.88671875" style="3" customWidth="1"/>
    <col min="14637" max="14637" width="5.88671875" style="3" customWidth="1"/>
    <col min="14638" max="14638" width="1.6640625" style="3" customWidth="1"/>
    <col min="14639" max="14639" width="2.109375" style="3" customWidth="1"/>
    <col min="14640" max="14640" width="1.109375" style="3" customWidth="1"/>
    <col min="14641" max="14641" width="7.33203125" style="3" customWidth="1"/>
    <col min="14642" max="14643" width="2.109375" style="3" customWidth="1"/>
    <col min="14644" max="14644" width="1.6640625" style="3" customWidth="1"/>
    <col min="14645" max="14645" width="5.5546875" style="3" customWidth="1"/>
    <col min="14646" max="14646" width="2" style="3" customWidth="1"/>
    <col min="14647" max="14647" width="1.44140625" style="3" customWidth="1"/>
    <col min="14648" max="14648" width="2" style="3" customWidth="1"/>
    <col min="14649" max="14649" width="6.88671875" style="3" customWidth="1"/>
    <col min="14650" max="14650" width="1.6640625" style="3" customWidth="1"/>
    <col min="14651" max="14651" width="2" style="3" customWidth="1"/>
    <col min="14652" max="14652" width="1.88671875" style="3" customWidth="1"/>
    <col min="14653" max="14653" width="6.88671875" style="3" customWidth="1"/>
    <col min="14654" max="14654" width="1.109375" style="3" customWidth="1"/>
    <col min="14655" max="14655" width="1.33203125" style="3" customWidth="1"/>
    <col min="14656" max="14656" width="1.88671875" style="3" customWidth="1"/>
    <col min="14657" max="14657" width="6.88671875" style="3" customWidth="1"/>
    <col min="14658" max="14658" width="1.44140625" style="3" customWidth="1"/>
    <col min="14659" max="14659" width="1.33203125" style="3" customWidth="1"/>
    <col min="14660" max="14660" width="2.109375" style="3" customWidth="1"/>
    <col min="14661" max="14661" width="5.109375" style="3" customWidth="1"/>
    <col min="14662" max="14662" width="5.5546875" style="3" customWidth="1"/>
    <col min="14663" max="14663" width="1.109375" style="3" customWidth="1"/>
    <col min="14664" max="14664" width="1.44140625" style="3" customWidth="1"/>
    <col min="14665" max="14665" width="6" style="3" customWidth="1"/>
    <col min="14666" max="14666" width="5.88671875" style="3" customWidth="1"/>
    <col min="14667" max="14667" width="1.6640625" style="3" customWidth="1"/>
    <col min="14668" max="14668" width="2.109375" style="3" customWidth="1"/>
    <col min="14669" max="14672" width="5.88671875" style="3" customWidth="1"/>
    <col min="14673" max="14673" width="6" style="3" customWidth="1"/>
    <col min="14674" max="14674" width="1.5546875" style="3" customWidth="1"/>
    <col min="14675" max="14675" width="2.33203125" style="3" customWidth="1"/>
    <col min="14676" max="14676" width="1.5546875" style="3" customWidth="1"/>
    <col min="14677" max="14680" width="6.33203125" style="3" customWidth="1"/>
    <col min="14681" max="14681" width="6.109375" style="3" customWidth="1"/>
    <col min="14682" max="14683" width="1.109375" style="3" customWidth="1"/>
    <col min="14684" max="14684" width="1.33203125" style="3" customWidth="1"/>
    <col min="14685" max="14688" width="5.88671875" style="3" customWidth="1"/>
    <col min="14689" max="14689" width="6.88671875" style="3" customWidth="1"/>
    <col min="14690" max="14690" width="1.33203125" style="3" customWidth="1"/>
    <col min="14691" max="14692" width="1.6640625" style="3" customWidth="1"/>
    <col min="14693" max="14694" width="10.6640625" style="3" bestFit="1" customWidth="1"/>
    <col min="14695" max="14696" width="8.33203125" style="3" customWidth="1"/>
    <col min="14697" max="14697" width="8.6640625" style="3" customWidth="1"/>
    <col min="14698" max="14698" width="8.109375" style="3" customWidth="1"/>
    <col min="14699" max="14700" width="11.33203125" style="3" customWidth="1"/>
    <col min="14701" max="14701" width="10" style="3" customWidth="1"/>
    <col min="14702" max="14849" width="9.109375" style="3"/>
    <col min="14850" max="14850" width="5.5546875" style="3" customWidth="1"/>
    <col min="14851" max="14851" width="21.33203125" style="3" customWidth="1"/>
    <col min="14852" max="14852" width="38.88671875" style="3" customWidth="1"/>
    <col min="14853" max="14853" width="8.33203125" style="3" customWidth="1"/>
    <col min="14854" max="14854" width="6.109375" style="3" customWidth="1"/>
    <col min="14855" max="14855" width="1" style="3" customWidth="1"/>
    <col min="14856" max="14856" width="1.33203125" style="3" customWidth="1"/>
    <col min="14857" max="14857" width="5.109375" style="3" customWidth="1"/>
    <col min="14858" max="14858" width="6.109375" style="3" customWidth="1"/>
    <col min="14859" max="14859" width="0.6640625" style="3" customWidth="1"/>
    <col min="14860" max="14860" width="1" style="3" customWidth="1"/>
    <col min="14861" max="14861" width="4.6640625" style="3" customWidth="1"/>
    <col min="14862" max="14862" width="6.33203125" style="3" customWidth="1"/>
    <col min="14863" max="14863" width="0.88671875" style="3" customWidth="1"/>
    <col min="14864" max="14864" width="1.109375" style="3" customWidth="1"/>
    <col min="14865" max="14865" width="6.5546875" style="3" customWidth="1"/>
    <col min="14866" max="14866" width="7.109375" style="3" customWidth="1"/>
    <col min="14867" max="14868" width="1.5546875" style="3" customWidth="1"/>
    <col min="14869" max="14869" width="6.88671875" style="3" customWidth="1"/>
    <col min="14870" max="14870" width="2" style="3" customWidth="1"/>
    <col min="14871" max="14871" width="1.33203125" style="3" customWidth="1"/>
    <col min="14872" max="14872" width="2.109375" style="3" customWidth="1"/>
    <col min="14873" max="14873" width="6.44140625" style="3" customWidth="1"/>
    <col min="14874" max="14876" width="2" style="3" customWidth="1"/>
    <col min="14877" max="14877" width="7.6640625" style="3" customWidth="1"/>
    <col min="14878" max="14878" width="1.33203125" style="3" customWidth="1"/>
    <col min="14879" max="14879" width="1.5546875" style="3" customWidth="1"/>
    <col min="14880" max="14880" width="1.44140625" style="3" customWidth="1"/>
    <col min="14881" max="14881" width="6.109375" style="3" customWidth="1"/>
    <col min="14882" max="14884" width="1" style="3" customWidth="1"/>
    <col min="14885" max="14885" width="6.44140625" style="3" customWidth="1"/>
    <col min="14886" max="14886" width="5.88671875" style="3" customWidth="1"/>
    <col min="14887" max="14887" width="1.44140625" style="3" customWidth="1"/>
    <col min="14888" max="14888" width="1.5546875" style="3" customWidth="1"/>
    <col min="14889" max="14889" width="6.109375" style="3" customWidth="1"/>
    <col min="14890" max="14890" width="7" style="3" customWidth="1"/>
    <col min="14891" max="14891" width="1.109375" style="3" customWidth="1"/>
    <col min="14892" max="14892" width="1.88671875" style="3" customWidth="1"/>
    <col min="14893" max="14893" width="5.88671875" style="3" customWidth="1"/>
    <col min="14894" max="14894" width="1.6640625" style="3" customWidth="1"/>
    <col min="14895" max="14895" width="2.109375" style="3" customWidth="1"/>
    <col min="14896" max="14896" width="1.109375" style="3" customWidth="1"/>
    <col min="14897" max="14897" width="7.33203125" style="3" customWidth="1"/>
    <col min="14898" max="14899" width="2.109375" style="3" customWidth="1"/>
    <col min="14900" max="14900" width="1.6640625" style="3" customWidth="1"/>
    <col min="14901" max="14901" width="5.5546875" style="3" customWidth="1"/>
    <col min="14902" max="14902" width="2" style="3" customWidth="1"/>
    <col min="14903" max="14903" width="1.44140625" style="3" customWidth="1"/>
    <col min="14904" max="14904" width="2" style="3" customWidth="1"/>
    <col min="14905" max="14905" width="6.88671875" style="3" customWidth="1"/>
    <col min="14906" max="14906" width="1.6640625" style="3" customWidth="1"/>
    <col min="14907" max="14907" width="2" style="3" customWidth="1"/>
    <col min="14908" max="14908" width="1.88671875" style="3" customWidth="1"/>
    <col min="14909" max="14909" width="6.88671875" style="3" customWidth="1"/>
    <col min="14910" max="14910" width="1.109375" style="3" customWidth="1"/>
    <col min="14911" max="14911" width="1.33203125" style="3" customWidth="1"/>
    <col min="14912" max="14912" width="1.88671875" style="3" customWidth="1"/>
    <col min="14913" max="14913" width="6.88671875" style="3" customWidth="1"/>
    <col min="14914" max="14914" width="1.44140625" style="3" customWidth="1"/>
    <col min="14915" max="14915" width="1.33203125" style="3" customWidth="1"/>
    <col min="14916" max="14916" width="2.109375" style="3" customWidth="1"/>
    <col min="14917" max="14917" width="5.109375" style="3" customWidth="1"/>
    <col min="14918" max="14918" width="5.5546875" style="3" customWidth="1"/>
    <col min="14919" max="14919" width="1.109375" style="3" customWidth="1"/>
    <col min="14920" max="14920" width="1.44140625" style="3" customWidth="1"/>
    <col min="14921" max="14921" width="6" style="3" customWidth="1"/>
    <col min="14922" max="14922" width="5.88671875" style="3" customWidth="1"/>
    <col min="14923" max="14923" width="1.6640625" style="3" customWidth="1"/>
    <col min="14924" max="14924" width="2.109375" style="3" customWidth="1"/>
    <col min="14925" max="14928" width="5.88671875" style="3" customWidth="1"/>
    <col min="14929" max="14929" width="6" style="3" customWidth="1"/>
    <col min="14930" max="14930" width="1.5546875" style="3" customWidth="1"/>
    <col min="14931" max="14931" width="2.33203125" style="3" customWidth="1"/>
    <col min="14932" max="14932" width="1.5546875" style="3" customWidth="1"/>
    <col min="14933" max="14936" width="6.33203125" style="3" customWidth="1"/>
    <col min="14937" max="14937" width="6.109375" style="3" customWidth="1"/>
    <col min="14938" max="14939" width="1.109375" style="3" customWidth="1"/>
    <col min="14940" max="14940" width="1.33203125" style="3" customWidth="1"/>
    <col min="14941" max="14944" width="5.88671875" style="3" customWidth="1"/>
    <col min="14945" max="14945" width="6.88671875" style="3" customWidth="1"/>
    <col min="14946" max="14946" width="1.33203125" style="3" customWidth="1"/>
    <col min="14947" max="14948" width="1.6640625" style="3" customWidth="1"/>
    <col min="14949" max="14950" width="10.6640625" style="3" bestFit="1" customWidth="1"/>
    <col min="14951" max="14952" width="8.33203125" style="3" customWidth="1"/>
    <col min="14953" max="14953" width="8.6640625" style="3" customWidth="1"/>
    <col min="14954" max="14954" width="8.109375" style="3" customWidth="1"/>
    <col min="14955" max="14956" width="11.33203125" style="3" customWidth="1"/>
    <col min="14957" max="14957" width="10" style="3" customWidth="1"/>
    <col min="14958" max="15105" width="9.109375" style="3"/>
    <col min="15106" max="15106" width="5.5546875" style="3" customWidth="1"/>
    <col min="15107" max="15107" width="21.33203125" style="3" customWidth="1"/>
    <col min="15108" max="15108" width="38.88671875" style="3" customWidth="1"/>
    <col min="15109" max="15109" width="8.33203125" style="3" customWidth="1"/>
    <col min="15110" max="15110" width="6.109375" style="3" customWidth="1"/>
    <col min="15111" max="15111" width="1" style="3" customWidth="1"/>
    <col min="15112" max="15112" width="1.33203125" style="3" customWidth="1"/>
    <col min="15113" max="15113" width="5.109375" style="3" customWidth="1"/>
    <col min="15114" max="15114" width="6.109375" style="3" customWidth="1"/>
    <col min="15115" max="15115" width="0.6640625" style="3" customWidth="1"/>
    <col min="15116" max="15116" width="1" style="3" customWidth="1"/>
    <col min="15117" max="15117" width="4.6640625" style="3" customWidth="1"/>
    <col min="15118" max="15118" width="6.33203125" style="3" customWidth="1"/>
    <col min="15119" max="15119" width="0.88671875" style="3" customWidth="1"/>
    <col min="15120" max="15120" width="1.109375" style="3" customWidth="1"/>
    <col min="15121" max="15121" width="6.5546875" style="3" customWidth="1"/>
    <col min="15122" max="15122" width="7.109375" style="3" customWidth="1"/>
    <col min="15123" max="15124" width="1.5546875" style="3" customWidth="1"/>
    <col min="15125" max="15125" width="6.88671875" style="3" customWidth="1"/>
    <col min="15126" max="15126" width="2" style="3" customWidth="1"/>
    <col min="15127" max="15127" width="1.33203125" style="3" customWidth="1"/>
    <col min="15128" max="15128" width="2.109375" style="3" customWidth="1"/>
    <col min="15129" max="15129" width="6.44140625" style="3" customWidth="1"/>
    <col min="15130" max="15132" width="2" style="3" customWidth="1"/>
    <col min="15133" max="15133" width="7.6640625" style="3" customWidth="1"/>
    <col min="15134" max="15134" width="1.33203125" style="3" customWidth="1"/>
    <col min="15135" max="15135" width="1.5546875" style="3" customWidth="1"/>
    <col min="15136" max="15136" width="1.44140625" style="3" customWidth="1"/>
    <col min="15137" max="15137" width="6.109375" style="3" customWidth="1"/>
    <col min="15138" max="15140" width="1" style="3" customWidth="1"/>
    <col min="15141" max="15141" width="6.44140625" style="3" customWidth="1"/>
    <col min="15142" max="15142" width="5.88671875" style="3" customWidth="1"/>
    <col min="15143" max="15143" width="1.44140625" style="3" customWidth="1"/>
    <col min="15144" max="15144" width="1.5546875" style="3" customWidth="1"/>
    <col min="15145" max="15145" width="6.109375" style="3" customWidth="1"/>
    <col min="15146" max="15146" width="7" style="3" customWidth="1"/>
    <col min="15147" max="15147" width="1.109375" style="3" customWidth="1"/>
    <col min="15148" max="15148" width="1.88671875" style="3" customWidth="1"/>
    <col min="15149" max="15149" width="5.88671875" style="3" customWidth="1"/>
    <col min="15150" max="15150" width="1.6640625" style="3" customWidth="1"/>
    <col min="15151" max="15151" width="2.109375" style="3" customWidth="1"/>
    <col min="15152" max="15152" width="1.109375" style="3" customWidth="1"/>
    <col min="15153" max="15153" width="7.33203125" style="3" customWidth="1"/>
    <col min="15154" max="15155" width="2.109375" style="3" customWidth="1"/>
    <col min="15156" max="15156" width="1.6640625" style="3" customWidth="1"/>
    <col min="15157" max="15157" width="5.5546875" style="3" customWidth="1"/>
    <col min="15158" max="15158" width="2" style="3" customWidth="1"/>
    <col min="15159" max="15159" width="1.44140625" style="3" customWidth="1"/>
    <col min="15160" max="15160" width="2" style="3" customWidth="1"/>
    <col min="15161" max="15161" width="6.88671875" style="3" customWidth="1"/>
    <col min="15162" max="15162" width="1.6640625" style="3" customWidth="1"/>
    <col min="15163" max="15163" width="2" style="3" customWidth="1"/>
    <col min="15164" max="15164" width="1.88671875" style="3" customWidth="1"/>
    <col min="15165" max="15165" width="6.88671875" style="3" customWidth="1"/>
    <col min="15166" max="15166" width="1.109375" style="3" customWidth="1"/>
    <col min="15167" max="15167" width="1.33203125" style="3" customWidth="1"/>
    <col min="15168" max="15168" width="1.88671875" style="3" customWidth="1"/>
    <col min="15169" max="15169" width="6.88671875" style="3" customWidth="1"/>
    <col min="15170" max="15170" width="1.44140625" style="3" customWidth="1"/>
    <col min="15171" max="15171" width="1.33203125" style="3" customWidth="1"/>
    <col min="15172" max="15172" width="2.109375" style="3" customWidth="1"/>
    <col min="15173" max="15173" width="5.109375" style="3" customWidth="1"/>
    <col min="15174" max="15174" width="5.5546875" style="3" customWidth="1"/>
    <col min="15175" max="15175" width="1.109375" style="3" customWidth="1"/>
    <col min="15176" max="15176" width="1.44140625" style="3" customWidth="1"/>
    <col min="15177" max="15177" width="6" style="3" customWidth="1"/>
    <col min="15178" max="15178" width="5.88671875" style="3" customWidth="1"/>
    <col min="15179" max="15179" width="1.6640625" style="3" customWidth="1"/>
    <col min="15180" max="15180" width="2.109375" style="3" customWidth="1"/>
    <col min="15181" max="15184" width="5.88671875" style="3" customWidth="1"/>
    <col min="15185" max="15185" width="6" style="3" customWidth="1"/>
    <col min="15186" max="15186" width="1.5546875" style="3" customWidth="1"/>
    <col min="15187" max="15187" width="2.33203125" style="3" customWidth="1"/>
    <col min="15188" max="15188" width="1.5546875" style="3" customWidth="1"/>
    <col min="15189" max="15192" width="6.33203125" style="3" customWidth="1"/>
    <col min="15193" max="15193" width="6.109375" style="3" customWidth="1"/>
    <col min="15194" max="15195" width="1.109375" style="3" customWidth="1"/>
    <col min="15196" max="15196" width="1.33203125" style="3" customWidth="1"/>
    <col min="15197" max="15200" width="5.88671875" style="3" customWidth="1"/>
    <col min="15201" max="15201" width="6.88671875" style="3" customWidth="1"/>
    <col min="15202" max="15202" width="1.33203125" style="3" customWidth="1"/>
    <col min="15203" max="15204" width="1.6640625" style="3" customWidth="1"/>
    <col min="15205" max="15206" width="10.6640625" style="3" bestFit="1" customWidth="1"/>
    <col min="15207" max="15208" width="8.33203125" style="3" customWidth="1"/>
    <col min="15209" max="15209" width="8.6640625" style="3" customWidth="1"/>
    <col min="15210" max="15210" width="8.109375" style="3" customWidth="1"/>
    <col min="15211" max="15212" width="11.33203125" style="3" customWidth="1"/>
    <col min="15213" max="15213" width="10" style="3" customWidth="1"/>
    <col min="15214" max="15361" width="9.109375" style="3"/>
    <col min="15362" max="15362" width="5.5546875" style="3" customWidth="1"/>
    <col min="15363" max="15363" width="21.33203125" style="3" customWidth="1"/>
    <col min="15364" max="15364" width="38.88671875" style="3" customWidth="1"/>
    <col min="15365" max="15365" width="8.33203125" style="3" customWidth="1"/>
    <col min="15366" max="15366" width="6.109375" style="3" customWidth="1"/>
    <col min="15367" max="15367" width="1" style="3" customWidth="1"/>
    <col min="15368" max="15368" width="1.33203125" style="3" customWidth="1"/>
    <col min="15369" max="15369" width="5.109375" style="3" customWidth="1"/>
    <col min="15370" max="15370" width="6.109375" style="3" customWidth="1"/>
    <col min="15371" max="15371" width="0.6640625" style="3" customWidth="1"/>
    <col min="15372" max="15372" width="1" style="3" customWidth="1"/>
    <col min="15373" max="15373" width="4.6640625" style="3" customWidth="1"/>
    <col min="15374" max="15374" width="6.33203125" style="3" customWidth="1"/>
    <col min="15375" max="15375" width="0.88671875" style="3" customWidth="1"/>
    <col min="15376" max="15376" width="1.109375" style="3" customWidth="1"/>
    <col min="15377" max="15377" width="6.5546875" style="3" customWidth="1"/>
    <col min="15378" max="15378" width="7.109375" style="3" customWidth="1"/>
    <col min="15379" max="15380" width="1.5546875" style="3" customWidth="1"/>
    <col min="15381" max="15381" width="6.88671875" style="3" customWidth="1"/>
    <col min="15382" max="15382" width="2" style="3" customWidth="1"/>
    <col min="15383" max="15383" width="1.33203125" style="3" customWidth="1"/>
    <col min="15384" max="15384" width="2.109375" style="3" customWidth="1"/>
    <col min="15385" max="15385" width="6.44140625" style="3" customWidth="1"/>
    <col min="15386" max="15388" width="2" style="3" customWidth="1"/>
    <col min="15389" max="15389" width="7.6640625" style="3" customWidth="1"/>
    <col min="15390" max="15390" width="1.33203125" style="3" customWidth="1"/>
    <col min="15391" max="15391" width="1.5546875" style="3" customWidth="1"/>
    <col min="15392" max="15392" width="1.44140625" style="3" customWidth="1"/>
    <col min="15393" max="15393" width="6.109375" style="3" customWidth="1"/>
    <col min="15394" max="15396" width="1" style="3" customWidth="1"/>
    <col min="15397" max="15397" width="6.44140625" style="3" customWidth="1"/>
    <col min="15398" max="15398" width="5.88671875" style="3" customWidth="1"/>
    <col min="15399" max="15399" width="1.44140625" style="3" customWidth="1"/>
    <col min="15400" max="15400" width="1.5546875" style="3" customWidth="1"/>
    <col min="15401" max="15401" width="6.109375" style="3" customWidth="1"/>
    <col min="15402" max="15402" width="7" style="3" customWidth="1"/>
    <col min="15403" max="15403" width="1.109375" style="3" customWidth="1"/>
    <col min="15404" max="15404" width="1.88671875" style="3" customWidth="1"/>
    <col min="15405" max="15405" width="5.88671875" style="3" customWidth="1"/>
    <col min="15406" max="15406" width="1.6640625" style="3" customWidth="1"/>
    <col min="15407" max="15407" width="2.109375" style="3" customWidth="1"/>
    <col min="15408" max="15408" width="1.109375" style="3" customWidth="1"/>
    <col min="15409" max="15409" width="7.33203125" style="3" customWidth="1"/>
    <col min="15410" max="15411" width="2.109375" style="3" customWidth="1"/>
    <col min="15412" max="15412" width="1.6640625" style="3" customWidth="1"/>
    <col min="15413" max="15413" width="5.5546875" style="3" customWidth="1"/>
    <col min="15414" max="15414" width="2" style="3" customWidth="1"/>
    <col min="15415" max="15415" width="1.44140625" style="3" customWidth="1"/>
    <col min="15416" max="15416" width="2" style="3" customWidth="1"/>
    <col min="15417" max="15417" width="6.88671875" style="3" customWidth="1"/>
    <col min="15418" max="15418" width="1.6640625" style="3" customWidth="1"/>
    <col min="15419" max="15419" width="2" style="3" customWidth="1"/>
    <col min="15420" max="15420" width="1.88671875" style="3" customWidth="1"/>
    <col min="15421" max="15421" width="6.88671875" style="3" customWidth="1"/>
    <col min="15422" max="15422" width="1.109375" style="3" customWidth="1"/>
    <col min="15423" max="15423" width="1.33203125" style="3" customWidth="1"/>
    <col min="15424" max="15424" width="1.88671875" style="3" customWidth="1"/>
    <col min="15425" max="15425" width="6.88671875" style="3" customWidth="1"/>
    <col min="15426" max="15426" width="1.44140625" style="3" customWidth="1"/>
    <col min="15427" max="15427" width="1.33203125" style="3" customWidth="1"/>
    <col min="15428" max="15428" width="2.109375" style="3" customWidth="1"/>
    <col min="15429" max="15429" width="5.109375" style="3" customWidth="1"/>
    <col min="15430" max="15430" width="5.5546875" style="3" customWidth="1"/>
    <col min="15431" max="15431" width="1.109375" style="3" customWidth="1"/>
    <col min="15432" max="15432" width="1.44140625" style="3" customWidth="1"/>
    <col min="15433" max="15433" width="6" style="3" customWidth="1"/>
    <col min="15434" max="15434" width="5.88671875" style="3" customWidth="1"/>
    <col min="15435" max="15435" width="1.6640625" style="3" customWidth="1"/>
    <col min="15436" max="15436" width="2.109375" style="3" customWidth="1"/>
    <col min="15437" max="15440" width="5.88671875" style="3" customWidth="1"/>
    <col min="15441" max="15441" width="6" style="3" customWidth="1"/>
    <col min="15442" max="15442" width="1.5546875" style="3" customWidth="1"/>
    <col min="15443" max="15443" width="2.33203125" style="3" customWidth="1"/>
    <col min="15444" max="15444" width="1.5546875" style="3" customWidth="1"/>
    <col min="15445" max="15448" width="6.33203125" style="3" customWidth="1"/>
    <col min="15449" max="15449" width="6.109375" style="3" customWidth="1"/>
    <col min="15450" max="15451" width="1.109375" style="3" customWidth="1"/>
    <col min="15452" max="15452" width="1.33203125" style="3" customWidth="1"/>
    <col min="15453" max="15456" width="5.88671875" style="3" customWidth="1"/>
    <col min="15457" max="15457" width="6.88671875" style="3" customWidth="1"/>
    <col min="15458" max="15458" width="1.33203125" style="3" customWidth="1"/>
    <col min="15459" max="15460" width="1.6640625" style="3" customWidth="1"/>
    <col min="15461" max="15462" width="10.6640625" style="3" bestFit="1" customWidth="1"/>
    <col min="15463" max="15464" width="8.33203125" style="3" customWidth="1"/>
    <col min="15465" max="15465" width="8.6640625" style="3" customWidth="1"/>
    <col min="15466" max="15466" width="8.109375" style="3" customWidth="1"/>
    <col min="15467" max="15468" width="11.33203125" style="3" customWidth="1"/>
    <col min="15469" max="15469" width="10" style="3" customWidth="1"/>
    <col min="15470" max="15617" width="9.109375" style="3"/>
    <col min="15618" max="15618" width="5.5546875" style="3" customWidth="1"/>
    <col min="15619" max="15619" width="21.33203125" style="3" customWidth="1"/>
    <col min="15620" max="15620" width="38.88671875" style="3" customWidth="1"/>
    <col min="15621" max="15621" width="8.33203125" style="3" customWidth="1"/>
    <col min="15622" max="15622" width="6.109375" style="3" customWidth="1"/>
    <col min="15623" max="15623" width="1" style="3" customWidth="1"/>
    <col min="15624" max="15624" width="1.33203125" style="3" customWidth="1"/>
    <col min="15625" max="15625" width="5.109375" style="3" customWidth="1"/>
    <col min="15626" max="15626" width="6.109375" style="3" customWidth="1"/>
    <col min="15627" max="15627" width="0.6640625" style="3" customWidth="1"/>
    <col min="15628" max="15628" width="1" style="3" customWidth="1"/>
    <col min="15629" max="15629" width="4.6640625" style="3" customWidth="1"/>
    <col min="15630" max="15630" width="6.33203125" style="3" customWidth="1"/>
    <col min="15631" max="15631" width="0.88671875" style="3" customWidth="1"/>
    <col min="15632" max="15632" width="1.109375" style="3" customWidth="1"/>
    <col min="15633" max="15633" width="6.5546875" style="3" customWidth="1"/>
    <col min="15634" max="15634" width="7.109375" style="3" customWidth="1"/>
    <col min="15635" max="15636" width="1.5546875" style="3" customWidth="1"/>
    <col min="15637" max="15637" width="6.88671875" style="3" customWidth="1"/>
    <col min="15638" max="15638" width="2" style="3" customWidth="1"/>
    <col min="15639" max="15639" width="1.33203125" style="3" customWidth="1"/>
    <col min="15640" max="15640" width="2.109375" style="3" customWidth="1"/>
    <col min="15641" max="15641" width="6.44140625" style="3" customWidth="1"/>
    <col min="15642" max="15644" width="2" style="3" customWidth="1"/>
    <col min="15645" max="15645" width="7.6640625" style="3" customWidth="1"/>
    <col min="15646" max="15646" width="1.33203125" style="3" customWidth="1"/>
    <col min="15647" max="15647" width="1.5546875" style="3" customWidth="1"/>
    <col min="15648" max="15648" width="1.44140625" style="3" customWidth="1"/>
    <col min="15649" max="15649" width="6.109375" style="3" customWidth="1"/>
    <col min="15650" max="15652" width="1" style="3" customWidth="1"/>
    <col min="15653" max="15653" width="6.44140625" style="3" customWidth="1"/>
    <col min="15654" max="15654" width="5.88671875" style="3" customWidth="1"/>
    <col min="15655" max="15655" width="1.44140625" style="3" customWidth="1"/>
    <col min="15656" max="15656" width="1.5546875" style="3" customWidth="1"/>
    <col min="15657" max="15657" width="6.109375" style="3" customWidth="1"/>
    <col min="15658" max="15658" width="7" style="3" customWidth="1"/>
    <col min="15659" max="15659" width="1.109375" style="3" customWidth="1"/>
    <col min="15660" max="15660" width="1.88671875" style="3" customWidth="1"/>
    <col min="15661" max="15661" width="5.88671875" style="3" customWidth="1"/>
    <col min="15662" max="15662" width="1.6640625" style="3" customWidth="1"/>
    <col min="15663" max="15663" width="2.109375" style="3" customWidth="1"/>
    <col min="15664" max="15664" width="1.109375" style="3" customWidth="1"/>
    <col min="15665" max="15665" width="7.33203125" style="3" customWidth="1"/>
    <col min="15666" max="15667" width="2.109375" style="3" customWidth="1"/>
    <col min="15668" max="15668" width="1.6640625" style="3" customWidth="1"/>
    <col min="15669" max="15669" width="5.5546875" style="3" customWidth="1"/>
    <col min="15670" max="15670" width="2" style="3" customWidth="1"/>
    <col min="15671" max="15671" width="1.44140625" style="3" customWidth="1"/>
    <col min="15672" max="15672" width="2" style="3" customWidth="1"/>
    <col min="15673" max="15673" width="6.88671875" style="3" customWidth="1"/>
    <col min="15674" max="15674" width="1.6640625" style="3" customWidth="1"/>
    <col min="15675" max="15675" width="2" style="3" customWidth="1"/>
    <col min="15676" max="15676" width="1.88671875" style="3" customWidth="1"/>
    <col min="15677" max="15677" width="6.88671875" style="3" customWidth="1"/>
    <col min="15678" max="15678" width="1.109375" style="3" customWidth="1"/>
    <col min="15679" max="15679" width="1.33203125" style="3" customWidth="1"/>
    <col min="15680" max="15680" width="1.88671875" style="3" customWidth="1"/>
    <col min="15681" max="15681" width="6.88671875" style="3" customWidth="1"/>
    <col min="15682" max="15682" width="1.44140625" style="3" customWidth="1"/>
    <col min="15683" max="15683" width="1.33203125" style="3" customWidth="1"/>
    <col min="15684" max="15684" width="2.109375" style="3" customWidth="1"/>
    <col min="15685" max="15685" width="5.109375" style="3" customWidth="1"/>
    <col min="15686" max="15686" width="5.5546875" style="3" customWidth="1"/>
    <col min="15687" max="15687" width="1.109375" style="3" customWidth="1"/>
    <col min="15688" max="15688" width="1.44140625" style="3" customWidth="1"/>
    <col min="15689" max="15689" width="6" style="3" customWidth="1"/>
    <col min="15690" max="15690" width="5.88671875" style="3" customWidth="1"/>
    <col min="15691" max="15691" width="1.6640625" style="3" customWidth="1"/>
    <col min="15692" max="15692" width="2.109375" style="3" customWidth="1"/>
    <col min="15693" max="15696" width="5.88671875" style="3" customWidth="1"/>
    <col min="15697" max="15697" width="6" style="3" customWidth="1"/>
    <col min="15698" max="15698" width="1.5546875" style="3" customWidth="1"/>
    <col min="15699" max="15699" width="2.33203125" style="3" customWidth="1"/>
    <col min="15700" max="15700" width="1.5546875" style="3" customWidth="1"/>
    <col min="15701" max="15704" width="6.33203125" style="3" customWidth="1"/>
    <col min="15705" max="15705" width="6.109375" style="3" customWidth="1"/>
    <col min="15706" max="15707" width="1.109375" style="3" customWidth="1"/>
    <col min="15708" max="15708" width="1.33203125" style="3" customWidth="1"/>
    <col min="15709" max="15712" width="5.88671875" style="3" customWidth="1"/>
    <col min="15713" max="15713" width="6.88671875" style="3" customWidth="1"/>
    <col min="15714" max="15714" width="1.33203125" style="3" customWidth="1"/>
    <col min="15715" max="15716" width="1.6640625" style="3" customWidth="1"/>
    <col min="15717" max="15718" width="10.6640625" style="3" bestFit="1" customWidth="1"/>
    <col min="15719" max="15720" width="8.33203125" style="3" customWidth="1"/>
    <col min="15721" max="15721" width="8.6640625" style="3" customWidth="1"/>
    <col min="15722" max="15722" width="8.109375" style="3" customWidth="1"/>
    <col min="15723" max="15724" width="11.33203125" style="3" customWidth="1"/>
    <col min="15725" max="15725" width="10" style="3" customWidth="1"/>
    <col min="15726" max="15873" width="9.109375" style="3"/>
    <col min="15874" max="15874" width="5.5546875" style="3" customWidth="1"/>
    <col min="15875" max="15875" width="21.33203125" style="3" customWidth="1"/>
    <col min="15876" max="15876" width="38.88671875" style="3" customWidth="1"/>
    <col min="15877" max="15877" width="8.33203125" style="3" customWidth="1"/>
    <col min="15878" max="15878" width="6.109375" style="3" customWidth="1"/>
    <col min="15879" max="15879" width="1" style="3" customWidth="1"/>
    <col min="15880" max="15880" width="1.33203125" style="3" customWidth="1"/>
    <col min="15881" max="15881" width="5.109375" style="3" customWidth="1"/>
    <col min="15882" max="15882" width="6.109375" style="3" customWidth="1"/>
    <col min="15883" max="15883" width="0.6640625" style="3" customWidth="1"/>
    <col min="15884" max="15884" width="1" style="3" customWidth="1"/>
    <col min="15885" max="15885" width="4.6640625" style="3" customWidth="1"/>
    <col min="15886" max="15886" width="6.33203125" style="3" customWidth="1"/>
    <col min="15887" max="15887" width="0.88671875" style="3" customWidth="1"/>
    <col min="15888" max="15888" width="1.109375" style="3" customWidth="1"/>
    <col min="15889" max="15889" width="6.5546875" style="3" customWidth="1"/>
    <col min="15890" max="15890" width="7.109375" style="3" customWidth="1"/>
    <col min="15891" max="15892" width="1.5546875" style="3" customWidth="1"/>
    <col min="15893" max="15893" width="6.88671875" style="3" customWidth="1"/>
    <col min="15894" max="15894" width="2" style="3" customWidth="1"/>
    <col min="15895" max="15895" width="1.33203125" style="3" customWidth="1"/>
    <col min="15896" max="15896" width="2.109375" style="3" customWidth="1"/>
    <col min="15897" max="15897" width="6.44140625" style="3" customWidth="1"/>
    <col min="15898" max="15900" width="2" style="3" customWidth="1"/>
    <col min="15901" max="15901" width="7.6640625" style="3" customWidth="1"/>
    <col min="15902" max="15902" width="1.33203125" style="3" customWidth="1"/>
    <col min="15903" max="15903" width="1.5546875" style="3" customWidth="1"/>
    <col min="15904" max="15904" width="1.44140625" style="3" customWidth="1"/>
    <col min="15905" max="15905" width="6.109375" style="3" customWidth="1"/>
    <col min="15906" max="15908" width="1" style="3" customWidth="1"/>
    <col min="15909" max="15909" width="6.44140625" style="3" customWidth="1"/>
    <col min="15910" max="15910" width="5.88671875" style="3" customWidth="1"/>
    <col min="15911" max="15911" width="1.44140625" style="3" customWidth="1"/>
    <col min="15912" max="15912" width="1.5546875" style="3" customWidth="1"/>
    <col min="15913" max="15913" width="6.109375" style="3" customWidth="1"/>
    <col min="15914" max="15914" width="7" style="3" customWidth="1"/>
    <col min="15915" max="15915" width="1.109375" style="3" customWidth="1"/>
    <col min="15916" max="15916" width="1.88671875" style="3" customWidth="1"/>
    <col min="15917" max="15917" width="5.88671875" style="3" customWidth="1"/>
    <col min="15918" max="15918" width="1.6640625" style="3" customWidth="1"/>
    <col min="15919" max="15919" width="2.109375" style="3" customWidth="1"/>
    <col min="15920" max="15920" width="1.109375" style="3" customWidth="1"/>
    <col min="15921" max="15921" width="7.33203125" style="3" customWidth="1"/>
    <col min="15922" max="15923" width="2.109375" style="3" customWidth="1"/>
    <col min="15924" max="15924" width="1.6640625" style="3" customWidth="1"/>
    <col min="15925" max="15925" width="5.5546875" style="3" customWidth="1"/>
    <col min="15926" max="15926" width="2" style="3" customWidth="1"/>
    <col min="15927" max="15927" width="1.44140625" style="3" customWidth="1"/>
    <col min="15928" max="15928" width="2" style="3" customWidth="1"/>
    <col min="15929" max="15929" width="6.88671875" style="3" customWidth="1"/>
    <col min="15930" max="15930" width="1.6640625" style="3" customWidth="1"/>
    <col min="15931" max="15931" width="2" style="3" customWidth="1"/>
    <col min="15932" max="15932" width="1.88671875" style="3" customWidth="1"/>
    <col min="15933" max="15933" width="6.88671875" style="3" customWidth="1"/>
    <col min="15934" max="15934" width="1.109375" style="3" customWidth="1"/>
    <col min="15935" max="15935" width="1.33203125" style="3" customWidth="1"/>
    <col min="15936" max="15936" width="1.88671875" style="3" customWidth="1"/>
    <col min="15937" max="15937" width="6.88671875" style="3" customWidth="1"/>
    <col min="15938" max="15938" width="1.44140625" style="3" customWidth="1"/>
    <col min="15939" max="15939" width="1.33203125" style="3" customWidth="1"/>
    <col min="15940" max="15940" width="2.109375" style="3" customWidth="1"/>
    <col min="15941" max="15941" width="5.109375" style="3" customWidth="1"/>
    <col min="15942" max="15942" width="5.5546875" style="3" customWidth="1"/>
    <col min="15943" max="15943" width="1.109375" style="3" customWidth="1"/>
    <col min="15944" max="15944" width="1.44140625" style="3" customWidth="1"/>
    <col min="15945" max="15945" width="6" style="3" customWidth="1"/>
    <col min="15946" max="15946" width="5.88671875" style="3" customWidth="1"/>
    <col min="15947" max="15947" width="1.6640625" style="3" customWidth="1"/>
    <col min="15948" max="15948" width="2.109375" style="3" customWidth="1"/>
    <col min="15949" max="15952" width="5.88671875" style="3" customWidth="1"/>
    <col min="15953" max="15953" width="6" style="3" customWidth="1"/>
    <col min="15954" max="15954" width="1.5546875" style="3" customWidth="1"/>
    <col min="15955" max="15955" width="2.33203125" style="3" customWidth="1"/>
    <col min="15956" max="15956" width="1.5546875" style="3" customWidth="1"/>
    <col min="15957" max="15960" width="6.33203125" style="3" customWidth="1"/>
    <col min="15961" max="15961" width="6.109375" style="3" customWidth="1"/>
    <col min="15962" max="15963" width="1.109375" style="3" customWidth="1"/>
    <col min="15964" max="15964" width="1.33203125" style="3" customWidth="1"/>
    <col min="15965" max="15968" width="5.88671875" style="3" customWidth="1"/>
    <col min="15969" max="15969" width="6.88671875" style="3" customWidth="1"/>
    <col min="15970" max="15970" width="1.33203125" style="3" customWidth="1"/>
    <col min="15971" max="15972" width="1.6640625" style="3" customWidth="1"/>
    <col min="15973" max="15974" width="10.6640625" style="3" bestFit="1" customWidth="1"/>
    <col min="15975" max="15976" width="8.33203125" style="3" customWidth="1"/>
    <col min="15977" max="15977" width="8.6640625" style="3" customWidth="1"/>
    <col min="15978" max="15978" width="8.109375" style="3" customWidth="1"/>
    <col min="15979" max="15980" width="11.33203125" style="3" customWidth="1"/>
    <col min="15981" max="15981" width="10" style="3" customWidth="1"/>
    <col min="15982" max="16129" width="9.109375" style="3"/>
    <col min="16130" max="16130" width="5.5546875" style="3" customWidth="1"/>
    <col min="16131" max="16131" width="21.33203125" style="3" customWidth="1"/>
    <col min="16132" max="16132" width="38.88671875" style="3" customWidth="1"/>
    <col min="16133" max="16133" width="8.33203125" style="3" customWidth="1"/>
    <col min="16134" max="16134" width="6.109375" style="3" customWidth="1"/>
    <col min="16135" max="16135" width="1" style="3" customWidth="1"/>
    <col min="16136" max="16136" width="1.33203125" style="3" customWidth="1"/>
    <col min="16137" max="16137" width="5.109375" style="3" customWidth="1"/>
    <col min="16138" max="16138" width="6.109375" style="3" customWidth="1"/>
    <col min="16139" max="16139" width="0.6640625" style="3" customWidth="1"/>
    <col min="16140" max="16140" width="1" style="3" customWidth="1"/>
    <col min="16141" max="16141" width="4.6640625" style="3" customWidth="1"/>
    <col min="16142" max="16142" width="6.33203125" style="3" customWidth="1"/>
    <col min="16143" max="16143" width="0.88671875" style="3" customWidth="1"/>
    <col min="16144" max="16144" width="1.109375" style="3" customWidth="1"/>
    <col min="16145" max="16145" width="6.5546875" style="3" customWidth="1"/>
    <col min="16146" max="16146" width="7.109375" style="3" customWidth="1"/>
    <col min="16147" max="16148" width="1.5546875" style="3" customWidth="1"/>
    <col min="16149" max="16149" width="6.88671875" style="3" customWidth="1"/>
    <col min="16150" max="16150" width="2" style="3" customWidth="1"/>
    <col min="16151" max="16151" width="1.33203125" style="3" customWidth="1"/>
    <col min="16152" max="16152" width="2.109375" style="3" customWidth="1"/>
    <col min="16153" max="16153" width="6.44140625" style="3" customWidth="1"/>
    <col min="16154" max="16156" width="2" style="3" customWidth="1"/>
    <col min="16157" max="16157" width="7.6640625" style="3" customWidth="1"/>
    <col min="16158" max="16158" width="1.33203125" style="3" customWidth="1"/>
    <col min="16159" max="16159" width="1.5546875" style="3" customWidth="1"/>
    <col min="16160" max="16160" width="1.44140625" style="3" customWidth="1"/>
    <col min="16161" max="16161" width="6.109375" style="3" customWidth="1"/>
    <col min="16162" max="16164" width="1" style="3" customWidth="1"/>
    <col min="16165" max="16165" width="6.44140625" style="3" customWidth="1"/>
    <col min="16166" max="16166" width="5.88671875" style="3" customWidth="1"/>
    <col min="16167" max="16167" width="1.44140625" style="3" customWidth="1"/>
    <col min="16168" max="16168" width="1.5546875" style="3" customWidth="1"/>
    <col min="16169" max="16169" width="6.109375" style="3" customWidth="1"/>
    <col min="16170" max="16170" width="7" style="3" customWidth="1"/>
    <col min="16171" max="16171" width="1.109375" style="3" customWidth="1"/>
    <col min="16172" max="16172" width="1.88671875" style="3" customWidth="1"/>
    <col min="16173" max="16173" width="5.88671875" style="3" customWidth="1"/>
    <col min="16174" max="16174" width="1.6640625" style="3" customWidth="1"/>
    <col min="16175" max="16175" width="2.109375" style="3" customWidth="1"/>
    <col min="16176" max="16176" width="1.109375" style="3" customWidth="1"/>
    <col min="16177" max="16177" width="7.33203125" style="3" customWidth="1"/>
    <col min="16178" max="16179" width="2.109375" style="3" customWidth="1"/>
    <col min="16180" max="16180" width="1.6640625" style="3" customWidth="1"/>
    <col min="16181" max="16181" width="5.5546875" style="3" customWidth="1"/>
    <col min="16182" max="16182" width="2" style="3" customWidth="1"/>
    <col min="16183" max="16183" width="1.44140625" style="3" customWidth="1"/>
    <col min="16184" max="16184" width="2" style="3" customWidth="1"/>
    <col min="16185" max="16185" width="6.88671875" style="3" customWidth="1"/>
    <col min="16186" max="16186" width="1.6640625" style="3" customWidth="1"/>
    <col min="16187" max="16187" width="2" style="3" customWidth="1"/>
    <col min="16188" max="16188" width="1.88671875" style="3" customWidth="1"/>
    <col min="16189" max="16189" width="6.88671875" style="3" customWidth="1"/>
    <col min="16190" max="16190" width="1.109375" style="3" customWidth="1"/>
    <col min="16191" max="16191" width="1.33203125" style="3" customWidth="1"/>
    <col min="16192" max="16192" width="1.88671875" style="3" customWidth="1"/>
    <col min="16193" max="16193" width="6.88671875" style="3" customWidth="1"/>
    <col min="16194" max="16194" width="1.44140625" style="3" customWidth="1"/>
    <col min="16195" max="16195" width="1.33203125" style="3" customWidth="1"/>
    <col min="16196" max="16196" width="2.109375" style="3" customWidth="1"/>
    <col min="16197" max="16197" width="5.109375" style="3" customWidth="1"/>
    <col min="16198" max="16198" width="5.5546875" style="3" customWidth="1"/>
    <col min="16199" max="16199" width="1.109375" style="3" customWidth="1"/>
    <col min="16200" max="16200" width="1.44140625" style="3" customWidth="1"/>
    <col min="16201" max="16201" width="6" style="3" customWidth="1"/>
    <col min="16202" max="16202" width="5.88671875" style="3" customWidth="1"/>
    <col min="16203" max="16203" width="1.6640625" style="3" customWidth="1"/>
    <col min="16204" max="16204" width="2.109375" style="3" customWidth="1"/>
    <col min="16205" max="16208" width="5.88671875" style="3" customWidth="1"/>
    <col min="16209" max="16209" width="6" style="3" customWidth="1"/>
    <col min="16210" max="16210" width="1.5546875" style="3" customWidth="1"/>
    <col min="16211" max="16211" width="2.33203125" style="3" customWidth="1"/>
    <col min="16212" max="16212" width="1.5546875" style="3" customWidth="1"/>
    <col min="16213" max="16216" width="6.33203125" style="3" customWidth="1"/>
    <col min="16217" max="16217" width="6.109375" style="3" customWidth="1"/>
    <col min="16218" max="16219" width="1.109375" style="3" customWidth="1"/>
    <col min="16220" max="16220" width="1.33203125" style="3" customWidth="1"/>
    <col min="16221" max="16224" width="5.88671875" style="3" customWidth="1"/>
    <col min="16225" max="16225" width="6.88671875" style="3" customWidth="1"/>
    <col min="16226" max="16226" width="1.33203125" style="3" customWidth="1"/>
    <col min="16227" max="16228" width="1.6640625" style="3" customWidth="1"/>
    <col min="16229" max="16230" width="10.6640625" style="3" bestFit="1" customWidth="1"/>
    <col min="16231" max="16232" width="8.33203125" style="3" customWidth="1"/>
    <col min="16233" max="16233" width="8.6640625" style="3" customWidth="1"/>
    <col min="16234" max="16234" width="8.109375" style="3" customWidth="1"/>
    <col min="16235" max="16236" width="11.33203125" style="3" customWidth="1"/>
    <col min="16237" max="16237" width="10" style="3" customWidth="1"/>
    <col min="16238" max="16383" width="9.109375" style="3"/>
    <col min="16384" max="16384" width="9.109375" style="3" customWidth="1"/>
  </cols>
  <sheetData>
    <row r="1" spans="1:123" ht="23.25" customHeight="1" x14ac:dyDescent="0.3">
      <c r="A1" s="569" t="s">
        <v>58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70"/>
      <c r="AA1" s="570"/>
      <c r="AB1" s="570"/>
      <c r="AC1" s="571"/>
    </row>
    <row r="2" spans="1:123" ht="32.25" customHeight="1" x14ac:dyDescent="0.3">
      <c r="A2" s="572" t="s">
        <v>59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3"/>
      <c r="X2" s="573"/>
      <c r="Y2" s="573"/>
      <c r="Z2" s="573"/>
      <c r="AA2" s="573"/>
      <c r="AB2" s="573"/>
      <c r="AC2" s="574"/>
    </row>
    <row r="3" spans="1:123" ht="23.25" customHeight="1" thickBot="1" x14ac:dyDescent="0.35">
      <c r="A3" s="575"/>
      <c r="B3" s="575"/>
      <c r="C3" s="575"/>
      <c r="D3" s="575"/>
      <c r="E3" s="575"/>
      <c r="F3" s="575"/>
      <c r="G3" s="575"/>
      <c r="H3" s="575"/>
      <c r="I3" s="575"/>
      <c r="J3" s="575"/>
      <c r="K3" s="575"/>
      <c r="L3" s="575"/>
      <c r="M3" s="575"/>
      <c r="N3" s="575"/>
      <c r="O3" s="575"/>
      <c r="P3" s="575"/>
      <c r="Q3" s="575"/>
      <c r="R3" s="575"/>
      <c r="S3" s="575"/>
      <c r="T3" s="575"/>
      <c r="U3" s="575"/>
      <c r="V3" s="575"/>
      <c r="W3" s="575"/>
      <c r="X3" s="575"/>
      <c r="Y3" s="575"/>
      <c r="Z3" s="575"/>
      <c r="AA3" s="575"/>
      <c r="AB3" s="575"/>
      <c r="AC3" s="575"/>
    </row>
    <row r="4" spans="1:123" ht="23.25" customHeight="1" thickBot="1" x14ac:dyDescent="0.35">
      <c r="A4" s="559" t="s">
        <v>378</v>
      </c>
      <c r="B4" s="560"/>
      <c r="C4" s="561"/>
      <c r="D4" s="559" t="s">
        <v>379</v>
      </c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1"/>
      <c r="Q4" s="559" t="s">
        <v>380</v>
      </c>
      <c r="R4" s="560"/>
      <c r="S4" s="560"/>
      <c r="T4" s="560"/>
      <c r="U4" s="560"/>
      <c r="V4" s="560"/>
      <c r="W4" s="560"/>
      <c r="X4" s="560"/>
      <c r="Y4" s="560"/>
      <c r="Z4" s="560"/>
      <c r="AA4" s="560"/>
      <c r="AB4" s="560"/>
      <c r="AC4" s="561"/>
    </row>
    <row r="5" spans="1:123" ht="23.25" customHeight="1" thickBot="1" x14ac:dyDescent="0.35">
      <c r="A5" s="562" t="s">
        <v>385</v>
      </c>
      <c r="B5" s="563"/>
      <c r="C5" s="563"/>
      <c r="D5" s="563"/>
      <c r="E5" s="563"/>
      <c r="F5" s="563"/>
      <c r="G5" s="563"/>
      <c r="H5" s="563"/>
      <c r="I5" s="563"/>
      <c r="J5" s="563"/>
      <c r="K5" s="563"/>
      <c r="L5" s="563"/>
      <c r="M5" s="563"/>
      <c r="N5" s="563"/>
      <c r="O5" s="563"/>
      <c r="P5" s="563"/>
      <c r="Q5" s="563"/>
      <c r="R5" s="563"/>
      <c r="S5" s="563"/>
      <c r="T5" s="563"/>
      <c r="U5" s="563"/>
      <c r="V5" s="563"/>
      <c r="W5" s="563"/>
      <c r="X5" s="563"/>
      <c r="Y5" s="563"/>
      <c r="Z5" s="563"/>
      <c r="AA5" s="563"/>
      <c r="AB5" s="563"/>
      <c r="AC5" s="564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123" ht="23.25" customHeight="1" thickBot="1" x14ac:dyDescent="0.35">
      <c r="A6" s="562" t="s">
        <v>384</v>
      </c>
      <c r="B6" s="563"/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  <c r="T6" s="563"/>
      <c r="U6" s="563"/>
      <c r="V6" s="563"/>
      <c r="W6" s="563"/>
      <c r="X6" s="563"/>
      <c r="Y6" s="563"/>
      <c r="Z6" s="563"/>
      <c r="AA6" s="563"/>
      <c r="AB6" s="563"/>
      <c r="AC6" s="564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123" ht="23.25" customHeight="1" x14ac:dyDescent="0.4">
      <c r="A7" s="579" t="s">
        <v>229</v>
      </c>
      <c r="B7" s="579"/>
      <c r="C7" s="579"/>
      <c r="D7" s="392" t="s">
        <v>265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123" ht="23.25" customHeight="1" x14ac:dyDescent="0.4">
      <c r="A8" s="579" t="s">
        <v>228</v>
      </c>
      <c r="B8" s="579"/>
      <c r="C8" s="579"/>
      <c r="D8" s="392" t="s">
        <v>264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123" ht="23.25" customHeight="1" x14ac:dyDescent="0.4">
      <c r="A9" s="579" t="s">
        <v>227</v>
      </c>
      <c r="B9" s="579"/>
      <c r="C9" s="579"/>
      <c r="D9" s="392" t="s">
        <v>264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spans="1:123" ht="28.5" customHeight="1" x14ac:dyDescent="0.35">
      <c r="A10" s="565"/>
      <c r="B10" s="565"/>
      <c r="C10" s="565"/>
      <c r="D10" s="56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spans="1:123" ht="31.8" thickBot="1" x14ac:dyDescent="0.35">
      <c r="A11" s="1"/>
      <c r="B11" s="1"/>
      <c r="C11" s="270" t="s">
        <v>0</v>
      </c>
      <c r="D11" s="2"/>
      <c r="E11" s="2"/>
      <c r="F11" s="269"/>
      <c r="G11" s="26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CZ11" s="271"/>
    </row>
    <row r="12" spans="1:123" ht="22.5" customHeight="1" thickBot="1" x14ac:dyDescent="0.5">
      <c r="A12" s="1"/>
      <c r="C12" s="5" t="s">
        <v>1</v>
      </c>
      <c r="D12" s="478" t="s">
        <v>2</v>
      </c>
      <c r="E12" s="479"/>
      <c r="F12" s="479"/>
      <c r="G12" s="479"/>
      <c r="H12" s="480" t="s">
        <v>2</v>
      </c>
      <c r="I12" s="479"/>
      <c r="J12" s="479"/>
      <c r="K12" s="479"/>
      <c r="L12" s="480" t="s">
        <v>2</v>
      </c>
      <c r="M12" s="479"/>
      <c r="N12" s="479"/>
      <c r="O12" s="479"/>
      <c r="P12" s="480" t="s">
        <v>2</v>
      </c>
      <c r="Q12" s="479"/>
      <c r="R12" s="479"/>
      <c r="S12" s="479"/>
      <c r="T12" s="480" t="s">
        <v>2</v>
      </c>
      <c r="U12" s="479"/>
      <c r="V12" s="479"/>
      <c r="W12" s="479"/>
      <c r="X12" s="480" t="s">
        <v>2</v>
      </c>
      <c r="Y12" s="479"/>
      <c r="Z12" s="479"/>
      <c r="AA12" s="479"/>
      <c r="AB12" s="480" t="s">
        <v>2</v>
      </c>
      <c r="AC12" s="479"/>
      <c r="AD12" s="479"/>
      <c r="AE12" s="479"/>
      <c r="AF12" s="480" t="s">
        <v>2</v>
      </c>
      <c r="AG12" s="479"/>
      <c r="AH12" s="479"/>
      <c r="AI12" s="479"/>
      <c r="AJ12" s="480" t="s">
        <v>5</v>
      </c>
      <c r="AK12" s="479"/>
      <c r="AL12" s="479"/>
      <c r="AM12" s="479"/>
      <c r="AN12" s="480" t="s">
        <v>5</v>
      </c>
      <c r="AO12" s="480" t="s">
        <v>5</v>
      </c>
      <c r="AP12" s="479"/>
      <c r="AQ12" s="479"/>
      <c r="AR12" s="480" t="s">
        <v>3</v>
      </c>
      <c r="AS12" s="479"/>
      <c r="AT12" s="479"/>
      <c r="AU12" s="479"/>
      <c r="AV12" s="480" t="s">
        <v>3</v>
      </c>
      <c r="AW12" s="479"/>
      <c r="AX12" s="479"/>
      <c r="AY12" s="479"/>
      <c r="AZ12" s="480" t="s">
        <v>5</v>
      </c>
      <c r="BA12" s="479"/>
      <c r="BB12" s="479"/>
      <c r="BC12" s="479"/>
      <c r="BD12" s="480" t="s">
        <v>5</v>
      </c>
      <c r="BE12" s="479"/>
      <c r="BF12" s="479"/>
      <c r="BG12" s="479"/>
      <c r="BH12" s="480" t="s">
        <v>5</v>
      </c>
      <c r="BI12" s="479"/>
      <c r="BJ12" s="479"/>
      <c r="BK12" s="479"/>
      <c r="BL12" s="480" t="s">
        <v>5</v>
      </c>
      <c r="BM12" s="479"/>
      <c r="BN12" s="479"/>
      <c r="BO12" s="479"/>
      <c r="BP12" s="481" t="s">
        <v>4</v>
      </c>
      <c r="BQ12" s="482"/>
      <c r="BR12" s="482"/>
      <c r="BS12" s="482"/>
      <c r="BT12" s="481" t="s">
        <v>5</v>
      </c>
      <c r="BU12" s="482"/>
      <c r="BV12" s="482"/>
      <c r="BW12" s="482"/>
      <c r="BX12" s="481" t="s">
        <v>4</v>
      </c>
      <c r="BY12" s="482"/>
      <c r="BZ12" s="482"/>
      <c r="CA12" s="482"/>
      <c r="CB12" s="481" t="s">
        <v>4</v>
      </c>
      <c r="CC12" s="482"/>
      <c r="CD12" s="482"/>
      <c r="CE12" s="482"/>
      <c r="CF12" s="481" t="s">
        <v>4</v>
      </c>
      <c r="CG12" s="482"/>
      <c r="CH12" s="482"/>
      <c r="CI12" s="482"/>
      <c r="CJ12" s="481" t="s">
        <v>4</v>
      </c>
      <c r="CK12" s="482"/>
      <c r="CL12" s="482"/>
      <c r="CM12" s="482"/>
      <c r="CN12" s="481" t="s">
        <v>5</v>
      </c>
      <c r="CO12" s="482"/>
      <c r="CP12" s="482"/>
      <c r="CQ12" s="482"/>
      <c r="CR12" s="483" t="s">
        <v>5</v>
      </c>
      <c r="CS12" s="484"/>
      <c r="CT12" s="484"/>
      <c r="CU12" s="484"/>
      <c r="CV12" s="485" t="s">
        <v>225</v>
      </c>
      <c r="CW12" s="485" t="s">
        <v>225</v>
      </c>
      <c r="CX12" s="548"/>
      <c r="CY12" s="548"/>
      <c r="CZ12" s="548"/>
      <c r="DA12" s="548"/>
      <c r="DB12" s="548"/>
      <c r="DC12" s="548"/>
      <c r="DD12" s="548"/>
      <c r="DE12" s="548"/>
      <c r="DL12" s="576" t="s">
        <v>269</v>
      </c>
      <c r="DM12" s="577"/>
      <c r="DN12" s="577"/>
      <c r="DO12" s="577"/>
      <c r="DP12" s="577"/>
      <c r="DQ12" s="577"/>
      <c r="DR12" s="577"/>
      <c r="DS12" s="578"/>
    </row>
    <row r="13" spans="1:123" ht="55.5" customHeight="1" thickBot="1" x14ac:dyDescent="0.4">
      <c r="A13" s="1"/>
      <c r="B13" s="6"/>
      <c r="C13" s="7"/>
      <c r="D13" s="566" t="s">
        <v>7</v>
      </c>
      <c r="E13" s="567"/>
      <c r="F13" s="567"/>
      <c r="G13" s="567"/>
      <c r="H13" s="567"/>
      <c r="I13" s="567"/>
      <c r="J13" s="567"/>
      <c r="K13" s="567"/>
      <c r="L13" s="567"/>
      <c r="M13" s="567"/>
      <c r="N13" s="567"/>
      <c r="O13" s="567"/>
      <c r="P13" s="567"/>
      <c r="Q13" s="567"/>
      <c r="R13" s="567"/>
      <c r="S13" s="567"/>
      <c r="T13" s="567"/>
      <c r="U13" s="567"/>
      <c r="V13" s="567"/>
      <c r="W13" s="567"/>
      <c r="X13" s="567"/>
      <c r="Y13" s="567"/>
      <c r="Z13" s="567"/>
      <c r="AA13" s="567"/>
      <c r="AB13" s="567"/>
      <c r="AC13" s="567"/>
      <c r="AD13" s="567"/>
      <c r="AE13" s="567"/>
      <c r="AF13" s="567"/>
      <c r="AG13" s="567"/>
      <c r="AH13" s="567"/>
      <c r="AI13" s="568"/>
      <c r="AJ13" s="584" t="s">
        <v>8</v>
      </c>
      <c r="AK13" s="585"/>
      <c r="AL13" s="585"/>
      <c r="AM13" s="585"/>
      <c r="AN13" s="585"/>
      <c r="AO13" s="585"/>
      <c r="AP13" s="585"/>
      <c r="AQ13" s="585"/>
      <c r="AR13" s="585"/>
      <c r="AS13" s="585"/>
      <c r="AT13" s="585"/>
      <c r="AU13" s="585"/>
      <c r="AV13" s="585"/>
      <c r="AW13" s="585"/>
      <c r="AX13" s="585"/>
      <c r="AY13" s="585"/>
      <c r="AZ13" s="585"/>
      <c r="BA13" s="585"/>
      <c r="BB13" s="585"/>
      <c r="BC13" s="585"/>
      <c r="BD13" s="585"/>
      <c r="BE13" s="585"/>
      <c r="BF13" s="585"/>
      <c r="BG13" s="585"/>
      <c r="BH13" s="585"/>
      <c r="BI13" s="585"/>
      <c r="BJ13" s="585"/>
      <c r="BK13" s="585"/>
      <c r="BL13" s="585"/>
      <c r="BM13" s="585"/>
      <c r="BN13" s="585"/>
      <c r="BO13" s="586"/>
      <c r="BP13" s="566" t="s">
        <v>9</v>
      </c>
      <c r="BQ13" s="567"/>
      <c r="BR13" s="567"/>
      <c r="BS13" s="567"/>
      <c r="BT13" s="567"/>
      <c r="BU13" s="567"/>
      <c r="BV13" s="567"/>
      <c r="BW13" s="567"/>
      <c r="BX13" s="567"/>
      <c r="BY13" s="567"/>
      <c r="BZ13" s="567"/>
      <c r="CA13" s="567"/>
      <c r="CB13" s="567"/>
      <c r="CC13" s="567"/>
      <c r="CD13" s="567"/>
      <c r="CE13" s="567"/>
      <c r="CF13" s="567"/>
      <c r="CG13" s="567"/>
      <c r="CH13" s="567"/>
      <c r="CI13" s="567"/>
      <c r="CJ13" s="567"/>
      <c r="CK13" s="567"/>
      <c r="CL13" s="567"/>
      <c r="CM13" s="567"/>
      <c r="CN13" s="567"/>
      <c r="CO13" s="567"/>
      <c r="CP13" s="567"/>
      <c r="CQ13" s="567"/>
      <c r="CR13" s="567"/>
      <c r="CS13" s="567"/>
      <c r="CT13" s="567"/>
      <c r="CU13" s="568"/>
      <c r="CV13" s="486" t="s">
        <v>10</v>
      </c>
      <c r="CW13" s="486" t="s">
        <v>11</v>
      </c>
      <c r="CX13" s="549"/>
      <c r="CY13" s="549"/>
      <c r="CZ13" s="549"/>
      <c r="DA13" s="549"/>
      <c r="DB13" s="549"/>
      <c r="DC13" s="549"/>
      <c r="DD13" s="549"/>
      <c r="DE13" s="548"/>
      <c r="DL13" s="400" t="s">
        <v>244</v>
      </c>
      <c r="DM13" s="400" t="s">
        <v>244</v>
      </c>
      <c r="DN13" s="400" t="s">
        <v>244</v>
      </c>
      <c r="DO13" s="400" t="s">
        <v>244</v>
      </c>
      <c r="DP13" s="400" t="s">
        <v>245</v>
      </c>
      <c r="DQ13" s="400" t="s">
        <v>246</v>
      </c>
      <c r="DR13" s="400" t="s">
        <v>247</v>
      </c>
      <c r="DS13" s="400" t="s">
        <v>248</v>
      </c>
    </row>
    <row r="14" spans="1:123" ht="27.75" customHeight="1" thickBot="1" x14ac:dyDescent="0.35">
      <c r="A14" s="1"/>
      <c r="B14" s="6"/>
      <c r="C14" s="8" t="s">
        <v>12</v>
      </c>
      <c r="D14" s="488">
        <v>10</v>
      </c>
      <c r="E14" s="489"/>
      <c r="F14" s="489"/>
      <c r="G14" s="489"/>
      <c r="H14" s="490">
        <v>10</v>
      </c>
      <c r="I14" s="489"/>
      <c r="J14" s="489"/>
      <c r="K14" s="489"/>
      <c r="L14" s="490">
        <v>10</v>
      </c>
      <c r="M14" s="489"/>
      <c r="N14" s="489"/>
      <c r="O14" s="489"/>
      <c r="P14" s="490">
        <v>10</v>
      </c>
      <c r="Q14" s="489"/>
      <c r="R14" s="489"/>
      <c r="S14" s="489"/>
      <c r="T14" s="490">
        <v>10</v>
      </c>
      <c r="U14" s="489"/>
      <c r="V14" s="489"/>
      <c r="W14" s="489"/>
      <c r="X14" s="490">
        <v>10</v>
      </c>
      <c r="Y14" s="489"/>
      <c r="Z14" s="489"/>
      <c r="AA14" s="489"/>
      <c r="AB14" s="490">
        <v>10</v>
      </c>
      <c r="AC14" s="489"/>
      <c r="AD14" s="489"/>
      <c r="AE14" s="489"/>
      <c r="AF14" s="490">
        <v>10</v>
      </c>
      <c r="AG14" s="489"/>
      <c r="AH14" s="489"/>
      <c r="AI14" s="489"/>
      <c r="AJ14" s="490">
        <v>10</v>
      </c>
      <c r="AK14" s="489"/>
      <c r="AL14" s="489"/>
      <c r="AM14" s="489"/>
      <c r="AN14" s="490">
        <v>5</v>
      </c>
      <c r="AO14" s="490">
        <v>5</v>
      </c>
      <c r="AP14" s="489"/>
      <c r="AQ14" s="489"/>
      <c r="AR14" s="490">
        <v>10</v>
      </c>
      <c r="AS14" s="489"/>
      <c r="AT14" s="489"/>
      <c r="AU14" s="489"/>
      <c r="AV14" s="490">
        <v>10</v>
      </c>
      <c r="AW14" s="489"/>
      <c r="AX14" s="489"/>
      <c r="AY14" s="489"/>
      <c r="AZ14" s="490">
        <v>10</v>
      </c>
      <c r="BA14" s="489"/>
      <c r="BB14" s="489"/>
      <c r="BC14" s="489"/>
      <c r="BD14" s="490">
        <v>10</v>
      </c>
      <c r="BE14" s="489"/>
      <c r="BF14" s="489"/>
      <c r="BG14" s="489"/>
      <c r="BH14" s="490">
        <v>10</v>
      </c>
      <c r="BI14" s="489"/>
      <c r="BJ14" s="489"/>
      <c r="BK14" s="489"/>
      <c r="BL14" s="490">
        <v>10</v>
      </c>
      <c r="BM14" s="489"/>
      <c r="BN14" s="489"/>
      <c r="BO14" s="489"/>
      <c r="BP14" s="491">
        <v>10</v>
      </c>
      <c r="BQ14" s="492"/>
      <c r="BR14" s="492"/>
      <c r="BS14" s="492"/>
      <c r="BT14" s="491">
        <v>10</v>
      </c>
      <c r="BU14" s="492"/>
      <c r="BV14" s="492"/>
      <c r="BW14" s="492"/>
      <c r="BX14" s="491">
        <v>10</v>
      </c>
      <c r="BY14" s="492"/>
      <c r="BZ14" s="492"/>
      <c r="CA14" s="492"/>
      <c r="CB14" s="491">
        <v>10</v>
      </c>
      <c r="CC14" s="492"/>
      <c r="CD14" s="492"/>
      <c r="CE14" s="492"/>
      <c r="CF14" s="491">
        <v>10</v>
      </c>
      <c r="CG14" s="492"/>
      <c r="CH14" s="492"/>
      <c r="CI14" s="492"/>
      <c r="CJ14" s="491">
        <v>10</v>
      </c>
      <c r="CK14" s="492"/>
      <c r="CL14" s="492"/>
      <c r="CM14" s="492"/>
      <c r="CN14" s="491">
        <v>10</v>
      </c>
      <c r="CO14" s="492"/>
      <c r="CP14" s="492"/>
      <c r="CQ14" s="492"/>
      <c r="CR14" s="491">
        <v>10</v>
      </c>
      <c r="CS14" s="492"/>
      <c r="CT14" s="492"/>
      <c r="CU14" s="492"/>
      <c r="CV14" s="486">
        <v>10</v>
      </c>
      <c r="CW14" s="486">
        <v>10</v>
      </c>
      <c r="CX14" s="486">
        <v>50</v>
      </c>
      <c r="CY14" s="486">
        <v>50</v>
      </c>
      <c r="CZ14" s="486">
        <v>50</v>
      </c>
      <c r="DA14" s="493">
        <v>50</v>
      </c>
      <c r="DB14" s="493">
        <v>100</v>
      </c>
      <c r="DC14" s="493">
        <v>50</v>
      </c>
      <c r="DE14" s="548"/>
      <c r="DG14" s="580" t="s">
        <v>220</v>
      </c>
      <c r="DH14" s="580"/>
      <c r="DI14" s="580"/>
      <c r="DJ14" s="273" t="s">
        <v>150</v>
      </c>
      <c r="DL14" s="137" t="s">
        <v>249</v>
      </c>
      <c r="DM14" s="137" t="s">
        <v>250</v>
      </c>
      <c r="DN14" s="137" t="s">
        <v>251</v>
      </c>
      <c r="DO14" s="137" t="s">
        <v>259</v>
      </c>
      <c r="DP14" s="372" t="s">
        <v>249</v>
      </c>
      <c r="DQ14" s="581" t="s">
        <v>259</v>
      </c>
      <c r="DR14" s="582"/>
      <c r="DS14" s="583"/>
    </row>
    <row r="15" spans="1:123" ht="43.5" customHeight="1" thickBot="1" x14ac:dyDescent="0.35">
      <c r="A15" s="1"/>
      <c r="B15" s="6"/>
      <c r="C15" s="10" t="s">
        <v>13</v>
      </c>
      <c r="D15" s="494">
        <v>6</v>
      </c>
      <c r="E15" s="495"/>
      <c r="F15" s="496"/>
      <c r="G15" s="496"/>
      <c r="H15" s="495">
        <v>6</v>
      </c>
      <c r="I15" s="495"/>
      <c r="J15" s="496"/>
      <c r="K15" s="496"/>
      <c r="L15" s="495">
        <v>6</v>
      </c>
      <c r="M15" s="495"/>
      <c r="N15" s="496"/>
      <c r="O15" s="496"/>
      <c r="P15" s="495">
        <v>6</v>
      </c>
      <c r="Q15" s="495"/>
      <c r="R15" s="496"/>
      <c r="S15" s="496"/>
      <c r="T15" s="495">
        <v>6</v>
      </c>
      <c r="U15" s="496"/>
      <c r="V15" s="496"/>
      <c r="W15" s="496"/>
      <c r="X15" s="495">
        <v>6</v>
      </c>
      <c r="Y15" s="496"/>
      <c r="Z15" s="496"/>
      <c r="AA15" s="496"/>
      <c r="AB15" s="495">
        <v>6</v>
      </c>
      <c r="AC15" s="496"/>
      <c r="AD15" s="496"/>
      <c r="AE15" s="496"/>
      <c r="AF15" s="495">
        <v>6</v>
      </c>
      <c r="AG15" s="496"/>
      <c r="AH15" s="496"/>
      <c r="AI15" s="496"/>
      <c r="AJ15" s="495">
        <v>6</v>
      </c>
      <c r="AK15" s="495"/>
      <c r="AL15" s="496"/>
      <c r="AM15" s="496"/>
      <c r="AN15" s="495">
        <v>3</v>
      </c>
      <c r="AO15" s="495">
        <v>3</v>
      </c>
      <c r="AP15" s="496"/>
      <c r="AQ15" s="496"/>
      <c r="AR15" s="495">
        <v>6</v>
      </c>
      <c r="AS15" s="496"/>
      <c r="AT15" s="496"/>
      <c r="AU15" s="496"/>
      <c r="AV15" s="495">
        <v>6</v>
      </c>
      <c r="AW15" s="496"/>
      <c r="AX15" s="496"/>
      <c r="AY15" s="496"/>
      <c r="AZ15" s="495">
        <v>6</v>
      </c>
      <c r="BA15" s="496"/>
      <c r="BB15" s="496"/>
      <c r="BC15" s="496"/>
      <c r="BD15" s="495">
        <v>6</v>
      </c>
      <c r="BE15" s="496"/>
      <c r="BF15" s="496"/>
      <c r="BG15" s="496"/>
      <c r="BH15" s="495">
        <v>6</v>
      </c>
      <c r="BI15" s="496"/>
      <c r="BJ15" s="496"/>
      <c r="BK15" s="496"/>
      <c r="BL15" s="495">
        <v>6</v>
      </c>
      <c r="BM15" s="496"/>
      <c r="BN15" s="496"/>
      <c r="BO15" s="496"/>
      <c r="BP15" s="495">
        <v>6</v>
      </c>
      <c r="BQ15" s="495"/>
      <c r="BR15" s="496"/>
      <c r="BS15" s="496"/>
      <c r="BT15" s="495">
        <v>6</v>
      </c>
      <c r="BU15" s="495"/>
      <c r="BV15" s="496"/>
      <c r="BW15" s="496"/>
      <c r="BX15" s="495">
        <v>6</v>
      </c>
      <c r="BY15" s="496"/>
      <c r="BZ15" s="496"/>
      <c r="CA15" s="496"/>
      <c r="CB15" s="495">
        <v>6</v>
      </c>
      <c r="CC15" s="496"/>
      <c r="CD15" s="496"/>
      <c r="CE15" s="496"/>
      <c r="CF15" s="495">
        <v>6</v>
      </c>
      <c r="CG15" s="496"/>
      <c r="CH15" s="496"/>
      <c r="CI15" s="496"/>
      <c r="CJ15" s="495">
        <v>6</v>
      </c>
      <c r="CK15" s="496"/>
      <c r="CL15" s="496"/>
      <c r="CM15" s="496"/>
      <c r="CN15" s="495">
        <v>6</v>
      </c>
      <c r="CO15" s="496"/>
      <c r="CP15" s="496"/>
      <c r="CQ15" s="496"/>
      <c r="CR15" s="495">
        <v>6</v>
      </c>
      <c r="CS15" s="496"/>
      <c r="CT15" s="496"/>
      <c r="CU15" s="496"/>
      <c r="CV15" s="495">
        <v>6</v>
      </c>
      <c r="CW15" s="495">
        <v>6</v>
      </c>
      <c r="CX15" s="495">
        <v>30</v>
      </c>
      <c r="CY15" s="495">
        <v>30</v>
      </c>
      <c r="CZ15" s="495">
        <v>30</v>
      </c>
      <c r="DA15" s="495">
        <v>30</v>
      </c>
      <c r="DB15" s="495">
        <v>60</v>
      </c>
      <c r="DC15" s="495">
        <v>30</v>
      </c>
      <c r="DE15" s="549"/>
      <c r="DG15" s="31" t="str">
        <f>'CIA MARKS'!DX12</f>
        <v>STAND ALONE THEORY</v>
      </c>
      <c r="DH15" s="31" t="str">
        <f>'CIA MARKS'!EH12</f>
        <v>STAND ALONE LAB</v>
      </c>
      <c r="DI15" s="272" t="str">
        <f>'CIA MARKS'!EJ12</f>
        <v>IPCC</v>
      </c>
      <c r="DJ15" s="272" t="str">
        <f>'CIA MARKS'!EK12</f>
        <v>SEE</v>
      </c>
      <c r="DL15" s="385" t="s">
        <v>260</v>
      </c>
      <c r="DM15" s="385" t="s">
        <v>261</v>
      </c>
      <c r="DN15" s="385" t="s">
        <v>262</v>
      </c>
      <c r="DO15" s="385" t="s">
        <v>282</v>
      </c>
      <c r="DP15" s="385" t="s">
        <v>260</v>
      </c>
      <c r="DQ15" s="385" t="s">
        <v>252</v>
      </c>
      <c r="DR15" s="385" t="s">
        <v>253</v>
      </c>
      <c r="DS15" s="101"/>
    </row>
    <row r="16" spans="1:123" ht="34.5" customHeight="1" thickBot="1" x14ac:dyDescent="0.35">
      <c r="A16" s="12" t="s">
        <v>14</v>
      </c>
      <c r="B16" s="12" t="s">
        <v>15</v>
      </c>
      <c r="C16" s="13" t="s">
        <v>277</v>
      </c>
      <c r="D16" s="497" t="s">
        <v>17</v>
      </c>
      <c r="E16" s="498" t="s">
        <v>18</v>
      </c>
      <c r="F16" s="498" t="s">
        <v>19</v>
      </c>
      <c r="G16" s="498" t="s">
        <v>20</v>
      </c>
      <c r="H16" s="498" t="s">
        <v>21</v>
      </c>
      <c r="I16" s="498" t="s">
        <v>22</v>
      </c>
      <c r="J16" s="498" t="s">
        <v>23</v>
      </c>
      <c r="K16" s="498" t="s">
        <v>24</v>
      </c>
      <c r="L16" s="498" t="s">
        <v>25</v>
      </c>
      <c r="M16" s="498" t="s">
        <v>26</v>
      </c>
      <c r="N16" s="498" t="s">
        <v>27</v>
      </c>
      <c r="O16" s="498" t="s">
        <v>28</v>
      </c>
      <c r="P16" s="498" t="s">
        <v>29</v>
      </c>
      <c r="Q16" s="498" t="s">
        <v>30</v>
      </c>
      <c r="R16" s="498" t="s">
        <v>31</v>
      </c>
      <c r="S16" s="498" t="s">
        <v>32</v>
      </c>
      <c r="T16" s="498" t="s">
        <v>33</v>
      </c>
      <c r="U16" s="498" t="s">
        <v>34</v>
      </c>
      <c r="V16" s="498" t="s">
        <v>35</v>
      </c>
      <c r="W16" s="498" t="s">
        <v>36</v>
      </c>
      <c r="X16" s="498" t="s">
        <v>37</v>
      </c>
      <c r="Y16" s="498" t="s">
        <v>38</v>
      </c>
      <c r="Z16" s="498" t="s">
        <v>39</v>
      </c>
      <c r="AA16" s="498" t="s">
        <v>40</v>
      </c>
      <c r="AB16" s="498" t="s">
        <v>41</v>
      </c>
      <c r="AC16" s="498" t="s">
        <v>42</v>
      </c>
      <c r="AD16" s="498" t="s">
        <v>43</v>
      </c>
      <c r="AE16" s="498" t="s">
        <v>44</v>
      </c>
      <c r="AF16" s="498" t="s">
        <v>45</v>
      </c>
      <c r="AG16" s="498" t="s">
        <v>46</v>
      </c>
      <c r="AH16" s="498" t="s">
        <v>47</v>
      </c>
      <c r="AI16" s="498" t="s">
        <v>48</v>
      </c>
      <c r="AJ16" s="499" t="s">
        <v>17</v>
      </c>
      <c r="AK16" s="499" t="s">
        <v>17</v>
      </c>
      <c r="AL16" s="499" t="s">
        <v>19</v>
      </c>
      <c r="AM16" s="499" t="s">
        <v>20</v>
      </c>
      <c r="AN16" s="499" t="s">
        <v>21</v>
      </c>
      <c r="AO16" s="499" t="s">
        <v>21</v>
      </c>
      <c r="AP16" s="499" t="s">
        <v>23</v>
      </c>
      <c r="AQ16" s="499" t="s">
        <v>24</v>
      </c>
      <c r="AR16" s="499" t="s">
        <v>25</v>
      </c>
      <c r="AS16" s="499" t="s">
        <v>26</v>
      </c>
      <c r="AT16" s="499" t="s">
        <v>27</v>
      </c>
      <c r="AU16" s="499" t="s">
        <v>28</v>
      </c>
      <c r="AV16" s="499" t="s">
        <v>29</v>
      </c>
      <c r="AW16" s="499" t="s">
        <v>30</v>
      </c>
      <c r="AX16" s="499" t="s">
        <v>31</v>
      </c>
      <c r="AY16" s="499" t="s">
        <v>32</v>
      </c>
      <c r="AZ16" s="499" t="s">
        <v>33</v>
      </c>
      <c r="BA16" s="499" t="s">
        <v>34</v>
      </c>
      <c r="BB16" s="499" t="s">
        <v>35</v>
      </c>
      <c r="BC16" s="499" t="s">
        <v>36</v>
      </c>
      <c r="BD16" s="499" t="s">
        <v>37</v>
      </c>
      <c r="BE16" s="499" t="s">
        <v>38</v>
      </c>
      <c r="BF16" s="499" t="s">
        <v>39</v>
      </c>
      <c r="BG16" s="499" t="s">
        <v>40</v>
      </c>
      <c r="BH16" s="499" t="s">
        <v>41</v>
      </c>
      <c r="BI16" s="499" t="s">
        <v>42</v>
      </c>
      <c r="BJ16" s="499" t="s">
        <v>43</v>
      </c>
      <c r="BK16" s="499" t="s">
        <v>44</v>
      </c>
      <c r="BL16" s="499" t="s">
        <v>45</v>
      </c>
      <c r="BM16" s="499" t="s">
        <v>46</v>
      </c>
      <c r="BN16" s="499" t="s">
        <v>47</v>
      </c>
      <c r="BO16" s="499" t="s">
        <v>48</v>
      </c>
      <c r="BP16" s="498" t="s">
        <v>17</v>
      </c>
      <c r="BQ16" s="498" t="s">
        <v>18</v>
      </c>
      <c r="BR16" s="498" t="s">
        <v>19</v>
      </c>
      <c r="BS16" s="498" t="s">
        <v>20</v>
      </c>
      <c r="BT16" s="498" t="s">
        <v>21</v>
      </c>
      <c r="BU16" s="498" t="s">
        <v>22</v>
      </c>
      <c r="BV16" s="498" t="s">
        <v>23</v>
      </c>
      <c r="BW16" s="498" t="s">
        <v>24</v>
      </c>
      <c r="BX16" s="498" t="s">
        <v>25</v>
      </c>
      <c r="BY16" s="498" t="s">
        <v>26</v>
      </c>
      <c r="BZ16" s="498" t="s">
        <v>27</v>
      </c>
      <c r="CA16" s="498" t="s">
        <v>28</v>
      </c>
      <c r="CB16" s="498" t="s">
        <v>29</v>
      </c>
      <c r="CC16" s="498" t="s">
        <v>30</v>
      </c>
      <c r="CD16" s="498" t="s">
        <v>31</v>
      </c>
      <c r="CE16" s="498" t="s">
        <v>32</v>
      </c>
      <c r="CF16" s="498" t="s">
        <v>33</v>
      </c>
      <c r="CG16" s="498" t="s">
        <v>34</v>
      </c>
      <c r="CH16" s="498" t="s">
        <v>35</v>
      </c>
      <c r="CI16" s="498" t="s">
        <v>36</v>
      </c>
      <c r="CJ16" s="498" t="s">
        <v>37</v>
      </c>
      <c r="CK16" s="498" t="s">
        <v>38</v>
      </c>
      <c r="CL16" s="498" t="s">
        <v>39</v>
      </c>
      <c r="CM16" s="498" t="s">
        <v>40</v>
      </c>
      <c r="CN16" s="498" t="s">
        <v>41</v>
      </c>
      <c r="CO16" s="498" t="s">
        <v>42</v>
      </c>
      <c r="CP16" s="498" t="s">
        <v>43</v>
      </c>
      <c r="CQ16" s="498" t="s">
        <v>44</v>
      </c>
      <c r="CR16" s="498" t="s">
        <v>45</v>
      </c>
      <c r="CS16" s="498" t="s">
        <v>46</v>
      </c>
      <c r="CT16" s="498" t="s">
        <v>47</v>
      </c>
      <c r="CU16" s="498" t="s">
        <v>48</v>
      </c>
      <c r="CV16" s="535" t="s">
        <v>49</v>
      </c>
      <c r="CW16" s="535" t="s">
        <v>49</v>
      </c>
      <c r="CX16" s="535" t="s">
        <v>50</v>
      </c>
      <c r="CY16" s="535" t="s">
        <v>381</v>
      </c>
      <c r="CZ16" s="535" t="s">
        <v>382</v>
      </c>
      <c r="DA16" s="536" t="s">
        <v>230</v>
      </c>
      <c r="DB16" s="536" t="s">
        <v>266</v>
      </c>
      <c r="DC16" s="536" t="s">
        <v>266</v>
      </c>
      <c r="DE16" s="536" t="s">
        <v>383</v>
      </c>
      <c r="DG16" s="274">
        <f>'CIA MARKS'!DX13</f>
        <v>50</v>
      </c>
      <c r="DH16" s="275">
        <f>'CIA MARKS'!EH13</f>
        <v>0</v>
      </c>
      <c r="DI16" s="274">
        <f>'CIA MARKS'!EJ13</f>
        <v>30</v>
      </c>
      <c r="DJ16" s="273">
        <f>'CIA MARKS'!EK13</f>
        <v>50</v>
      </c>
      <c r="DL16" s="386">
        <v>12</v>
      </c>
      <c r="DM16" s="386">
        <v>24</v>
      </c>
      <c r="DN16" s="386">
        <v>40</v>
      </c>
      <c r="DO16" s="386">
        <v>52</v>
      </c>
      <c r="DP16" s="386">
        <v>12</v>
      </c>
      <c r="DQ16" s="386">
        <v>40</v>
      </c>
      <c r="DR16" s="386">
        <v>12</v>
      </c>
      <c r="DS16" s="386">
        <f>SUM(DQ16:DR16)</f>
        <v>52</v>
      </c>
    </row>
    <row r="17" spans="1:123" ht="16.2" thickBot="1" x14ac:dyDescent="0.35">
      <c r="A17" s="471">
        <v>1</v>
      </c>
      <c r="B17" s="515" t="s">
        <v>297</v>
      </c>
      <c r="C17" s="515" t="s">
        <v>298</v>
      </c>
      <c r="D17" s="516">
        <v>9</v>
      </c>
      <c r="E17" s="517"/>
      <c r="F17" s="517"/>
      <c r="G17" s="517"/>
      <c r="H17" s="516">
        <v>8</v>
      </c>
      <c r="I17" s="517"/>
      <c r="J17" s="517"/>
      <c r="K17" s="517"/>
      <c r="L17" s="516">
        <v>8</v>
      </c>
      <c r="M17" s="517"/>
      <c r="N17" s="517"/>
      <c r="O17" s="517"/>
      <c r="P17" s="518"/>
      <c r="Q17" s="518"/>
      <c r="R17" s="517"/>
      <c r="S17" s="517"/>
      <c r="T17" s="516">
        <v>8</v>
      </c>
      <c r="U17" s="517"/>
      <c r="V17" s="517"/>
      <c r="W17" s="517"/>
      <c r="X17" s="518"/>
      <c r="Y17" s="517"/>
      <c r="Z17" s="517"/>
      <c r="AA17" s="517"/>
      <c r="AB17" s="516">
        <v>9</v>
      </c>
      <c r="AC17" s="517"/>
      <c r="AD17" s="517"/>
      <c r="AE17" s="517"/>
      <c r="AF17" s="518"/>
      <c r="AG17" s="517"/>
      <c r="AH17" s="517"/>
      <c r="AI17" s="517"/>
      <c r="AJ17" s="519">
        <v>9</v>
      </c>
      <c r="AK17" s="520"/>
      <c r="AL17" s="520"/>
      <c r="AM17" s="520"/>
      <c r="AN17" s="516">
        <v>9</v>
      </c>
      <c r="AO17" s="520"/>
      <c r="AP17" s="520"/>
      <c r="AQ17" s="520"/>
      <c r="AR17" s="516">
        <v>9</v>
      </c>
      <c r="AS17" s="521"/>
      <c r="AT17" s="521"/>
      <c r="AU17" s="521"/>
      <c r="AV17" s="518"/>
      <c r="AW17" s="518"/>
      <c r="AX17" s="521"/>
      <c r="AY17" s="521"/>
      <c r="AZ17" s="516">
        <v>8</v>
      </c>
      <c r="BA17" s="521"/>
      <c r="BB17" s="521"/>
      <c r="BC17" s="521"/>
      <c r="BD17" s="518"/>
      <c r="BE17" s="521"/>
      <c r="BF17" s="521"/>
      <c r="BG17" s="521"/>
      <c r="BH17" s="516">
        <v>10</v>
      </c>
      <c r="BI17" s="521"/>
      <c r="BJ17" s="521"/>
      <c r="BK17" s="521"/>
      <c r="BL17" s="518"/>
      <c r="BM17" s="521"/>
      <c r="BN17" s="521"/>
      <c r="BO17" s="521"/>
      <c r="BP17" s="519">
        <v>7</v>
      </c>
      <c r="BQ17" s="522"/>
      <c r="BR17" s="522"/>
      <c r="BS17" s="522"/>
      <c r="BT17" s="516">
        <v>9</v>
      </c>
      <c r="BU17" s="522"/>
      <c r="BV17" s="522"/>
      <c r="BW17" s="522"/>
      <c r="BX17" s="516">
        <v>10</v>
      </c>
      <c r="BY17" s="523"/>
      <c r="BZ17" s="523"/>
      <c r="CA17" s="523"/>
      <c r="CB17" s="518"/>
      <c r="CC17" s="524"/>
      <c r="CD17" s="524"/>
      <c r="CE17" s="524"/>
      <c r="CF17" s="516">
        <v>9</v>
      </c>
      <c r="CG17" s="525"/>
      <c r="CH17" s="525"/>
      <c r="CI17" s="525"/>
      <c r="CJ17" s="518"/>
      <c r="CK17" s="524"/>
      <c r="CL17" s="524"/>
      <c r="CM17" s="524"/>
      <c r="CN17" s="516">
        <v>8</v>
      </c>
      <c r="CO17" s="524"/>
      <c r="CP17" s="524"/>
      <c r="CQ17" s="524"/>
      <c r="CR17" s="518"/>
      <c r="CS17" s="525"/>
      <c r="CT17" s="525"/>
      <c r="CU17" s="531"/>
      <c r="CV17" s="541">
        <v>10</v>
      </c>
      <c r="CW17" s="541">
        <v>5</v>
      </c>
      <c r="CX17" s="542"/>
      <c r="CY17" s="542"/>
      <c r="CZ17" s="542"/>
      <c r="DA17" s="546">
        <v>41</v>
      </c>
      <c r="DB17" s="550">
        <v>83</v>
      </c>
      <c r="DC17" s="272">
        <v>42</v>
      </c>
      <c r="DE17" s="551" t="s">
        <v>288</v>
      </c>
      <c r="DG17" s="272">
        <f>IF(D$7="YES",'CIA MARKS'!DX14,"")</f>
        <v>41</v>
      </c>
      <c r="DH17" s="31" t="str">
        <f>IF(D$8="YES",'CIA MARKS'!EH14,"")</f>
        <v/>
      </c>
      <c r="DI17" s="272" t="str">
        <f>IF(D$9="YES",'CIA MARKS'!EJ14,"")</f>
        <v/>
      </c>
      <c r="DJ17" s="272">
        <f>IF(Theory!D$7="YES",DC17,
 IF(Theory!D$8="YES",Lab!K9,
 IF(Theory!D$9="YES",DC17,"")))</f>
        <v>42</v>
      </c>
      <c r="DL17" s="350"/>
      <c r="DM17" s="350"/>
      <c r="DN17" s="350"/>
      <c r="DO17" s="350"/>
      <c r="DP17" s="350"/>
      <c r="DQ17" s="351"/>
      <c r="DR17" s="327"/>
      <c r="DS17" s="348">
        <f t="shared" ref="DS17:DS80" si="0">SUM(DQ17:DR17)</f>
        <v>0</v>
      </c>
    </row>
    <row r="18" spans="1:123" ht="16.2" thickBot="1" x14ac:dyDescent="0.35">
      <c r="A18" s="471">
        <v>2</v>
      </c>
      <c r="B18" s="515" t="s">
        <v>299</v>
      </c>
      <c r="C18" s="515" t="s">
        <v>300</v>
      </c>
      <c r="D18" s="516">
        <v>9</v>
      </c>
      <c r="E18" s="526"/>
      <c r="F18" s="526"/>
      <c r="G18" s="526"/>
      <c r="H18" s="516">
        <v>9</v>
      </c>
      <c r="I18" s="526"/>
      <c r="J18" s="526"/>
      <c r="K18" s="526"/>
      <c r="L18" s="516">
        <v>10</v>
      </c>
      <c r="M18" s="526"/>
      <c r="N18" s="526"/>
      <c r="O18" s="526"/>
      <c r="P18" s="518"/>
      <c r="Q18" s="518"/>
      <c r="R18" s="526"/>
      <c r="S18" s="526"/>
      <c r="T18" s="516">
        <v>10</v>
      </c>
      <c r="U18" s="526"/>
      <c r="V18" s="526"/>
      <c r="W18" s="526"/>
      <c r="X18" s="518"/>
      <c r="Y18" s="526"/>
      <c r="Z18" s="526"/>
      <c r="AA18" s="526"/>
      <c r="AB18" s="516">
        <v>10</v>
      </c>
      <c r="AC18" s="526"/>
      <c r="AD18" s="526"/>
      <c r="AE18" s="526"/>
      <c r="AF18" s="518"/>
      <c r="AG18" s="526"/>
      <c r="AH18" s="526"/>
      <c r="AI18" s="526"/>
      <c r="AJ18" s="519">
        <v>9</v>
      </c>
      <c r="AK18" s="520"/>
      <c r="AL18" s="520"/>
      <c r="AM18" s="520"/>
      <c r="AN18" s="516">
        <v>9</v>
      </c>
      <c r="AO18" s="520"/>
      <c r="AP18" s="520"/>
      <c r="AQ18" s="520"/>
      <c r="AR18" s="516">
        <v>10</v>
      </c>
      <c r="AS18" s="521"/>
      <c r="AT18" s="521"/>
      <c r="AU18" s="521"/>
      <c r="AV18" s="518"/>
      <c r="AW18" s="518"/>
      <c r="AX18" s="521"/>
      <c r="AY18" s="521"/>
      <c r="AZ18" s="516">
        <v>8</v>
      </c>
      <c r="BA18" s="521"/>
      <c r="BB18" s="521"/>
      <c r="BC18" s="521"/>
      <c r="BD18" s="518"/>
      <c r="BE18" s="521"/>
      <c r="BF18" s="521"/>
      <c r="BG18" s="521"/>
      <c r="BH18" s="516">
        <v>9</v>
      </c>
      <c r="BI18" s="521"/>
      <c r="BJ18" s="521"/>
      <c r="BK18" s="521"/>
      <c r="BL18" s="518"/>
      <c r="BM18" s="521"/>
      <c r="BN18" s="521"/>
      <c r="BO18" s="521"/>
      <c r="BP18" s="519">
        <v>10</v>
      </c>
      <c r="BQ18" s="522"/>
      <c r="BR18" s="522"/>
      <c r="BS18" s="522"/>
      <c r="BT18" s="516">
        <v>9</v>
      </c>
      <c r="BU18" s="522"/>
      <c r="BV18" s="522"/>
      <c r="BW18" s="522"/>
      <c r="BX18" s="516">
        <v>9</v>
      </c>
      <c r="BY18" s="523"/>
      <c r="BZ18" s="523"/>
      <c r="CA18" s="523"/>
      <c r="CB18" s="518"/>
      <c r="CC18" s="524"/>
      <c r="CD18" s="524"/>
      <c r="CE18" s="524"/>
      <c r="CF18" s="516">
        <v>10</v>
      </c>
      <c r="CG18" s="525"/>
      <c r="CH18" s="525"/>
      <c r="CI18" s="525"/>
      <c r="CJ18" s="518"/>
      <c r="CK18" s="524"/>
      <c r="CL18" s="524"/>
      <c r="CM18" s="524"/>
      <c r="CN18" s="518"/>
      <c r="CO18" s="524"/>
      <c r="CP18" s="524"/>
      <c r="CQ18" s="524"/>
      <c r="CR18" s="516">
        <v>10</v>
      </c>
      <c r="CS18" s="525"/>
      <c r="CT18" s="525"/>
      <c r="CU18" s="531"/>
      <c r="CV18" s="272">
        <v>10</v>
      </c>
      <c r="CW18" s="272">
        <v>10</v>
      </c>
      <c r="CX18" s="547"/>
      <c r="CY18" s="547"/>
      <c r="CZ18" s="547"/>
      <c r="DA18" s="546">
        <v>48</v>
      </c>
      <c r="DB18" s="550">
        <v>88</v>
      </c>
      <c r="DC18" s="272">
        <v>40</v>
      </c>
      <c r="DE18" s="551" t="s">
        <v>288</v>
      </c>
      <c r="DG18" s="272">
        <f>IF(D$7="YES",'CIA MARKS'!DX15,"")</f>
        <v>48</v>
      </c>
      <c r="DH18" s="31" t="str">
        <f>IF(D$8="YES",'CIA MARKS'!EH15,"")</f>
        <v/>
      </c>
      <c r="DI18" s="272" t="str">
        <f>IF(D$9="YES",'CIA MARKS'!EJ15,"")</f>
        <v/>
      </c>
      <c r="DJ18" s="272">
        <f>IF(Theory!D$7="YES",DC18,
 IF(Theory!D$8="YES",Lab!K10,
 IF(Theory!D$9="YES",DC18,"")))</f>
        <v>40</v>
      </c>
      <c r="DL18" s="350"/>
      <c r="DM18" s="350"/>
      <c r="DN18" s="350"/>
      <c r="DO18" s="350"/>
      <c r="DP18" s="350"/>
      <c r="DQ18" s="351"/>
      <c r="DR18" s="327"/>
      <c r="DS18" s="348">
        <f t="shared" si="0"/>
        <v>0</v>
      </c>
    </row>
    <row r="19" spans="1:123" ht="16.2" thickBot="1" x14ac:dyDescent="0.35">
      <c r="A19" s="471">
        <v>3</v>
      </c>
      <c r="B19" s="515" t="s">
        <v>301</v>
      </c>
      <c r="C19" s="515" t="s">
        <v>302</v>
      </c>
      <c r="D19" s="516">
        <v>7</v>
      </c>
      <c r="E19" s="526"/>
      <c r="F19" s="526"/>
      <c r="G19" s="526"/>
      <c r="H19" s="516">
        <v>8</v>
      </c>
      <c r="I19" s="526"/>
      <c r="J19" s="526"/>
      <c r="K19" s="526"/>
      <c r="L19" s="518"/>
      <c r="M19" s="526"/>
      <c r="N19" s="526"/>
      <c r="O19" s="526"/>
      <c r="P19" s="516">
        <v>9</v>
      </c>
      <c r="Q19" s="516"/>
      <c r="R19" s="526"/>
      <c r="S19" s="526"/>
      <c r="T19" s="518"/>
      <c r="U19" s="526"/>
      <c r="V19" s="526"/>
      <c r="W19" s="526"/>
      <c r="X19" s="516">
        <v>9</v>
      </c>
      <c r="Y19" s="526"/>
      <c r="Z19" s="526"/>
      <c r="AA19" s="526"/>
      <c r="AB19" s="516">
        <v>10</v>
      </c>
      <c r="AC19" s="526"/>
      <c r="AD19" s="526"/>
      <c r="AE19" s="526"/>
      <c r="AF19" s="518"/>
      <c r="AG19" s="526"/>
      <c r="AH19" s="526"/>
      <c r="AI19" s="526"/>
      <c r="AJ19" s="519">
        <v>9</v>
      </c>
      <c r="AK19" s="520"/>
      <c r="AL19" s="520"/>
      <c r="AM19" s="520"/>
      <c r="AN19" s="516">
        <v>10</v>
      </c>
      <c r="AO19" s="520"/>
      <c r="AP19" s="520"/>
      <c r="AQ19" s="520"/>
      <c r="AR19" s="516">
        <v>10</v>
      </c>
      <c r="AS19" s="521"/>
      <c r="AT19" s="521"/>
      <c r="AU19" s="521"/>
      <c r="AV19" s="518"/>
      <c r="AW19" s="518"/>
      <c r="AX19" s="521"/>
      <c r="AY19" s="521"/>
      <c r="AZ19" s="516">
        <v>8</v>
      </c>
      <c r="BA19" s="521"/>
      <c r="BB19" s="521"/>
      <c r="BC19" s="521"/>
      <c r="BD19" s="518"/>
      <c r="BE19" s="521"/>
      <c r="BF19" s="521"/>
      <c r="BG19" s="521"/>
      <c r="BH19" s="516">
        <v>10</v>
      </c>
      <c r="BI19" s="521"/>
      <c r="BJ19" s="521"/>
      <c r="BK19" s="521"/>
      <c r="BL19" s="518"/>
      <c r="BM19" s="521"/>
      <c r="BN19" s="521"/>
      <c r="BO19" s="521"/>
      <c r="BP19" s="519">
        <v>9</v>
      </c>
      <c r="BQ19" s="522"/>
      <c r="BR19" s="522"/>
      <c r="BS19" s="522"/>
      <c r="BT19" s="516">
        <v>9</v>
      </c>
      <c r="BU19" s="522"/>
      <c r="BV19" s="522"/>
      <c r="BW19" s="522"/>
      <c r="BX19" s="518"/>
      <c r="BY19" s="523"/>
      <c r="BZ19" s="523"/>
      <c r="CA19" s="523"/>
      <c r="CB19" s="516">
        <v>10</v>
      </c>
      <c r="CC19" s="524"/>
      <c r="CD19" s="524"/>
      <c r="CE19" s="524"/>
      <c r="CF19" s="516">
        <v>10</v>
      </c>
      <c r="CG19" s="525"/>
      <c r="CH19" s="525"/>
      <c r="CI19" s="525"/>
      <c r="CJ19" s="518"/>
      <c r="CK19" s="524"/>
      <c r="CL19" s="524"/>
      <c r="CM19" s="524"/>
      <c r="CN19" s="516">
        <v>9</v>
      </c>
      <c r="CO19" s="524"/>
      <c r="CP19" s="524"/>
      <c r="CQ19" s="524"/>
      <c r="CR19" s="518"/>
      <c r="CS19" s="525"/>
      <c r="CT19" s="525"/>
      <c r="CU19" s="531"/>
      <c r="CV19" s="272">
        <v>10</v>
      </c>
      <c r="CW19" s="272">
        <v>10</v>
      </c>
      <c r="CX19" s="547"/>
      <c r="CY19" s="547"/>
      <c r="CZ19" s="547"/>
      <c r="DA19" s="546">
        <v>47</v>
      </c>
      <c r="DB19" s="550">
        <v>89</v>
      </c>
      <c r="DC19" s="272">
        <v>42</v>
      </c>
      <c r="DE19" s="551" t="s">
        <v>288</v>
      </c>
      <c r="DG19" s="272">
        <f>IF(D$7="YES",'CIA MARKS'!DX16,"")</f>
        <v>47</v>
      </c>
      <c r="DH19" s="31" t="str">
        <f>IF(D$8="YES",'CIA MARKS'!EH16,"")</f>
        <v/>
      </c>
      <c r="DI19" s="272" t="str">
        <f>IF(D$9="YES",'CIA MARKS'!EJ16,"")</f>
        <v/>
      </c>
      <c r="DJ19" s="272">
        <f>IF(Theory!D$7="YES",DC19,
 IF(Theory!D$8="YES",Lab!K11,
 IF(Theory!D$9="YES",DC19,"")))</f>
        <v>42</v>
      </c>
      <c r="DL19" s="350"/>
      <c r="DM19" s="350"/>
      <c r="DN19" s="350"/>
      <c r="DO19" s="350"/>
      <c r="DP19" s="350"/>
      <c r="DQ19" s="351"/>
      <c r="DR19" s="327"/>
      <c r="DS19" s="348">
        <f t="shared" si="0"/>
        <v>0</v>
      </c>
    </row>
    <row r="20" spans="1:123" ht="16.2" thickBot="1" x14ac:dyDescent="0.35">
      <c r="A20" s="471">
        <v>4</v>
      </c>
      <c r="B20" s="515" t="s">
        <v>303</v>
      </c>
      <c r="C20" s="515" t="s">
        <v>304</v>
      </c>
      <c r="D20" s="516">
        <v>6</v>
      </c>
      <c r="E20" s="526"/>
      <c r="F20" s="526"/>
      <c r="G20" s="526"/>
      <c r="H20" s="516">
        <v>5</v>
      </c>
      <c r="I20" s="526"/>
      <c r="J20" s="526"/>
      <c r="K20" s="526"/>
      <c r="L20" s="516">
        <v>10</v>
      </c>
      <c r="M20" s="526"/>
      <c r="N20" s="526"/>
      <c r="O20" s="526"/>
      <c r="P20" s="518"/>
      <c r="Q20" s="518"/>
      <c r="R20" s="526"/>
      <c r="S20" s="526"/>
      <c r="T20" s="518"/>
      <c r="U20" s="526"/>
      <c r="V20" s="526"/>
      <c r="W20" s="526"/>
      <c r="X20" s="516">
        <v>7</v>
      </c>
      <c r="Y20" s="526"/>
      <c r="Z20" s="526"/>
      <c r="AA20" s="526"/>
      <c r="AB20" s="516">
        <v>7</v>
      </c>
      <c r="AC20" s="526"/>
      <c r="AD20" s="526"/>
      <c r="AE20" s="526"/>
      <c r="AF20" s="518"/>
      <c r="AG20" s="526"/>
      <c r="AH20" s="526"/>
      <c r="AI20" s="526"/>
      <c r="AJ20" s="519"/>
      <c r="AK20" s="520"/>
      <c r="AL20" s="520"/>
      <c r="AM20" s="520"/>
      <c r="AN20" s="516"/>
      <c r="AO20" s="520"/>
      <c r="AP20" s="520"/>
      <c r="AQ20" s="520"/>
      <c r="AR20" s="516"/>
      <c r="AS20" s="521"/>
      <c r="AT20" s="521"/>
      <c r="AU20" s="521"/>
      <c r="AV20" s="516"/>
      <c r="AW20" s="516"/>
      <c r="AX20" s="521"/>
      <c r="AY20" s="521"/>
      <c r="AZ20" s="516"/>
      <c r="BA20" s="521"/>
      <c r="BB20" s="521"/>
      <c r="BC20" s="521"/>
      <c r="BD20" s="516"/>
      <c r="BE20" s="521"/>
      <c r="BF20" s="521"/>
      <c r="BG20" s="521"/>
      <c r="BH20" s="516"/>
      <c r="BI20" s="521"/>
      <c r="BJ20" s="521"/>
      <c r="BK20" s="521"/>
      <c r="BL20" s="516"/>
      <c r="BM20" s="521"/>
      <c r="BN20" s="521"/>
      <c r="BO20" s="521"/>
      <c r="BP20" s="519">
        <v>5</v>
      </c>
      <c r="BQ20" s="522"/>
      <c r="BR20" s="522"/>
      <c r="BS20" s="522"/>
      <c r="BT20" s="516">
        <v>8</v>
      </c>
      <c r="BU20" s="522"/>
      <c r="BV20" s="522"/>
      <c r="BW20" s="522"/>
      <c r="BX20" s="516">
        <v>9</v>
      </c>
      <c r="BY20" s="523"/>
      <c r="BZ20" s="523"/>
      <c r="CA20" s="523"/>
      <c r="CB20" s="518"/>
      <c r="CC20" s="524"/>
      <c r="CD20" s="524"/>
      <c r="CE20" s="524"/>
      <c r="CF20" s="516">
        <v>10</v>
      </c>
      <c r="CG20" s="525"/>
      <c r="CH20" s="525"/>
      <c r="CI20" s="525"/>
      <c r="CJ20" s="518"/>
      <c r="CK20" s="524"/>
      <c r="CL20" s="524"/>
      <c r="CM20" s="524"/>
      <c r="CN20" s="516">
        <v>8</v>
      </c>
      <c r="CO20" s="524"/>
      <c r="CP20" s="524"/>
      <c r="CQ20" s="524"/>
      <c r="CR20" s="518"/>
      <c r="CS20" s="525"/>
      <c r="CT20" s="525"/>
      <c r="CU20" s="531"/>
      <c r="CV20" s="272">
        <v>10</v>
      </c>
      <c r="CW20" s="272">
        <v>10</v>
      </c>
      <c r="CX20" s="547"/>
      <c r="CY20" s="547"/>
      <c r="CZ20" s="547"/>
      <c r="DA20" s="546">
        <v>35</v>
      </c>
      <c r="DB20" s="550">
        <v>76</v>
      </c>
      <c r="DC20" s="272">
        <v>41</v>
      </c>
      <c r="DE20" s="551" t="s">
        <v>54</v>
      </c>
      <c r="DG20" s="272">
        <f>IF(D$7="YES",'CIA MARKS'!DX17,"")</f>
        <v>35</v>
      </c>
      <c r="DH20" s="31" t="str">
        <f>IF(D$8="YES",'CIA MARKS'!EH17,"")</f>
        <v/>
      </c>
      <c r="DI20" s="272" t="str">
        <f>IF(D$9="YES",'CIA MARKS'!EJ17,"")</f>
        <v/>
      </c>
      <c r="DJ20" s="272">
        <f>IF(Theory!D$7="YES",DC20,
 IF(Theory!D$8="YES",Lab!K12,
 IF(Theory!D$9="YES",DC20,"")))</f>
        <v>41</v>
      </c>
      <c r="DL20" s="350"/>
      <c r="DM20" s="350"/>
      <c r="DN20" s="350"/>
      <c r="DO20" s="350"/>
      <c r="DP20" s="350"/>
      <c r="DQ20" s="351"/>
      <c r="DR20" s="327"/>
      <c r="DS20" s="348">
        <f t="shared" si="0"/>
        <v>0</v>
      </c>
    </row>
    <row r="21" spans="1:123" ht="16.2" thickBot="1" x14ac:dyDescent="0.35">
      <c r="A21" s="471">
        <v>5</v>
      </c>
      <c r="B21" s="515" t="s">
        <v>305</v>
      </c>
      <c r="C21" s="515" t="s">
        <v>306</v>
      </c>
      <c r="D21" s="516">
        <v>7</v>
      </c>
      <c r="E21" s="526"/>
      <c r="F21" s="526"/>
      <c r="G21" s="526"/>
      <c r="H21" s="518"/>
      <c r="I21" s="526"/>
      <c r="J21" s="526"/>
      <c r="K21" s="526"/>
      <c r="L21" s="518"/>
      <c r="M21" s="526"/>
      <c r="N21" s="526"/>
      <c r="O21" s="526"/>
      <c r="P21" s="516">
        <v>5</v>
      </c>
      <c r="Q21" s="516"/>
      <c r="R21" s="526"/>
      <c r="S21" s="526"/>
      <c r="T21" s="518"/>
      <c r="U21" s="526"/>
      <c r="V21" s="526"/>
      <c r="W21" s="526"/>
      <c r="X21" s="516">
        <v>4</v>
      </c>
      <c r="Y21" s="526"/>
      <c r="Z21" s="526"/>
      <c r="AA21" s="526"/>
      <c r="AB21" s="516">
        <v>4</v>
      </c>
      <c r="AC21" s="526"/>
      <c r="AD21" s="526"/>
      <c r="AE21" s="526"/>
      <c r="AF21" s="518"/>
      <c r="AG21" s="526"/>
      <c r="AH21" s="526"/>
      <c r="AI21" s="526"/>
      <c r="AJ21" s="527"/>
      <c r="AK21" s="520"/>
      <c r="AL21" s="520"/>
      <c r="AM21" s="520"/>
      <c r="AN21" s="516">
        <v>2</v>
      </c>
      <c r="AO21" s="520"/>
      <c r="AP21" s="520"/>
      <c r="AQ21" s="520"/>
      <c r="AR21" s="516">
        <v>6</v>
      </c>
      <c r="AS21" s="521"/>
      <c r="AT21" s="521"/>
      <c r="AU21" s="521"/>
      <c r="AV21" s="516">
        <v>1</v>
      </c>
      <c r="AW21" s="518"/>
      <c r="AX21" s="521"/>
      <c r="AY21" s="521"/>
      <c r="AZ21" s="516">
        <v>2</v>
      </c>
      <c r="BA21" s="521"/>
      <c r="BB21" s="521"/>
      <c r="BC21" s="521"/>
      <c r="BD21" s="518"/>
      <c r="BE21" s="521"/>
      <c r="BF21" s="521"/>
      <c r="BG21" s="521"/>
      <c r="BH21" s="518"/>
      <c r="BI21" s="521"/>
      <c r="BJ21" s="521"/>
      <c r="BK21" s="521"/>
      <c r="BL21" s="516">
        <v>5</v>
      </c>
      <c r="BM21" s="521"/>
      <c r="BN21" s="521"/>
      <c r="BO21" s="521"/>
      <c r="BP21" s="519">
        <v>6</v>
      </c>
      <c r="BQ21" s="522"/>
      <c r="BR21" s="522"/>
      <c r="BS21" s="522"/>
      <c r="BT21" s="516">
        <v>1</v>
      </c>
      <c r="BU21" s="522"/>
      <c r="BV21" s="522"/>
      <c r="BW21" s="522"/>
      <c r="BX21" s="516">
        <v>6</v>
      </c>
      <c r="BY21" s="523"/>
      <c r="BZ21" s="523"/>
      <c r="CA21" s="523"/>
      <c r="CB21" s="516">
        <v>7</v>
      </c>
      <c r="CC21" s="524"/>
      <c r="CD21" s="524"/>
      <c r="CE21" s="524"/>
      <c r="CF21" s="518"/>
      <c r="CG21" s="525"/>
      <c r="CH21" s="525"/>
      <c r="CI21" s="525"/>
      <c r="CJ21" s="518"/>
      <c r="CK21" s="524"/>
      <c r="CL21" s="524"/>
      <c r="CM21" s="524"/>
      <c r="CN21" s="518"/>
      <c r="CO21" s="524"/>
      <c r="CP21" s="524"/>
      <c r="CQ21" s="524"/>
      <c r="CR21" s="516">
        <v>6</v>
      </c>
      <c r="CS21" s="525"/>
      <c r="CT21" s="525"/>
      <c r="CU21" s="531"/>
      <c r="CV21" s="272">
        <v>10</v>
      </c>
      <c r="CW21" s="272">
        <v>10</v>
      </c>
      <c r="CX21" s="547"/>
      <c r="CY21" s="547"/>
      <c r="CZ21" s="547"/>
      <c r="DA21" s="546">
        <v>32</v>
      </c>
      <c r="DB21" s="550">
        <v>53</v>
      </c>
      <c r="DC21" s="272">
        <v>21</v>
      </c>
      <c r="DE21" s="551" t="s">
        <v>53</v>
      </c>
      <c r="DG21" s="272">
        <f>IF(D$7="YES",'CIA MARKS'!DX18,"")</f>
        <v>31</v>
      </c>
      <c r="DH21" s="31" t="str">
        <f>IF(D$8="YES",'CIA MARKS'!EH18,"")</f>
        <v/>
      </c>
      <c r="DI21" s="272" t="str">
        <f>IF(D$9="YES",'CIA MARKS'!EJ18,"")</f>
        <v/>
      </c>
      <c r="DJ21" s="272">
        <f>IF(Theory!D$7="YES",DC21,
 IF(Theory!D$8="YES",Lab!K13,
 IF(Theory!D$9="YES",DC21,"")))</f>
        <v>21</v>
      </c>
      <c r="DL21" s="350"/>
      <c r="DM21" s="350"/>
      <c r="DN21" s="350"/>
      <c r="DO21" s="350"/>
      <c r="DP21" s="350"/>
      <c r="DQ21" s="351"/>
      <c r="DR21" s="327"/>
      <c r="DS21" s="348">
        <f t="shared" si="0"/>
        <v>0</v>
      </c>
    </row>
    <row r="22" spans="1:123" ht="16.2" thickBot="1" x14ac:dyDescent="0.35">
      <c r="A22" s="471">
        <v>6</v>
      </c>
      <c r="B22" s="515" t="s">
        <v>307</v>
      </c>
      <c r="C22" s="515" t="s">
        <v>308</v>
      </c>
      <c r="D22" s="516">
        <v>8</v>
      </c>
      <c r="E22" s="526"/>
      <c r="F22" s="526"/>
      <c r="G22" s="526"/>
      <c r="H22" s="516">
        <v>6</v>
      </c>
      <c r="I22" s="526"/>
      <c r="J22" s="526"/>
      <c r="K22" s="526"/>
      <c r="L22" s="516">
        <v>10</v>
      </c>
      <c r="M22" s="526"/>
      <c r="N22" s="526"/>
      <c r="O22" s="526"/>
      <c r="P22" s="518"/>
      <c r="Q22" s="518"/>
      <c r="R22" s="526"/>
      <c r="S22" s="526"/>
      <c r="T22" s="518"/>
      <c r="U22" s="526"/>
      <c r="V22" s="526"/>
      <c r="W22" s="526"/>
      <c r="X22" s="516">
        <v>9</v>
      </c>
      <c r="Y22" s="526"/>
      <c r="Z22" s="526"/>
      <c r="AA22" s="526"/>
      <c r="AB22" s="518"/>
      <c r="AC22" s="526"/>
      <c r="AD22" s="526"/>
      <c r="AE22" s="526"/>
      <c r="AF22" s="516">
        <v>9</v>
      </c>
      <c r="AG22" s="526"/>
      <c r="AH22" s="526"/>
      <c r="AI22" s="526"/>
      <c r="AJ22" s="519">
        <v>10</v>
      </c>
      <c r="AK22" s="520"/>
      <c r="AL22" s="520"/>
      <c r="AM22" s="520"/>
      <c r="AN22" s="516">
        <v>9</v>
      </c>
      <c r="AO22" s="520"/>
      <c r="AP22" s="520"/>
      <c r="AQ22" s="520"/>
      <c r="AR22" s="516">
        <v>9</v>
      </c>
      <c r="AS22" s="521"/>
      <c r="AT22" s="521"/>
      <c r="AU22" s="521"/>
      <c r="AV22" s="518"/>
      <c r="AW22" s="518"/>
      <c r="AX22" s="521"/>
      <c r="AY22" s="521"/>
      <c r="AZ22" s="516">
        <v>7</v>
      </c>
      <c r="BA22" s="521"/>
      <c r="BB22" s="521"/>
      <c r="BC22" s="521"/>
      <c r="BD22" s="518"/>
      <c r="BE22" s="521"/>
      <c r="BF22" s="521"/>
      <c r="BG22" s="521"/>
      <c r="BH22" s="516">
        <v>8</v>
      </c>
      <c r="BI22" s="521"/>
      <c r="BJ22" s="521"/>
      <c r="BK22" s="521"/>
      <c r="BL22" s="518"/>
      <c r="BM22" s="521"/>
      <c r="BN22" s="521"/>
      <c r="BO22" s="521"/>
      <c r="BP22" s="519">
        <v>9</v>
      </c>
      <c r="BQ22" s="522"/>
      <c r="BR22" s="522"/>
      <c r="BS22" s="522"/>
      <c r="BT22" s="516">
        <v>7</v>
      </c>
      <c r="BU22" s="522"/>
      <c r="BV22" s="522"/>
      <c r="BW22" s="522"/>
      <c r="BX22" s="518"/>
      <c r="BY22" s="523"/>
      <c r="BZ22" s="523"/>
      <c r="CA22" s="523"/>
      <c r="CB22" s="516">
        <v>10</v>
      </c>
      <c r="CC22" s="524"/>
      <c r="CD22" s="524"/>
      <c r="CE22" s="524"/>
      <c r="CF22" s="516">
        <v>10</v>
      </c>
      <c r="CG22" s="525"/>
      <c r="CH22" s="525"/>
      <c r="CI22" s="525"/>
      <c r="CJ22" s="518"/>
      <c r="CK22" s="524"/>
      <c r="CL22" s="524"/>
      <c r="CM22" s="524"/>
      <c r="CN22" s="516">
        <v>9</v>
      </c>
      <c r="CO22" s="524"/>
      <c r="CP22" s="524"/>
      <c r="CQ22" s="524"/>
      <c r="CR22" s="518"/>
      <c r="CS22" s="525"/>
      <c r="CT22" s="525"/>
      <c r="CU22" s="531"/>
      <c r="CV22" s="272">
        <v>10</v>
      </c>
      <c r="CW22" s="272">
        <v>10</v>
      </c>
      <c r="CX22" s="547"/>
      <c r="CY22" s="547"/>
      <c r="CZ22" s="547"/>
      <c r="DA22" s="546">
        <v>46</v>
      </c>
      <c r="DB22" s="550">
        <v>89</v>
      </c>
      <c r="DC22" s="272">
        <v>43</v>
      </c>
      <c r="DE22" s="551" t="s">
        <v>288</v>
      </c>
      <c r="DG22" s="272">
        <f>IF(D$7="YES",'CIA MARKS'!DX19,"")</f>
        <v>46</v>
      </c>
      <c r="DH22" s="31" t="str">
        <f>IF(D$8="YES",'CIA MARKS'!EH19,"")</f>
        <v/>
      </c>
      <c r="DI22" s="272" t="str">
        <f>IF(D$9="YES",'CIA MARKS'!EJ19,"")</f>
        <v/>
      </c>
      <c r="DJ22" s="272">
        <f>IF(Theory!D$7="YES",DC22,
 IF(Theory!D$8="YES",Lab!K14,
 IF(Theory!D$9="YES",DC22,"")))</f>
        <v>43</v>
      </c>
      <c r="DL22" s="350"/>
      <c r="DM22" s="350"/>
      <c r="DN22" s="350"/>
      <c r="DO22" s="350"/>
      <c r="DP22" s="350"/>
      <c r="DQ22" s="351"/>
      <c r="DR22" s="327"/>
      <c r="DS22" s="348">
        <f t="shared" si="0"/>
        <v>0</v>
      </c>
    </row>
    <row r="23" spans="1:123" ht="16.2" thickBot="1" x14ac:dyDescent="0.35">
      <c r="A23" s="471">
        <v>7</v>
      </c>
      <c r="B23" s="515" t="s">
        <v>309</v>
      </c>
      <c r="C23" s="515" t="s">
        <v>310</v>
      </c>
      <c r="D23" s="516">
        <v>8</v>
      </c>
      <c r="E23" s="526"/>
      <c r="F23" s="526"/>
      <c r="G23" s="526"/>
      <c r="H23" s="516">
        <v>7</v>
      </c>
      <c r="I23" s="526"/>
      <c r="J23" s="526"/>
      <c r="K23" s="526"/>
      <c r="L23" s="516">
        <v>8</v>
      </c>
      <c r="M23" s="526"/>
      <c r="N23" s="526"/>
      <c r="O23" s="526"/>
      <c r="P23" s="518"/>
      <c r="Q23" s="518"/>
      <c r="R23" s="526"/>
      <c r="S23" s="526"/>
      <c r="T23" s="516">
        <v>6</v>
      </c>
      <c r="U23" s="526"/>
      <c r="V23" s="526"/>
      <c r="W23" s="526"/>
      <c r="X23" s="518"/>
      <c r="Y23" s="526"/>
      <c r="Z23" s="526"/>
      <c r="AA23" s="526"/>
      <c r="AB23" s="518"/>
      <c r="AC23" s="526"/>
      <c r="AD23" s="526"/>
      <c r="AE23" s="526"/>
      <c r="AF23" s="518"/>
      <c r="AG23" s="526"/>
      <c r="AH23" s="526"/>
      <c r="AI23" s="526"/>
      <c r="AJ23" s="519">
        <v>5</v>
      </c>
      <c r="AK23" s="520"/>
      <c r="AL23" s="520"/>
      <c r="AM23" s="520"/>
      <c r="AN23" s="516">
        <v>6</v>
      </c>
      <c r="AO23" s="520"/>
      <c r="AP23" s="520"/>
      <c r="AQ23" s="520"/>
      <c r="AR23" s="516">
        <v>9</v>
      </c>
      <c r="AS23" s="521"/>
      <c r="AT23" s="521"/>
      <c r="AU23" s="521"/>
      <c r="AV23" s="518"/>
      <c r="AW23" s="518"/>
      <c r="AX23" s="521"/>
      <c r="AY23" s="521"/>
      <c r="AZ23" s="518"/>
      <c r="BA23" s="521"/>
      <c r="BB23" s="521"/>
      <c r="BC23" s="521"/>
      <c r="BD23" s="516">
        <v>5</v>
      </c>
      <c r="BE23" s="521"/>
      <c r="BF23" s="521"/>
      <c r="BG23" s="521"/>
      <c r="BH23" s="518"/>
      <c r="BI23" s="521"/>
      <c r="BJ23" s="521"/>
      <c r="BK23" s="521"/>
      <c r="BL23" s="516">
        <v>8</v>
      </c>
      <c r="BM23" s="521"/>
      <c r="BN23" s="521"/>
      <c r="BO23" s="521"/>
      <c r="BP23" s="519">
        <v>9</v>
      </c>
      <c r="BQ23" s="522"/>
      <c r="BR23" s="522"/>
      <c r="BS23" s="522"/>
      <c r="BT23" s="516">
        <v>7</v>
      </c>
      <c r="BU23" s="522"/>
      <c r="BV23" s="522"/>
      <c r="BW23" s="522"/>
      <c r="BX23" s="516">
        <v>9</v>
      </c>
      <c r="BY23" s="523"/>
      <c r="BZ23" s="523"/>
      <c r="CA23" s="523"/>
      <c r="CB23" s="518"/>
      <c r="CC23" s="524"/>
      <c r="CD23" s="524"/>
      <c r="CE23" s="524"/>
      <c r="CF23" s="518"/>
      <c r="CG23" s="525"/>
      <c r="CH23" s="525"/>
      <c r="CI23" s="525"/>
      <c r="CJ23" s="516">
        <v>8</v>
      </c>
      <c r="CK23" s="524"/>
      <c r="CL23" s="524"/>
      <c r="CM23" s="524"/>
      <c r="CN23" s="518"/>
      <c r="CO23" s="524"/>
      <c r="CP23" s="524"/>
      <c r="CQ23" s="524"/>
      <c r="CR23" s="516">
        <v>9</v>
      </c>
      <c r="CS23" s="525"/>
      <c r="CT23" s="525"/>
      <c r="CU23" s="531"/>
      <c r="CV23" s="272">
        <v>10</v>
      </c>
      <c r="CW23" s="272">
        <v>10</v>
      </c>
      <c r="CX23" s="547"/>
      <c r="CY23" s="547"/>
      <c r="CZ23" s="547"/>
      <c r="DA23" s="546">
        <v>41</v>
      </c>
      <c r="DB23" s="550">
        <v>76</v>
      </c>
      <c r="DC23" s="272">
        <v>35</v>
      </c>
      <c r="DE23" s="551" t="s">
        <v>54</v>
      </c>
      <c r="DG23" s="272">
        <f>IF(D$7="YES",'CIA MARKS'!DX20,"")</f>
        <v>41</v>
      </c>
      <c r="DH23" s="31" t="str">
        <f>IF(D$8="YES",'CIA MARKS'!EH20,"")</f>
        <v/>
      </c>
      <c r="DI23" s="272" t="str">
        <f>IF(D$9="YES",'CIA MARKS'!EJ20,"")</f>
        <v/>
      </c>
      <c r="DJ23" s="272">
        <f>IF(Theory!D$7="YES",DC23,
 IF(Theory!D$8="YES",Lab!K15,
 IF(Theory!D$9="YES",DC23,"")))</f>
        <v>35</v>
      </c>
      <c r="DL23" s="350"/>
      <c r="DM23" s="350"/>
      <c r="DN23" s="350"/>
      <c r="DO23" s="350"/>
      <c r="DP23" s="350"/>
      <c r="DQ23" s="351"/>
      <c r="DR23" s="327"/>
      <c r="DS23" s="348">
        <f t="shared" si="0"/>
        <v>0</v>
      </c>
    </row>
    <row r="24" spans="1:123" ht="16.2" thickBot="1" x14ac:dyDescent="0.35">
      <c r="A24" s="471">
        <v>8</v>
      </c>
      <c r="B24" s="515" t="s">
        <v>311</v>
      </c>
      <c r="C24" s="515" t="s">
        <v>312</v>
      </c>
      <c r="D24" s="516">
        <v>6</v>
      </c>
      <c r="E24" s="526"/>
      <c r="F24" s="526"/>
      <c r="G24" s="526"/>
      <c r="H24" s="516">
        <v>7</v>
      </c>
      <c r="I24" s="526"/>
      <c r="J24" s="526"/>
      <c r="K24" s="526"/>
      <c r="L24" s="516">
        <v>9</v>
      </c>
      <c r="M24" s="526"/>
      <c r="N24" s="526"/>
      <c r="O24" s="526"/>
      <c r="P24" s="518"/>
      <c r="Q24" s="518"/>
      <c r="R24" s="526"/>
      <c r="S24" s="526"/>
      <c r="T24" s="518"/>
      <c r="U24" s="526"/>
      <c r="V24" s="526"/>
      <c r="W24" s="526"/>
      <c r="X24" s="516">
        <v>9</v>
      </c>
      <c r="Y24" s="526"/>
      <c r="Z24" s="526"/>
      <c r="AA24" s="526"/>
      <c r="AB24" s="518"/>
      <c r="AC24" s="526"/>
      <c r="AD24" s="526"/>
      <c r="AE24" s="526"/>
      <c r="AF24" s="516">
        <v>8</v>
      </c>
      <c r="AG24" s="526"/>
      <c r="AH24" s="526"/>
      <c r="AI24" s="526"/>
      <c r="AJ24" s="519">
        <v>7</v>
      </c>
      <c r="AK24" s="520"/>
      <c r="AL24" s="520"/>
      <c r="AM24" s="520"/>
      <c r="AN24" s="516">
        <v>8</v>
      </c>
      <c r="AO24" s="520"/>
      <c r="AP24" s="520"/>
      <c r="AQ24" s="520"/>
      <c r="AR24" s="516">
        <v>9</v>
      </c>
      <c r="AS24" s="521"/>
      <c r="AT24" s="521"/>
      <c r="AU24" s="521"/>
      <c r="AV24" s="518"/>
      <c r="AW24" s="518"/>
      <c r="AX24" s="521"/>
      <c r="AY24" s="521"/>
      <c r="AZ24" s="516">
        <v>7</v>
      </c>
      <c r="BA24" s="521"/>
      <c r="BB24" s="521"/>
      <c r="BC24" s="521"/>
      <c r="BD24" s="518"/>
      <c r="BE24" s="521"/>
      <c r="BF24" s="521"/>
      <c r="BG24" s="521"/>
      <c r="BH24" s="516">
        <v>9</v>
      </c>
      <c r="BI24" s="521"/>
      <c r="BJ24" s="521"/>
      <c r="BK24" s="521"/>
      <c r="BL24" s="518"/>
      <c r="BM24" s="521"/>
      <c r="BN24" s="521"/>
      <c r="BO24" s="521"/>
      <c r="BP24" s="519">
        <v>9</v>
      </c>
      <c r="BQ24" s="522"/>
      <c r="BR24" s="522"/>
      <c r="BS24" s="522"/>
      <c r="BT24" s="516">
        <v>8</v>
      </c>
      <c r="BU24" s="522"/>
      <c r="BV24" s="522"/>
      <c r="BW24" s="522"/>
      <c r="BX24" s="518"/>
      <c r="BY24" s="523"/>
      <c r="BZ24" s="523"/>
      <c r="CA24" s="523"/>
      <c r="CB24" s="516">
        <v>9</v>
      </c>
      <c r="CC24" s="524"/>
      <c r="CD24" s="524"/>
      <c r="CE24" s="524"/>
      <c r="CF24" s="516">
        <v>9</v>
      </c>
      <c r="CG24" s="525"/>
      <c r="CH24" s="525"/>
      <c r="CI24" s="525"/>
      <c r="CJ24" s="518"/>
      <c r="CK24" s="524"/>
      <c r="CL24" s="524"/>
      <c r="CM24" s="524"/>
      <c r="CN24" s="518"/>
      <c r="CO24" s="524"/>
      <c r="CP24" s="524"/>
      <c r="CQ24" s="524"/>
      <c r="CR24" s="516">
        <v>10</v>
      </c>
      <c r="CS24" s="525"/>
      <c r="CT24" s="525"/>
      <c r="CU24" s="531"/>
      <c r="CV24" s="272">
        <v>10</v>
      </c>
      <c r="CW24" s="272">
        <v>10</v>
      </c>
      <c r="CX24" s="547"/>
      <c r="CY24" s="547"/>
      <c r="CZ24" s="547"/>
      <c r="DA24" s="546">
        <v>45</v>
      </c>
      <c r="DB24" s="550">
        <v>90</v>
      </c>
      <c r="DC24" s="272">
        <v>45</v>
      </c>
      <c r="DE24" s="551" t="s">
        <v>386</v>
      </c>
      <c r="DG24" s="272">
        <f>IF(D$7="YES",'CIA MARKS'!DX21,"")</f>
        <v>45</v>
      </c>
      <c r="DH24" s="31" t="str">
        <f>IF(D$8="YES",'CIA MARKS'!EH21,"")</f>
        <v/>
      </c>
      <c r="DI24" s="272" t="str">
        <f>IF(D$9="YES",'CIA MARKS'!EJ21,"")</f>
        <v/>
      </c>
      <c r="DJ24" s="272">
        <f>IF(Theory!D$7="YES",DC24,
 IF(Theory!D$8="YES",Lab!K16,
 IF(Theory!D$9="YES",DC24,"")))</f>
        <v>45</v>
      </c>
      <c r="DL24" s="350"/>
      <c r="DM24" s="350"/>
      <c r="DN24" s="350"/>
      <c r="DO24" s="350"/>
      <c r="DP24" s="350"/>
      <c r="DQ24" s="351"/>
      <c r="DR24" s="327"/>
      <c r="DS24" s="348">
        <f t="shared" si="0"/>
        <v>0</v>
      </c>
    </row>
    <row r="25" spans="1:123" ht="16.2" thickBot="1" x14ac:dyDescent="0.35">
      <c r="A25" s="471">
        <v>9</v>
      </c>
      <c r="B25" s="515" t="s">
        <v>313</v>
      </c>
      <c r="C25" s="515" t="s">
        <v>314</v>
      </c>
      <c r="D25" s="516">
        <v>5</v>
      </c>
      <c r="E25" s="526"/>
      <c r="F25" s="526"/>
      <c r="G25" s="526"/>
      <c r="H25" s="516">
        <v>5</v>
      </c>
      <c r="I25" s="526"/>
      <c r="J25" s="526"/>
      <c r="K25" s="526"/>
      <c r="L25" s="516">
        <v>5</v>
      </c>
      <c r="M25" s="526"/>
      <c r="N25" s="526"/>
      <c r="O25" s="526"/>
      <c r="P25" s="518"/>
      <c r="Q25" s="518"/>
      <c r="R25" s="526"/>
      <c r="S25" s="526"/>
      <c r="T25" s="516">
        <v>4</v>
      </c>
      <c r="U25" s="526"/>
      <c r="V25" s="526"/>
      <c r="W25" s="526"/>
      <c r="X25" s="518"/>
      <c r="Y25" s="526"/>
      <c r="Z25" s="526"/>
      <c r="AA25" s="526"/>
      <c r="AB25" s="516">
        <v>4</v>
      </c>
      <c r="AC25" s="526"/>
      <c r="AD25" s="526"/>
      <c r="AE25" s="526"/>
      <c r="AF25" s="518"/>
      <c r="AG25" s="526"/>
      <c r="AH25" s="526"/>
      <c r="AI25" s="526"/>
      <c r="AJ25" s="519">
        <v>3</v>
      </c>
      <c r="AK25" s="520"/>
      <c r="AL25" s="520"/>
      <c r="AM25" s="520"/>
      <c r="AN25" s="516">
        <v>4</v>
      </c>
      <c r="AO25" s="520"/>
      <c r="AP25" s="520"/>
      <c r="AQ25" s="520"/>
      <c r="AR25" s="516">
        <v>7</v>
      </c>
      <c r="AS25" s="521"/>
      <c r="AT25" s="521"/>
      <c r="AU25" s="521"/>
      <c r="AV25" s="518"/>
      <c r="AW25" s="518"/>
      <c r="AX25" s="521"/>
      <c r="AY25" s="521"/>
      <c r="AZ25" s="518"/>
      <c r="BA25" s="521"/>
      <c r="BB25" s="521"/>
      <c r="BC25" s="521"/>
      <c r="BD25" s="516">
        <v>5</v>
      </c>
      <c r="BE25" s="521"/>
      <c r="BF25" s="521"/>
      <c r="BG25" s="521"/>
      <c r="BH25" s="518"/>
      <c r="BI25" s="521"/>
      <c r="BJ25" s="521"/>
      <c r="BK25" s="521"/>
      <c r="BL25" s="516">
        <v>5</v>
      </c>
      <c r="BM25" s="521"/>
      <c r="BN25" s="521"/>
      <c r="BO25" s="521"/>
      <c r="BP25" s="519">
        <v>7</v>
      </c>
      <c r="BQ25" s="522"/>
      <c r="BR25" s="522"/>
      <c r="BS25" s="522"/>
      <c r="BT25" s="516">
        <v>6</v>
      </c>
      <c r="BU25" s="522"/>
      <c r="BV25" s="522"/>
      <c r="BW25" s="522"/>
      <c r="BX25" s="516">
        <v>7</v>
      </c>
      <c r="BY25" s="523"/>
      <c r="BZ25" s="523"/>
      <c r="CA25" s="523"/>
      <c r="CB25" s="518"/>
      <c r="CC25" s="524"/>
      <c r="CD25" s="524"/>
      <c r="CE25" s="524"/>
      <c r="CF25" s="518"/>
      <c r="CG25" s="525"/>
      <c r="CH25" s="525"/>
      <c r="CI25" s="525"/>
      <c r="CJ25" s="516">
        <v>6</v>
      </c>
      <c r="CK25" s="524"/>
      <c r="CL25" s="524"/>
      <c r="CM25" s="524"/>
      <c r="CN25" s="516">
        <v>5</v>
      </c>
      <c r="CO25" s="524"/>
      <c r="CP25" s="524"/>
      <c r="CQ25" s="524"/>
      <c r="CR25" s="518"/>
      <c r="CS25" s="525"/>
      <c r="CT25" s="525"/>
      <c r="CU25" s="531"/>
      <c r="CV25" s="272">
        <v>10</v>
      </c>
      <c r="CW25" s="272">
        <v>10</v>
      </c>
      <c r="CX25" s="547"/>
      <c r="CY25" s="547"/>
      <c r="CZ25" s="547"/>
      <c r="DA25" s="546">
        <v>36</v>
      </c>
      <c r="DB25" s="550">
        <v>69</v>
      </c>
      <c r="DC25" s="272">
        <v>33</v>
      </c>
      <c r="DE25" s="551" t="s">
        <v>289</v>
      </c>
      <c r="DG25" s="272">
        <f>IF(D$7="YES",'CIA MARKS'!DX22,"")</f>
        <v>36</v>
      </c>
      <c r="DH25" s="31" t="str">
        <f>IF(D$8="YES",'CIA MARKS'!EH22,"")</f>
        <v/>
      </c>
      <c r="DI25" s="272" t="str">
        <f>IF(D$9="YES",'CIA MARKS'!EJ22,"")</f>
        <v/>
      </c>
      <c r="DJ25" s="272">
        <f>IF(Theory!D$7="YES",DC25,
 IF(Theory!D$8="YES",Lab!K17,
 IF(Theory!D$9="YES",DC25,"")))</f>
        <v>33</v>
      </c>
      <c r="DL25" s="350"/>
      <c r="DM25" s="350"/>
      <c r="DN25" s="350"/>
      <c r="DO25" s="350"/>
      <c r="DP25" s="350"/>
      <c r="DQ25" s="351"/>
      <c r="DR25" s="327"/>
      <c r="DS25" s="348">
        <f t="shared" si="0"/>
        <v>0</v>
      </c>
    </row>
    <row r="26" spans="1:123" ht="16.2" thickBot="1" x14ac:dyDescent="0.35">
      <c r="A26" s="471">
        <v>10</v>
      </c>
      <c r="B26" s="515" t="s">
        <v>315</v>
      </c>
      <c r="C26" s="515" t="s">
        <v>316</v>
      </c>
      <c r="D26" s="516"/>
      <c r="E26" s="526"/>
      <c r="F26" s="526"/>
      <c r="G26" s="526"/>
      <c r="H26" s="516"/>
      <c r="I26" s="526"/>
      <c r="J26" s="526"/>
      <c r="K26" s="526"/>
      <c r="L26" s="516"/>
      <c r="M26" s="526"/>
      <c r="N26" s="526"/>
      <c r="O26" s="526"/>
      <c r="P26" s="516"/>
      <c r="Q26" s="516"/>
      <c r="R26" s="526"/>
      <c r="S26" s="526"/>
      <c r="T26" s="516"/>
      <c r="U26" s="526"/>
      <c r="V26" s="526"/>
      <c r="W26" s="526"/>
      <c r="X26" s="516"/>
      <c r="Y26" s="526"/>
      <c r="Z26" s="526"/>
      <c r="AA26" s="526"/>
      <c r="AB26" s="516"/>
      <c r="AC26" s="526"/>
      <c r="AD26" s="526"/>
      <c r="AE26" s="526"/>
      <c r="AF26" s="516"/>
      <c r="AG26" s="526"/>
      <c r="AH26" s="526"/>
      <c r="AI26" s="526"/>
      <c r="AJ26" s="527"/>
      <c r="AK26" s="520"/>
      <c r="AL26" s="520"/>
      <c r="AM26" s="520"/>
      <c r="AN26" s="516">
        <v>7</v>
      </c>
      <c r="AO26" s="520"/>
      <c r="AP26" s="520"/>
      <c r="AQ26" s="520"/>
      <c r="AR26" s="516">
        <v>9</v>
      </c>
      <c r="AS26" s="521"/>
      <c r="AT26" s="521"/>
      <c r="AU26" s="521"/>
      <c r="AV26" s="518"/>
      <c r="AW26" s="518"/>
      <c r="AX26" s="521"/>
      <c r="AY26" s="521"/>
      <c r="AZ26" s="518"/>
      <c r="BA26" s="521"/>
      <c r="BB26" s="521"/>
      <c r="BC26" s="521"/>
      <c r="BD26" s="516">
        <v>7</v>
      </c>
      <c r="BE26" s="521"/>
      <c r="BF26" s="521"/>
      <c r="BG26" s="521"/>
      <c r="BH26" s="516">
        <v>8</v>
      </c>
      <c r="BI26" s="521"/>
      <c r="BJ26" s="521"/>
      <c r="BK26" s="521"/>
      <c r="BL26" s="518"/>
      <c r="BM26" s="521"/>
      <c r="BN26" s="521"/>
      <c r="BO26" s="521"/>
      <c r="BP26" s="527"/>
      <c r="BQ26" s="522"/>
      <c r="BR26" s="522"/>
      <c r="BS26" s="522"/>
      <c r="BT26" s="516">
        <v>3</v>
      </c>
      <c r="BU26" s="522"/>
      <c r="BV26" s="522"/>
      <c r="BW26" s="522"/>
      <c r="BX26" s="516">
        <v>8</v>
      </c>
      <c r="BY26" s="523"/>
      <c r="BZ26" s="523"/>
      <c r="CA26" s="523"/>
      <c r="CB26" s="518"/>
      <c r="CC26" s="524"/>
      <c r="CD26" s="524"/>
      <c r="CE26" s="524"/>
      <c r="CF26" s="516">
        <v>8</v>
      </c>
      <c r="CG26" s="525"/>
      <c r="CH26" s="525"/>
      <c r="CI26" s="525"/>
      <c r="CJ26" s="518"/>
      <c r="CK26" s="524"/>
      <c r="CL26" s="524"/>
      <c r="CM26" s="524"/>
      <c r="CN26" s="516">
        <v>7</v>
      </c>
      <c r="CO26" s="524"/>
      <c r="CP26" s="524"/>
      <c r="CQ26" s="524"/>
      <c r="CR26" s="518"/>
      <c r="CS26" s="525"/>
      <c r="CT26" s="525"/>
      <c r="CU26" s="531"/>
      <c r="CV26" s="272">
        <v>10</v>
      </c>
      <c r="CW26" s="272">
        <v>10</v>
      </c>
      <c r="CX26" s="547"/>
      <c r="CY26" s="547"/>
      <c r="CZ26" s="547"/>
      <c r="DA26" s="546">
        <v>32</v>
      </c>
      <c r="DB26" s="550">
        <v>65</v>
      </c>
      <c r="DC26" s="272">
        <v>33</v>
      </c>
      <c r="DE26" s="551" t="s">
        <v>289</v>
      </c>
      <c r="DG26" s="272">
        <f>IF(D$7="YES",'CIA MARKS'!DX23,"")</f>
        <v>32</v>
      </c>
      <c r="DH26" s="31" t="str">
        <f>IF(D$8="YES",'CIA MARKS'!EH23,"")</f>
        <v/>
      </c>
      <c r="DI26" s="272" t="str">
        <f>IF(D$9="YES",'CIA MARKS'!EJ23,"")</f>
        <v/>
      </c>
      <c r="DJ26" s="272">
        <f>IF(Theory!D$7="YES",DC26,
 IF(Theory!D$8="YES",Lab!K18,
 IF(Theory!D$9="YES",DC26,"")))</f>
        <v>33</v>
      </c>
      <c r="DL26" s="350"/>
      <c r="DM26" s="350"/>
      <c r="DN26" s="350"/>
      <c r="DO26" s="350"/>
      <c r="DP26" s="350"/>
      <c r="DQ26" s="351"/>
      <c r="DR26" s="327"/>
      <c r="DS26" s="348">
        <f t="shared" si="0"/>
        <v>0</v>
      </c>
    </row>
    <row r="27" spans="1:123" ht="16.2" thickBot="1" x14ac:dyDescent="0.35">
      <c r="A27" s="471">
        <v>11</v>
      </c>
      <c r="B27" s="515" t="s">
        <v>317</v>
      </c>
      <c r="C27" s="515" t="s">
        <v>318</v>
      </c>
      <c r="D27" s="516">
        <v>8</v>
      </c>
      <c r="E27" s="526"/>
      <c r="F27" s="526"/>
      <c r="G27" s="526"/>
      <c r="H27" s="516">
        <v>9</v>
      </c>
      <c r="I27" s="526"/>
      <c r="J27" s="526"/>
      <c r="K27" s="526"/>
      <c r="L27" s="516">
        <v>8</v>
      </c>
      <c r="M27" s="526"/>
      <c r="N27" s="526"/>
      <c r="O27" s="526"/>
      <c r="P27" s="518"/>
      <c r="Q27" s="518"/>
      <c r="R27" s="526"/>
      <c r="S27" s="526"/>
      <c r="T27" s="516">
        <v>7</v>
      </c>
      <c r="U27" s="526"/>
      <c r="V27" s="526"/>
      <c r="W27" s="526"/>
      <c r="X27" s="518"/>
      <c r="Y27" s="526"/>
      <c r="Z27" s="526"/>
      <c r="AA27" s="526"/>
      <c r="AB27" s="516">
        <v>9</v>
      </c>
      <c r="AC27" s="526"/>
      <c r="AD27" s="526"/>
      <c r="AE27" s="526"/>
      <c r="AF27" s="518"/>
      <c r="AG27" s="526"/>
      <c r="AH27" s="526"/>
      <c r="AI27" s="526"/>
      <c r="AJ27" s="527"/>
      <c r="AK27" s="520"/>
      <c r="AL27" s="520"/>
      <c r="AM27" s="520"/>
      <c r="AN27" s="516">
        <v>9</v>
      </c>
      <c r="AO27" s="520"/>
      <c r="AP27" s="520"/>
      <c r="AQ27" s="520"/>
      <c r="AR27" s="516">
        <v>10</v>
      </c>
      <c r="AS27" s="521"/>
      <c r="AT27" s="521"/>
      <c r="AU27" s="521"/>
      <c r="AV27" s="518"/>
      <c r="AW27" s="518"/>
      <c r="AX27" s="521"/>
      <c r="AY27" s="521"/>
      <c r="AZ27" s="516">
        <v>8</v>
      </c>
      <c r="BA27" s="521"/>
      <c r="BB27" s="521"/>
      <c r="BC27" s="521"/>
      <c r="BD27" s="518"/>
      <c r="BE27" s="521"/>
      <c r="BF27" s="521"/>
      <c r="BG27" s="521"/>
      <c r="BH27" s="516">
        <v>9</v>
      </c>
      <c r="BI27" s="521"/>
      <c r="BJ27" s="521"/>
      <c r="BK27" s="521"/>
      <c r="BL27" s="518"/>
      <c r="BM27" s="521"/>
      <c r="BN27" s="521"/>
      <c r="BO27" s="521"/>
      <c r="BP27" s="519">
        <v>9</v>
      </c>
      <c r="BQ27" s="522"/>
      <c r="BR27" s="522"/>
      <c r="BS27" s="522"/>
      <c r="BT27" s="516">
        <v>8</v>
      </c>
      <c r="BU27" s="522"/>
      <c r="BV27" s="522"/>
      <c r="BW27" s="522"/>
      <c r="BX27" s="518"/>
      <c r="BY27" s="523"/>
      <c r="BZ27" s="523"/>
      <c r="CA27" s="523"/>
      <c r="CB27" s="516">
        <v>8</v>
      </c>
      <c r="CC27" s="524"/>
      <c r="CD27" s="524"/>
      <c r="CE27" s="524"/>
      <c r="CF27" s="516">
        <v>10</v>
      </c>
      <c r="CG27" s="525"/>
      <c r="CH27" s="525"/>
      <c r="CI27" s="525"/>
      <c r="CJ27" s="518"/>
      <c r="CK27" s="524"/>
      <c r="CL27" s="524"/>
      <c r="CM27" s="524"/>
      <c r="CN27" s="518"/>
      <c r="CO27" s="524"/>
      <c r="CP27" s="524"/>
      <c r="CQ27" s="524"/>
      <c r="CR27" s="516">
        <v>9</v>
      </c>
      <c r="CS27" s="525"/>
      <c r="CT27" s="525"/>
      <c r="CU27" s="531"/>
      <c r="CV27" s="272">
        <v>10</v>
      </c>
      <c r="CW27" s="272">
        <v>10</v>
      </c>
      <c r="CX27" s="547"/>
      <c r="CY27" s="547"/>
      <c r="CZ27" s="547"/>
      <c r="DA27" s="546">
        <v>44</v>
      </c>
      <c r="DB27" s="550">
        <v>85</v>
      </c>
      <c r="DC27" s="272">
        <v>41</v>
      </c>
      <c r="DE27" s="551" t="s">
        <v>288</v>
      </c>
      <c r="DG27" s="272">
        <f>IF(D$7="YES",'CIA MARKS'!DX24,"")</f>
        <v>44</v>
      </c>
      <c r="DH27" s="31" t="str">
        <f>IF(D$8="YES",'CIA MARKS'!EH24,"")</f>
        <v/>
      </c>
      <c r="DI27" s="272" t="str">
        <f>IF(D$9="YES",'CIA MARKS'!EJ24,"")</f>
        <v/>
      </c>
      <c r="DJ27" s="272">
        <f>IF(Theory!D$7="YES",DC27,
 IF(Theory!D$8="YES",Lab!K19,
 IF(Theory!D$9="YES",DC27,"")))</f>
        <v>41</v>
      </c>
      <c r="DL27" s="350"/>
      <c r="DM27" s="350"/>
      <c r="DN27" s="350"/>
      <c r="DO27" s="350"/>
      <c r="DP27" s="350"/>
      <c r="DQ27" s="351"/>
      <c r="DR27" s="327"/>
      <c r="DS27" s="348">
        <f t="shared" si="0"/>
        <v>0</v>
      </c>
    </row>
    <row r="28" spans="1:123" ht="16.2" thickBot="1" x14ac:dyDescent="0.35">
      <c r="A28" s="471">
        <v>12</v>
      </c>
      <c r="B28" s="515" t="s">
        <v>319</v>
      </c>
      <c r="C28" s="515" t="s">
        <v>320</v>
      </c>
      <c r="D28" s="516">
        <v>8</v>
      </c>
      <c r="E28" s="526"/>
      <c r="F28" s="526"/>
      <c r="G28" s="526"/>
      <c r="H28" s="516">
        <v>8</v>
      </c>
      <c r="I28" s="526"/>
      <c r="J28" s="526"/>
      <c r="K28" s="526"/>
      <c r="L28" s="516">
        <v>10</v>
      </c>
      <c r="M28" s="526"/>
      <c r="N28" s="526"/>
      <c r="O28" s="526"/>
      <c r="P28" s="518"/>
      <c r="Q28" s="518"/>
      <c r="R28" s="526"/>
      <c r="S28" s="526"/>
      <c r="T28" s="516">
        <v>8</v>
      </c>
      <c r="U28" s="526"/>
      <c r="V28" s="526"/>
      <c r="W28" s="526"/>
      <c r="X28" s="518"/>
      <c r="Y28" s="526"/>
      <c r="Z28" s="526"/>
      <c r="AA28" s="526"/>
      <c r="AB28" s="516">
        <v>10</v>
      </c>
      <c r="AC28" s="526"/>
      <c r="AD28" s="526"/>
      <c r="AE28" s="526"/>
      <c r="AF28" s="518"/>
      <c r="AG28" s="526"/>
      <c r="AH28" s="526"/>
      <c r="AI28" s="526"/>
      <c r="AJ28" s="519">
        <v>9</v>
      </c>
      <c r="AK28" s="520"/>
      <c r="AL28" s="520"/>
      <c r="AM28" s="520"/>
      <c r="AN28" s="516">
        <v>9</v>
      </c>
      <c r="AO28" s="520"/>
      <c r="AP28" s="520"/>
      <c r="AQ28" s="520"/>
      <c r="AR28" s="516">
        <v>10</v>
      </c>
      <c r="AS28" s="521"/>
      <c r="AT28" s="521"/>
      <c r="AU28" s="521"/>
      <c r="AV28" s="518"/>
      <c r="AW28" s="518"/>
      <c r="AX28" s="521"/>
      <c r="AY28" s="521"/>
      <c r="AZ28" s="516">
        <v>8</v>
      </c>
      <c r="BA28" s="521"/>
      <c r="BB28" s="521"/>
      <c r="BC28" s="521"/>
      <c r="BD28" s="518"/>
      <c r="BE28" s="521"/>
      <c r="BF28" s="521"/>
      <c r="BG28" s="521"/>
      <c r="BH28" s="516">
        <v>10</v>
      </c>
      <c r="BI28" s="521"/>
      <c r="BJ28" s="521"/>
      <c r="BK28" s="521"/>
      <c r="BL28" s="518"/>
      <c r="BM28" s="521"/>
      <c r="BN28" s="521"/>
      <c r="BO28" s="521"/>
      <c r="BP28" s="519">
        <v>10</v>
      </c>
      <c r="BQ28" s="522"/>
      <c r="BR28" s="522"/>
      <c r="BS28" s="522"/>
      <c r="BT28" s="516">
        <v>10</v>
      </c>
      <c r="BU28" s="522"/>
      <c r="BV28" s="522"/>
      <c r="BW28" s="522"/>
      <c r="BX28" s="518"/>
      <c r="BY28" s="523"/>
      <c r="BZ28" s="523"/>
      <c r="CA28" s="523"/>
      <c r="CB28" s="516">
        <v>10</v>
      </c>
      <c r="CC28" s="524"/>
      <c r="CD28" s="524"/>
      <c r="CE28" s="524"/>
      <c r="CF28" s="516">
        <v>10</v>
      </c>
      <c r="CG28" s="525"/>
      <c r="CH28" s="525"/>
      <c r="CI28" s="525"/>
      <c r="CJ28" s="518"/>
      <c r="CK28" s="524"/>
      <c r="CL28" s="524"/>
      <c r="CM28" s="524"/>
      <c r="CN28" s="518"/>
      <c r="CO28" s="524"/>
      <c r="CP28" s="524"/>
      <c r="CQ28" s="524"/>
      <c r="CR28" s="516">
        <v>10</v>
      </c>
      <c r="CS28" s="525"/>
      <c r="CT28" s="525"/>
      <c r="CU28" s="531"/>
      <c r="CV28" s="272">
        <v>10</v>
      </c>
      <c r="CW28" s="272">
        <v>10</v>
      </c>
      <c r="CX28" s="547"/>
      <c r="CY28" s="547"/>
      <c r="CZ28" s="547"/>
      <c r="DA28" s="546">
        <v>48</v>
      </c>
      <c r="DB28" s="550">
        <v>93</v>
      </c>
      <c r="DC28" s="272">
        <v>45</v>
      </c>
      <c r="DE28" s="551" t="s">
        <v>287</v>
      </c>
      <c r="DG28" s="272">
        <f>IF(D$7="YES",'CIA MARKS'!DX25,"")</f>
        <v>48</v>
      </c>
      <c r="DH28" s="31" t="str">
        <f>IF(D$8="YES",'CIA MARKS'!EH25,"")</f>
        <v/>
      </c>
      <c r="DI28" s="272" t="str">
        <f>IF(D$9="YES",'CIA MARKS'!EJ25,"")</f>
        <v/>
      </c>
      <c r="DJ28" s="272">
        <f>IF(Theory!D$7="YES",DC28,
 IF(Theory!D$8="YES",Lab!K20,
 IF(Theory!D$9="YES",DC28,"")))</f>
        <v>45</v>
      </c>
      <c r="DL28" s="350"/>
      <c r="DM28" s="350"/>
      <c r="DN28" s="350"/>
      <c r="DO28" s="350"/>
      <c r="DP28" s="350"/>
      <c r="DQ28" s="351"/>
      <c r="DR28" s="327"/>
      <c r="DS28" s="348">
        <f t="shared" si="0"/>
        <v>0</v>
      </c>
    </row>
    <row r="29" spans="1:123" ht="16.2" thickBot="1" x14ac:dyDescent="0.35">
      <c r="A29" s="471">
        <v>13</v>
      </c>
      <c r="B29" s="515" t="s">
        <v>321</v>
      </c>
      <c r="C29" s="515" t="s">
        <v>322</v>
      </c>
      <c r="D29" s="516">
        <v>2</v>
      </c>
      <c r="E29" s="526"/>
      <c r="F29" s="526"/>
      <c r="G29" s="526"/>
      <c r="H29" s="516">
        <v>2</v>
      </c>
      <c r="I29" s="526"/>
      <c r="J29" s="526"/>
      <c r="K29" s="526"/>
      <c r="L29" s="518"/>
      <c r="M29" s="526"/>
      <c r="N29" s="526"/>
      <c r="O29" s="526"/>
      <c r="P29" s="516">
        <v>3</v>
      </c>
      <c r="Q29" s="518"/>
      <c r="R29" s="526"/>
      <c r="S29" s="526"/>
      <c r="T29" s="518"/>
      <c r="U29" s="526"/>
      <c r="V29" s="526"/>
      <c r="W29" s="526"/>
      <c r="X29" s="516">
        <v>4</v>
      </c>
      <c r="Y29" s="526"/>
      <c r="Z29" s="526"/>
      <c r="AA29" s="526"/>
      <c r="AB29" s="518"/>
      <c r="AC29" s="526"/>
      <c r="AD29" s="526"/>
      <c r="AE29" s="526"/>
      <c r="AF29" s="516">
        <v>4</v>
      </c>
      <c r="AG29" s="526"/>
      <c r="AH29" s="526"/>
      <c r="AI29" s="526"/>
      <c r="AJ29" s="519">
        <v>7</v>
      </c>
      <c r="AK29" s="520"/>
      <c r="AL29" s="520"/>
      <c r="AM29" s="520"/>
      <c r="AN29" s="516">
        <v>6</v>
      </c>
      <c r="AO29" s="520"/>
      <c r="AP29" s="520"/>
      <c r="AQ29" s="520"/>
      <c r="AR29" s="516">
        <v>9</v>
      </c>
      <c r="AS29" s="521"/>
      <c r="AT29" s="521"/>
      <c r="AU29" s="521"/>
      <c r="AV29" s="518"/>
      <c r="AW29" s="518"/>
      <c r="AX29" s="521"/>
      <c r="AY29" s="521"/>
      <c r="AZ29" s="518"/>
      <c r="BA29" s="521"/>
      <c r="BB29" s="521"/>
      <c r="BC29" s="521"/>
      <c r="BD29" s="518"/>
      <c r="BE29" s="521"/>
      <c r="BF29" s="521"/>
      <c r="BG29" s="521"/>
      <c r="BH29" s="518"/>
      <c r="BI29" s="521"/>
      <c r="BJ29" s="521"/>
      <c r="BK29" s="521"/>
      <c r="BL29" s="516">
        <v>5</v>
      </c>
      <c r="BM29" s="521"/>
      <c r="BN29" s="521"/>
      <c r="BO29" s="521"/>
      <c r="BP29" s="519">
        <v>2</v>
      </c>
      <c r="BQ29" s="522"/>
      <c r="BR29" s="522"/>
      <c r="BS29" s="522"/>
      <c r="BT29" s="516">
        <v>8</v>
      </c>
      <c r="BU29" s="522"/>
      <c r="BV29" s="522"/>
      <c r="BW29" s="522"/>
      <c r="BX29" s="516">
        <v>7</v>
      </c>
      <c r="BY29" s="523"/>
      <c r="BZ29" s="523"/>
      <c r="CA29" s="523"/>
      <c r="CB29" s="518"/>
      <c r="CC29" s="524"/>
      <c r="CD29" s="524"/>
      <c r="CE29" s="524"/>
      <c r="CF29" s="518"/>
      <c r="CG29" s="525"/>
      <c r="CH29" s="525"/>
      <c r="CI29" s="525"/>
      <c r="CJ29" s="516">
        <v>7</v>
      </c>
      <c r="CK29" s="524"/>
      <c r="CL29" s="524"/>
      <c r="CM29" s="524"/>
      <c r="CN29" s="516">
        <v>7</v>
      </c>
      <c r="CO29" s="524"/>
      <c r="CP29" s="524"/>
      <c r="CQ29" s="524"/>
      <c r="CR29" s="518"/>
      <c r="CS29" s="525"/>
      <c r="CT29" s="525"/>
      <c r="CU29" s="531"/>
      <c r="CV29" s="272">
        <v>10</v>
      </c>
      <c r="CW29" s="272">
        <v>10</v>
      </c>
      <c r="CX29" s="547"/>
      <c r="CY29" s="547"/>
      <c r="CZ29" s="547"/>
      <c r="DA29" s="546">
        <v>35</v>
      </c>
      <c r="DB29" s="550">
        <v>62</v>
      </c>
      <c r="DC29" s="272">
        <v>27</v>
      </c>
      <c r="DE29" s="551" t="s">
        <v>289</v>
      </c>
      <c r="DG29" s="272">
        <f>IF(D$7="YES",'CIA MARKS'!DX26,"")</f>
        <v>35</v>
      </c>
      <c r="DH29" s="31" t="str">
        <f>IF(D$8="YES",'CIA MARKS'!EH26,"")</f>
        <v/>
      </c>
      <c r="DI29" s="272" t="str">
        <f>IF(D$9="YES",'CIA MARKS'!EJ26,"")</f>
        <v/>
      </c>
      <c r="DJ29" s="272">
        <f>IF(Theory!D$7="YES",DC29,
 IF(Theory!D$8="YES",Lab!K21,
 IF(Theory!D$9="YES",DC29,"")))</f>
        <v>27</v>
      </c>
      <c r="DL29" s="350"/>
      <c r="DM29" s="350"/>
      <c r="DN29" s="350"/>
      <c r="DO29" s="350"/>
      <c r="DP29" s="350"/>
      <c r="DQ29" s="351"/>
      <c r="DR29" s="327"/>
      <c r="DS29" s="348">
        <f t="shared" si="0"/>
        <v>0</v>
      </c>
    </row>
    <row r="30" spans="1:123" ht="16.2" thickBot="1" x14ac:dyDescent="0.35">
      <c r="A30" s="471">
        <v>14</v>
      </c>
      <c r="B30" s="515" t="s">
        <v>323</v>
      </c>
      <c r="C30" s="515" t="s">
        <v>324</v>
      </c>
      <c r="D30" s="516">
        <v>5</v>
      </c>
      <c r="E30" s="526"/>
      <c r="F30" s="526"/>
      <c r="G30" s="526"/>
      <c r="H30" s="516">
        <v>6</v>
      </c>
      <c r="I30" s="526"/>
      <c r="J30" s="526"/>
      <c r="K30" s="526"/>
      <c r="L30" s="516">
        <v>7</v>
      </c>
      <c r="M30" s="526"/>
      <c r="N30" s="526"/>
      <c r="O30" s="526"/>
      <c r="P30" s="518"/>
      <c r="Q30" s="518"/>
      <c r="R30" s="526"/>
      <c r="S30" s="526"/>
      <c r="T30" s="516">
        <v>5</v>
      </c>
      <c r="U30" s="526"/>
      <c r="V30" s="526"/>
      <c r="W30" s="526"/>
      <c r="X30" s="518"/>
      <c r="Y30" s="526"/>
      <c r="Z30" s="526"/>
      <c r="AA30" s="526"/>
      <c r="AB30" s="516">
        <v>7</v>
      </c>
      <c r="AC30" s="526"/>
      <c r="AD30" s="526"/>
      <c r="AE30" s="526"/>
      <c r="AF30" s="518"/>
      <c r="AG30" s="526"/>
      <c r="AH30" s="526"/>
      <c r="AI30" s="526"/>
      <c r="AJ30" s="519">
        <v>6</v>
      </c>
      <c r="AK30" s="520"/>
      <c r="AL30" s="520"/>
      <c r="AM30" s="520"/>
      <c r="AN30" s="516">
        <v>5</v>
      </c>
      <c r="AO30" s="520"/>
      <c r="AP30" s="520"/>
      <c r="AQ30" s="520"/>
      <c r="AR30" s="516">
        <v>8</v>
      </c>
      <c r="AS30" s="521"/>
      <c r="AT30" s="521"/>
      <c r="AU30" s="521"/>
      <c r="AV30" s="518"/>
      <c r="AW30" s="518"/>
      <c r="AX30" s="521"/>
      <c r="AY30" s="521"/>
      <c r="AZ30" s="518"/>
      <c r="BA30" s="521"/>
      <c r="BB30" s="521"/>
      <c r="BC30" s="521"/>
      <c r="BD30" s="516">
        <v>5</v>
      </c>
      <c r="BE30" s="521"/>
      <c r="BF30" s="521"/>
      <c r="BG30" s="521"/>
      <c r="BH30" s="518"/>
      <c r="BI30" s="521"/>
      <c r="BJ30" s="521"/>
      <c r="BK30" s="521"/>
      <c r="BL30" s="516">
        <v>6</v>
      </c>
      <c r="BM30" s="521"/>
      <c r="BN30" s="521"/>
      <c r="BO30" s="521"/>
      <c r="BP30" s="519">
        <v>5</v>
      </c>
      <c r="BQ30" s="522"/>
      <c r="BR30" s="522"/>
      <c r="BS30" s="522"/>
      <c r="BT30" s="516">
        <v>7</v>
      </c>
      <c r="BU30" s="522"/>
      <c r="BV30" s="522"/>
      <c r="BW30" s="522"/>
      <c r="BX30" s="518"/>
      <c r="BY30" s="523"/>
      <c r="BZ30" s="523"/>
      <c r="CA30" s="523"/>
      <c r="CB30" s="516">
        <v>7</v>
      </c>
      <c r="CC30" s="524"/>
      <c r="CD30" s="524"/>
      <c r="CE30" s="524"/>
      <c r="CF30" s="516">
        <v>6</v>
      </c>
      <c r="CG30" s="525"/>
      <c r="CH30" s="525"/>
      <c r="CI30" s="525"/>
      <c r="CJ30" s="518"/>
      <c r="CK30" s="524"/>
      <c r="CL30" s="524"/>
      <c r="CM30" s="524"/>
      <c r="CN30" s="518"/>
      <c r="CO30" s="524"/>
      <c r="CP30" s="524"/>
      <c r="CQ30" s="524"/>
      <c r="CR30" s="516">
        <v>6</v>
      </c>
      <c r="CS30" s="525"/>
      <c r="CT30" s="525"/>
      <c r="CU30" s="531"/>
      <c r="CV30" s="272">
        <v>10</v>
      </c>
      <c r="CW30" s="272">
        <v>10</v>
      </c>
      <c r="CX30" s="547"/>
      <c r="CY30" s="547"/>
      <c r="CZ30" s="547"/>
      <c r="DA30" s="546">
        <v>38</v>
      </c>
      <c r="DB30" s="550">
        <v>70</v>
      </c>
      <c r="DC30" s="272">
        <v>32</v>
      </c>
      <c r="DE30" s="551" t="s">
        <v>54</v>
      </c>
      <c r="DG30" s="272">
        <f>IF(D$7="YES",'CIA MARKS'!DX27,"")</f>
        <v>38</v>
      </c>
      <c r="DH30" s="31" t="str">
        <f>IF(D$8="YES",'CIA MARKS'!EH27,"")</f>
        <v/>
      </c>
      <c r="DI30" s="272" t="str">
        <f>IF(D$9="YES",'CIA MARKS'!EJ27,"")</f>
        <v/>
      </c>
      <c r="DJ30" s="272">
        <f>IF(Theory!D$7="YES",DC30,
 IF(Theory!D$8="YES",Lab!K22,
 IF(Theory!D$9="YES",DC30,"")))</f>
        <v>32</v>
      </c>
      <c r="DL30" s="350"/>
      <c r="DM30" s="350"/>
      <c r="DN30" s="350"/>
      <c r="DO30" s="350"/>
      <c r="DP30" s="350"/>
      <c r="DQ30" s="351"/>
      <c r="DR30" s="327"/>
      <c r="DS30" s="348">
        <f t="shared" si="0"/>
        <v>0</v>
      </c>
    </row>
    <row r="31" spans="1:123" ht="16.2" thickBot="1" x14ac:dyDescent="0.35">
      <c r="A31" s="471">
        <v>15</v>
      </c>
      <c r="B31" s="515" t="s">
        <v>325</v>
      </c>
      <c r="C31" s="515" t="s">
        <v>326</v>
      </c>
      <c r="D31" s="516">
        <v>8</v>
      </c>
      <c r="E31" s="526"/>
      <c r="F31" s="526"/>
      <c r="G31" s="526"/>
      <c r="H31" s="516">
        <v>7</v>
      </c>
      <c r="I31" s="526"/>
      <c r="J31" s="526"/>
      <c r="K31" s="526"/>
      <c r="L31" s="516">
        <v>10</v>
      </c>
      <c r="M31" s="526"/>
      <c r="N31" s="526"/>
      <c r="O31" s="526"/>
      <c r="P31" s="518"/>
      <c r="Q31" s="518"/>
      <c r="R31" s="526"/>
      <c r="S31" s="526"/>
      <c r="T31" s="516">
        <v>10</v>
      </c>
      <c r="U31" s="526"/>
      <c r="V31" s="526"/>
      <c r="W31" s="526"/>
      <c r="X31" s="518"/>
      <c r="Y31" s="526"/>
      <c r="Z31" s="526"/>
      <c r="AA31" s="526"/>
      <c r="AB31" s="516">
        <v>9</v>
      </c>
      <c r="AC31" s="526"/>
      <c r="AD31" s="526"/>
      <c r="AE31" s="526"/>
      <c r="AF31" s="518"/>
      <c r="AG31" s="526"/>
      <c r="AH31" s="526"/>
      <c r="AI31" s="526"/>
      <c r="AJ31" s="519">
        <v>10</v>
      </c>
      <c r="AK31" s="520"/>
      <c r="AL31" s="520"/>
      <c r="AM31" s="520"/>
      <c r="AN31" s="516">
        <v>10</v>
      </c>
      <c r="AO31" s="520"/>
      <c r="AP31" s="520"/>
      <c r="AQ31" s="520"/>
      <c r="AR31" s="516">
        <v>10</v>
      </c>
      <c r="AS31" s="521"/>
      <c r="AT31" s="521"/>
      <c r="AU31" s="521"/>
      <c r="AV31" s="518"/>
      <c r="AW31" s="518"/>
      <c r="AX31" s="521"/>
      <c r="AY31" s="521"/>
      <c r="AZ31" s="516">
        <v>8</v>
      </c>
      <c r="BA31" s="521"/>
      <c r="BB31" s="521"/>
      <c r="BC31" s="521"/>
      <c r="BD31" s="518"/>
      <c r="BE31" s="521"/>
      <c r="BF31" s="521"/>
      <c r="BG31" s="521"/>
      <c r="BH31" s="516">
        <v>10</v>
      </c>
      <c r="BI31" s="521"/>
      <c r="BJ31" s="521"/>
      <c r="BK31" s="521"/>
      <c r="BL31" s="518"/>
      <c r="BM31" s="521"/>
      <c r="BN31" s="521"/>
      <c r="BO31" s="521"/>
      <c r="BP31" s="519">
        <v>9</v>
      </c>
      <c r="BQ31" s="522"/>
      <c r="BR31" s="522"/>
      <c r="BS31" s="522"/>
      <c r="BT31" s="516">
        <v>9</v>
      </c>
      <c r="BU31" s="522"/>
      <c r="BV31" s="522"/>
      <c r="BW31" s="522"/>
      <c r="BX31" s="516">
        <v>10</v>
      </c>
      <c r="BY31" s="523"/>
      <c r="BZ31" s="523"/>
      <c r="CA31" s="523"/>
      <c r="CB31" s="518"/>
      <c r="CC31" s="524"/>
      <c r="CD31" s="524"/>
      <c r="CE31" s="524"/>
      <c r="CF31" s="516">
        <v>10</v>
      </c>
      <c r="CG31" s="525"/>
      <c r="CH31" s="525"/>
      <c r="CI31" s="525"/>
      <c r="CJ31" s="518"/>
      <c r="CK31" s="524"/>
      <c r="CL31" s="524"/>
      <c r="CM31" s="524"/>
      <c r="CN31" s="518"/>
      <c r="CO31" s="524"/>
      <c r="CP31" s="524"/>
      <c r="CQ31" s="524"/>
      <c r="CR31" s="516">
        <v>9</v>
      </c>
      <c r="CS31" s="525"/>
      <c r="CT31" s="525"/>
      <c r="CU31" s="531"/>
      <c r="CV31" s="272">
        <v>10</v>
      </c>
      <c r="CW31" s="272">
        <v>10</v>
      </c>
      <c r="CX31" s="547"/>
      <c r="CY31" s="547"/>
      <c r="CZ31" s="547"/>
      <c r="DA31" s="546">
        <v>48</v>
      </c>
      <c r="DB31" s="550">
        <v>86</v>
      </c>
      <c r="DC31" s="272">
        <v>38</v>
      </c>
      <c r="DE31" s="551" t="s">
        <v>288</v>
      </c>
      <c r="DG31" s="272">
        <f>IF(D$7="YES",'CIA MARKS'!DX28,"")</f>
        <v>48</v>
      </c>
      <c r="DH31" s="31" t="str">
        <f>IF(D$8="YES",'CIA MARKS'!EH28,"")</f>
        <v/>
      </c>
      <c r="DI31" s="272" t="str">
        <f>IF(D$9="YES",'CIA MARKS'!EJ28,"")</f>
        <v/>
      </c>
      <c r="DJ31" s="272">
        <f>IF(Theory!D$7="YES",DC31,
 IF(Theory!D$8="YES",Lab!K23,
 IF(Theory!D$9="YES",DC31,"")))</f>
        <v>38</v>
      </c>
      <c r="DL31" s="350"/>
      <c r="DM31" s="350"/>
      <c r="DN31" s="350"/>
      <c r="DO31" s="350"/>
      <c r="DP31" s="350"/>
      <c r="DQ31" s="351"/>
      <c r="DR31" s="327"/>
      <c r="DS31" s="348">
        <f t="shared" si="0"/>
        <v>0</v>
      </c>
    </row>
    <row r="32" spans="1:123" ht="16.2" thickBot="1" x14ac:dyDescent="0.35">
      <c r="A32" s="471">
        <v>16</v>
      </c>
      <c r="B32" s="515" t="s">
        <v>327</v>
      </c>
      <c r="C32" s="515" t="s">
        <v>328</v>
      </c>
      <c r="D32" s="516">
        <v>10</v>
      </c>
      <c r="E32" s="526"/>
      <c r="F32" s="526"/>
      <c r="G32" s="526"/>
      <c r="H32" s="516">
        <v>7</v>
      </c>
      <c r="I32" s="526"/>
      <c r="J32" s="526"/>
      <c r="K32" s="526"/>
      <c r="L32" s="516">
        <v>5</v>
      </c>
      <c r="M32" s="526"/>
      <c r="N32" s="526"/>
      <c r="O32" s="526"/>
      <c r="P32" s="518"/>
      <c r="Q32" s="518"/>
      <c r="R32" s="526"/>
      <c r="S32" s="526"/>
      <c r="T32" s="516">
        <v>5</v>
      </c>
      <c r="U32" s="526"/>
      <c r="V32" s="526"/>
      <c r="W32" s="526"/>
      <c r="X32" s="518"/>
      <c r="Y32" s="526"/>
      <c r="Z32" s="526"/>
      <c r="AA32" s="526"/>
      <c r="AB32" s="516">
        <v>8</v>
      </c>
      <c r="AC32" s="526"/>
      <c r="AD32" s="526"/>
      <c r="AE32" s="526"/>
      <c r="AF32" s="518"/>
      <c r="AG32" s="526"/>
      <c r="AH32" s="526"/>
      <c r="AI32" s="526"/>
      <c r="AJ32" s="519">
        <v>7</v>
      </c>
      <c r="AK32" s="520"/>
      <c r="AL32" s="520"/>
      <c r="AM32" s="520"/>
      <c r="AN32" s="516">
        <v>7</v>
      </c>
      <c r="AO32" s="520"/>
      <c r="AP32" s="520"/>
      <c r="AQ32" s="520"/>
      <c r="AR32" s="516">
        <v>8</v>
      </c>
      <c r="AS32" s="521"/>
      <c r="AT32" s="521"/>
      <c r="AU32" s="521"/>
      <c r="AV32" s="518"/>
      <c r="AW32" s="518"/>
      <c r="AX32" s="521"/>
      <c r="AY32" s="521"/>
      <c r="AZ32" s="516">
        <v>7</v>
      </c>
      <c r="BA32" s="521"/>
      <c r="BB32" s="521"/>
      <c r="BC32" s="521"/>
      <c r="BD32" s="516">
        <v>8</v>
      </c>
      <c r="BE32" s="521"/>
      <c r="BF32" s="521"/>
      <c r="BG32" s="521"/>
      <c r="BH32" s="518"/>
      <c r="BI32" s="521"/>
      <c r="BJ32" s="521"/>
      <c r="BK32" s="521"/>
      <c r="BL32" s="518"/>
      <c r="BM32" s="521"/>
      <c r="BN32" s="521"/>
      <c r="BO32" s="521"/>
      <c r="BP32" s="519">
        <v>8</v>
      </c>
      <c r="BQ32" s="522"/>
      <c r="BR32" s="522"/>
      <c r="BS32" s="522"/>
      <c r="BT32" s="516">
        <v>8</v>
      </c>
      <c r="BU32" s="522"/>
      <c r="BV32" s="522"/>
      <c r="BW32" s="522"/>
      <c r="BX32" s="516">
        <v>9</v>
      </c>
      <c r="BY32" s="523"/>
      <c r="BZ32" s="523"/>
      <c r="CA32" s="523"/>
      <c r="CB32" s="518"/>
      <c r="CC32" s="524"/>
      <c r="CD32" s="524"/>
      <c r="CE32" s="524"/>
      <c r="CF32" s="518"/>
      <c r="CG32" s="525"/>
      <c r="CH32" s="525"/>
      <c r="CI32" s="525"/>
      <c r="CJ32" s="516">
        <v>9</v>
      </c>
      <c r="CK32" s="524"/>
      <c r="CL32" s="524"/>
      <c r="CM32" s="524"/>
      <c r="CN32" s="518"/>
      <c r="CO32" s="524"/>
      <c r="CP32" s="524"/>
      <c r="CQ32" s="524"/>
      <c r="CR32" s="516">
        <v>8</v>
      </c>
      <c r="CS32" s="525"/>
      <c r="CT32" s="525"/>
      <c r="CU32" s="531"/>
      <c r="CV32" s="272">
        <v>10</v>
      </c>
      <c r="CW32" s="272">
        <v>10</v>
      </c>
      <c r="CX32" s="547"/>
      <c r="CY32" s="547"/>
      <c r="CZ32" s="547"/>
      <c r="DA32" s="546">
        <v>43</v>
      </c>
      <c r="DB32" s="550">
        <v>84</v>
      </c>
      <c r="DC32" s="272">
        <v>41</v>
      </c>
      <c r="DE32" s="551" t="s">
        <v>288</v>
      </c>
      <c r="DG32" s="272">
        <f>IF(D$7="YES",'CIA MARKS'!DX29,"")</f>
        <v>41</v>
      </c>
      <c r="DH32" s="31" t="str">
        <f>IF(D$8="YES",'CIA MARKS'!EH29,"")</f>
        <v/>
      </c>
      <c r="DI32" s="272" t="str">
        <f>IF(D$9="YES",'CIA MARKS'!EJ29,"")</f>
        <v/>
      </c>
      <c r="DJ32" s="272">
        <f>IF(Theory!D$7="YES",DC32,
 IF(Theory!D$8="YES",Lab!K24,
 IF(Theory!D$9="YES",DC32,"")))</f>
        <v>41</v>
      </c>
      <c r="DL32" s="350"/>
      <c r="DM32" s="350"/>
      <c r="DN32" s="350"/>
      <c r="DO32" s="350"/>
      <c r="DP32" s="350"/>
      <c r="DQ32" s="351"/>
      <c r="DR32" s="327"/>
      <c r="DS32" s="348">
        <f t="shared" si="0"/>
        <v>0</v>
      </c>
    </row>
    <row r="33" spans="1:123" ht="16.2" thickBot="1" x14ac:dyDescent="0.35">
      <c r="A33" s="471">
        <v>17</v>
      </c>
      <c r="B33" s="515" t="s">
        <v>329</v>
      </c>
      <c r="C33" s="515" t="s">
        <v>330</v>
      </c>
      <c r="D33" s="516">
        <v>7</v>
      </c>
      <c r="E33" s="526"/>
      <c r="F33" s="526"/>
      <c r="G33" s="526"/>
      <c r="H33" s="516">
        <v>8</v>
      </c>
      <c r="I33" s="526"/>
      <c r="J33" s="526"/>
      <c r="K33" s="526"/>
      <c r="L33" s="516">
        <v>4</v>
      </c>
      <c r="M33" s="526"/>
      <c r="N33" s="526"/>
      <c r="O33" s="526"/>
      <c r="P33" s="518"/>
      <c r="Q33" s="518"/>
      <c r="R33" s="526"/>
      <c r="S33" s="526"/>
      <c r="T33" s="518"/>
      <c r="U33" s="526"/>
      <c r="V33" s="526"/>
      <c r="W33" s="526"/>
      <c r="X33" s="516">
        <v>7</v>
      </c>
      <c r="Y33" s="526"/>
      <c r="Z33" s="526"/>
      <c r="AA33" s="526"/>
      <c r="AB33" s="518"/>
      <c r="AC33" s="526"/>
      <c r="AD33" s="526"/>
      <c r="AE33" s="526"/>
      <c r="AF33" s="516">
        <v>8</v>
      </c>
      <c r="AG33" s="526"/>
      <c r="AH33" s="526"/>
      <c r="AI33" s="526"/>
      <c r="AJ33" s="519">
        <v>7</v>
      </c>
      <c r="AK33" s="520"/>
      <c r="AL33" s="520"/>
      <c r="AM33" s="520"/>
      <c r="AN33" s="516">
        <v>8</v>
      </c>
      <c r="AO33" s="520"/>
      <c r="AP33" s="520"/>
      <c r="AQ33" s="520"/>
      <c r="AR33" s="516">
        <v>9</v>
      </c>
      <c r="AS33" s="521"/>
      <c r="AT33" s="521"/>
      <c r="AU33" s="521"/>
      <c r="AV33" s="518"/>
      <c r="AW33" s="518"/>
      <c r="AX33" s="521"/>
      <c r="AY33" s="521"/>
      <c r="AZ33" s="516">
        <v>8</v>
      </c>
      <c r="BA33" s="521"/>
      <c r="BB33" s="521"/>
      <c r="BC33" s="521"/>
      <c r="BD33" s="518"/>
      <c r="BE33" s="521"/>
      <c r="BF33" s="521"/>
      <c r="BG33" s="521"/>
      <c r="BH33" s="516">
        <v>10</v>
      </c>
      <c r="BI33" s="521"/>
      <c r="BJ33" s="521"/>
      <c r="BK33" s="521"/>
      <c r="BL33" s="518"/>
      <c r="BM33" s="521"/>
      <c r="BN33" s="521"/>
      <c r="BO33" s="521"/>
      <c r="BP33" s="519">
        <v>9</v>
      </c>
      <c r="BQ33" s="522"/>
      <c r="BR33" s="522"/>
      <c r="BS33" s="522"/>
      <c r="BT33" s="516">
        <v>8</v>
      </c>
      <c r="BU33" s="522"/>
      <c r="BV33" s="522"/>
      <c r="BW33" s="522"/>
      <c r="BX33" s="516">
        <v>9</v>
      </c>
      <c r="BY33" s="523"/>
      <c r="BZ33" s="523"/>
      <c r="CA33" s="523"/>
      <c r="CB33" s="518"/>
      <c r="CC33" s="524"/>
      <c r="CD33" s="524"/>
      <c r="CE33" s="524"/>
      <c r="CF33" s="516">
        <v>10</v>
      </c>
      <c r="CG33" s="525"/>
      <c r="CH33" s="525"/>
      <c r="CI33" s="525"/>
      <c r="CJ33" s="518"/>
      <c r="CK33" s="524"/>
      <c r="CL33" s="524"/>
      <c r="CM33" s="524"/>
      <c r="CN33" s="518"/>
      <c r="CO33" s="524"/>
      <c r="CP33" s="524"/>
      <c r="CQ33" s="524"/>
      <c r="CR33" s="516">
        <v>8</v>
      </c>
      <c r="CS33" s="525"/>
      <c r="CT33" s="525"/>
      <c r="CU33" s="531"/>
      <c r="CV33" s="272">
        <v>10</v>
      </c>
      <c r="CW33" s="272">
        <v>10</v>
      </c>
      <c r="CX33" s="547"/>
      <c r="CY33" s="547"/>
      <c r="CZ33" s="547"/>
      <c r="DA33" s="546">
        <v>44</v>
      </c>
      <c r="DB33" s="550">
        <v>82</v>
      </c>
      <c r="DC33" s="272">
        <v>38</v>
      </c>
      <c r="DE33" s="551" t="s">
        <v>288</v>
      </c>
      <c r="DG33" s="272">
        <f>IF(D$7="YES",'CIA MARKS'!DX30,"")</f>
        <v>44</v>
      </c>
      <c r="DH33" s="31" t="str">
        <f>IF(D$8="YES",'CIA MARKS'!EH30,"")</f>
        <v/>
      </c>
      <c r="DI33" s="272" t="str">
        <f>IF(D$9="YES",'CIA MARKS'!EJ30,"")</f>
        <v/>
      </c>
      <c r="DJ33" s="272">
        <f>IF(Theory!D$7="YES",DC33,
 IF(Theory!D$8="YES",Lab!K25,
 IF(Theory!D$9="YES",DC33,"")))</f>
        <v>38</v>
      </c>
      <c r="DL33" s="350"/>
      <c r="DM33" s="350"/>
      <c r="DN33" s="350"/>
      <c r="DO33" s="350"/>
      <c r="DP33" s="350"/>
      <c r="DQ33" s="351"/>
      <c r="DR33" s="327"/>
      <c r="DS33" s="348">
        <f t="shared" si="0"/>
        <v>0</v>
      </c>
    </row>
    <row r="34" spans="1:123" ht="16.2" thickBot="1" x14ac:dyDescent="0.35">
      <c r="A34" s="471">
        <v>18</v>
      </c>
      <c r="B34" s="515" t="s">
        <v>331</v>
      </c>
      <c r="C34" s="515" t="s">
        <v>332</v>
      </c>
      <c r="D34" s="516">
        <v>5</v>
      </c>
      <c r="E34" s="526"/>
      <c r="F34" s="526"/>
      <c r="G34" s="526"/>
      <c r="H34" s="516">
        <v>5</v>
      </c>
      <c r="I34" s="526"/>
      <c r="J34" s="526"/>
      <c r="K34" s="526"/>
      <c r="L34" s="518"/>
      <c r="M34" s="526"/>
      <c r="N34" s="526"/>
      <c r="O34" s="526"/>
      <c r="P34" s="516">
        <v>7</v>
      </c>
      <c r="Q34" s="516"/>
      <c r="R34" s="526"/>
      <c r="S34" s="526"/>
      <c r="T34" s="516">
        <v>6</v>
      </c>
      <c r="U34" s="526"/>
      <c r="V34" s="526"/>
      <c r="W34" s="526"/>
      <c r="X34" s="518"/>
      <c r="Y34" s="526"/>
      <c r="Z34" s="526"/>
      <c r="AA34" s="526"/>
      <c r="AB34" s="516">
        <v>7</v>
      </c>
      <c r="AC34" s="526"/>
      <c r="AD34" s="526"/>
      <c r="AE34" s="526"/>
      <c r="AF34" s="518"/>
      <c r="AG34" s="526"/>
      <c r="AH34" s="526"/>
      <c r="AI34" s="526"/>
      <c r="AJ34" s="519">
        <v>7</v>
      </c>
      <c r="AK34" s="520"/>
      <c r="AL34" s="520"/>
      <c r="AM34" s="520"/>
      <c r="AN34" s="516">
        <v>5</v>
      </c>
      <c r="AO34" s="520"/>
      <c r="AP34" s="520"/>
      <c r="AQ34" s="520"/>
      <c r="AR34" s="516">
        <v>8</v>
      </c>
      <c r="AS34" s="521"/>
      <c r="AT34" s="521"/>
      <c r="AU34" s="521"/>
      <c r="AV34" s="518"/>
      <c r="AW34" s="518"/>
      <c r="AX34" s="521"/>
      <c r="AY34" s="521"/>
      <c r="AZ34" s="518"/>
      <c r="BA34" s="521"/>
      <c r="BB34" s="521"/>
      <c r="BC34" s="521"/>
      <c r="BD34" s="516">
        <v>7</v>
      </c>
      <c r="BE34" s="521"/>
      <c r="BF34" s="521"/>
      <c r="BG34" s="521"/>
      <c r="BH34" s="516">
        <v>8</v>
      </c>
      <c r="BI34" s="521"/>
      <c r="BJ34" s="521"/>
      <c r="BK34" s="521"/>
      <c r="BL34" s="518"/>
      <c r="BM34" s="521"/>
      <c r="BN34" s="521"/>
      <c r="BO34" s="521"/>
      <c r="BP34" s="519">
        <v>5</v>
      </c>
      <c r="BQ34" s="522"/>
      <c r="BR34" s="522"/>
      <c r="BS34" s="522"/>
      <c r="BT34" s="516">
        <v>9</v>
      </c>
      <c r="BU34" s="522"/>
      <c r="BV34" s="522"/>
      <c r="BW34" s="522"/>
      <c r="BX34" s="518"/>
      <c r="BY34" s="523"/>
      <c r="BZ34" s="523"/>
      <c r="CA34" s="523"/>
      <c r="CB34" s="516">
        <v>8</v>
      </c>
      <c r="CC34" s="524"/>
      <c r="CD34" s="524"/>
      <c r="CE34" s="524"/>
      <c r="CF34" s="518"/>
      <c r="CG34" s="525"/>
      <c r="CH34" s="525"/>
      <c r="CI34" s="525"/>
      <c r="CJ34" s="516">
        <v>8</v>
      </c>
      <c r="CK34" s="524"/>
      <c r="CL34" s="524"/>
      <c r="CM34" s="524"/>
      <c r="CN34" s="516">
        <v>7</v>
      </c>
      <c r="CO34" s="524"/>
      <c r="CP34" s="524"/>
      <c r="CQ34" s="524"/>
      <c r="CR34" s="518"/>
      <c r="CS34" s="525"/>
      <c r="CT34" s="525"/>
      <c r="CU34" s="531"/>
      <c r="CV34" s="272">
        <v>10</v>
      </c>
      <c r="CW34" s="272">
        <v>10</v>
      </c>
      <c r="CX34" s="547"/>
      <c r="CY34" s="547"/>
      <c r="CZ34" s="547"/>
      <c r="DA34" s="546">
        <v>40</v>
      </c>
      <c r="DB34" s="550">
        <v>70</v>
      </c>
      <c r="DC34" s="272">
        <v>30</v>
      </c>
      <c r="DE34" s="551" t="s">
        <v>54</v>
      </c>
      <c r="DG34" s="272">
        <f>IF(D$7="YES",'CIA MARKS'!DX31,"")</f>
        <v>40</v>
      </c>
      <c r="DH34" s="31" t="str">
        <f>IF(D$8="YES",'CIA MARKS'!EH31,"")</f>
        <v/>
      </c>
      <c r="DI34" s="272" t="str">
        <f>IF(D$9="YES",'CIA MARKS'!EJ31,"")</f>
        <v/>
      </c>
      <c r="DJ34" s="272">
        <f>IF(Theory!D$7="YES",DC34,
 IF(Theory!D$8="YES",Lab!K26,
 IF(Theory!D$9="YES",DC34,"")))</f>
        <v>30</v>
      </c>
      <c r="DL34" s="350"/>
      <c r="DM34" s="350"/>
      <c r="DN34" s="350"/>
      <c r="DO34" s="350"/>
      <c r="DP34" s="350"/>
      <c r="DQ34" s="351"/>
      <c r="DR34" s="327"/>
      <c r="DS34" s="348">
        <f t="shared" si="0"/>
        <v>0</v>
      </c>
    </row>
    <row r="35" spans="1:123" ht="16.2" thickBot="1" x14ac:dyDescent="0.35">
      <c r="A35" s="471">
        <v>19</v>
      </c>
      <c r="B35" s="515" t="s">
        <v>333</v>
      </c>
      <c r="C35" s="515" t="s">
        <v>334</v>
      </c>
      <c r="D35" s="516">
        <v>10</v>
      </c>
      <c r="E35" s="526"/>
      <c r="F35" s="526"/>
      <c r="G35" s="526"/>
      <c r="H35" s="516">
        <v>9</v>
      </c>
      <c r="I35" s="526"/>
      <c r="J35" s="526"/>
      <c r="K35" s="526"/>
      <c r="L35" s="516">
        <v>8</v>
      </c>
      <c r="M35" s="526"/>
      <c r="N35" s="526"/>
      <c r="O35" s="526"/>
      <c r="P35" s="518"/>
      <c r="Q35" s="518"/>
      <c r="R35" s="526"/>
      <c r="S35" s="526"/>
      <c r="T35" s="516">
        <v>9</v>
      </c>
      <c r="U35" s="526"/>
      <c r="V35" s="526"/>
      <c r="W35" s="526"/>
      <c r="X35" s="518"/>
      <c r="Y35" s="526"/>
      <c r="Z35" s="526"/>
      <c r="AA35" s="526"/>
      <c r="AB35" s="516">
        <v>8</v>
      </c>
      <c r="AC35" s="526"/>
      <c r="AD35" s="526"/>
      <c r="AE35" s="526"/>
      <c r="AF35" s="518"/>
      <c r="AG35" s="526"/>
      <c r="AH35" s="526"/>
      <c r="AI35" s="526"/>
      <c r="AJ35" s="519">
        <v>10</v>
      </c>
      <c r="AK35" s="520"/>
      <c r="AL35" s="520"/>
      <c r="AM35" s="520"/>
      <c r="AN35" s="516">
        <v>10</v>
      </c>
      <c r="AO35" s="520"/>
      <c r="AP35" s="520"/>
      <c r="AQ35" s="520"/>
      <c r="AR35" s="518"/>
      <c r="AS35" s="521"/>
      <c r="AT35" s="521"/>
      <c r="AU35" s="521"/>
      <c r="AV35" s="516">
        <v>9</v>
      </c>
      <c r="AW35" s="516"/>
      <c r="AX35" s="521"/>
      <c r="AY35" s="521"/>
      <c r="AZ35" s="516">
        <v>8</v>
      </c>
      <c r="BA35" s="521"/>
      <c r="BB35" s="521"/>
      <c r="BC35" s="521"/>
      <c r="BD35" s="518"/>
      <c r="BE35" s="521"/>
      <c r="BF35" s="521"/>
      <c r="BG35" s="521"/>
      <c r="BH35" s="516">
        <v>10</v>
      </c>
      <c r="BI35" s="521"/>
      <c r="BJ35" s="521"/>
      <c r="BK35" s="521"/>
      <c r="BL35" s="518"/>
      <c r="BM35" s="521"/>
      <c r="BN35" s="521"/>
      <c r="BO35" s="521"/>
      <c r="BP35" s="519">
        <v>9</v>
      </c>
      <c r="BQ35" s="522"/>
      <c r="BR35" s="522"/>
      <c r="BS35" s="522"/>
      <c r="BT35" s="516">
        <v>9</v>
      </c>
      <c r="BU35" s="522"/>
      <c r="BV35" s="522"/>
      <c r="BW35" s="522"/>
      <c r="BX35" s="518"/>
      <c r="BY35" s="523"/>
      <c r="BZ35" s="523"/>
      <c r="CA35" s="523"/>
      <c r="CB35" s="516">
        <v>9</v>
      </c>
      <c r="CC35" s="524"/>
      <c r="CD35" s="524"/>
      <c r="CE35" s="524"/>
      <c r="CF35" s="518"/>
      <c r="CG35" s="525"/>
      <c r="CH35" s="525"/>
      <c r="CI35" s="525"/>
      <c r="CJ35" s="516">
        <v>8</v>
      </c>
      <c r="CK35" s="524"/>
      <c r="CL35" s="524"/>
      <c r="CM35" s="524"/>
      <c r="CN35" s="518"/>
      <c r="CO35" s="524"/>
      <c r="CP35" s="524"/>
      <c r="CQ35" s="524"/>
      <c r="CR35" s="516">
        <v>9</v>
      </c>
      <c r="CS35" s="525"/>
      <c r="CT35" s="525"/>
      <c r="CU35" s="531"/>
      <c r="CV35" s="272">
        <v>10</v>
      </c>
      <c r="CW35" s="272">
        <v>10</v>
      </c>
      <c r="CX35" s="547"/>
      <c r="CY35" s="547"/>
      <c r="CZ35" s="547"/>
      <c r="DA35" s="546">
        <v>47</v>
      </c>
      <c r="DB35" s="550">
        <v>90</v>
      </c>
      <c r="DC35" s="272">
        <v>43</v>
      </c>
      <c r="DE35" s="551" t="s">
        <v>287</v>
      </c>
      <c r="DG35" s="272">
        <f>IF(D$7="YES",'CIA MARKS'!DX32,"")</f>
        <v>47</v>
      </c>
      <c r="DH35" s="31" t="str">
        <f>IF(D$8="YES",'CIA MARKS'!EH32,"")</f>
        <v/>
      </c>
      <c r="DI35" s="272" t="str">
        <f>IF(D$9="YES",'CIA MARKS'!EJ32,"")</f>
        <v/>
      </c>
      <c r="DJ35" s="272">
        <f>IF(Theory!D$7="YES",DC35,
 IF(Theory!D$8="YES",Lab!K27,
 IF(Theory!D$9="YES",DC35,"")))</f>
        <v>43</v>
      </c>
      <c r="DL35" s="350"/>
      <c r="DM35" s="350"/>
      <c r="DN35" s="350"/>
      <c r="DO35" s="350"/>
      <c r="DP35" s="350"/>
      <c r="DQ35" s="351"/>
      <c r="DR35" s="327"/>
      <c r="DS35" s="348">
        <f t="shared" si="0"/>
        <v>0</v>
      </c>
    </row>
    <row r="36" spans="1:123" ht="16.2" thickBot="1" x14ac:dyDescent="0.35">
      <c r="A36" s="471">
        <v>20</v>
      </c>
      <c r="B36" s="515" t="s">
        <v>335</v>
      </c>
      <c r="C36" s="515" t="s">
        <v>336</v>
      </c>
      <c r="D36" s="516">
        <v>8</v>
      </c>
      <c r="E36" s="526"/>
      <c r="F36" s="526"/>
      <c r="G36" s="526"/>
      <c r="H36" s="516">
        <v>7</v>
      </c>
      <c r="I36" s="526"/>
      <c r="J36" s="526"/>
      <c r="K36" s="526"/>
      <c r="L36" s="518"/>
      <c r="M36" s="526"/>
      <c r="N36" s="526"/>
      <c r="O36" s="526"/>
      <c r="P36" s="516">
        <v>6</v>
      </c>
      <c r="Q36" s="516"/>
      <c r="R36" s="526"/>
      <c r="S36" s="526"/>
      <c r="T36" s="516">
        <v>7</v>
      </c>
      <c r="U36" s="526"/>
      <c r="V36" s="526"/>
      <c r="W36" s="526"/>
      <c r="X36" s="518"/>
      <c r="Y36" s="526"/>
      <c r="Z36" s="526"/>
      <c r="AA36" s="526"/>
      <c r="AB36" s="516">
        <v>10</v>
      </c>
      <c r="AC36" s="526"/>
      <c r="AD36" s="526"/>
      <c r="AE36" s="526"/>
      <c r="AF36" s="518"/>
      <c r="AG36" s="526"/>
      <c r="AH36" s="526"/>
      <c r="AI36" s="526"/>
      <c r="AJ36" s="519">
        <v>7</v>
      </c>
      <c r="AK36" s="520"/>
      <c r="AL36" s="520"/>
      <c r="AM36" s="520"/>
      <c r="AN36" s="516">
        <v>6</v>
      </c>
      <c r="AO36" s="520"/>
      <c r="AP36" s="520"/>
      <c r="AQ36" s="520"/>
      <c r="AR36" s="516">
        <v>9</v>
      </c>
      <c r="AS36" s="521"/>
      <c r="AT36" s="521"/>
      <c r="AU36" s="521"/>
      <c r="AV36" s="518"/>
      <c r="AW36" s="518"/>
      <c r="AX36" s="521"/>
      <c r="AY36" s="521"/>
      <c r="AZ36" s="516">
        <v>8</v>
      </c>
      <c r="BA36" s="521"/>
      <c r="BB36" s="521"/>
      <c r="BC36" s="521"/>
      <c r="BD36" s="518"/>
      <c r="BE36" s="521"/>
      <c r="BF36" s="521"/>
      <c r="BG36" s="521"/>
      <c r="BH36" s="516">
        <v>9</v>
      </c>
      <c r="BI36" s="521"/>
      <c r="BJ36" s="521"/>
      <c r="BK36" s="521"/>
      <c r="BL36" s="518"/>
      <c r="BM36" s="521"/>
      <c r="BN36" s="521"/>
      <c r="BO36" s="521"/>
      <c r="BP36" s="527"/>
      <c r="BQ36" s="522"/>
      <c r="BR36" s="522"/>
      <c r="BS36" s="522"/>
      <c r="BT36" s="516">
        <v>9</v>
      </c>
      <c r="BU36" s="522"/>
      <c r="BV36" s="522"/>
      <c r="BW36" s="522"/>
      <c r="BX36" s="516">
        <v>8</v>
      </c>
      <c r="BY36" s="523"/>
      <c r="BZ36" s="523"/>
      <c r="CA36" s="523"/>
      <c r="CB36" s="518"/>
      <c r="CC36" s="524"/>
      <c r="CD36" s="524"/>
      <c r="CE36" s="524"/>
      <c r="CF36" s="516">
        <v>10</v>
      </c>
      <c r="CG36" s="525"/>
      <c r="CH36" s="525"/>
      <c r="CI36" s="525"/>
      <c r="CJ36" s="518"/>
      <c r="CK36" s="524"/>
      <c r="CL36" s="524"/>
      <c r="CM36" s="524"/>
      <c r="CN36" s="518"/>
      <c r="CO36" s="524"/>
      <c r="CP36" s="524"/>
      <c r="CQ36" s="524"/>
      <c r="CR36" s="516">
        <v>9</v>
      </c>
      <c r="CS36" s="525"/>
      <c r="CT36" s="525"/>
      <c r="CU36" s="531"/>
      <c r="CV36" s="272">
        <v>10</v>
      </c>
      <c r="CW36" s="272">
        <v>10</v>
      </c>
      <c r="CX36" s="547"/>
      <c r="CY36" s="547"/>
      <c r="CZ36" s="547"/>
      <c r="DA36" s="546">
        <v>43</v>
      </c>
      <c r="DB36" s="550">
        <v>85</v>
      </c>
      <c r="DC36" s="272">
        <v>42</v>
      </c>
      <c r="DE36" s="551" t="s">
        <v>288</v>
      </c>
      <c r="DG36" s="272">
        <f>IF(D$7="YES",'CIA MARKS'!DX33,"")</f>
        <v>43</v>
      </c>
      <c r="DH36" s="31" t="str">
        <f>IF(D$8="YES",'CIA MARKS'!EH33,"")</f>
        <v/>
      </c>
      <c r="DI36" s="272" t="str">
        <f>IF(D$9="YES",'CIA MARKS'!EJ33,"")</f>
        <v/>
      </c>
      <c r="DJ36" s="272">
        <f>IF(Theory!D$7="YES",DC36,
 IF(Theory!D$8="YES",Lab!K28,
 IF(Theory!D$9="YES",DC36,"")))</f>
        <v>42</v>
      </c>
      <c r="DL36" s="350"/>
      <c r="DM36" s="350"/>
      <c r="DN36" s="350"/>
      <c r="DO36" s="350"/>
      <c r="DP36" s="350"/>
      <c r="DQ36" s="351"/>
      <c r="DR36" s="327"/>
      <c r="DS36" s="348">
        <f t="shared" si="0"/>
        <v>0</v>
      </c>
    </row>
    <row r="37" spans="1:123" ht="16.2" thickBot="1" x14ac:dyDescent="0.35">
      <c r="A37" s="471">
        <v>21</v>
      </c>
      <c r="B37" s="515" t="s">
        <v>337</v>
      </c>
      <c r="C37" s="515" t="s">
        <v>338</v>
      </c>
      <c r="D37" s="516"/>
      <c r="E37" s="526"/>
      <c r="F37" s="526"/>
      <c r="G37" s="526"/>
      <c r="H37" s="516"/>
      <c r="I37" s="526"/>
      <c r="J37" s="526"/>
      <c r="K37" s="526"/>
      <c r="L37" s="516"/>
      <c r="M37" s="526"/>
      <c r="N37" s="526"/>
      <c r="O37" s="526"/>
      <c r="P37" s="516"/>
      <c r="Q37" s="516"/>
      <c r="R37" s="526"/>
      <c r="S37" s="526"/>
      <c r="T37" s="516"/>
      <c r="U37" s="526"/>
      <c r="V37" s="526"/>
      <c r="W37" s="526"/>
      <c r="X37" s="516"/>
      <c r="Y37" s="526"/>
      <c r="Z37" s="526"/>
      <c r="AA37" s="526"/>
      <c r="AB37" s="516"/>
      <c r="AC37" s="526"/>
      <c r="AD37" s="526"/>
      <c r="AE37" s="526"/>
      <c r="AF37" s="516"/>
      <c r="AG37" s="526"/>
      <c r="AH37" s="526"/>
      <c r="AI37" s="526"/>
      <c r="AJ37" s="519">
        <v>8</v>
      </c>
      <c r="AK37" s="520"/>
      <c r="AL37" s="520"/>
      <c r="AM37" s="520"/>
      <c r="AN37" s="516">
        <v>7</v>
      </c>
      <c r="AO37" s="520"/>
      <c r="AP37" s="520"/>
      <c r="AQ37" s="520"/>
      <c r="AR37" s="516">
        <v>9</v>
      </c>
      <c r="AS37" s="521"/>
      <c r="AT37" s="521"/>
      <c r="AU37" s="521"/>
      <c r="AV37" s="518"/>
      <c r="AW37" s="518"/>
      <c r="AX37" s="521"/>
      <c r="AY37" s="521"/>
      <c r="AZ37" s="516">
        <v>8</v>
      </c>
      <c r="BA37" s="521"/>
      <c r="BB37" s="521"/>
      <c r="BC37" s="521"/>
      <c r="BD37" s="518"/>
      <c r="BE37" s="521"/>
      <c r="BF37" s="521"/>
      <c r="BG37" s="521"/>
      <c r="BH37" s="516">
        <v>8</v>
      </c>
      <c r="BI37" s="521"/>
      <c r="BJ37" s="521"/>
      <c r="BK37" s="521"/>
      <c r="BL37" s="518"/>
      <c r="BM37" s="521"/>
      <c r="BN37" s="521"/>
      <c r="BO37" s="521"/>
      <c r="BP37" s="519">
        <v>8</v>
      </c>
      <c r="BQ37" s="522"/>
      <c r="BR37" s="522"/>
      <c r="BS37" s="522"/>
      <c r="BT37" s="516">
        <v>8</v>
      </c>
      <c r="BU37" s="522"/>
      <c r="BV37" s="522"/>
      <c r="BW37" s="522"/>
      <c r="BX37" s="516">
        <v>9</v>
      </c>
      <c r="BY37" s="523"/>
      <c r="BZ37" s="523"/>
      <c r="CA37" s="523"/>
      <c r="CB37" s="518"/>
      <c r="CC37" s="524"/>
      <c r="CD37" s="524"/>
      <c r="CE37" s="524"/>
      <c r="CF37" s="518"/>
      <c r="CG37" s="525"/>
      <c r="CH37" s="525"/>
      <c r="CI37" s="525"/>
      <c r="CJ37" s="516">
        <v>8</v>
      </c>
      <c r="CK37" s="524"/>
      <c r="CL37" s="524"/>
      <c r="CM37" s="524"/>
      <c r="CN37" s="516">
        <v>7</v>
      </c>
      <c r="CO37" s="524"/>
      <c r="CP37" s="524"/>
      <c r="CQ37" s="524"/>
      <c r="CR37" s="518"/>
      <c r="CS37" s="525"/>
      <c r="CT37" s="525"/>
      <c r="CU37" s="531"/>
      <c r="CV37" s="272">
        <v>10</v>
      </c>
      <c r="CW37" s="272">
        <v>10</v>
      </c>
      <c r="CX37" s="547"/>
      <c r="CY37" s="547"/>
      <c r="CZ37" s="547"/>
      <c r="DA37" s="546">
        <v>36</v>
      </c>
      <c r="DB37" s="550">
        <v>76</v>
      </c>
      <c r="DC37" s="272">
        <v>40</v>
      </c>
      <c r="DE37" s="551" t="s">
        <v>54</v>
      </c>
      <c r="DG37" s="272">
        <f>IF(D$7="YES",'CIA MARKS'!DX34,"")</f>
        <v>36</v>
      </c>
      <c r="DH37" s="31" t="str">
        <f>IF(D$8="YES",'CIA MARKS'!EH34,"")</f>
        <v/>
      </c>
      <c r="DI37" s="272" t="str">
        <f>IF(D$9="YES",'CIA MARKS'!EJ34,"")</f>
        <v/>
      </c>
      <c r="DJ37" s="272">
        <f>IF(Theory!D$7="YES",DC37,
 IF(Theory!D$8="YES",Lab!K29,
 IF(Theory!D$9="YES",DC37,"")))</f>
        <v>40</v>
      </c>
      <c r="DL37" s="350"/>
      <c r="DM37" s="350"/>
      <c r="DN37" s="350"/>
      <c r="DO37" s="350"/>
      <c r="DP37" s="350"/>
      <c r="DQ37" s="351"/>
      <c r="DR37" s="327"/>
      <c r="DS37" s="348">
        <f t="shared" si="0"/>
        <v>0</v>
      </c>
    </row>
    <row r="38" spans="1:123" ht="16.2" thickBot="1" x14ac:dyDescent="0.35">
      <c r="A38" s="471">
        <v>22</v>
      </c>
      <c r="B38" s="515" t="s">
        <v>339</v>
      </c>
      <c r="C38" s="515" t="s">
        <v>340</v>
      </c>
      <c r="D38" s="516">
        <v>7</v>
      </c>
      <c r="E38" s="526"/>
      <c r="F38" s="526"/>
      <c r="G38" s="526"/>
      <c r="H38" s="516">
        <v>5</v>
      </c>
      <c r="I38" s="526"/>
      <c r="J38" s="526"/>
      <c r="K38" s="526"/>
      <c r="L38" s="516">
        <v>6</v>
      </c>
      <c r="M38" s="526"/>
      <c r="N38" s="526"/>
      <c r="O38" s="526"/>
      <c r="P38" s="518"/>
      <c r="Q38" s="518"/>
      <c r="R38" s="526"/>
      <c r="S38" s="526"/>
      <c r="T38" s="516">
        <v>7</v>
      </c>
      <c r="U38" s="526"/>
      <c r="V38" s="526"/>
      <c r="W38" s="526"/>
      <c r="X38" s="518"/>
      <c r="Y38" s="526"/>
      <c r="Z38" s="526"/>
      <c r="AA38" s="526"/>
      <c r="AB38" s="516">
        <v>6</v>
      </c>
      <c r="AC38" s="526"/>
      <c r="AD38" s="526"/>
      <c r="AE38" s="526"/>
      <c r="AF38" s="518"/>
      <c r="AG38" s="526"/>
      <c r="AH38" s="526"/>
      <c r="AI38" s="526"/>
      <c r="AJ38" s="519">
        <v>6</v>
      </c>
      <c r="AK38" s="520"/>
      <c r="AL38" s="520"/>
      <c r="AM38" s="520"/>
      <c r="AN38" s="516">
        <v>6</v>
      </c>
      <c r="AO38" s="520"/>
      <c r="AP38" s="520"/>
      <c r="AQ38" s="520"/>
      <c r="AR38" s="516">
        <v>9</v>
      </c>
      <c r="AS38" s="521"/>
      <c r="AT38" s="521"/>
      <c r="AU38" s="521"/>
      <c r="AV38" s="518"/>
      <c r="AW38" s="518"/>
      <c r="AX38" s="521"/>
      <c r="AY38" s="521"/>
      <c r="AZ38" s="516">
        <v>7</v>
      </c>
      <c r="BA38" s="521"/>
      <c r="BB38" s="521"/>
      <c r="BC38" s="521"/>
      <c r="BD38" s="518"/>
      <c r="BE38" s="521"/>
      <c r="BF38" s="521"/>
      <c r="BG38" s="521"/>
      <c r="BH38" s="516">
        <v>8</v>
      </c>
      <c r="BI38" s="521"/>
      <c r="BJ38" s="521"/>
      <c r="BK38" s="521"/>
      <c r="BL38" s="518"/>
      <c r="BM38" s="521"/>
      <c r="BN38" s="521"/>
      <c r="BO38" s="521"/>
      <c r="BP38" s="519">
        <v>7</v>
      </c>
      <c r="BQ38" s="522"/>
      <c r="BR38" s="522"/>
      <c r="BS38" s="522"/>
      <c r="BT38" s="516">
        <v>1</v>
      </c>
      <c r="BU38" s="522"/>
      <c r="BV38" s="522"/>
      <c r="BW38" s="522"/>
      <c r="BX38" s="518"/>
      <c r="BY38" s="523"/>
      <c r="BZ38" s="523"/>
      <c r="CA38" s="523"/>
      <c r="CB38" s="516">
        <v>7</v>
      </c>
      <c r="CC38" s="524"/>
      <c r="CD38" s="524"/>
      <c r="CE38" s="524"/>
      <c r="CF38" s="518"/>
      <c r="CG38" s="525"/>
      <c r="CH38" s="525"/>
      <c r="CI38" s="525"/>
      <c r="CJ38" s="516">
        <v>7</v>
      </c>
      <c r="CK38" s="524"/>
      <c r="CL38" s="524"/>
      <c r="CM38" s="524"/>
      <c r="CN38" s="516">
        <v>6</v>
      </c>
      <c r="CO38" s="524"/>
      <c r="CP38" s="524"/>
      <c r="CQ38" s="524"/>
      <c r="CR38" s="518"/>
      <c r="CS38" s="525"/>
      <c r="CT38" s="525"/>
      <c r="CU38" s="531"/>
      <c r="CV38" s="272">
        <v>10</v>
      </c>
      <c r="CW38" s="272">
        <v>10</v>
      </c>
      <c r="CX38" s="547"/>
      <c r="CY38" s="547"/>
      <c r="CZ38" s="547"/>
      <c r="DA38" s="546">
        <v>39</v>
      </c>
      <c r="DB38" s="550">
        <v>80</v>
      </c>
      <c r="DC38" s="272">
        <v>41</v>
      </c>
      <c r="DE38" s="551" t="s">
        <v>288</v>
      </c>
      <c r="DG38" s="272">
        <f>IF(D$7="YES",'CIA MARKS'!DX35,"")</f>
        <v>39</v>
      </c>
      <c r="DH38" s="31" t="str">
        <f>IF(D$8="YES",'CIA MARKS'!EH35,"")</f>
        <v/>
      </c>
      <c r="DI38" s="272" t="str">
        <f>IF(D$9="YES",'CIA MARKS'!EJ35,"")</f>
        <v/>
      </c>
      <c r="DJ38" s="272">
        <f>IF(Theory!D$7="YES",DC38,
 IF(Theory!D$8="YES",Lab!K30,
 IF(Theory!D$9="YES",DC38,"")))</f>
        <v>41</v>
      </c>
      <c r="DL38" s="350"/>
      <c r="DM38" s="350"/>
      <c r="DN38" s="350"/>
      <c r="DO38" s="350"/>
      <c r="DP38" s="350"/>
      <c r="DQ38" s="351"/>
      <c r="DR38" s="327"/>
      <c r="DS38" s="348">
        <f t="shared" si="0"/>
        <v>0</v>
      </c>
    </row>
    <row r="39" spans="1:123" ht="16.2" thickBot="1" x14ac:dyDescent="0.35">
      <c r="A39" s="471">
        <v>23</v>
      </c>
      <c r="B39" s="515" t="s">
        <v>341</v>
      </c>
      <c r="C39" s="515" t="s">
        <v>342</v>
      </c>
      <c r="D39" s="518"/>
      <c r="E39" s="526"/>
      <c r="F39" s="526"/>
      <c r="G39" s="526"/>
      <c r="H39" s="516">
        <v>8</v>
      </c>
      <c r="I39" s="526"/>
      <c r="J39" s="526"/>
      <c r="K39" s="526"/>
      <c r="L39" s="518"/>
      <c r="M39" s="526"/>
      <c r="N39" s="526"/>
      <c r="O39" s="526"/>
      <c r="P39" s="516">
        <v>5</v>
      </c>
      <c r="Q39" s="518"/>
      <c r="R39" s="526"/>
      <c r="S39" s="526"/>
      <c r="T39" s="518"/>
      <c r="U39" s="526"/>
      <c r="V39" s="526"/>
      <c r="W39" s="526"/>
      <c r="X39" s="516">
        <v>8</v>
      </c>
      <c r="Y39" s="526"/>
      <c r="Z39" s="526"/>
      <c r="AA39" s="526"/>
      <c r="AB39" s="516">
        <v>8</v>
      </c>
      <c r="AC39" s="526"/>
      <c r="AD39" s="526"/>
      <c r="AE39" s="526"/>
      <c r="AF39" s="518"/>
      <c r="AG39" s="526"/>
      <c r="AH39" s="526"/>
      <c r="AI39" s="526"/>
      <c r="AJ39" s="519">
        <v>6</v>
      </c>
      <c r="AK39" s="520"/>
      <c r="AL39" s="520"/>
      <c r="AM39" s="520"/>
      <c r="AN39" s="516">
        <v>8</v>
      </c>
      <c r="AO39" s="520"/>
      <c r="AP39" s="520"/>
      <c r="AQ39" s="520"/>
      <c r="AR39" s="518"/>
      <c r="AS39" s="521"/>
      <c r="AT39" s="521"/>
      <c r="AU39" s="521"/>
      <c r="AV39" s="518">
        <v>5</v>
      </c>
      <c r="AW39" s="516"/>
      <c r="AX39" s="521"/>
      <c r="AY39" s="521"/>
      <c r="AZ39" s="516">
        <v>8</v>
      </c>
      <c r="BA39" s="521"/>
      <c r="BB39" s="521"/>
      <c r="BC39" s="521"/>
      <c r="BD39" s="518"/>
      <c r="BE39" s="521"/>
      <c r="BF39" s="521"/>
      <c r="BG39" s="521"/>
      <c r="BH39" s="516">
        <v>9</v>
      </c>
      <c r="BI39" s="521"/>
      <c r="BJ39" s="521"/>
      <c r="BK39" s="521"/>
      <c r="BL39" s="518"/>
      <c r="BM39" s="521"/>
      <c r="BN39" s="521"/>
      <c r="BO39" s="521"/>
      <c r="BP39" s="519">
        <v>8</v>
      </c>
      <c r="BQ39" s="522"/>
      <c r="BR39" s="522"/>
      <c r="BS39" s="522"/>
      <c r="BT39" s="518"/>
      <c r="BU39" s="522"/>
      <c r="BV39" s="522"/>
      <c r="BW39" s="522"/>
      <c r="BX39" s="518"/>
      <c r="BY39" s="523"/>
      <c r="BZ39" s="523"/>
      <c r="CA39" s="523"/>
      <c r="CB39" s="516">
        <v>8</v>
      </c>
      <c r="CC39" s="524"/>
      <c r="CD39" s="524"/>
      <c r="CE39" s="524"/>
      <c r="CF39" s="516">
        <v>7</v>
      </c>
      <c r="CG39" s="525"/>
      <c r="CH39" s="525"/>
      <c r="CI39" s="525"/>
      <c r="CJ39" s="518"/>
      <c r="CK39" s="524"/>
      <c r="CL39" s="524"/>
      <c r="CM39" s="524"/>
      <c r="CN39" s="516">
        <v>7</v>
      </c>
      <c r="CO39" s="524"/>
      <c r="CP39" s="524"/>
      <c r="CQ39" s="524"/>
      <c r="CR39" s="518"/>
      <c r="CS39" s="525"/>
      <c r="CT39" s="525"/>
      <c r="CU39" s="531"/>
      <c r="CV39" s="272">
        <v>10</v>
      </c>
      <c r="CW39" s="272">
        <v>10</v>
      </c>
      <c r="CX39" s="547"/>
      <c r="CY39" s="547"/>
      <c r="CZ39" s="547"/>
      <c r="DA39" s="546">
        <v>39</v>
      </c>
      <c r="DB39" s="550">
        <v>79</v>
      </c>
      <c r="DC39" s="272">
        <v>40</v>
      </c>
      <c r="DE39" s="551" t="s">
        <v>54</v>
      </c>
      <c r="DG39" s="272">
        <f>IF(D$7="YES",'CIA MARKS'!DX36,"")</f>
        <v>39</v>
      </c>
      <c r="DH39" s="31" t="str">
        <f>IF(D$8="YES",'CIA MARKS'!EH36,"")</f>
        <v/>
      </c>
      <c r="DI39" s="272" t="str">
        <f>IF(D$9="YES",'CIA MARKS'!EJ36,"")</f>
        <v/>
      </c>
      <c r="DJ39" s="272">
        <f>IF(Theory!D$7="YES",DC39,
 IF(Theory!D$8="YES",Lab!K31,
 IF(Theory!D$9="YES",DC39,"")))</f>
        <v>40</v>
      </c>
      <c r="DL39" s="350"/>
      <c r="DM39" s="350"/>
      <c r="DN39" s="350"/>
      <c r="DO39" s="350"/>
      <c r="DP39" s="350"/>
      <c r="DQ39" s="351"/>
      <c r="DR39" s="327"/>
      <c r="DS39" s="348">
        <f t="shared" si="0"/>
        <v>0</v>
      </c>
    </row>
    <row r="40" spans="1:123" ht="15.75" customHeight="1" thickBot="1" x14ac:dyDescent="0.35">
      <c r="A40" s="471">
        <v>24</v>
      </c>
      <c r="B40" s="515" t="s">
        <v>343</v>
      </c>
      <c r="C40" s="515" t="s">
        <v>344</v>
      </c>
      <c r="D40" s="516">
        <v>6</v>
      </c>
      <c r="E40" s="526"/>
      <c r="F40" s="526"/>
      <c r="G40" s="526"/>
      <c r="H40" s="516">
        <v>9</v>
      </c>
      <c r="I40" s="526"/>
      <c r="J40" s="526"/>
      <c r="K40" s="526"/>
      <c r="L40" s="516">
        <v>7</v>
      </c>
      <c r="M40" s="526"/>
      <c r="N40" s="526"/>
      <c r="O40" s="526"/>
      <c r="P40" s="518"/>
      <c r="Q40" s="518"/>
      <c r="R40" s="526"/>
      <c r="S40" s="526"/>
      <c r="T40" s="516">
        <v>8</v>
      </c>
      <c r="U40" s="526"/>
      <c r="V40" s="526"/>
      <c r="W40" s="526"/>
      <c r="X40" s="518"/>
      <c r="Y40" s="526"/>
      <c r="Z40" s="526"/>
      <c r="AA40" s="526"/>
      <c r="AB40" s="518"/>
      <c r="AC40" s="526"/>
      <c r="AD40" s="526"/>
      <c r="AE40" s="526"/>
      <c r="AF40" s="516">
        <v>10</v>
      </c>
      <c r="AG40" s="526"/>
      <c r="AH40" s="526"/>
      <c r="AI40" s="526"/>
      <c r="AJ40" s="528">
        <v>10</v>
      </c>
      <c r="AK40" s="520"/>
      <c r="AL40" s="520"/>
      <c r="AM40" s="520"/>
      <c r="AN40" s="529">
        <v>10</v>
      </c>
      <c r="AO40" s="520"/>
      <c r="AP40" s="520"/>
      <c r="AQ40" s="520"/>
      <c r="AR40" s="529">
        <v>10</v>
      </c>
      <c r="AS40" s="521"/>
      <c r="AT40" s="521"/>
      <c r="AU40" s="521"/>
      <c r="AV40" s="530"/>
      <c r="AW40" s="530"/>
      <c r="AX40" s="521"/>
      <c r="AY40" s="521"/>
      <c r="AZ40" s="529">
        <v>8</v>
      </c>
      <c r="BA40" s="521"/>
      <c r="BB40" s="521"/>
      <c r="BC40" s="521"/>
      <c r="BD40" s="530"/>
      <c r="BE40" s="521"/>
      <c r="BF40" s="521"/>
      <c r="BG40" s="521"/>
      <c r="BH40" s="529">
        <v>10</v>
      </c>
      <c r="BI40" s="521"/>
      <c r="BJ40" s="521"/>
      <c r="BK40" s="521"/>
      <c r="BL40" s="530"/>
      <c r="BM40" s="521"/>
      <c r="BN40" s="521"/>
      <c r="BO40" s="521"/>
      <c r="BP40" s="528">
        <v>8</v>
      </c>
      <c r="BQ40" s="522"/>
      <c r="BR40" s="522"/>
      <c r="BS40" s="522"/>
      <c r="BT40" s="529">
        <v>9</v>
      </c>
      <c r="BU40" s="522"/>
      <c r="BV40" s="522"/>
      <c r="BW40" s="522"/>
      <c r="BX40" s="529">
        <v>10</v>
      </c>
      <c r="BY40" s="523"/>
      <c r="BZ40" s="523"/>
      <c r="CA40" s="523"/>
      <c r="CB40" s="530"/>
      <c r="CC40" s="524"/>
      <c r="CD40" s="524"/>
      <c r="CE40" s="524"/>
      <c r="CF40" s="529">
        <v>9</v>
      </c>
      <c r="CG40" s="525"/>
      <c r="CH40" s="525"/>
      <c r="CI40" s="525"/>
      <c r="CJ40" s="530"/>
      <c r="CK40" s="524"/>
      <c r="CL40" s="524"/>
      <c r="CM40" s="524"/>
      <c r="CN40" s="529">
        <v>10</v>
      </c>
      <c r="CO40" s="524"/>
      <c r="CP40" s="524"/>
      <c r="CQ40" s="524"/>
      <c r="CR40" s="530"/>
      <c r="CS40" s="525"/>
      <c r="CT40" s="525"/>
      <c r="CU40" s="531"/>
      <c r="CV40" s="272">
        <v>10</v>
      </c>
      <c r="CW40" s="272">
        <v>10</v>
      </c>
      <c r="CX40" s="547"/>
      <c r="CY40" s="547"/>
      <c r="CZ40" s="547"/>
      <c r="DA40" s="546">
        <v>47</v>
      </c>
      <c r="DB40" s="550">
        <v>89</v>
      </c>
      <c r="DC40" s="272">
        <v>42</v>
      </c>
      <c r="DE40" s="551" t="s">
        <v>288</v>
      </c>
      <c r="DG40" s="272">
        <f>IF(D$7="YES",'CIA MARKS'!DX37,"")</f>
        <v>47</v>
      </c>
      <c r="DH40" s="31" t="str">
        <f>IF(D$8="YES",'CIA MARKS'!EH37,"")</f>
        <v/>
      </c>
      <c r="DI40" s="272" t="str">
        <f>IF(D$9="YES",'CIA MARKS'!EJ37,"")</f>
        <v/>
      </c>
      <c r="DJ40" s="272">
        <f>IF(Theory!D$7="YES",DC40,
 IF(Theory!D$8="YES",Lab!K32,
 IF(Theory!D$9="YES",DC40,"")))</f>
        <v>42</v>
      </c>
      <c r="DL40" s="350"/>
      <c r="DM40" s="350"/>
      <c r="DN40" s="350"/>
      <c r="DO40" s="350"/>
      <c r="DP40" s="350"/>
      <c r="DQ40" s="351"/>
      <c r="DR40" s="327"/>
      <c r="DS40" s="348">
        <f t="shared" si="0"/>
        <v>0</v>
      </c>
    </row>
    <row r="41" spans="1:123" ht="16.2" thickBot="1" x14ac:dyDescent="0.35">
      <c r="A41" s="471">
        <v>25</v>
      </c>
      <c r="B41" s="515" t="s">
        <v>345</v>
      </c>
      <c r="C41" s="515" t="s">
        <v>346</v>
      </c>
      <c r="D41" s="516">
        <v>1</v>
      </c>
      <c r="E41" s="526"/>
      <c r="F41" s="526"/>
      <c r="G41" s="526"/>
      <c r="H41" s="516">
        <v>8</v>
      </c>
      <c r="I41" s="526"/>
      <c r="J41" s="526"/>
      <c r="K41" s="526"/>
      <c r="L41" s="516">
        <v>10</v>
      </c>
      <c r="M41" s="526"/>
      <c r="N41" s="526"/>
      <c r="O41" s="526"/>
      <c r="P41" s="518"/>
      <c r="Q41" s="518"/>
      <c r="R41" s="526"/>
      <c r="S41" s="526"/>
      <c r="T41" s="516">
        <v>10</v>
      </c>
      <c r="U41" s="526"/>
      <c r="V41" s="526"/>
      <c r="W41" s="526"/>
      <c r="X41" s="518"/>
      <c r="Y41" s="526"/>
      <c r="Z41" s="526"/>
      <c r="AA41" s="526"/>
      <c r="AB41" s="516">
        <v>5</v>
      </c>
      <c r="AC41" s="526"/>
      <c r="AD41" s="526"/>
      <c r="AE41" s="526"/>
      <c r="AF41" s="518"/>
      <c r="AG41" s="526"/>
      <c r="AH41" s="526"/>
      <c r="AI41" s="526"/>
      <c r="AJ41" s="519">
        <v>6</v>
      </c>
      <c r="AK41" s="520"/>
      <c r="AL41" s="520"/>
      <c r="AM41" s="520"/>
      <c r="AN41" s="516">
        <v>5</v>
      </c>
      <c r="AO41" s="520"/>
      <c r="AP41" s="520"/>
      <c r="AQ41" s="520"/>
      <c r="AR41" s="516">
        <v>8</v>
      </c>
      <c r="AS41" s="521"/>
      <c r="AT41" s="521"/>
      <c r="AU41" s="521"/>
      <c r="AV41" s="518"/>
      <c r="AW41" s="518"/>
      <c r="AX41" s="521"/>
      <c r="AY41" s="521"/>
      <c r="AZ41" s="516">
        <v>8</v>
      </c>
      <c r="BA41" s="521"/>
      <c r="BB41" s="521"/>
      <c r="BC41" s="521"/>
      <c r="BD41" s="518"/>
      <c r="BE41" s="521"/>
      <c r="BF41" s="521"/>
      <c r="BG41" s="521"/>
      <c r="BH41" s="518"/>
      <c r="BI41" s="521"/>
      <c r="BJ41" s="521"/>
      <c r="BK41" s="521"/>
      <c r="BL41" s="516">
        <v>7</v>
      </c>
      <c r="BM41" s="521"/>
      <c r="BN41" s="521"/>
      <c r="BO41" s="521"/>
      <c r="BP41" s="519">
        <v>6</v>
      </c>
      <c r="BQ41" s="522"/>
      <c r="BR41" s="522"/>
      <c r="BS41" s="522"/>
      <c r="BT41" s="516">
        <v>5</v>
      </c>
      <c r="BU41" s="522"/>
      <c r="BV41" s="522"/>
      <c r="BW41" s="522"/>
      <c r="BX41" s="516">
        <v>5</v>
      </c>
      <c r="BY41" s="523"/>
      <c r="BZ41" s="523"/>
      <c r="CA41" s="523"/>
      <c r="CB41" s="518"/>
      <c r="CC41" s="524"/>
      <c r="CD41" s="524"/>
      <c r="CE41" s="524"/>
      <c r="CF41" s="518"/>
      <c r="CG41" s="525"/>
      <c r="CH41" s="525"/>
      <c r="CI41" s="525"/>
      <c r="CJ41" s="516">
        <v>9</v>
      </c>
      <c r="CK41" s="524"/>
      <c r="CL41" s="524"/>
      <c r="CM41" s="524"/>
      <c r="CN41" s="518"/>
      <c r="CO41" s="524"/>
      <c r="CP41" s="524"/>
      <c r="CQ41" s="524"/>
      <c r="CR41" s="516">
        <v>6</v>
      </c>
      <c r="CS41" s="525"/>
      <c r="CT41" s="525"/>
      <c r="CU41" s="531"/>
      <c r="CV41" s="272">
        <v>10</v>
      </c>
      <c r="CW41" s="272">
        <v>10</v>
      </c>
      <c r="CX41" s="547"/>
      <c r="CY41" s="547"/>
      <c r="CZ41" s="547"/>
      <c r="DA41" s="546">
        <v>40</v>
      </c>
      <c r="DB41" s="550">
        <v>81</v>
      </c>
      <c r="DC41" s="272">
        <v>41</v>
      </c>
      <c r="DE41" s="551" t="s">
        <v>288</v>
      </c>
      <c r="DG41" s="272">
        <f>IF(D$7="YES",'CIA MARKS'!DX38,"")</f>
        <v>40</v>
      </c>
      <c r="DH41" s="31" t="str">
        <f>IF(D$8="YES",'CIA MARKS'!EH38,"")</f>
        <v/>
      </c>
      <c r="DI41" s="272" t="str">
        <f>IF(D$9="YES",'CIA MARKS'!EJ38,"")</f>
        <v/>
      </c>
      <c r="DJ41" s="272">
        <f>IF(Theory!D$7="YES",DC41,
 IF(Theory!D$8="YES",Lab!K33,
 IF(Theory!D$9="YES",DC41,"")))</f>
        <v>41</v>
      </c>
      <c r="DL41" s="350"/>
      <c r="DM41" s="350"/>
      <c r="DN41" s="350"/>
      <c r="DO41" s="350"/>
      <c r="DP41" s="350"/>
      <c r="DQ41" s="351"/>
      <c r="DR41" s="327"/>
      <c r="DS41" s="348">
        <f t="shared" si="0"/>
        <v>0</v>
      </c>
    </row>
    <row r="42" spans="1:123" ht="16.2" thickBot="1" x14ac:dyDescent="0.35">
      <c r="A42" s="471">
        <v>26</v>
      </c>
      <c r="B42" s="515" t="s">
        <v>347</v>
      </c>
      <c r="C42" s="515" t="s">
        <v>348</v>
      </c>
      <c r="D42" s="516">
        <v>7</v>
      </c>
      <c r="E42" s="526"/>
      <c r="F42" s="526"/>
      <c r="G42" s="526"/>
      <c r="H42" s="516">
        <v>8</v>
      </c>
      <c r="I42" s="526"/>
      <c r="J42" s="526"/>
      <c r="K42" s="526"/>
      <c r="L42" s="516">
        <v>8</v>
      </c>
      <c r="M42" s="526"/>
      <c r="N42" s="526"/>
      <c r="O42" s="526"/>
      <c r="P42" s="518"/>
      <c r="Q42" s="518"/>
      <c r="R42" s="526"/>
      <c r="S42" s="526"/>
      <c r="T42" s="516">
        <v>8</v>
      </c>
      <c r="U42" s="526"/>
      <c r="V42" s="526"/>
      <c r="W42" s="526"/>
      <c r="X42" s="518"/>
      <c r="Y42" s="526"/>
      <c r="Z42" s="526"/>
      <c r="AA42" s="526"/>
      <c r="AB42" s="516">
        <v>9</v>
      </c>
      <c r="AC42" s="526"/>
      <c r="AD42" s="526"/>
      <c r="AE42" s="526"/>
      <c r="AF42" s="518"/>
      <c r="AG42" s="526"/>
      <c r="AH42" s="526"/>
      <c r="AI42" s="526"/>
      <c r="AJ42" s="519">
        <v>6</v>
      </c>
      <c r="AK42" s="520"/>
      <c r="AL42" s="520"/>
      <c r="AM42" s="520"/>
      <c r="AN42" s="516">
        <v>10</v>
      </c>
      <c r="AO42" s="520"/>
      <c r="AP42" s="520"/>
      <c r="AQ42" s="520"/>
      <c r="AR42" s="516">
        <v>9</v>
      </c>
      <c r="AS42" s="521"/>
      <c r="AT42" s="521"/>
      <c r="AU42" s="521"/>
      <c r="AV42" s="518"/>
      <c r="AW42" s="518"/>
      <c r="AX42" s="521"/>
      <c r="AY42" s="521"/>
      <c r="AZ42" s="516">
        <v>8</v>
      </c>
      <c r="BA42" s="521"/>
      <c r="BB42" s="521"/>
      <c r="BC42" s="521"/>
      <c r="BD42" s="518"/>
      <c r="BE42" s="521"/>
      <c r="BF42" s="521"/>
      <c r="BG42" s="521"/>
      <c r="BH42" s="516">
        <v>9</v>
      </c>
      <c r="BI42" s="521"/>
      <c r="BJ42" s="521"/>
      <c r="BK42" s="521"/>
      <c r="BL42" s="518"/>
      <c r="BM42" s="521"/>
      <c r="BN42" s="521"/>
      <c r="BO42" s="521"/>
      <c r="BP42" s="519">
        <v>8</v>
      </c>
      <c r="BQ42" s="522"/>
      <c r="BR42" s="522"/>
      <c r="BS42" s="522"/>
      <c r="BT42" s="516">
        <v>8</v>
      </c>
      <c r="BU42" s="522"/>
      <c r="BV42" s="522"/>
      <c r="BW42" s="522"/>
      <c r="BX42" s="518"/>
      <c r="BY42" s="523"/>
      <c r="BZ42" s="523"/>
      <c r="CA42" s="523"/>
      <c r="CB42" s="516">
        <v>7</v>
      </c>
      <c r="CC42" s="524"/>
      <c r="CD42" s="524"/>
      <c r="CE42" s="524"/>
      <c r="CF42" s="518"/>
      <c r="CG42" s="525"/>
      <c r="CH42" s="525"/>
      <c r="CI42" s="525"/>
      <c r="CJ42" s="516">
        <v>9</v>
      </c>
      <c r="CK42" s="524"/>
      <c r="CL42" s="524"/>
      <c r="CM42" s="524"/>
      <c r="CN42" s="516">
        <v>7</v>
      </c>
      <c r="CO42" s="524"/>
      <c r="CP42" s="524"/>
      <c r="CQ42" s="524"/>
      <c r="CR42" s="518"/>
      <c r="CS42" s="525"/>
      <c r="CT42" s="525"/>
      <c r="CU42" s="531"/>
      <c r="CV42" s="272">
        <v>10</v>
      </c>
      <c r="CW42" s="272">
        <v>10</v>
      </c>
      <c r="CX42" s="547"/>
      <c r="CY42" s="547"/>
      <c r="CZ42" s="547"/>
      <c r="DA42" s="546">
        <v>44</v>
      </c>
      <c r="DB42" s="550">
        <v>87</v>
      </c>
      <c r="DC42" s="272">
        <v>43</v>
      </c>
      <c r="DE42" s="551" t="s">
        <v>288</v>
      </c>
      <c r="DG42" s="272">
        <f>IF(D$7="YES",'CIA MARKS'!DX39,"")</f>
        <v>44</v>
      </c>
      <c r="DH42" s="31" t="str">
        <f>IF(D$8="YES",'CIA MARKS'!EH39,"")</f>
        <v/>
      </c>
      <c r="DI42" s="272" t="str">
        <f>IF(D$9="YES",'CIA MARKS'!EJ39,"")</f>
        <v/>
      </c>
      <c r="DJ42" s="272">
        <f>IF(Theory!D$7="YES",DC42,
 IF(Theory!D$8="YES",Lab!K34,
 IF(Theory!D$9="YES",DC42,"")))</f>
        <v>43</v>
      </c>
      <c r="DL42" s="350"/>
      <c r="DM42" s="350"/>
      <c r="DN42" s="350"/>
      <c r="DO42" s="350"/>
      <c r="DP42" s="350"/>
      <c r="DQ42" s="351"/>
      <c r="DR42" s="327"/>
      <c r="DS42" s="348">
        <f t="shared" si="0"/>
        <v>0</v>
      </c>
    </row>
    <row r="43" spans="1:123" ht="16.2" thickBot="1" x14ac:dyDescent="0.35">
      <c r="A43" s="471">
        <v>27</v>
      </c>
      <c r="B43" s="515" t="s">
        <v>349</v>
      </c>
      <c r="C43" s="515" t="s">
        <v>387</v>
      </c>
      <c r="D43" s="516">
        <v>8</v>
      </c>
      <c r="E43" s="526"/>
      <c r="F43" s="526"/>
      <c r="G43" s="526"/>
      <c r="H43" s="516">
        <v>7</v>
      </c>
      <c r="I43" s="526"/>
      <c r="J43" s="526"/>
      <c r="K43" s="526"/>
      <c r="L43" s="516">
        <v>8</v>
      </c>
      <c r="M43" s="526"/>
      <c r="N43" s="526"/>
      <c r="O43" s="526"/>
      <c r="P43" s="518"/>
      <c r="Q43" s="518"/>
      <c r="R43" s="526"/>
      <c r="S43" s="526"/>
      <c r="T43" s="516">
        <v>8</v>
      </c>
      <c r="U43" s="526"/>
      <c r="V43" s="526"/>
      <c r="W43" s="526"/>
      <c r="X43" s="518"/>
      <c r="Y43" s="526"/>
      <c r="Z43" s="526"/>
      <c r="AA43" s="526"/>
      <c r="AB43" s="516">
        <v>9</v>
      </c>
      <c r="AC43" s="526"/>
      <c r="AD43" s="526"/>
      <c r="AE43" s="526"/>
      <c r="AF43" s="518"/>
      <c r="AG43" s="526"/>
      <c r="AH43" s="526"/>
      <c r="AI43" s="526"/>
      <c r="AJ43" s="519">
        <v>7</v>
      </c>
      <c r="AK43" s="526"/>
      <c r="AL43" s="526"/>
      <c r="AM43" s="526"/>
      <c r="AN43" s="516">
        <v>7</v>
      </c>
      <c r="AO43" s="526"/>
      <c r="AP43" s="526"/>
      <c r="AQ43" s="526"/>
      <c r="AR43" s="516">
        <v>9</v>
      </c>
      <c r="AS43" s="526"/>
      <c r="AT43" s="526"/>
      <c r="AU43" s="526"/>
      <c r="AV43" s="518"/>
      <c r="AW43" s="518"/>
      <c r="AX43" s="526"/>
      <c r="AY43" s="526"/>
      <c r="AZ43" s="516">
        <v>8</v>
      </c>
      <c r="BA43" s="526"/>
      <c r="BB43" s="526"/>
      <c r="BC43" s="526"/>
      <c r="BD43" s="518"/>
      <c r="BE43" s="526"/>
      <c r="BF43" s="526"/>
      <c r="BG43" s="526"/>
      <c r="BH43" s="516">
        <v>8</v>
      </c>
      <c r="BI43" s="526"/>
      <c r="BJ43" s="526"/>
      <c r="BK43" s="526"/>
      <c r="BL43" s="518"/>
      <c r="BM43" s="526"/>
      <c r="BN43" s="526"/>
      <c r="BO43" s="526"/>
      <c r="BP43" s="519">
        <v>8</v>
      </c>
      <c r="BQ43" s="523"/>
      <c r="BR43" s="523"/>
      <c r="BS43" s="523"/>
      <c r="BT43" s="516">
        <v>8</v>
      </c>
      <c r="BU43" s="523"/>
      <c r="BV43" s="523"/>
      <c r="BW43" s="523"/>
      <c r="BX43" s="518"/>
      <c r="BY43" s="523"/>
      <c r="BZ43" s="523"/>
      <c r="CA43" s="523"/>
      <c r="CB43" s="516">
        <v>9</v>
      </c>
      <c r="CC43" s="523"/>
      <c r="CD43" s="523"/>
      <c r="CE43" s="523"/>
      <c r="CF43" s="518"/>
      <c r="CG43" s="523"/>
      <c r="CH43" s="523"/>
      <c r="CI43" s="523"/>
      <c r="CJ43" s="516">
        <v>8</v>
      </c>
      <c r="CK43" s="523"/>
      <c r="CL43" s="523"/>
      <c r="CM43" s="523"/>
      <c r="CN43" s="516">
        <v>6</v>
      </c>
      <c r="CO43" s="523"/>
      <c r="CP43" s="523"/>
      <c r="CQ43" s="523"/>
      <c r="CR43" s="518"/>
      <c r="CS43" s="523"/>
      <c r="CT43" s="523"/>
      <c r="CU43" s="532"/>
      <c r="CV43" s="272">
        <v>10</v>
      </c>
      <c r="CW43" s="272">
        <v>10</v>
      </c>
      <c r="CX43" s="547"/>
      <c r="CY43" s="547"/>
      <c r="CZ43" s="547"/>
      <c r="DA43" s="546">
        <v>44</v>
      </c>
      <c r="DB43" s="550">
        <v>86</v>
      </c>
      <c r="DC43" s="272">
        <v>42</v>
      </c>
      <c r="DE43" s="551" t="s">
        <v>288</v>
      </c>
      <c r="DG43" s="272">
        <f>IF(D$7="YES",'CIA MARKS'!DX40,"")</f>
        <v>43</v>
      </c>
      <c r="DH43" s="31" t="str">
        <f>IF(D$8="YES",'CIA MARKS'!EH40,"")</f>
        <v/>
      </c>
      <c r="DI43" s="272" t="str">
        <f>IF(D$9="YES",'CIA MARKS'!EJ40,"")</f>
        <v/>
      </c>
      <c r="DJ43" s="272">
        <f>IF(Theory!D$7="YES",DC43,
 IF(Theory!D$8="YES",Lab!K35,
 IF(Theory!D$9="YES",DC43,"")))</f>
        <v>42</v>
      </c>
      <c r="DL43" s="353"/>
      <c r="DM43" s="350"/>
      <c r="DN43" s="350"/>
      <c r="DO43" s="350"/>
      <c r="DP43" s="350"/>
      <c r="DQ43" s="356"/>
      <c r="DR43" s="354"/>
      <c r="DS43" s="348">
        <f t="shared" si="0"/>
        <v>0</v>
      </c>
    </row>
    <row r="44" spans="1:123" ht="16.2" thickBot="1" x14ac:dyDescent="0.35">
      <c r="A44" s="471">
        <v>28</v>
      </c>
      <c r="B44" s="515" t="s">
        <v>350</v>
      </c>
      <c r="C44" s="515" t="s">
        <v>351</v>
      </c>
      <c r="D44" s="516">
        <v>7</v>
      </c>
      <c r="E44" s="526"/>
      <c r="F44" s="526"/>
      <c r="G44" s="526"/>
      <c r="H44" s="516">
        <v>7</v>
      </c>
      <c r="I44" s="526"/>
      <c r="J44" s="526"/>
      <c r="K44" s="526"/>
      <c r="L44" s="516">
        <v>8</v>
      </c>
      <c r="M44" s="526"/>
      <c r="N44" s="526"/>
      <c r="O44" s="526"/>
      <c r="P44" s="518"/>
      <c r="Q44" s="518"/>
      <c r="R44" s="526"/>
      <c r="S44" s="526"/>
      <c r="T44" s="516">
        <v>8</v>
      </c>
      <c r="U44" s="526"/>
      <c r="V44" s="526"/>
      <c r="W44" s="526"/>
      <c r="X44" s="518"/>
      <c r="Y44" s="526"/>
      <c r="Z44" s="526"/>
      <c r="AA44" s="526"/>
      <c r="AB44" s="516">
        <v>9</v>
      </c>
      <c r="AC44" s="526"/>
      <c r="AD44" s="526"/>
      <c r="AE44" s="526"/>
      <c r="AF44" s="518"/>
      <c r="AG44" s="526"/>
      <c r="AH44" s="526"/>
      <c r="AI44" s="526"/>
      <c r="AJ44" s="519">
        <v>8</v>
      </c>
      <c r="AK44" s="520"/>
      <c r="AL44" s="520"/>
      <c r="AM44" s="520"/>
      <c r="AN44" s="516">
        <v>6</v>
      </c>
      <c r="AO44" s="520"/>
      <c r="AP44" s="520"/>
      <c r="AQ44" s="520"/>
      <c r="AR44" s="516">
        <v>10</v>
      </c>
      <c r="AS44" s="521"/>
      <c r="AT44" s="521"/>
      <c r="AU44" s="521"/>
      <c r="AV44" s="518"/>
      <c r="AW44" s="518"/>
      <c r="AX44" s="521"/>
      <c r="AY44" s="521"/>
      <c r="AZ44" s="516">
        <v>8</v>
      </c>
      <c r="BA44" s="521"/>
      <c r="BB44" s="521"/>
      <c r="BC44" s="521"/>
      <c r="BD44" s="518"/>
      <c r="BE44" s="521"/>
      <c r="BF44" s="521"/>
      <c r="BG44" s="521"/>
      <c r="BH44" s="516">
        <v>8</v>
      </c>
      <c r="BI44" s="521"/>
      <c r="BJ44" s="521"/>
      <c r="BK44" s="521"/>
      <c r="BL44" s="518"/>
      <c r="BM44" s="521"/>
      <c r="BN44" s="521"/>
      <c r="BO44" s="521"/>
      <c r="BP44" s="519">
        <v>8</v>
      </c>
      <c r="BQ44" s="522"/>
      <c r="BR44" s="522"/>
      <c r="BS44" s="522"/>
      <c r="BT44" s="516">
        <v>8</v>
      </c>
      <c r="BU44" s="522"/>
      <c r="BV44" s="522"/>
      <c r="BW44" s="522"/>
      <c r="BX44" s="518"/>
      <c r="BY44" s="523"/>
      <c r="BZ44" s="523"/>
      <c r="CA44" s="523"/>
      <c r="CB44" s="516">
        <v>8</v>
      </c>
      <c r="CC44" s="524"/>
      <c r="CD44" s="524"/>
      <c r="CE44" s="524"/>
      <c r="CF44" s="516">
        <v>9</v>
      </c>
      <c r="CG44" s="525"/>
      <c r="CH44" s="525"/>
      <c r="CI44" s="525"/>
      <c r="CJ44" s="518"/>
      <c r="CK44" s="524"/>
      <c r="CL44" s="524"/>
      <c r="CM44" s="524"/>
      <c r="CN44" s="518"/>
      <c r="CO44" s="524"/>
      <c r="CP44" s="524"/>
      <c r="CQ44" s="524"/>
      <c r="CR44" s="516">
        <v>8</v>
      </c>
      <c r="CS44" s="525"/>
      <c r="CT44" s="525"/>
      <c r="CU44" s="531"/>
      <c r="CV44" s="272">
        <v>10</v>
      </c>
      <c r="CW44" s="272">
        <v>10</v>
      </c>
      <c r="CX44" s="547"/>
      <c r="CY44" s="547"/>
      <c r="CZ44" s="547"/>
      <c r="DA44" s="546">
        <v>44</v>
      </c>
      <c r="DB44" s="550">
        <v>87</v>
      </c>
      <c r="DC44" s="272">
        <v>43</v>
      </c>
      <c r="DE44" s="551" t="s">
        <v>288</v>
      </c>
      <c r="DG44" s="272">
        <f>IF(D$7="YES",'CIA MARKS'!DX41,"")</f>
        <v>44</v>
      </c>
      <c r="DH44" s="31" t="str">
        <f>IF(D$8="YES",'CIA MARKS'!EH41,"")</f>
        <v/>
      </c>
      <c r="DI44" s="272" t="str">
        <f>IF(D$9="YES",'CIA MARKS'!EJ41,"")</f>
        <v/>
      </c>
      <c r="DJ44" s="272">
        <f>IF(Theory!D$7="YES",DC44,
 IF(Theory!D$8="YES",Lab!K36,
 IF(Theory!D$9="YES",DC44,"")))</f>
        <v>43</v>
      </c>
      <c r="DL44" s="350"/>
      <c r="DM44" s="350"/>
      <c r="DN44" s="350"/>
      <c r="DO44" s="350"/>
      <c r="DP44" s="350"/>
      <c r="DQ44" s="351"/>
      <c r="DR44" s="327"/>
      <c r="DS44" s="348">
        <f t="shared" si="0"/>
        <v>0</v>
      </c>
    </row>
    <row r="45" spans="1:123" ht="16.2" thickBot="1" x14ac:dyDescent="0.35">
      <c r="A45" s="471">
        <v>29</v>
      </c>
      <c r="B45" s="515" t="s">
        <v>352</v>
      </c>
      <c r="C45" s="515" t="s">
        <v>353</v>
      </c>
      <c r="D45" s="516">
        <v>6</v>
      </c>
      <c r="E45" s="526"/>
      <c r="F45" s="526"/>
      <c r="G45" s="526"/>
      <c r="H45" s="516">
        <v>5</v>
      </c>
      <c r="I45" s="526"/>
      <c r="J45" s="526"/>
      <c r="K45" s="526"/>
      <c r="L45" s="516">
        <v>6</v>
      </c>
      <c r="M45" s="526"/>
      <c r="N45" s="526"/>
      <c r="O45" s="526"/>
      <c r="P45" s="518"/>
      <c r="Q45" s="518"/>
      <c r="R45" s="526"/>
      <c r="S45" s="526"/>
      <c r="T45" s="518"/>
      <c r="U45" s="526"/>
      <c r="V45" s="526"/>
      <c r="W45" s="526"/>
      <c r="X45" s="516">
        <v>5</v>
      </c>
      <c r="Y45" s="526"/>
      <c r="Z45" s="526"/>
      <c r="AA45" s="526"/>
      <c r="AB45" s="516">
        <v>7</v>
      </c>
      <c r="AC45" s="526"/>
      <c r="AD45" s="526"/>
      <c r="AE45" s="526"/>
      <c r="AF45" s="518"/>
      <c r="AG45" s="526"/>
      <c r="AH45" s="526"/>
      <c r="AI45" s="526"/>
      <c r="AJ45" s="519">
        <v>6</v>
      </c>
      <c r="AK45" s="520"/>
      <c r="AL45" s="520"/>
      <c r="AM45" s="520"/>
      <c r="AN45" s="516">
        <v>7</v>
      </c>
      <c r="AO45" s="520"/>
      <c r="AP45" s="520"/>
      <c r="AQ45" s="520"/>
      <c r="AR45" s="516">
        <v>10</v>
      </c>
      <c r="AS45" s="521"/>
      <c r="AT45" s="521"/>
      <c r="AU45" s="521"/>
      <c r="AV45" s="518"/>
      <c r="AW45" s="518"/>
      <c r="AX45" s="521"/>
      <c r="AY45" s="521"/>
      <c r="AZ45" s="518"/>
      <c r="BA45" s="521"/>
      <c r="BB45" s="521"/>
      <c r="BC45" s="521"/>
      <c r="BD45" s="516">
        <v>9</v>
      </c>
      <c r="BE45" s="521"/>
      <c r="BF45" s="521"/>
      <c r="BG45" s="521"/>
      <c r="BH45" s="518"/>
      <c r="BI45" s="521"/>
      <c r="BJ45" s="521"/>
      <c r="BK45" s="521"/>
      <c r="BL45" s="516">
        <v>9</v>
      </c>
      <c r="BM45" s="521"/>
      <c r="BN45" s="521"/>
      <c r="BO45" s="521"/>
      <c r="BP45" s="519">
        <v>9</v>
      </c>
      <c r="BQ45" s="522"/>
      <c r="BR45" s="522"/>
      <c r="BS45" s="522"/>
      <c r="BT45" s="516">
        <v>8</v>
      </c>
      <c r="BU45" s="522"/>
      <c r="BV45" s="522"/>
      <c r="BW45" s="522"/>
      <c r="BX45" s="516">
        <v>9</v>
      </c>
      <c r="BY45" s="523"/>
      <c r="BZ45" s="523"/>
      <c r="CA45" s="523"/>
      <c r="CB45" s="518"/>
      <c r="CC45" s="524"/>
      <c r="CD45" s="524"/>
      <c r="CE45" s="524"/>
      <c r="CF45" s="518"/>
      <c r="CG45" s="525"/>
      <c r="CH45" s="525"/>
      <c r="CI45" s="525"/>
      <c r="CJ45" s="516">
        <v>10</v>
      </c>
      <c r="CK45" s="524"/>
      <c r="CL45" s="524"/>
      <c r="CM45" s="524"/>
      <c r="CN45" s="518"/>
      <c r="CO45" s="524"/>
      <c r="CP45" s="524"/>
      <c r="CQ45" s="524"/>
      <c r="CR45" s="516">
        <v>9</v>
      </c>
      <c r="CS45" s="525"/>
      <c r="CT45" s="525"/>
      <c r="CU45" s="531"/>
      <c r="CV45" s="272">
        <v>10</v>
      </c>
      <c r="CW45" s="272">
        <v>10</v>
      </c>
      <c r="CX45" s="547"/>
      <c r="CY45" s="547"/>
      <c r="CZ45" s="547"/>
      <c r="DA45" s="546">
        <v>43</v>
      </c>
      <c r="DB45" s="550">
        <v>85</v>
      </c>
      <c r="DC45" s="272">
        <v>42</v>
      </c>
      <c r="DE45" s="551" t="s">
        <v>288</v>
      </c>
      <c r="DG45" s="272">
        <f>IF(D$7="YES",'CIA MARKS'!DX42,"")</f>
        <v>43</v>
      </c>
      <c r="DH45" s="31" t="str">
        <f>IF(D$8="YES",'CIA MARKS'!EH42,"")</f>
        <v/>
      </c>
      <c r="DI45" s="272" t="str">
        <f>IF(D$9="YES",'CIA MARKS'!EJ42,"")</f>
        <v/>
      </c>
      <c r="DJ45" s="272">
        <f>IF(Theory!D$7="YES",DC45,
 IF(Theory!D$8="YES",Lab!K37,
 IF(Theory!D$9="YES",DC45,"")))</f>
        <v>42</v>
      </c>
      <c r="DL45" s="350"/>
      <c r="DM45" s="350"/>
      <c r="DN45" s="350"/>
      <c r="DO45" s="350"/>
      <c r="DP45" s="350"/>
      <c r="DQ45" s="351"/>
      <c r="DR45" s="327"/>
      <c r="DS45" s="348">
        <f t="shared" si="0"/>
        <v>0</v>
      </c>
    </row>
    <row r="46" spans="1:123" ht="16.2" thickBot="1" x14ac:dyDescent="0.35">
      <c r="A46" s="471">
        <v>30</v>
      </c>
      <c r="B46" s="515" t="s">
        <v>354</v>
      </c>
      <c r="C46" s="515" t="s">
        <v>355</v>
      </c>
      <c r="D46" s="516"/>
      <c r="E46" s="526"/>
      <c r="F46" s="526"/>
      <c r="G46" s="526"/>
      <c r="H46" s="516"/>
      <c r="I46" s="526"/>
      <c r="J46" s="526"/>
      <c r="K46" s="526"/>
      <c r="L46" s="516"/>
      <c r="M46" s="526"/>
      <c r="N46" s="526"/>
      <c r="O46" s="526"/>
      <c r="P46" s="516"/>
      <c r="Q46" s="516"/>
      <c r="R46" s="526"/>
      <c r="S46" s="526"/>
      <c r="T46" s="516"/>
      <c r="U46" s="526"/>
      <c r="V46" s="526"/>
      <c r="W46" s="526"/>
      <c r="X46" s="516"/>
      <c r="Y46" s="526"/>
      <c r="Z46" s="526"/>
      <c r="AA46" s="526"/>
      <c r="AB46" s="516"/>
      <c r="AC46" s="526"/>
      <c r="AD46" s="526"/>
      <c r="AE46" s="526"/>
      <c r="AF46" s="516"/>
      <c r="AG46" s="526"/>
      <c r="AH46" s="526"/>
      <c r="AI46" s="526"/>
      <c r="AJ46" s="519">
        <v>5</v>
      </c>
      <c r="AK46" s="520"/>
      <c r="AL46" s="520"/>
      <c r="AM46" s="520"/>
      <c r="AN46" s="516">
        <v>3</v>
      </c>
      <c r="AO46" s="520"/>
      <c r="AP46" s="520"/>
      <c r="AQ46" s="520"/>
      <c r="AR46" s="518"/>
      <c r="AS46" s="521"/>
      <c r="AT46" s="521"/>
      <c r="AU46" s="521"/>
      <c r="AV46" s="518"/>
      <c r="AW46" s="518"/>
      <c r="AX46" s="521"/>
      <c r="AY46" s="521"/>
      <c r="AZ46" s="516">
        <v>8</v>
      </c>
      <c r="BA46" s="521"/>
      <c r="BB46" s="521"/>
      <c r="BC46" s="521"/>
      <c r="BD46" s="518"/>
      <c r="BE46" s="521"/>
      <c r="BF46" s="521"/>
      <c r="BG46" s="521"/>
      <c r="BH46" s="516">
        <v>2</v>
      </c>
      <c r="BI46" s="521"/>
      <c r="BJ46" s="521"/>
      <c r="BK46" s="521"/>
      <c r="BL46" s="518"/>
      <c r="BM46" s="521"/>
      <c r="BN46" s="521"/>
      <c r="BO46" s="521"/>
      <c r="BP46" s="519">
        <v>7</v>
      </c>
      <c r="BQ46" s="522"/>
      <c r="BR46" s="522"/>
      <c r="BS46" s="522"/>
      <c r="BT46" s="516">
        <v>7</v>
      </c>
      <c r="BU46" s="522"/>
      <c r="BV46" s="522"/>
      <c r="BW46" s="522"/>
      <c r="BX46" s="516">
        <v>8</v>
      </c>
      <c r="BY46" s="523"/>
      <c r="BZ46" s="523"/>
      <c r="CA46" s="523"/>
      <c r="CB46" s="518"/>
      <c r="CC46" s="524"/>
      <c r="CD46" s="524"/>
      <c r="CE46" s="524"/>
      <c r="CF46" s="518"/>
      <c r="CG46" s="525"/>
      <c r="CH46" s="525"/>
      <c r="CI46" s="525"/>
      <c r="CJ46" s="516">
        <v>7</v>
      </c>
      <c r="CK46" s="524"/>
      <c r="CL46" s="524"/>
      <c r="CM46" s="524"/>
      <c r="CN46" s="516">
        <v>7</v>
      </c>
      <c r="CO46" s="524"/>
      <c r="CP46" s="524"/>
      <c r="CQ46" s="524"/>
      <c r="CR46" s="518"/>
      <c r="CS46" s="525"/>
      <c r="CT46" s="525"/>
      <c r="CU46" s="531"/>
      <c r="CV46" s="272">
        <v>10</v>
      </c>
      <c r="CW46" s="272">
        <v>10</v>
      </c>
      <c r="CX46" s="547"/>
      <c r="CY46" s="547"/>
      <c r="CZ46" s="547"/>
      <c r="DA46" s="546">
        <v>32</v>
      </c>
      <c r="DB46" s="550">
        <v>71</v>
      </c>
      <c r="DC46" s="272">
        <v>39</v>
      </c>
      <c r="DE46" s="551" t="s">
        <v>54</v>
      </c>
      <c r="DG46" s="272">
        <f>IF(D$7="YES",'CIA MARKS'!DX43,"")</f>
        <v>31</v>
      </c>
      <c r="DH46" s="31" t="str">
        <f>IF(D$8="YES",'CIA MARKS'!EH43,"")</f>
        <v/>
      </c>
      <c r="DI46" s="272" t="str">
        <f>IF(D$9="YES",'CIA MARKS'!EJ43,"")</f>
        <v/>
      </c>
      <c r="DJ46" s="272">
        <f>IF(Theory!D$7="YES",DC46,
 IF(Theory!D$8="YES",Lab!K38,
 IF(Theory!D$9="YES",DC46,"")))</f>
        <v>39</v>
      </c>
      <c r="DL46" s="350"/>
      <c r="DM46" s="350"/>
      <c r="DN46" s="350"/>
      <c r="DO46" s="350"/>
      <c r="DP46" s="350"/>
      <c r="DQ46" s="351"/>
      <c r="DR46" s="327"/>
      <c r="DS46" s="348">
        <f t="shared" si="0"/>
        <v>0</v>
      </c>
    </row>
    <row r="47" spans="1:123" ht="16.2" thickBot="1" x14ac:dyDescent="0.35">
      <c r="A47" s="471">
        <v>31</v>
      </c>
      <c r="B47" s="515" t="s">
        <v>356</v>
      </c>
      <c r="C47" s="515" t="s">
        <v>357</v>
      </c>
      <c r="D47" s="516">
        <v>9</v>
      </c>
      <c r="E47" s="526"/>
      <c r="F47" s="526"/>
      <c r="G47" s="526"/>
      <c r="H47" s="516">
        <v>9</v>
      </c>
      <c r="I47" s="526"/>
      <c r="J47" s="526"/>
      <c r="K47" s="526"/>
      <c r="L47" s="516">
        <v>8</v>
      </c>
      <c r="M47" s="526"/>
      <c r="N47" s="526"/>
      <c r="O47" s="526"/>
      <c r="P47" s="518"/>
      <c r="Q47" s="518"/>
      <c r="R47" s="526"/>
      <c r="S47" s="526"/>
      <c r="T47" s="518"/>
      <c r="U47" s="526"/>
      <c r="V47" s="526"/>
      <c r="W47" s="526"/>
      <c r="X47" s="516">
        <v>10</v>
      </c>
      <c r="Y47" s="526"/>
      <c r="Z47" s="526"/>
      <c r="AA47" s="526"/>
      <c r="AB47" s="516">
        <v>10</v>
      </c>
      <c r="AC47" s="526"/>
      <c r="AD47" s="526"/>
      <c r="AE47" s="526"/>
      <c r="AF47" s="518"/>
      <c r="AG47" s="526"/>
      <c r="AH47" s="526"/>
      <c r="AI47" s="526"/>
      <c r="AJ47" s="519">
        <v>9</v>
      </c>
      <c r="AK47" s="520"/>
      <c r="AL47" s="520"/>
      <c r="AM47" s="520"/>
      <c r="AN47" s="516">
        <v>10</v>
      </c>
      <c r="AO47" s="520"/>
      <c r="AP47" s="520"/>
      <c r="AQ47" s="520"/>
      <c r="AR47" s="516">
        <v>9</v>
      </c>
      <c r="AS47" s="521"/>
      <c r="AT47" s="521"/>
      <c r="AU47" s="521"/>
      <c r="AV47" s="518"/>
      <c r="AW47" s="518"/>
      <c r="AX47" s="521"/>
      <c r="AY47" s="521"/>
      <c r="AZ47" s="516">
        <v>8</v>
      </c>
      <c r="BA47" s="521"/>
      <c r="BB47" s="521"/>
      <c r="BC47" s="521"/>
      <c r="BD47" s="518"/>
      <c r="BE47" s="521"/>
      <c r="BF47" s="521"/>
      <c r="BG47" s="521"/>
      <c r="BH47" s="516">
        <v>8</v>
      </c>
      <c r="BI47" s="521"/>
      <c r="BJ47" s="521"/>
      <c r="BK47" s="521"/>
      <c r="BL47" s="518"/>
      <c r="BM47" s="521"/>
      <c r="BN47" s="521"/>
      <c r="BO47" s="521"/>
      <c r="BP47" s="519">
        <v>10</v>
      </c>
      <c r="BQ47" s="522"/>
      <c r="BR47" s="522"/>
      <c r="BS47" s="522"/>
      <c r="BT47" s="516">
        <v>9</v>
      </c>
      <c r="BU47" s="522"/>
      <c r="BV47" s="522"/>
      <c r="BW47" s="522"/>
      <c r="BX47" s="516">
        <v>8</v>
      </c>
      <c r="BY47" s="523"/>
      <c r="BZ47" s="523"/>
      <c r="CA47" s="523"/>
      <c r="CB47" s="518"/>
      <c r="CC47" s="524"/>
      <c r="CD47" s="524"/>
      <c r="CE47" s="524"/>
      <c r="CF47" s="516">
        <v>10</v>
      </c>
      <c r="CG47" s="525"/>
      <c r="CH47" s="525"/>
      <c r="CI47" s="525"/>
      <c r="CJ47" s="518"/>
      <c r="CK47" s="524"/>
      <c r="CL47" s="524"/>
      <c r="CM47" s="524"/>
      <c r="CN47" s="516">
        <v>10</v>
      </c>
      <c r="CO47" s="524"/>
      <c r="CP47" s="524"/>
      <c r="CQ47" s="524"/>
      <c r="CR47" s="518"/>
      <c r="CS47" s="525"/>
      <c r="CT47" s="525"/>
      <c r="CU47" s="531"/>
      <c r="CV47" s="272">
        <v>10</v>
      </c>
      <c r="CW47" s="272">
        <v>10</v>
      </c>
      <c r="CX47" s="547"/>
      <c r="CY47" s="547"/>
      <c r="CZ47" s="547"/>
      <c r="DA47" s="546">
        <v>47</v>
      </c>
      <c r="DB47" s="550">
        <v>91</v>
      </c>
      <c r="DC47" s="272">
        <v>44</v>
      </c>
      <c r="DE47" s="551" t="s">
        <v>287</v>
      </c>
      <c r="DG47" s="272">
        <f>IF(D$7="YES",'CIA MARKS'!DX44,"")</f>
        <v>47</v>
      </c>
      <c r="DH47" s="31" t="str">
        <f>IF(D$8="YES",'CIA MARKS'!EH44,"")</f>
        <v/>
      </c>
      <c r="DI47" s="272" t="str">
        <f>IF(D$9="YES",'CIA MARKS'!EJ44,"")</f>
        <v/>
      </c>
      <c r="DJ47" s="272">
        <f>IF(Theory!D$7="YES",DC47,
 IF(Theory!D$8="YES",Lab!K39,
 IF(Theory!D$9="YES",DC47,"")))</f>
        <v>44</v>
      </c>
      <c r="DL47" s="350"/>
      <c r="DM47" s="350"/>
      <c r="DN47" s="350"/>
      <c r="DO47" s="350"/>
      <c r="DP47" s="350"/>
      <c r="DQ47" s="351"/>
      <c r="DR47" s="327"/>
      <c r="DS47" s="348">
        <f t="shared" si="0"/>
        <v>0</v>
      </c>
    </row>
    <row r="48" spans="1:123" ht="16.2" thickBot="1" x14ac:dyDescent="0.35">
      <c r="A48" s="471">
        <v>32</v>
      </c>
      <c r="B48" s="515" t="s">
        <v>358</v>
      </c>
      <c r="C48" s="515" t="s">
        <v>359</v>
      </c>
      <c r="D48" s="516">
        <v>9</v>
      </c>
      <c r="E48" s="526"/>
      <c r="F48" s="526"/>
      <c r="G48" s="526"/>
      <c r="H48" s="516">
        <v>7</v>
      </c>
      <c r="I48" s="526"/>
      <c r="J48" s="526"/>
      <c r="K48" s="526"/>
      <c r="L48" s="516">
        <v>8</v>
      </c>
      <c r="M48" s="526"/>
      <c r="N48" s="526"/>
      <c r="O48" s="526"/>
      <c r="P48" s="518"/>
      <c r="Q48" s="518"/>
      <c r="R48" s="526"/>
      <c r="S48" s="526"/>
      <c r="T48" s="518"/>
      <c r="U48" s="526"/>
      <c r="V48" s="526"/>
      <c r="W48" s="526"/>
      <c r="X48" s="516">
        <v>9</v>
      </c>
      <c r="Y48" s="526"/>
      <c r="Z48" s="526"/>
      <c r="AA48" s="526"/>
      <c r="AB48" s="518"/>
      <c r="AC48" s="526"/>
      <c r="AD48" s="526"/>
      <c r="AE48" s="526"/>
      <c r="AF48" s="516">
        <v>10</v>
      </c>
      <c r="AG48" s="526"/>
      <c r="AH48" s="526"/>
      <c r="AI48" s="526"/>
      <c r="AJ48" s="519">
        <v>10</v>
      </c>
      <c r="AK48" s="520"/>
      <c r="AL48" s="520"/>
      <c r="AM48" s="520"/>
      <c r="AN48" s="516">
        <v>10</v>
      </c>
      <c r="AO48" s="520"/>
      <c r="AP48" s="520"/>
      <c r="AQ48" s="520"/>
      <c r="AR48" s="518"/>
      <c r="AS48" s="521"/>
      <c r="AT48" s="521"/>
      <c r="AU48" s="521"/>
      <c r="AV48" s="516">
        <v>10</v>
      </c>
      <c r="AW48" s="516"/>
      <c r="AX48" s="521"/>
      <c r="AY48" s="521"/>
      <c r="AZ48" s="516">
        <v>8</v>
      </c>
      <c r="BA48" s="521"/>
      <c r="BB48" s="521"/>
      <c r="BC48" s="521"/>
      <c r="BD48" s="518"/>
      <c r="BE48" s="521"/>
      <c r="BF48" s="521"/>
      <c r="BG48" s="521"/>
      <c r="BH48" s="516">
        <v>8</v>
      </c>
      <c r="BI48" s="521"/>
      <c r="BJ48" s="521"/>
      <c r="BK48" s="521"/>
      <c r="BL48" s="518"/>
      <c r="BM48" s="521"/>
      <c r="BN48" s="521"/>
      <c r="BO48" s="521"/>
      <c r="BP48" s="519">
        <v>10</v>
      </c>
      <c r="BQ48" s="522"/>
      <c r="BR48" s="522"/>
      <c r="BS48" s="522"/>
      <c r="BT48" s="516">
        <v>10</v>
      </c>
      <c r="BU48" s="522"/>
      <c r="BV48" s="522"/>
      <c r="BW48" s="522"/>
      <c r="BX48" s="518"/>
      <c r="BY48" s="523"/>
      <c r="BZ48" s="523"/>
      <c r="CA48" s="523"/>
      <c r="CB48" s="516">
        <v>10</v>
      </c>
      <c r="CC48" s="524"/>
      <c r="CD48" s="524"/>
      <c r="CE48" s="524"/>
      <c r="CF48" s="516">
        <v>10</v>
      </c>
      <c r="CG48" s="525"/>
      <c r="CH48" s="525"/>
      <c r="CI48" s="525"/>
      <c r="CJ48" s="518"/>
      <c r="CK48" s="524"/>
      <c r="CL48" s="524"/>
      <c r="CM48" s="524"/>
      <c r="CN48" s="516">
        <v>10</v>
      </c>
      <c r="CO48" s="524"/>
      <c r="CP48" s="524"/>
      <c r="CQ48" s="524"/>
      <c r="CR48" s="518"/>
      <c r="CS48" s="525"/>
      <c r="CT48" s="525"/>
      <c r="CU48" s="531"/>
      <c r="CV48" s="272">
        <v>10</v>
      </c>
      <c r="CW48" s="272">
        <v>10</v>
      </c>
      <c r="CX48" s="547"/>
      <c r="CY48" s="547"/>
      <c r="CZ48" s="547"/>
      <c r="DA48" s="546">
        <v>48</v>
      </c>
      <c r="DB48" s="550">
        <v>91</v>
      </c>
      <c r="DC48" s="272">
        <v>43</v>
      </c>
      <c r="DE48" s="551" t="s">
        <v>287</v>
      </c>
      <c r="DG48" s="272">
        <f>IF(D$7="YES",'CIA MARKS'!DX45,"")</f>
        <v>48</v>
      </c>
      <c r="DH48" s="31" t="str">
        <f>IF(D$8="YES",'CIA MARKS'!EH45,"")</f>
        <v/>
      </c>
      <c r="DI48" s="272" t="str">
        <f>IF(D$9="YES",'CIA MARKS'!EJ45,"")</f>
        <v/>
      </c>
      <c r="DJ48" s="272">
        <f>IF(Theory!D$7="YES",DC48,
 IF(Theory!D$8="YES",Lab!K40,
 IF(Theory!D$9="YES",DC48,"")))</f>
        <v>43</v>
      </c>
      <c r="DL48" s="350"/>
      <c r="DM48" s="350"/>
      <c r="DN48" s="350"/>
      <c r="DO48" s="350"/>
      <c r="DP48" s="350"/>
      <c r="DQ48" s="351"/>
      <c r="DR48" s="327"/>
      <c r="DS48" s="348">
        <f t="shared" si="0"/>
        <v>0</v>
      </c>
    </row>
    <row r="49" spans="1:123" ht="16.2" thickBot="1" x14ac:dyDescent="0.35">
      <c r="A49" s="471">
        <v>33</v>
      </c>
      <c r="B49" s="515" t="s">
        <v>360</v>
      </c>
      <c r="C49" s="515" t="s">
        <v>361</v>
      </c>
      <c r="D49" s="516"/>
      <c r="E49" s="526"/>
      <c r="F49" s="526"/>
      <c r="G49" s="526"/>
      <c r="H49" s="516"/>
      <c r="I49" s="526"/>
      <c r="J49" s="526"/>
      <c r="K49" s="526"/>
      <c r="L49" s="516"/>
      <c r="M49" s="526"/>
      <c r="N49" s="526"/>
      <c r="O49" s="526"/>
      <c r="P49" s="516"/>
      <c r="Q49" s="516"/>
      <c r="R49" s="526"/>
      <c r="S49" s="526"/>
      <c r="T49" s="516"/>
      <c r="U49" s="526"/>
      <c r="V49" s="526"/>
      <c r="W49" s="526"/>
      <c r="X49" s="516"/>
      <c r="Y49" s="526"/>
      <c r="Z49" s="526"/>
      <c r="AA49" s="526"/>
      <c r="AB49" s="516"/>
      <c r="AC49" s="526"/>
      <c r="AD49" s="526"/>
      <c r="AE49" s="526"/>
      <c r="AF49" s="516"/>
      <c r="AG49" s="526"/>
      <c r="AH49" s="526"/>
      <c r="AI49" s="526"/>
      <c r="AJ49" s="519">
        <v>9</v>
      </c>
      <c r="AK49" s="520"/>
      <c r="AL49" s="520"/>
      <c r="AM49" s="520"/>
      <c r="AN49" s="516">
        <v>6</v>
      </c>
      <c r="AO49" s="520"/>
      <c r="AP49" s="520"/>
      <c r="AQ49" s="520"/>
      <c r="AR49" s="516">
        <v>10</v>
      </c>
      <c r="AS49" s="521"/>
      <c r="AT49" s="521"/>
      <c r="AU49" s="521"/>
      <c r="AV49" s="518"/>
      <c r="AW49" s="521"/>
      <c r="AX49" s="521"/>
      <c r="AY49" s="521"/>
      <c r="AZ49" s="516">
        <v>8</v>
      </c>
      <c r="BA49" s="521"/>
      <c r="BB49" s="521"/>
      <c r="BC49" s="521"/>
      <c r="BD49" s="518"/>
      <c r="BE49" s="521"/>
      <c r="BF49" s="521"/>
      <c r="BG49" s="521"/>
      <c r="BH49" s="516">
        <v>8</v>
      </c>
      <c r="BI49" s="521"/>
      <c r="BJ49" s="521"/>
      <c r="BK49" s="521"/>
      <c r="BL49" s="518"/>
      <c r="BM49" s="521"/>
      <c r="BN49" s="521"/>
      <c r="BO49" s="521"/>
      <c r="BP49" s="519">
        <v>7</v>
      </c>
      <c r="BQ49" s="522"/>
      <c r="BR49" s="522"/>
      <c r="BS49" s="522"/>
      <c r="BT49" s="516">
        <v>7</v>
      </c>
      <c r="BU49" s="522"/>
      <c r="BV49" s="522"/>
      <c r="BW49" s="522"/>
      <c r="BX49" s="516">
        <v>8</v>
      </c>
      <c r="BY49" s="523"/>
      <c r="BZ49" s="523"/>
      <c r="CA49" s="523"/>
      <c r="CB49" s="518"/>
      <c r="CC49" s="524"/>
      <c r="CD49" s="524"/>
      <c r="CE49" s="524"/>
      <c r="CF49" s="516">
        <v>6</v>
      </c>
      <c r="CG49" s="525"/>
      <c r="CH49" s="525"/>
      <c r="CI49" s="525"/>
      <c r="CJ49" s="518"/>
      <c r="CK49" s="524"/>
      <c r="CL49" s="524"/>
      <c r="CM49" s="524"/>
      <c r="CN49" s="518"/>
      <c r="CO49" s="524"/>
      <c r="CP49" s="524"/>
      <c r="CQ49" s="524"/>
      <c r="CR49" s="518"/>
      <c r="CS49" s="525"/>
      <c r="CT49" s="525"/>
      <c r="CU49" s="531"/>
      <c r="CV49" s="272">
        <v>10</v>
      </c>
      <c r="CW49" s="272">
        <v>10</v>
      </c>
      <c r="CX49" s="547"/>
      <c r="CY49" s="547"/>
      <c r="CZ49" s="547"/>
      <c r="DA49" s="546">
        <v>34</v>
      </c>
      <c r="DB49" s="550">
        <v>72</v>
      </c>
      <c r="DC49" s="272">
        <v>38</v>
      </c>
      <c r="DE49" s="551" t="s">
        <v>54</v>
      </c>
      <c r="DG49" s="272">
        <f>IF(D$7="YES",'CIA MARKS'!DX46,"")</f>
        <v>34</v>
      </c>
      <c r="DH49" s="31" t="str">
        <f>IF(D$8="YES",'CIA MARKS'!EH46,"")</f>
        <v/>
      </c>
      <c r="DI49" s="272" t="str">
        <f>IF(D$9="YES",'CIA MARKS'!EJ46,"")</f>
        <v/>
      </c>
      <c r="DJ49" s="272">
        <f>IF(Theory!D$7="YES",DC49,
 IF(Theory!D$8="YES",Lab!K41,
 IF(Theory!D$9="YES",DC49,"")))</f>
        <v>38</v>
      </c>
      <c r="DL49" s="350"/>
      <c r="DM49" s="350"/>
      <c r="DN49" s="350"/>
      <c r="DO49" s="350"/>
      <c r="DP49" s="350"/>
      <c r="DQ49" s="351"/>
      <c r="DR49" s="327"/>
      <c r="DS49" s="348">
        <f t="shared" si="0"/>
        <v>0</v>
      </c>
    </row>
    <row r="50" spans="1:123" ht="16.2" thickBot="1" x14ac:dyDescent="0.35">
      <c r="A50" s="471">
        <v>34</v>
      </c>
      <c r="B50" s="515" t="s">
        <v>362</v>
      </c>
      <c r="C50" s="515" t="s">
        <v>363</v>
      </c>
      <c r="D50" s="516">
        <v>9</v>
      </c>
      <c r="E50" s="526"/>
      <c r="F50" s="526"/>
      <c r="G50" s="526"/>
      <c r="H50" s="516">
        <v>10</v>
      </c>
      <c r="I50" s="526"/>
      <c r="J50" s="526"/>
      <c r="K50" s="526"/>
      <c r="L50" s="516">
        <v>8</v>
      </c>
      <c r="M50" s="526"/>
      <c r="N50" s="526"/>
      <c r="O50" s="526"/>
      <c r="P50" s="518"/>
      <c r="Q50" s="518"/>
      <c r="R50" s="526"/>
      <c r="S50" s="526"/>
      <c r="T50" s="516">
        <v>8</v>
      </c>
      <c r="U50" s="526"/>
      <c r="V50" s="526"/>
      <c r="W50" s="526"/>
      <c r="X50" s="518"/>
      <c r="Y50" s="526"/>
      <c r="Z50" s="526"/>
      <c r="AA50" s="526"/>
      <c r="AB50" s="516">
        <v>9</v>
      </c>
      <c r="AC50" s="526"/>
      <c r="AD50" s="526"/>
      <c r="AE50" s="526"/>
      <c r="AF50" s="518"/>
      <c r="AG50" s="526"/>
      <c r="AH50" s="526"/>
      <c r="AI50" s="526"/>
      <c r="AJ50" s="519">
        <v>10</v>
      </c>
      <c r="AK50" s="520"/>
      <c r="AL50" s="520"/>
      <c r="AM50" s="520"/>
      <c r="AN50" s="516">
        <v>9</v>
      </c>
      <c r="AO50" s="520"/>
      <c r="AP50" s="520"/>
      <c r="AQ50" s="520"/>
      <c r="AR50" s="516">
        <v>10</v>
      </c>
      <c r="AS50" s="521"/>
      <c r="AT50" s="521"/>
      <c r="AU50" s="521"/>
      <c r="AV50" s="518"/>
      <c r="AW50" s="521"/>
      <c r="AX50" s="521"/>
      <c r="AY50" s="521"/>
      <c r="AZ50" s="516">
        <v>9</v>
      </c>
      <c r="BA50" s="521"/>
      <c r="BB50" s="521"/>
      <c r="BC50" s="521"/>
      <c r="BD50" s="518"/>
      <c r="BE50" s="521"/>
      <c r="BF50" s="521"/>
      <c r="BG50" s="521"/>
      <c r="BH50" s="516">
        <v>10</v>
      </c>
      <c r="BI50" s="521"/>
      <c r="BJ50" s="521"/>
      <c r="BK50" s="521"/>
      <c r="BL50" s="518"/>
      <c r="BM50" s="521"/>
      <c r="BN50" s="521"/>
      <c r="BO50" s="521"/>
      <c r="BP50" s="519">
        <v>8</v>
      </c>
      <c r="BQ50" s="522"/>
      <c r="BR50" s="522"/>
      <c r="BS50" s="522"/>
      <c r="BT50" s="516">
        <v>8</v>
      </c>
      <c r="BU50" s="522"/>
      <c r="BV50" s="522"/>
      <c r="BW50" s="522"/>
      <c r="BX50" s="518"/>
      <c r="BY50" s="523"/>
      <c r="BZ50" s="523"/>
      <c r="CA50" s="523"/>
      <c r="CB50" s="516">
        <v>8</v>
      </c>
      <c r="CC50" s="524"/>
      <c r="CD50" s="524"/>
      <c r="CE50" s="524"/>
      <c r="CF50" s="516">
        <v>9</v>
      </c>
      <c r="CG50" s="525"/>
      <c r="CH50" s="525"/>
      <c r="CI50" s="525"/>
      <c r="CJ50" s="518"/>
      <c r="CK50" s="524"/>
      <c r="CL50" s="524"/>
      <c r="CM50" s="524"/>
      <c r="CN50" s="518"/>
      <c r="CO50" s="524"/>
      <c r="CP50" s="524"/>
      <c r="CQ50" s="524"/>
      <c r="CR50" s="516">
        <v>9</v>
      </c>
      <c r="CS50" s="525"/>
      <c r="CT50" s="525"/>
      <c r="CU50" s="531"/>
      <c r="CV50" s="272">
        <v>10</v>
      </c>
      <c r="CW50" s="272">
        <v>10</v>
      </c>
      <c r="CX50" s="547"/>
      <c r="CY50" s="547"/>
      <c r="CZ50" s="547"/>
      <c r="DA50" s="546">
        <v>47</v>
      </c>
      <c r="DB50" s="550">
        <v>91</v>
      </c>
      <c r="DC50" s="272">
        <v>44</v>
      </c>
      <c r="DE50" s="551" t="s">
        <v>287</v>
      </c>
      <c r="DG50" s="272">
        <f>IF(D$7="YES",'CIA MARKS'!DX47,"")</f>
        <v>47</v>
      </c>
      <c r="DH50" s="31" t="str">
        <f>IF(D$8="YES",'CIA MARKS'!EH47,"")</f>
        <v/>
      </c>
      <c r="DI50" s="272" t="str">
        <f>IF(D$9="YES",'CIA MARKS'!EJ47,"")</f>
        <v/>
      </c>
      <c r="DJ50" s="272">
        <f>IF(Theory!D$7="YES",DC50,
 IF(Theory!D$8="YES",Lab!K42,
 IF(Theory!D$9="YES",DC50,"")))</f>
        <v>44</v>
      </c>
      <c r="DL50" s="350"/>
      <c r="DM50" s="350"/>
      <c r="DN50" s="350"/>
      <c r="DO50" s="350"/>
      <c r="DP50" s="350"/>
      <c r="DQ50" s="351"/>
      <c r="DR50" s="327"/>
      <c r="DS50" s="348">
        <f t="shared" si="0"/>
        <v>0</v>
      </c>
    </row>
    <row r="51" spans="1:123" ht="16.2" thickBot="1" x14ac:dyDescent="0.35">
      <c r="A51" s="471">
        <v>35</v>
      </c>
      <c r="B51" s="515" t="s">
        <v>364</v>
      </c>
      <c r="C51" s="515" t="s">
        <v>365</v>
      </c>
      <c r="D51" s="516">
        <v>7</v>
      </c>
      <c r="E51" s="526"/>
      <c r="F51" s="526"/>
      <c r="G51" s="526"/>
      <c r="H51" s="516">
        <v>8</v>
      </c>
      <c r="I51" s="526"/>
      <c r="J51" s="526"/>
      <c r="K51" s="526"/>
      <c r="L51" s="516">
        <v>8</v>
      </c>
      <c r="M51" s="526"/>
      <c r="N51" s="526"/>
      <c r="O51" s="526"/>
      <c r="P51" s="518"/>
      <c r="Q51" s="518"/>
      <c r="R51" s="526"/>
      <c r="S51" s="526"/>
      <c r="T51" s="518"/>
      <c r="U51" s="526"/>
      <c r="V51" s="526"/>
      <c r="W51" s="526"/>
      <c r="X51" s="516">
        <v>10</v>
      </c>
      <c r="Y51" s="526"/>
      <c r="Z51" s="526"/>
      <c r="AA51" s="526"/>
      <c r="AB51" s="516">
        <v>10</v>
      </c>
      <c r="AC51" s="526"/>
      <c r="AD51" s="526"/>
      <c r="AE51" s="526"/>
      <c r="AF51" s="518"/>
      <c r="AG51" s="526"/>
      <c r="AH51" s="526"/>
      <c r="AI51" s="526"/>
      <c r="AJ51" s="519">
        <v>10</v>
      </c>
      <c r="AK51" s="520"/>
      <c r="AL51" s="520"/>
      <c r="AM51" s="520"/>
      <c r="AN51" s="516">
        <v>8</v>
      </c>
      <c r="AO51" s="520"/>
      <c r="AP51" s="520"/>
      <c r="AQ51" s="520"/>
      <c r="AR51" s="516">
        <v>10</v>
      </c>
      <c r="AS51" s="521"/>
      <c r="AT51" s="521"/>
      <c r="AU51" s="521"/>
      <c r="AV51" s="518"/>
      <c r="AW51" s="521"/>
      <c r="AX51" s="521"/>
      <c r="AY51" s="521"/>
      <c r="AZ51" s="516">
        <v>8</v>
      </c>
      <c r="BA51" s="521"/>
      <c r="BB51" s="521"/>
      <c r="BC51" s="521"/>
      <c r="BD51" s="518"/>
      <c r="BE51" s="521"/>
      <c r="BF51" s="521"/>
      <c r="BG51" s="521"/>
      <c r="BH51" s="516">
        <v>10</v>
      </c>
      <c r="BI51" s="521"/>
      <c r="BJ51" s="521"/>
      <c r="BK51" s="521"/>
      <c r="BL51" s="518"/>
      <c r="BM51" s="521"/>
      <c r="BN51" s="521"/>
      <c r="BO51" s="521"/>
      <c r="BP51" s="519">
        <v>10</v>
      </c>
      <c r="BQ51" s="522"/>
      <c r="BR51" s="522"/>
      <c r="BS51" s="522"/>
      <c r="BT51" s="516">
        <v>9</v>
      </c>
      <c r="BU51" s="522"/>
      <c r="BV51" s="522"/>
      <c r="BW51" s="522"/>
      <c r="BX51" s="518"/>
      <c r="BY51" s="523"/>
      <c r="BZ51" s="523"/>
      <c r="CA51" s="523"/>
      <c r="CB51" s="516">
        <v>10</v>
      </c>
      <c r="CC51" s="524"/>
      <c r="CD51" s="524"/>
      <c r="CE51" s="524"/>
      <c r="CF51" s="516">
        <v>10</v>
      </c>
      <c r="CG51" s="525"/>
      <c r="CH51" s="525"/>
      <c r="CI51" s="525"/>
      <c r="CJ51" s="518"/>
      <c r="CK51" s="524"/>
      <c r="CL51" s="524"/>
      <c r="CM51" s="524"/>
      <c r="CN51" s="518"/>
      <c r="CO51" s="524"/>
      <c r="CP51" s="524"/>
      <c r="CQ51" s="524"/>
      <c r="CR51" s="516">
        <v>8</v>
      </c>
      <c r="CS51" s="525"/>
      <c r="CT51" s="525"/>
      <c r="CU51" s="531"/>
      <c r="CV51" s="272">
        <v>10</v>
      </c>
      <c r="CW51" s="272">
        <v>10</v>
      </c>
      <c r="CX51" s="547"/>
      <c r="CY51" s="547"/>
      <c r="CZ51" s="547"/>
      <c r="DA51" s="546">
        <v>47</v>
      </c>
      <c r="DB51" s="550">
        <v>90</v>
      </c>
      <c r="DC51" s="272">
        <v>43</v>
      </c>
      <c r="DE51" s="551" t="s">
        <v>287</v>
      </c>
      <c r="DG51" s="272">
        <f>IF(D$7="YES",'CIA MARKS'!DX48,"")</f>
        <v>47</v>
      </c>
      <c r="DH51" s="31" t="str">
        <f>IF(D$8="YES",'CIA MARKS'!EH48,"")</f>
        <v/>
      </c>
      <c r="DI51" s="272" t="str">
        <f>IF(D$9="YES",'CIA MARKS'!EJ48,"")</f>
        <v/>
      </c>
      <c r="DJ51" s="272">
        <f>IF(Theory!D$7="YES",DC51,
 IF(Theory!D$8="YES",Lab!K43,
 IF(Theory!D$9="YES",DC51,"")))</f>
        <v>43</v>
      </c>
      <c r="DL51" s="350"/>
      <c r="DM51" s="350"/>
      <c r="DN51" s="350"/>
      <c r="DO51" s="350"/>
      <c r="DP51" s="350"/>
      <c r="DQ51" s="351"/>
      <c r="DR51" s="327"/>
      <c r="DS51" s="348">
        <f t="shared" si="0"/>
        <v>0</v>
      </c>
    </row>
    <row r="52" spans="1:123" ht="16.2" thickBot="1" x14ac:dyDescent="0.35">
      <c r="A52" s="471">
        <v>36</v>
      </c>
      <c r="B52" s="515" t="s">
        <v>366</v>
      </c>
      <c r="C52" s="515" t="s">
        <v>367</v>
      </c>
      <c r="D52" s="516">
        <v>7</v>
      </c>
      <c r="E52" s="526"/>
      <c r="F52" s="526"/>
      <c r="G52" s="526"/>
      <c r="H52" s="516">
        <v>6</v>
      </c>
      <c r="I52" s="526"/>
      <c r="J52" s="526"/>
      <c r="K52" s="526"/>
      <c r="L52" s="516">
        <v>7</v>
      </c>
      <c r="M52" s="526"/>
      <c r="N52" s="526"/>
      <c r="O52" s="526"/>
      <c r="P52" s="518"/>
      <c r="Q52" s="518"/>
      <c r="R52" s="526"/>
      <c r="S52" s="526"/>
      <c r="T52" s="516">
        <v>7</v>
      </c>
      <c r="U52" s="526"/>
      <c r="V52" s="526"/>
      <c r="W52" s="526"/>
      <c r="X52" s="518"/>
      <c r="Y52" s="526"/>
      <c r="Z52" s="526"/>
      <c r="AA52" s="526"/>
      <c r="AB52" s="516">
        <v>8</v>
      </c>
      <c r="AC52" s="526"/>
      <c r="AD52" s="526"/>
      <c r="AE52" s="526"/>
      <c r="AF52" s="518"/>
      <c r="AG52" s="526"/>
      <c r="AH52" s="526"/>
      <c r="AI52" s="526"/>
      <c r="AJ52" s="519">
        <v>9</v>
      </c>
      <c r="AK52" s="520"/>
      <c r="AL52" s="520"/>
      <c r="AM52" s="520"/>
      <c r="AN52" s="516">
        <v>6</v>
      </c>
      <c r="AO52" s="520"/>
      <c r="AP52" s="520"/>
      <c r="AQ52" s="520"/>
      <c r="AR52" s="516">
        <v>9</v>
      </c>
      <c r="AS52" s="521"/>
      <c r="AT52" s="521"/>
      <c r="AU52" s="521"/>
      <c r="AV52" s="518"/>
      <c r="AW52" s="521"/>
      <c r="AX52" s="521"/>
      <c r="AY52" s="521"/>
      <c r="AZ52" s="516">
        <v>8</v>
      </c>
      <c r="BA52" s="521"/>
      <c r="BB52" s="521"/>
      <c r="BC52" s="521"/>
      <c r="BD52" s="518"/>
      <c r="BE52" s="521"/>
      <c r="BF52" s="521"/>
      <c r="BG52" s="521"/>
      <c r="BH52" s="516">
        <v>8</v>
      </c>
      <c r="BI52" s="521"/>
      <c r="BJ52" s="521"/>
      <c r="BK52" s="521"/>
      <c r="BL52" s="518"/>
      <c r="BM52" s="521"/>
      <c r="BN52" s="521"/>
      <c r="BO52" s="521"/>
      <c r="BP52" s="519">
        <v>9</v>
      </c>
      <c r="BQ52" s="522"/>
      <c r="BR52" s="522"/>
      <c r="BS52" s="522"/>
      <c r="BT52" s="516">
        <v>6</v>
      </c>
      <c r="BU52" s="522"/>
      <c r="BV52" s="522"/>
      <c r="BW52" s="522"/>
      <c r="BX52" s="518"/>
      <c r="BY52" s="523"/>
      <c r="BZ52" s="523"/>
      <c r="CA52" s="523"/>
      <c r="CB52" s="516">
        <v>8</v>
      </c>
      <c r="CC52" s="524"/>
      <c r="CD52" s="524"/>
      <c r="CE52" s="524"/>
      <c r="CF52" s="516">
        <v>10</v>
      </c>
      <c r="CG52" s="525"/>
      <c r="CH52" s="525"/>
      <c r="CI52" s="525"/>
      <c r="CJ52" s="518"/>
      <c r="CK52" s="524"/>
      <c r="CL52" s="524"/>
      <c r="CM52" s="524"/>
      <c r="CN52" s="518"/>
      <c r="CO52" s="524"/>
      <c r="CP52" s="524"/>
      <c r="CQ52" s="524"/>
      <c r="CR52" s="516">
        <v>10</v>
      </c>
      <c r="CS52" s="525"/>
      <c r="CT52" s="525"/>
      <c r="CU52" s="531"/>
      <c r="CV52" s="272">
        <v>10</v>
      </c>
      <c r="CW52" s="272">
        <v>10</v>
      </c>
      <c r="CX52" s="547"/>
      <c r="CY52" s="547"/>
      <c r="CZ52" s="547"/>
      <c r="DA52" s="546">
        <v>44</v>
      </c>
      <c r="DB52" s="550">
        <v>85</v>
      </c>
      <c r="DC52" s="272">
        <v>41</v>
      </c>
      <c r="DE52" s="551" t="s">
        <v>288</v>
      </c>
      <c r="DG52" s="272">
        <f>IF(D$7="YES",'CIA MARKS'!DX49,"")</f>
        <v>44</v>
      </c>
      <c r="DH52" s="31" t="str">
        <f>IF(D$8="YES",'CIA MARKS'!EH49,"")</f>
        <v/>
      </c>
      <c r="DI52" s="272" t="str">
        <f>IF(D$9="YES",'CIA MARKS'!EJ49,"")</f>
        <v/>
      </c>
      <c r="DJ52" s="272">
        <f>IF(Theory!D$7="YES",DC52,
 IF(Theory!D$8="YES",Lab!K44,
 IF(Theory!D$9="YES",DC52,"")))</f>
        <v>41</v>
      </c>
      <c r="DL52" s="350"/>
      <c r="DM52" s="350"/>
      <c r="DN52" s="350"/>
      <c r="DO52" s="350"/>
      <c r="DP52" s="350"/>
      <c r="DQ52" s="351"/>
      <c r="DR52" s="327"/>
      <c r="DS52" s="348">
        <f t="shared" si="0"/>
        <v>0</v>
      </c>
    </row>
    <row r="53" spans="1:123" ht="16.2" thickBot="1" x14ac:dyDescent="0.35">
      <c r="A53" s="471">
        <v>37</v>
      </c>
      <c r="B53" s="515" t="s">
        <v>368</v>
      </c>
      <c r="C53" s="515" t="s">
        <v>369</v>
      </c>
      <c r="D53" s="516">
        <v>9</v>
      </c>
      <c r="E53" s="526"/>
      <c r="F53" s="526"/>
      <c r="G53" s="526"/>
      <c r="H53" s="516">
        <v>7</v>
      </c>
      <c r="I53" s="526"/>
      <c r="J53" s="526"/>
      <c r="K53" s="526"/>
      <c r="L53" s="516">
        <v>7</v>
      </c>
      <c r="M53" s="526"/>
      <c r="N53" s="526"/>
      <c r="O53" s="526"/>
      <c r="P53" s="518"/>
      <c r="Q53" s="518"/>
      <c r="R53" s="526"/>
      <c r="S53" s="526"/>
      <c r="T53" s="518"/>
      <c r="U53" s="526"/>
      <c r="V53" s="526"/>
      <c r="W53" s="526"/>
      <c r="X53" s="516">
        <v>8</v>
      </c>
      <c r="Y53" s="526"/>
      <c r="Z53" s="526"/>
      <c r="AA53" s="526"/>
      <c r="AB53" s="516">
        <v>9</v>
      </c>
      <c r="AC53" s="526"/>
      <c r="AD53" s="526"/>
      <c r="AE53" s="526"/>
      <c r="AF53" s="518"/>
      <c r="AG53" s="526"/>
      <c r="AH53" s="526"/>
      <c r="AI53" s="526"/>
      <c r="AJ53" s="519">
        <v>8</v>
      </c>
      <c r="AK53" s="520"/>
      <c r="AL53" s="520"/>
      <c r="AM53" s="520"/>
      <c r="AN53" s="516">
        <v>9</v>
      </c>
      <c r="AO53" s="520"/>
      <c r="AP53" s="520"/>
      <c r="AQ53" s="520"/>
      <c r="AR53" s="516">
        <v>9</v>
      </c>
      <c r="AS53" s="521"/>
      <c r="AT53" s="521"/>
      <c r="AU53" s="521"/>
      <c r="AV53" s="518"/>
      <c r="AW53" s="521"/>
      <c r="AX53" s="521"/>
      <c r="AY53" s="521"/>
      <c r="AZ53" s="516">
        <v>8</v>
      </c>
      <c r="BA53" s="521"/>
      <c r="BB53" s="521"/>
      <c r="BC53" s="521"/>
      <c r="BD53" s="518"/>
      <c r="BE53" s="521"/>
      <c r="BF53" s="521"/>
      <c r="BG53" s="521"/>
      <c r="BH53" s="516">
        <v>8</v>
      </c>
      <c r="BI53" s="521"/>
      <c r="BJ53" s="521"/>
      <c r="BK53" s="521"/>
      <c r="BL53" s="518"/>
      <c r="BM53" s="521"/>
      <c r="BN53" s="521"/>
      <c r="BO53" s="521"/>
      <c r="BP53" s="519">
        <v>7</v>
      </c>
      <c r="BQ53" s="522"/>
      <c r="BR53" s="522"/>
      <c r="BS53" s="522"/>
      <c r="BT53" s="516">
        <v>6</v>
      </c>
      <c r="BU53" s="522"/>
      <c r="BV53" s="522"/>
      <c r="BW53" s="522"/>
      <c r="BX53" s="516">
        <v>9</v>
      </c>
      <c r="BY53" s="523"/>
      <c r="BZ53" s="523"/>
      <c r="CA53" s="523"/>
      <c r="CB53" s="518"/>
      <c r="CC53" s="524"/>
      <c r="CD53" s="524"/>
      <c r="CE53" s="524"/>
      <c r="CF53" s="516">
        <v>9</v>
      </c>
      <c r="CG53" s="525"/>
      <c r="CH53" s="525"/>
      <c r="CI53" s="525"/>
      <c r="CJ53" s="518"/>
      <c r="CK53" s="524"/>
      <c r="CL53" s="524"/>
      <c r="CM53" s="524"/>
      <c r="CN53" s="518"/>
      <c r="CO53" s="524"/>
      <c r="CP53" s="524"/>
      <c r="CQ53" s="524"/>
      <c r="CR53" s="516">
        <v>10</v>
      </c>
      <c r="CS53" s="525"/>
      <c r="CT53" s="525"/>
      <c r="CU53" s="531"/>
      <c r="CV53" s="272">
        <v>10</v>
      </c>
      <c r="CW53" s="272">
        <v>10</v>
      </c>
      <c r="CX53" s="547"/>
      <c r="CY53" s="547"/>
      <c r="CZ53" s="547"/>
      <c r="DA53" s="546">
        <v>45</v>
      </c>
      <c r="DB53" s="550">
        <v>87</v>
      </c>
      <c r="DC53" s="272">
        <v>42</v>
      </c>
      <c r="DE53" s="551" t="s">
        <v>288</v>
      </c>
      <c r="DG53" s="272">
        <f>IF(D$7="YES",'CIA MARKS'!DX50,"")</f>
        <v>45</v>
      </c>
      <c r="DH53" s="31" t="str">
        <f>IF(D$8="YES",'CIA MARKS'!EH50,"")</f>
        <v/>
      </c>
      <c r="DI53" s="272" t="str">
        <f>IF(D$9="YES",'CIA MARKS'!EJ50,"")</f>
        <v/>
      </c>
      <c r="DJ53" s="272">
        <f>IF(Theory!D$7="YES",DC53,
 IF(Theory!D$8="YES",Lab!K45,
 IF(Theory!D$9="YES",DC53,"")))</f>
        <v>42</v>
      </c>
      <c r="DL53" s="350"/>
      <c r="DM53" s="350"/>
      <c r="DN53" s="350"/>
      <c r="DO53" s="350"/>
      <c r="DP53" s="350"/>
      <c r="DQ53" s="351"/>
      <c r="DR53" s="327"/>
      <c r="DS53" s="348">
        <f t="shared" si="0"/>
        <v>0</v>
      </c>
    </row>
    <row r="54" spans="1:123" ht="16.2" thickBot="1" x14ac:dyDescent="0.35">
      <c r="A54" s="471">
        <v>38</v>
      </c>
      <c r="B54" s="515" t="s">
        <v>372</v>
      </c>
      <c r="C54" s="515" t="s">
        <v>376</v>
      </c>
      <c r="D54" s="516">
        <v>8</v>
      </c>
      <c r="E54" s="526"/>
      <c r="F54" s="526"/>
      <c r="G54" s="526"/>
      <c r="H54" s="516">
        <v>8</v>
      </c>
      <c r="I54" s="526"/>
      <c r="J54" s="526"/>
      <c r="K54" s="526"/>
      <c r="L54" s="516">
        <v>7</v>
      </c>
      <c r="M54" s="526"/>
      <c r="N54" s="526"/>
      <c r="O54" s="526"/>
      <c r="P54" s="518"/>
      <c r="Q54" s="518"/>
      <c r="R54" s="526"/>
      <c r="S54" s="526"/>
      <c r="T54" s="516">
        <v>9</v>
      </c>
      <c r="U54" s="526"/>
      <c r="V54" s="526"/>
      <c r="W54" s="526"/>
      <c r="X54" s="518"/>
      <c r="Y54" s="526"/>
      <c r="Z54" s="526"/>
      <c r="AA54" s="526"/>
      <c r="AB54" s="518"/>
      <c r="AC54" s="526"/>
      <c r="AD54" s="526"/>
      <c r="AE54" s="526"/>
      <c r="AF54" s="516">
        <v>9</v>
      </c>
      <c r="AG54" s="526"/>
      <c r="AH54" s="526"/>
      <c r="AI54" s="526"/>
      <c r="AJ54" s="519">
        <v>8</v>
      </c>
      <c r="AK54" s="520"/>
      <c r="AL54" s="520"/>
      <c r="AM54" s="520"/>
      <c r="AN54" s="516">
        <v>9</v>
      </c>
      <c r="AO54" s="520"/>
      <c r="AP54" s="520"/>
      <c r="AQ54" s="520"/>
      <c r="AR54" s="516">
        <v>10</v>
      </c>
      <c r="AS54" s="521"/>
      <c r="AT54" s="521"/>
      <c r="AU54" s="521"/>
      <c r="AV54" s="518"/>
      <c r="AW54" s="521"/>
      <c r="AX54" s="521"/>
      <c r="AY54" s="521"/>
      <c r="AZ54" s="516">
        <v>8</v>
      </c>
      <c r="BA54" s="521"/>
      <c r="BB54" s="521"/>
      <c r="BC54" s="521"/>
      <c r="BD54" s="518"/>
      <c r="BE54" s="521"/>
      <c r="BF54" s="521"/>
      <c r="BG54" s="521"/>
      <c r="BH54" s="516">
        <v>10</v>
      </c>
      <c r="BI54" s="521"/>
      <c r="BJ54" s="521"/>
      <c r="BK54" s="521"/>
      <c r="BL54" s="518"/>
      <c r="BM54" s="521"/>
      <c r="BN54" s="521"/>
      <c r="BO54" s="521"/>
      <c r="BP54" s="519">
        <v>10</v>
      </c>
      <c r="BQ54" s="522"/>
      <c r="BR54" s="522"/>
      <c r="BS54" s="522"/>
      <c r="BT54" s="516">
        <v>10</v>
      </c>
      <c r="BU54" s="522"/>
      <c r="BV54" s="522"/>
      <c r="BW54" s="522"/>
      <c r="BX54" s="518"/>
      <c r="BY54" s="523"/>
      <c r="BZ54" s="523"/>
      <c r="CA54" s="523"/>
      <c r="CB54" s="516">
        <v>8</v>
      </c>
      <c r="CC54" s="524"/>
      <c r="CD54" s="524"/>
      <c r="CE54" s="524"/>
      <c r="CF54" s="516">
        <v>8</v>
      </c>
      <c r="CG54" s="525"/>
      <c r="CH54" s="525"/>
      <c r="CI54" s="525"/>
      <c r="CJ54" s="518"/>
      <c r="CK54" s="524"/>
      <c r="CL54" s="524"/>
      <c r="CM54" s="524"/>
      <c r="CN54" s="518"/>
      <c r="CO54" s="524"/>
      <c r="CP54" s="524"/>
      <c r="CQ54" s="524"/>
      <c r="CR54" s="516">
        <v>10</v>
      </c>
      <c r="CS54" s="525"/>
      <c r="CT54" s="525"/>
      <c r="CU54" s="531"/>
      <c r="CV54" s="272">
        <v>10</v>
      </c>
      <c r="CW54" s="272">
        <v>10</v>
      </c>
      <c r="CX54" s="547"/>
      <c r="CY54" s="547"/>
      <c r="CZ54" s="547"/>
      <c r="DA54" s="546">
        <v>46</v>
      </c>
      <c r="DB54" s="272">
        <v>92</v>
      </c>
      <c r="DC54" s="272">
        <v>46</v>
      </c>
      <c r="DE54" s="272" t="s">
        <v>287</v>
      </c>
      <c r="DG54" s="272">
        <f>IF(D$7="YES",'CIA MARKS'!DX51,"")</f>
        <v>47</v>
      </c>
      <c r="DH54" s="31" t="str">
        <f>IF(D$8="YES",'CIA MARKS'!EH51,"")</f>
        <v/>
      </c>
      <c r="DI54" s="272" t="str">
        <f>IF(D$9="YES",'CIA MARKS'!EJ51,"")</f>
        <v/>
      </c>
      <c r="DJ54" s="272">
        <f>IF(Theory!D$7="YES",DC54,
 IF(Theory!D$8="YES",Lab!K46,
 IF(Theory!D$9="YES",DC54,"")))</f>
        <v>46</v>
      </c>
      <c r="DL54" s="350"/>
      <c r="DM54" s="350"/>
      <c r="DN54" s="350"/>
      <c r="DO54" s="350"/>
      <c r="DP54" s="350"/>
      <c r="DQ54" s="351"/>
      <c r="DR54" s="327"/>
      <c r="DS54" s="348">
        <f t="shared" si="0"/>
        <v>0</v>
      </c>
    </row>
    <row r="55" spans="1:123" ht="16.2" thickBot="1" x14ac:dyDescent="0.35">
      <c r="A55" s="471">
        <v>39</v>
      </c>
      <c r="B55" s="515" t="s">
        <v>370</v>
      </c>
      <c r="C55" s="515" t="s">
        <v>371</v>
      </c>
      <c r="D55" s="516">
        <v>5</v>
      </c>
      <c r="E55" s="526"/>
      <c r="F55" s="526"/>
      <c r="G55" s="526"/>
      <c r="H55" s="516">
        <v>4</v>
      </c>
      <c r="I55" s="526"/>
      <c r="J55" s="526"/>
      <c r="K55" s="526"/>
      <c r="L55" s="516">
        <v>5</v>
      </c>
      <c r="M55" s="526"/>
      <c r="N55" s="526"/>
      <c r="O55" s="526"/>
      <c r="P55" s="518"/>
      <c r="Q55" s="518"/>
      <c r="R55" s="526"/>
      <c r="S55" s="526"/>
      <c r="T55" s="518"/>
      <c r="U55" s="526"/>
      <c r="V55" s="526"/>
      <c r="W55" s="526"/>
      <c r="X55" s="518"/>
      <c r="Y55" s="526"/>
      <c r="Z55" s="526"/>
      <c r="AA55" s="526"/>
      <c r="AB55" s="516">
        <v>7</v>
      </c>
      <c r="AC55" s="526"/>
      <c r="AD55" s="526"/>
      <c r="AE55" s="526"/>
      <c r="AF55" s="518"/>
      <c r="AG55" s="526"/>
      <c r="AH55" s="526"/>
      <c r="AI55" s="526"/>
      <c r="AJ55" s="519">
        <v>6</v>
      </c>
      <c r="AK55" s="520"/>
      <c r="AL55" s="520"/>
      <c r="AM55" s="520"/>
      <c r="AN55" s="516">
        <v>6</v>
      </c>
      <c r="AO55" s="520"/>
      <c r="AP55" s="520"/>
      <c r="AQ55" s="520"/>
      <c r="AR55" s="516">
        <v>8</v>
      </c>
      <c r="AS55" s="521"/>
      <c r="AT55" s="521"/>
      <c r="AU55" s="521"/>
      <c r="AV55" s="518"/>
      <c r="AW55" s="521"/>
      <c r="AX55" s="521"/>
      <c r="AY55" s="521"/>
      <c r="AZ55" s="518"/>
      <c r="BA55" s="521"/>
      <c r="BB55" s="521"/>
      <c r="BC55" s="521"/>
      <c r="BD55" s="518"/>
      <c r="BE55" s="521"/>
      <c r="BF55" s="521"/>
      <c r="BG55" s="521"/>
      <c r="BH55" s="518"/>
      <c r="BI55" s="521"/>
      <c r="BJ55" s="521"/>
      <c r="BK55" s="521"/>
      <c r="BL55" s="518"/>
      <c r="BM55" s="521"/>
      <c r="BN55" s="521"/>
      <c r="BO55" s="521"/>
      <c r="BP55" s="519">
        <v>9</v>
      </c>
      <c r="BQ55" s="522"/>
      <c r="BR55" s="522"/>
      <c r="BS55" s="522"/>
      <c r="BT55" s="516">
        <v>8</v>
      </c>
      <c r="BU55" s="522"/>
      <c r="BV55" s="522"/>
      <c r="BW55" s="522"/>
      <c r="BX55" s="518"/>
      <c r="BY55" s="523"/>
      <c r="BZ55" s="523"/>
      <c r="CA55" s="523"/>
      <c r="CB55" s="516">
        <v>9</v>
      </c>
      <c r="CC55" s="524"/>
      <c r="CD55" s="524"/>
      <c r="CE55" s="524"/>
      <c r="CF55" s="518"/>
      <c r="CG55" s="525"/>
      <c r="CH55" s="525"/>
      <c r="CI55" s="525"/>
      <c r="CJ55" s="516">
        <v>8</v>
      </c>
      <c r="CK55" s="524"/>
      <c r="CL55" s="524"/>
      <c r="CM55" s="524"/>
      <c r="CN55" s="516">
        <v>9</v>
      </c>
      <c r="CO55" s="524"/>
      <c r="CP55" s="524"/>
      <c r="CQ55" s="524"/>
      <c r="CR55" s="518"/>
      <c r="CS55" s="525"/>
      <c r="CT55" s="525"/>
      <c r="CU55" s="531"/>
      <c r="CV55" s="272">
        <v>10</v>
      </c>
      <c r="CW55" s="272">
        <v>10</v>
      </c>
      <c r="CX55" s="547"/>
      <c r="CY55" s="547"/>
      <c r="CZ55" s="547"/>
      <c r="DA55" s="546">
        <v>37</v>
      </c>
      <c r="DB55" s="550">
        <v>71</v>
      </c>
      <c r="DC55" s="272">
        <v>34</v>
      </c>
      <c r="DE55" s="551" t="s">
        <v>54</v>
      </c>
      <c r="DG55" s="272">
        <f>IF(D$7="YES",'CIA MARKS'!DX52,"")</f>
        <v>37</v>
      </c>
      <c r="DH55" s="31" t="str">
        <f>IF(D$8="YES",'CIA MARKS'!EH52,"")</f>
        <v/>
      </c>
      <c r="DI55" s="272" t="str">
        <f>IF(D$9="YES",'CIA MARKS'!EJ52,"")</f>
        <v/>
      </c>
      <c r="DJ55" s="272">
        <f>IF(Theory!D$7="YES",DC55,
 IF(Theory!D$8="YES",Lab!K47,
 IF(Theory!D$9="YES",DC55,"")))</f>
        <v>34</v>
      </c>
      <c r="DL55" s="350"/>
      <c r="DM55" s="350"/>
      <c r="DN55" s="350"/>
      <c r="DO55" s="350"/>
      <c r="DP55" s="350"/>
      <c r="DQ55" s="351"/>
      <c r="DR55" s="327"/>
      <c r="DS55" s="348">
        <f t="shared" si="0"/>
        <v>0</v>
      </c>
    </row>
    <row r="56" spans="1:123" ht="16.2" thickBot="1" x14ac:dyDescent="0.35">
      <c r="A56" s="471">
        <v>40</v>
      </c>
      <c r="B56" s="515" t="s">
        <v>373</v>
      </c>
      <c r="C56" s="515" t="s">
        <v>377</v>
      </c>
      <c r="D56" s="516">
        <v>6</v>
      </c>
      <c r="E56" s="526"/>
      <c r="F56" s="526"/>
      <c r="G56" s="526"/>
      <c r="H56" s="516">
        <v>6</v>
      </c>
      <c r="I56" s="526"/>
      <c r="J56" s="526"/>
      <c r="K56" s="526"/>
      <c r="L56" s="516">
        <v>5</v>
      </c>
      <c r="M56" s="526"/>
      <c r="N56" s="526"/>
      <c r="O56" s="526"/>
      <c r="P56" s="518"/>
      <c r="Q56" s="518"/>
      <c r="R56" s="526"/>
      <c r="S56" s="526"/>
      <c r="T56" s="518"/>
      <c r="U56" s="526"/>
      <c r="V56" s="526"/>
      <c r="W56" s="526"/>
      <c r="X56" s="516">
        <v>8</v>
      </c>
      <c r="Y56" s="526"/>
      <c r="Z56" s="526"/>
      <c r="AA56" s="526"/>
      <c r="AB56" s="516">
        <v>6</v>
      </c>
      <c r="AC56" s="526"/>
      <c r="AD56" s="526"/>
      <c r="AE56" s="526"/>
      <c r="AF56" s="518"/>
      <c r="AG56" s="526"/>
      <c r="AH56" s="526"/>
      <c r="AI56" s="526"/>
      <c r="AJ56" s="519">
        <v>6</v>
      </c>
      <c r="AK56" s="520"/>
      <c r="AL56" s="520"/>
      <c r="AM56" s="520"/>
      <c r="AN56" s="516">
        <v>7</v>
      </c>
      <c r="AO56" s="520"/>
      <c r="AP56" s="520"/>
      <c r="AQ56" s="520"/>
      <c r="AR56" s="516">
        <v>8</v>
      </c>
      <c r="AS56" s="521"/>
      <c r="AT56" s="521"/>
      <c r="AU56" s="521"/>
      <c r="AV56" s="518"/>
      <c r="AW56" s="521"/>
      <c r="AX56" s="521"/>
      <c r="AY56" s="521"/>
      <c r="AZ56" s="518"/>
      <c r="BA56" s="521"/>
      <c r="BB56" s="521"/>
      <c r="BC56" s="521"/>
      <c r="BD56" s="516">
        <v>7</v>
      </c>
      <c r="BE56" s="521"/>
      <c r="BF56" s="521"/>
      <c r="BG56" s="521"/>
      <c r="BH56" s="516">
        <v>8</v>
      </c>
      <c r="BI56" s="521"/>
      <c r="BJ56" s="521"/>
      <c r="BK56" s="521"/>
      <c r="BL56" s="518"/>
      <c r="BM56" s="521"/>
      <c r="BN56" s="521"/>
      <c r="BO56" s="521"/>
      <c r="BP56" s="519">
        <v>8</v>
      </c>
      <c r="BQ56" s="522"/>
      <c r="BR56" s="522"/>
      <c r="BS56" s="522"/>
      <c r="BT56" s="516">
        <v>7</v>
      </c>
      <c r="BU56" s="522"/>
      <c r="BV56" s="522"/>
      <c r="BW56" s="522"/>
      <c r="BX56" s="516">
        <v>7</v>
      </c>
      <c r="BY56" s="523"/>
      <c r="BZ56" s="523"/>
      <c r="CA56" s="523"/>
      <c r="CB56" s="518"/>
      <c r="CC56" s="524"/>
      <c r="CD56" s="524"/>
      <c r="CE56" s="524"/>
      <c r="CF56" s="516">
        <v>8</v>
      </c>
      <c r="CG56" s="525"/>
      <c r="CH56" s="525"/>
      <c r="CI56" s="525"/>
      <c r="CJ56" s="518"/>
      <c r="CK56" s="524"/>
      <c r="CL56" s="524"/>
      <c r="CM56" s="524"/>
      <c r="CN56" s="518"/>
      <c r="CO56" s="524"/>
      <c r="CP56" s="524"/>
      <c r="CQ56" s="524"/>
      <c r="CR56" s="516">
        <v>9</v>
      </c>
      <c r="CS56" s="525"/>
      <c r="CT56" s="525"/>
      <c r="CU56" s="531"/>
      <c r="CV56" s="272">
        <v>10</v>
      </c>
      <c r="CW56" s="272">
        <v>10</v>
      </c>
      <c r="CX56" s="547"/>
      <c r="CY56" s="547"/>
      <c r="CZ56" s="547"/>
      <c r="DA56" s="546">
        <v>41</v>
      </c>
      <c r="DB56" s="550">
        <v>80</v>
      </c>
      <c r="DC56" s="272">
        <v>39</v>
      </c>
      <c r="DE56" s="551" t="s">
        <v>288</v>
      </c>
      <c r="DG56" s="272">
        <f>IF(D$7="YES",'CIA MARKS'!DX53,"")</f>
        <v>41</v>
      </c>
      <c r="DH56" s="31" t="str">
        <f>IF(D$8="YES",'CIA MARKS'!EH53,"")</f>
        <v/>
      </c>
      <c r="DI56" s="272" t="str">
        <f>IF(D$9="YES",'CIA MARKS'!EJ53,"")</f>
        <v/>
      </c>
      <c r="DJ56" s="272">
        <f>IF(Theory!D$7="YES",DC56,
 IF(Theory!D$8="YES",Lab!K48,
 IF(Theory!D$9="YES",DC56,"")))</f>
        <v>39</v>
      </c>
      <c r="DL56" s="350"/>
      <c r="DM56" s="350"/>
      <c r="DN56" s="350"/>
      <c r="DO56" s="350"/>
      <c r="DP56" s="350"/>
      <c r="DQ56" s="351"/>
      <c r="DR56" s="327"/>
      <c r="DS56" s="348">
        <f t="shared" si="0"/>
        <v>0</v>
      </c>
    </row>
    <row r="57" spans="1:123" ht="16.2" thickBot="1" x14ac:dyDescent="0.35">
      <c r="A57" s="471">
        <v>41</v>
      </c>
      <c r="B57" s="476"/>
      <c r="C57" s="477"/>
      <c r="D57" s="500"/>
      <c r="E57" s="501"/>
      <c r="F57" s="501"/>
      <c r="G57" s="501"/>
      <c r="H57" s="502"/>
      <c r="I57" s="501"/>
      <c r="J57" s="501"/>
      <c r="K57" s="501"/>
      <c r="L57" s="502"/>
      <c r="M57" s="501"/>
      <c r="N57" s="501"/>
      <c r="O57" s="501"/>
      <c r="P57" s="503"/>
      <c r="Q57" s="501"/>
      <c r="R57" s="501"/>
      <c r="S57" s="501"/>
      <c r="T57" s="503"/>
      <c r="U57" s="501"/>
      <c r="V57" s="501"/>
      <c r="W57" s="501"/>
      <c r="X57" s="502"/>
      <c r="Y57" s="501"/>
      <c r="Z57" s="501"/>
      <c r="AA57" s="501"/>
      <c r="AB57" s="503"/>
      <c r="AC57" s="501"/>
      <c r="AD57" s="501"/>
      <c r="AE57" s="501"/>
      <c r="AF57" s="502"/>
      <c r="AG57" s="501"/>
      <c r="AH57" s="501"/>
      <c r="AI57" s="501"/>
      <c r="AJ57" s="502"/>
      <c r="AK57" s="503"/>
      <c r="AL57" s="503"/>
      <c r="AM57" s="503"/>
      <c r="AN57" s="502"/>
      <c r="AO57" s="503"/>
      <c r="AP57" s="503"/>
      <c r="AQ57" s="503"/>
      <c r="AR57" s="503"/>
      <c r="AS57" s="504"/>
      <c r="AT57" s="504"/>
      <c r="AU57" s="504"/>
      <c r="AV57" s="502"/>
      <c r="AW57" s="504"/>
      <c r="AX57" s="504"/>
      <c r="AY57" s="504"/>
      <c r="AZ57" s="502"/>
      <c r="BA57" s="504"/>
      <c r="BB57" s="504"/>
      <c r="BC57" s="504"/>
      <c r="BD57" s="503"/>
      <c r="BE57" s="504"/>
      <c r="BF57" s="504"/>
      <c r="BG57" s="504"/>
      <c r="BH57" s="502"/>
      <c r="BI57" s="504"/>
      <c r="BJ57" s="504"/>
      <c r="BK57" s="504"/>
      <c r="BL57" s="503"/>
      <c r="BM57" s="504"/>
      <c r="BN57" s="504"/>
      <c r="BO57" s="504"/>
      <c r="BP57" s="502"/>
      <c r="BQ57" s="505"/>
      <c r="BR57" s="505"/>
      <c r="BS57" s="505"/>
      <c r="BT57" s="502"/>
      <c r="BU57" s="505"/>
      <c r="BV57" s="505"/>
      <c r="BW57" s="505"/>
      <c r="BX57" s="502"/>
      <c r="BY57" s="505"/>
      <c r="BZ57" s="505"/>
      <c r="CA57" s="505"/>
      <c r="CB57" s="503"/>
      <c r="CC57" s="492"/>
      <c r="CD57" s="492"/>
      <c r="CE57" s="492"/>
      <c r="CF57" s="502"/>
      <c r="CG57" s="492"/>
      <c r="CH57" s="492"/>
      <c r="CI57" s="492"/>
      <c r="CJ57" s="503"/>
      <c r="CK57" s="492"/>
      <c r="CL57" s="492"/>
      <c r="CM57" s="492"/>
      <c r="CN57" s="502"/>
      <c r="CO57" s="492"/>
      <c r="CP57" s="492"/>
      <c r="CQ57" s="492"/>
      <c r="CR57" s="503"/>
      <c r="CS57" s="492"/>
      <c r="CT57" s="492"/>
      <c r="CU57" s="533"/>
      <c r="CV57" s="545"/>
      <c r="CW57" s="545"/>
      <c r="CX57" s="546"/>
      <c r="CY57" s="546"/>
      <c r="CZ57" s="546"/>
      <c r="DA57" s="545"/>
      <c r="DB57" s="545"/>
      <c r="DC57" s="545"/>
      <c r="DE57" s="31"/>
      <c r="DG57" s="272" t="e">
        <f>IF(D$7="YES",'CIA MARKS'!DX54,"")</f>
        <v>#N/A</v>
      </c>
      <c r="DH57" s="31" t="str">
        <f>IF(D$8="YES",'CIA MARKS'!EH54,"")</f>
        <v/>
      </c>
      <c r="DI57" s="272" t="str">
        <f>IF(D$9="YES",'CIA MARKS'!EJ54,"")</f>
        <v/>
      </c>
      <c r="DJ57" s="272">
        <f>IF(Theory!D$7="YES",DC57,
 IF(Theory!D$8="YES",Lab!K49,
 IF(Theory!D$9="YES",DC57,"")))</f>
        <v>0</v>
      </c>
      <c r="DL57" s="350"/>
      <c r="DM57" s="350"/>
      <c r="DN57" s="350"/>
      <c r="DO57" s="350"/>
      <c r="DP57" s="350"/>
      <c r="DQ57" s="351"/>
      <c r="DR57" s="327"/>
      <c r="DS57" s="348">
        <f t="shared" si="0"/>
        <v>0</v>
      </c>
    </row>
    <row r="58" spans="1:123" ht="16.2" thickBot="1" x14ac:dyDescent="0.35">
      <c r="A58" s="471">
        <v>42</v>
      </c>
      <c r="B58" s="476"/>
      <c r="C58" s="477"/>
      <c r="D58" s="500"/>
      <c r="E58" s="501"/>
      <c r="F58" s="501"/>
      <c r="G58" s="501"/>
      <c r="H58" s="502"/>
      <c r="I58" s="501"/>
      <c r="J58" s="501"/>
      <c r="K58" s="501"/>
      <c r="L58" s="503"/>
      <c r="M58" s="501"/>
      <c r="N58" s="501"/>
      <c r="O58" s="501"/>
      <c r="P58" s="502"/>
      <c r="Q58" s="501"/>
      <c r="R58" s="501"/>
      <c r="S58" s="501"/>
      <c r="T58" s="502"/>
      <c r="U58" s="501"/>
      <c r="V58" s="501"/>
      <c r="W58" s="501"/>
      <c r="X58" s="503"/>
      <c r="Y58" s="501"/>
      <c r="Z58" s="501"/>
      <c r="AA58" s="501"/>
      <c r="AB58" s="503"/>
      <c r="AC58" s="501"/>
      <c r="AD58" s="501"/>
      <c r="AE58" s="501"/>
      <c r="AF58" s="502"/>
      <c r="AG58" s="501"/>
      <c r="AH58" s="501"/>
      <c r="AI58" s="501"/>
      <c r="AJ58" s="502"/>
      <c r="AK58" s="503"/>
      <c r="AL58" s="503"/>
      <c r="AM58" s="503"/>
      <c r="AN58" s="502"/>
      <c r="AO58" s="502"/>
      <c r="AP58" s="503"/>
      <c r="AQ58" s="503"/>
      <c r="AR58" s="503"/>
      <c r="AS58" s="504"/>
      <c r="AT58" s="504"/>
      <c r="AU58" s="504"/>
      <c r="AV58" s="502"/>
      <c r="AW58" s="504"/>
      <c r="AX58" s="504"/>
      <c r="AY58" s="504"/>
      <c r="AZ58" s="503"/>
      <c r="BA58" s="504"/>
      <c r="BB58" s="504"/>
      <c r="BC58" s="504"/>
      <c r="BD58" s="502"/>
      <c r="BE58" s="504"/>
      <c r="BF58" s="504"/>
      <c r="BG58" s="504"/>
      <c r="BH58" s="502"/>
      <c r="BI58" s="504"/>
      <c r="BJ58" s="504"/>
      <c r="BK58" s="504"/>
      <c r="BL58" s="503"/>
      <c r="BM58" s="504"/>
      <c r="BN58" s="504"/>
      <c r="BO58" s="504"/>
      <c r="BP58" s="502"/>
      <c r="BQ58" s="505"/>
      <c r="BR58" s="505"/>
      <c r="BS58" s="505"/>
      <c r="BT58" s="502"/>
      <c r="BU58" s="505"/>
      <c r="BV58" s="505"/>
      <c r="BW58" s="505"/>
      <c r="BX58" s="502"/>
      <c r="BY58" s="505"/>
      <c r="BZ58" s="505"/>
      <c r="CA58" s="505"/>
      <c r="CB58" s="503"/>
      <c r="CC58" s="492"/>
      <c r="CD58" s="492"/>
      <c r="CE58" s="492"/>
      <c r="CF58" s="503"/>
      <c r="CG58" s="492"/>
      <c r="CH58" s="492"/>
      <c r="CI58" s="492"/>
      <c r="CJ58" s="502"/>
      <c r="CK58" s="492"/>
      <c r="CL58" s="492"/>
      <c r="CM58" s="492"/>
      <c r="CN58" s="502"/>
      <c r="CO58" s="492"/>
      <c r="CP58" s="492"/>
      <c r="CQ58" s="492"/>
      <c r="CR58" s="503"/>
      <c r="CS58" s="492"/>
      <c r="CT58" s="492"/>
      <c r="CU58" s="533"/>
      <c r="CV58" s="545"/>
      <c r="CW58" s="545"/>
      <c r="CX58" s="546"/>
      <c r="CY58" s="546"/>
      <c r="CZ58" s="546"/>
      <c r="DA58" s="545"/>
      <c r="DB58" s="545"/>
      <c r="DC58" s="545"/>
      <c r="DD58" s="545"/>
      <c r="DE58" s="31"/>
      <c r="DG58" s="272" t="e">
        <f>IF(D$7="YES",'CIA MARKS'!DX55,"")</f>
        <v>#N/A</v>
      </c>
      <c r="DH58" s="31" t="str">
        <f>IF(D$8="YES",'CIA MARKS'!EH55,"")</f>
        <v/>
      </c>
      <c r="DI58" s="272" t="str">
        <f>IF(D$9="YES",'CIA MARKS'!EJ55,"")</f>
        <v/>
      </c>
      <c r="DJ58" s="272">
        <f>IF(Theory!D$7="YES",DC58,
 IF(Theory!D$8="YES",Lab!K50,
 IF(Theory!D$9="YES",DC58,"")))</f>
        <v>0</v>
      </c>
      <c r="DL58" s="350"/>
      <c r="DM58" s="350"/>
      <c r="DN58" s="350"/>
      <c r="DO58" s="350"/>
      <c r="DP58" s="350"/>
      <c r="DQ58" s="351"/>
      <c r="DR58" s="327"/>
      <c r="DS58" s="348">
        <f t="shared" si="0"/>
        <v>0</v>
      </c>
    </row>
    <row r="59" spans="1:123" ht="16.5" customHeight="1" thickBot="1" x14ac:dyDescent="0.35">
      <c r="A59" s="471">
        <v>43</v>
      </c>
      <c r="B59" s="476"/>
      <c r="C59" s="477"/>
      <c r="D59" s="500"/>
      <c r="E59" s="501"/>
      <c r="F59" s="501"/>
      <c r="G59" s="501"/>
      <c r="H59" s="502"/>
      <c r="I59" s="501"/>
      <c r="J59" s="501"/>
      <c r="K59" s="501"/>
      <c r="L59" s="502"/>
      <c r="M59" s="501"/>
      <c r="N59" s="501"/>
      <c r="O59" s="501"/>
      <c r="P59" s="503"/>
      <c r="Q59" s="501"/>
      <c r="R59" s="501"/>
      <c r="S59" s="501"/>
      <c r="T59" s="502"/>
      <c r="U59" s="501"/>
      <c r="V59" s="501"/>
      <c r="W59" s="501"/>
      <c r="X59" s="503"/>
      <c r="Y59" s="501"/>
      <c r="Z59" s="501"/>
      <c r="AA59" s="501"/>
      <c r="AB59" s="503"/>
      <c r="AC59" s="501"/>
      <c r="AD59" s="501"/>
      <c r="AE59" s="501"/>
      <c r="AF59" s="502"/>
      <c r="AG59" s="501"/>
      <c r="AH59" s="501"/>
      <c r="AI59" s="501"/>
      <c r="AJ59" s="502"/>
      <c r="AK59" s="503"/>
      <c r="AL59" s="503"/>
      <c r="AM59" s="503"/>
      <c r="AN59" s="502"/>
      <c r="AO59" s="502"/>
      <c r="AP59" s="503"/>
      <c r="AQ59" s="503"/>
      <c r="AR59" s="503"/>
      <c r="AS59" s="504"/>
      <c r="AT59" s="504"/>
      <c r="AU59" s="504"/>
      <c r="AV59" s="502"/>
      <c r="AW59" s="504"/>
      <c r="AX59" s="504"/>
      <c r="AY59" s="504"/>
      <c r="AZ59" s="503"/>
      <c r="BA59" s="504"/>
      <c r="BB59" s="504"/>
      <c r="BC59" s="504"/>
      <c r="BD59" s="502"/>
      <c r="BE59" s="504"/>
      <c r="BF59" s="504"/>
      <c r="BG59" s="504"/>
      <c r="BH59" s="502"/>
      <c r="BI59" s="504"/>
      <c r="BJ59" s="504"/>
      <c r="BK59" s="504"/>
      <c r="BL59" s="503"/>
      <c r="BM59" s="504"/>
      <c r="BN59" s="504"/>
      <c r="BO59" s="504"/>
      <c r="BP59" s="502"/>
      <c r="BQ59" s="505"/>
      <c r="BR59" s="505"/>
      <c r="BS59" s="505"/>
      <c r="BT59" s="502"/>
      <c r="BU59" s="505"/>
      <c r="BV59" s="505"/>
      <c r="BW59" s="505"/>
      <c r="BX59" s="503"/>
      <c r="BY59" s="505"/>
      <c r="BZ59" s="505"/>
      <c r="CA59" s="505"/>
      <c r="CB59" s="502"/>
      <c r="CC59" s="492"/>
      <c r="CD59" s="492"/>
      <c r="CE59" s="492"/>
      <c r="CF59" s="502"/>
      <c r="CG59" s="492"/>
      <c r="CH59" s="492"/>
      <c r="CI59" s="492"/>
      <c r="CJ59" s="503"/>
      <c r="CK59" s="492"/>
      <c r="CL59" s="492"/>
      <c r="CM59" s="492"/>
      <c r="CN59" s="502"/>
      <c r="CO59" s="492"/>
      <c r="CP59" s="492"/>
      <c r="CQ59" s="492"/>
      <c r="CR59" s="503"/>
      <c r="CS59" s="492"/>
      <c r="CT59" s="492"/>
      <c r="CU59" s="533"/>
      <c r="CV59" s="545"/>
      <c r="CW59" s="545"/>
      <c r="CX59" s="546"/>
      <c r="CY59" s="546"/>
      <c r="CZ59" s="546"/>
      <c r="DA59" s="545"/>
      <c r="DB59" s="545"/>
      <c r="DC59" s="545"/>
      <c r="DD59" s="545"/>
      <c r="DE59" s="31"/>
      <c r="DG59" s="272" t="e">
        <f>IF(D$7="YES",'CIA MARKS'!DX56,"")</f>
        <v>#N/A</v>
      </c>
      <c r="DH59" s="31" t="str">
        <f>IF(D$8="YES",'CIA MARKS'!EH56,"")</f>
        <v/>
      </c>
      <c r="DI59" s="272" t="str">
        <f>IF(D$9="YES",'CIA MARKS'!EJ56,"")</f>
        <v/>
      </c>
      <c r="DJ59" s="272">
        <f>IF(Theory!D$7="YES",DC59,
 IF(Theory!D$8="YES",Lab!K51,
 IF(Theory!D$9="YES",DC59,"")))</f>
        <v>0</v>
      </c>
      <c r="DL59" s="350"/>
      <c r="DM59" s="350"/>
      <c r="DN59" s="350"/>
      <c r="DO59" s="350"/>
      <c r="DP59" s="350"/>
      <c r="DQ59" s="351"/>
      <c r="DR59" s="327"/>
      <c r="DS59" s="348">
        <f t="shared" si="0"/>
        <v>0</v>
      </c>
    </row>
    <row r="60" spans="1:123" ht="16.2" thickBot="1" x14ac:dyDescent="0.35">
      <c r="A60" s="471">
        <v>44</v>
      </c>
      <c r="B60" s="476"/>
      <c r="C60" s="477"/>
      <c r="D60" s="500"/>
      <c r="E60" s="501"/>
      <c r="F60" s="501"/>
      <c r="G60" s="501"/>
      <c r="H60" s="502"/>
      <c r="I60" s="501"/>
      <c r="J60" s="501"/>
      <c r="K60" s="501"/>
      <c r="L60" s="503"/>
      <c r="M60" s="501"/>
      <c r="N60" s="501"/>
      <c r="O60" s="501"/>
      <c r="P60" s="502"/>
      <c r="Q60" s="501"/>
      <c r="R60" s="501"/>
      <c r="S60" s="501"/>
      <c r="T60" s="502"/>
      <c r="U60" s="501"/>
      <c r="V60" s="501"/>
      <c r="W60" s="501"/>
      <c r="X60" s="503"/>
      <c r="Y60" s="501"/>
      <c r="Z60" s="501"/>
      <c r="AA60" s="501"/>
      <c r="AB60" s="503"/>
      <c r="AC60" s="501"/>
      <c r="AD60" s="501"/>
      <c r="AE60" s="501"/>
      <c r="AF60" s="502"/>
      <c r="AG60" s="501"/>
      <c r="AH60" s="501"/>
      <c r="AI60" s="501"/>
      <c r="AJ60" s="502"/>
      <c r="AK60" s="503"/>
      <c r="AL60" s="503"/>
      <c r="AM60" s="503"/>
      <c r="AN60" s="502"/>
      <c r="AO60" s="502"/>
      <c r="AP60" s="503"/>
      <c r="AQ60" s="503"/>
      <c r="AR60" s="503"/>
      <c r="AS60" s="504"/>
      <c r="AT60" s="504"/>
      <c r="AU60" s="504"/>
      <c r="AV60" s="502"/>
      <c r="AW60" s="504"/>
      <c r="AX60" s="504"/>
      <c r="AY60" s="504"/>
      <c r="AZ60" s="503"/>
      <c r="BA60" s="504"/>
      <c r="BB60" s="504"/>
      <c r="BC60" s="504"/>
      <c r="BD60" s="502"/>
      <c r="BE60" s="504"/>
      <c r="BF60" s="504"/>
      <c r="BG60" s="504"/>
      <c r="BH60" s="503"/>
      <c r="BI60" s="504"/>
      <c r="BJ60" s="504"/>
      <c r="BK60" s="504"/>
      <c r="BL60" s="502"/>
      <c r="BM60" s="504"/>
      <c r="BN60" s="504"/>
      <c r="BO60" s="504"/>
      <c r="BP60" s="502"/>
      <c r="BQ60" s="505"/>
      <c r="BR60" s="505"/>
      <c r="BS60" s="505"/>
      <c r="BT60" s="502"/>
      <c r="BU60" s="505"/>
      <c r="BV60" s="505"/>
      <c r="BW60" s="505"/>
      <c r="BX60" s="502"/>
      <c r="BY60" s="505"/>
      <c r="BZ60" s="505"/>
      <c r="CA60" s="505"/>
      <c r="CB60" s="503"/>
      <c r="CC60" s="492"/>
      <c r="CD60" s="492"/>
      <c r="CE60" s="492"/>
      <c r="CF60" s="502"/>
      <c r="CG60" s="492"/>
      <c r="CH60" s="492"/>
      <c r="CI60" s="492"/>
      <c r="CJ60" s="503"/>
      <c r="CK60" s="492"/>
      <c r="CL60" s="492"/>
      <c r="CM60" s="492"/>
      <c r="CN60" s="502"/>
      <c r="CO60" s="492"/>
      <c r="CP60" s="492"/>
      <c r="CQ60" s="492"/>
      <c r="CR60" s="503"/>
      <c r="CS60" s="492"/>
      <c r="CT60" s="492"/>
      <c r="CU60" s="533"/>
      <c r="CV60" s="545"/>
      <c r="CW60" s="545"/>
      <c r="CX60" s="546"/>
      <c r="CY60" s="546"/>
      <c r="CZ60" s="546"/>
      <c r="DA60" s="545"/>
      <c r="DB60" s="545"/>
      <c r="DC60" s="545"/>
      <c r="DD60" s="545"/>
      <c r="DE60" s="31"/>
      <c r="DG60" s="272" t="e">
        <f>IF(D$7="YES",'CIA MARKS'!DX57,"")</f>
        <v>#N/A</v>
      </c>
      <c r="DH60" s="31" t="str">
        <f>IF(D$8="YES",'CIA MARKS'!EH57,"")</f>
        <v/>
      </c>
      <c r="DI60" s="272" t="str">
        <f>IF(D$9="YES",'CIA MARKS'!EJ57,"")</f>
        <v/>
      </c>
      <c r="DJ60" s="272">
        <f>IF(Theory!D$7="YES",DC60,
 IF(Theory!D$8="YES",Lab!K52,
 IF(Theory!D$9="YES",DC60,"")))</f>
        <v>0</v>
      </c>
      <c r="DL60" s="350"/>
      <c r="DM60" s="350"/>
      <c r="DN60" s="350"/>
      <c r="DO60" s="350"/>
      <c r="DP60" s="350"/>
      <c r="DQ60" s="351"/>
      <c r="DR60" s="327"/>
      <c r="DS60" s="348">
        <f t="shared" si="0"/>
        <v>0</v>
      </c>
    </row>
    <row r="61" spans="1:123" ht="16.2" thickBot="1" x14ac:dyDescent="0.35">
      <c r="A61" s="471">
        <v>45</v>
      </c>
      <c r="B61" s="476"/>
      <c r="C61" s="477"/>
      <c r="D61" s="500"/>
      <c r="E61" s="501"/>
      <c r="F61" s="501"/>
      <c r="G61" s="501"/>
      <c r="H61" s="502"/>
      <c r="I61" s="501"/>
      <c r="J61" s="501"/>
      <c r="K61" s="501"/>
      <c r="L61" s="502"/>
      <c r="M61" s="501"/>
      <c r="N61" s="501"/>
      <c r="O61" s="501"/>
      <c r="P61" s="503"/>
      <c r="Q61" s="501"/>
      <c r="R61" s="501"/>
      <c r="S61" s="501"/>
      <c r="T61" s="502"/>
      <c r="U61" s="501"/>
      <c r="V61" s="501"/>
      <c r="W61" s="501"/>
      <c r="X61" s="503"/>
      <c r="Y61" s="501"/>
      <c r="Z61" s="501"/>
      <c r="AA61" s="501"/>
      <c r="AB61" s="503"/>
      <c r="AC61" s="501"/>
      <c r="AD61" s="501"/>
      <c r="AE61" s="501"/>
      <c r="AF61" s="502"/>
      <c r="AG61" s="501"/>
      <c r="AH61" s="501"/>
      <c r="AI61" s="501"/>
      <c r="AJ61" s="502"/>
      <c r="AK61" s="503"/>
      <c r="AL61" s="503"/>
      <c r="AM61" s="503"/>
      <c r="AN61" s="502"/>
      <c r="AO61" s="502"/>
      <c r="AP61" s="503"/>
      <c r="AQ61" s="503"/>
      <c r="AR61" s="503"/>
      <c r="AS61" s="504"/>
      <c r="AT61" s="504"/>
      <c r="AU61" s="504"/>
      <c r="AV61" s="502"/>
      <c r="AW61" s="504"/>
      <c r="AX61" s="504"/>
      <c r="AY61" s="504"/>
      <c r="AZ61" s="502"/>
      <c r="BA61" s="504"/>
      <c r="BB61" s="504"/>
      <c r="BC61" s="504"/>
      <c r="BD61" s="503"/>
      <c r="BE61" s="504"/>
      <c r="BF61" s="504"/>
      <c r="BG61" s="504"/>
      <c r="BH61" s="502"/>
      <c r="BI61" s="504"/>
      <c r="BJ61" s="504"/>
      <c r="BK61" s="504"/>
      <c r="BL61" s="503"/>
      <c r="BM61" s="504"/>
      <c r="BN61" s="504"/>
      <c r="BO61" s="504"/>
      <c r="BP61" s="502"/>
      <c r="BQ61" s="505"/>
      <c r="BR61" s="505"/>
      <c r="BS61" s="505"/>
      <c r="BT61" s="502"/>
      <c r="BU61" s="505"/>
      <c r="BV61" s="505"/>
      <c r="BW61" s="505"/>
      <c r="BX61" s="503"/>
      <c r="BY61" s="505"/>
      <c r="BZ61" s="505"/>
      <c r="CA61" s="505"/>
      <c r="CB61" s="502"/>
      <c r="CC61" s="492"/>
      <c r="CD61" s="492"/>
      <c r="CE61" s="492"/>
      <c r="CF61" s="502"/>
      <c r="CG61" s="492"/>
      <c r="CH61" s="492"/>
      <c r="CI61" s="492"/>
      <c r="CJ61" s="503"/>
      <c r="CK61" s="492"/>
      <c r="CL61" s="492"/>
      <c r="CM61" s="492"/>
      <c r="CN61" s="502"/>
      <c r="CO61" s="492"/>
      <c r="CP61" s="492"/>
      <c r="CQ61" s="492"/>
      <c r="CR61" s="503"/>
      <c r="CS61" s="492"/>
      <c r="CT61" s="492"/>
      <c r="CU61" s="533"/>
      <c r="CV61" s="545"/>
      <c r="CW61" s="545"/>
      <c r="CX61" s="546"/>
      <c r="CY61" s="546"/>
      <c r="CZ61" s="546"/>
      <c r="DA61" s="545"/>
      <c r="DB61" s="545"/>
      <c r="DC61" s="545"/>
      <c r="DD61" s="545"/>
      <c r="DE61" s="31"/>
      <c r="DG61" s="272" t="e">
        <f>IF(D$7="YES",'CIA MARKS'!DX58,"")</f>
        <v>#N/A</v>
      </c>
      <c r="DH61" s="31" t="str">
        <f>IF(D$8="YES",'CIA MARKS'!EH58,"")</f>
        <v/>
      </c>
      <c r="DI61" s="272" t="str">
        <f>IF(D$9="YES",'CIA MARKS'!EJ58,"")</f>
        <v/>
      </c>
      <c r="DJ61" s="272">
        <f>IF(Theory!D$7="YES",DC61,
 IF(Theory!D$8="YES",Lab!K53,
 IF(Theory!D$9="YES",DC61,"")))</f>
        <v>0</v>
      </c>
      <c r="DL61" s="350"/>
      <c r="DM61" s="350"/>
      <c r="DN61" s="350"/>
      <c r="DO61" s="350"/>
      <c r="DP61" s="350"/>
      <c r="DQ61" s="351"/>
      <c r="DR61" s="327"/>
      <c r="DS61" s="348">
        <f t="shared" si="0"/>
        <v>0</v>
      </c>
    </row>
    <row r="62" spans="1:123" ht="16.2" thickBot="1" x14ac:dyDescent="0.35">
      <c r="A62" s="471">
        <v>46</v>
      </c>
      <c r="B62" s="476"/>
      <c r="C62" s="477"/>
      <c r="D62" s="500"/>
      <c r="E62" s="501"/>
      <c r="F62" s="501"/>
      <c r="G62" s="501"/>
      <c r="H62" s="502"/>
      <c r="I62" s="501"/>
      <c r="J62" s="501"/>
      <c r="K62" s="501"/>
      <c r="L62" s="502"/>
      <c r="M62" s="501"/>
      <c r="N62" s="501"/>
      <c r="O62" s="501"/>
      <c r="P62" s="503"/>
      <c r="Q62" s="501"/>
      <c r="R62" s="501"/>
      <c r="S62" s="501"/>
      <c r="T62" s="502"/>
      <c r="U62" s="501"/>
      <c r="V62" s="501"/>
      <c r="W62" s="501"/>
      <c r="X62" s="503"/>
      <c r="Y62" s="501"/>
      <c r="Z62" s="501"/>
      <c r="AA62" s="501"/>
      <c r="AB62" s="503"/>
      <c r="AC62" s="501"/>
      <c r="AD62" s="501"/>
      <c r="AE62" s="501"/>
      <c r="AF62" s="502"/>
      <c r="AG62" s="501"/>
      <c r="AH62" s="501"/>
      <c r="AI62" s="501"/>
      <c r="AJ62" s="502"/>
      <c r="AK62" s="503"/>
      <c r="AL62" s="503"/>
      <c r="AM62" s="503"/>
      <c r="AN62" s="502"/>
      <c r="AO62" s="502"/>
      <c r="AP62" s="503"/>
      <c r="AQ62" s="503"/>
      <c r="AR62" s="503"/>
      <c r="AS62" s="503"/>
      <c r="AT62" s="503"/>
      <c r="AU62" s="503"/>
      <c r="AV62" s="502"/>
      <c r="AW62" s="503"/>
      <c r="AX62" s="503"/>
      <c r="AY62" s="503"/>
      <c r="AZ62" s="503"/>
      <c r="BA62" s="503"/>
      <c r="BB62" s="503"/>
      <c r="BC62" s="503"/>
      <c r="BD62" s="502"/>
      <c r="BE62" s="503"/>
      <c r="BF62" s="503"/>
      <c r="BG62" s="503"/>
      <c r="BH62" s="503"/>
      <c r="BI62" s="503"/>
      <c r="BJ62" s="503"/>
      <c r="BK62" s="503"/>
      <c r="BL62" s="502"/>
      <c r="BM62" s="503"/>
      <c r="BN62" s="503"/>
      <c r="BO62" s="503"/>
      <c r="BP62" s="502"/>
      <c r="BQ62" s="505"/>
      <c r="BR62" s="505"/>
      <c r="BS62" s="505"/>
      <c r="BT62" s="502"/>
      <c r="BU62" s="505"/>
      <c r="BV62" s="505"/>
      <c r="BW62" s="505"/>
      <c r="BX62" s="502"/>
      <c r="BY62" s="505"/>
      <c r="BZ62" s="505"/>
      <c r="CA62" s="505"/>
      <c r="CB62" s="503"/>
      <c r="CC62" s="492"/>
      <c r="CD62" s="492"/>
      <c r="CE62" s="492"/>
      <c r="CF62" s="503"/>
      <c r="CG62" s="492"/>
      <c r="CH62" s="492"/>
      <c r="CI62" s="492"/>
      <c r="CJ62" s="502"/>
      <c r="CK62" s="492"/>
      <c r="CL62" s="492"/>
      <c r="CM62" s="492"/>
      <c r="CN62" s="502"/>
      <c r="CO62" s="492"/>
      <c r="CP62" s="492"/>
      <c r="CQ62" s="492"/>
      <c r="CR62" s="503"/>
      <c r="CS62" s="492"/>
      <c r="CT62" s="492"/>
      <c r="CU62" s="533"/>
      <c r="CV62" s="545"/>
      <c r="CW62" s="545"/>
      <c r="CX62" s="546"/>
      <c r="CY62" s="546"/>
      <c r="CZ62" s="546"/>
      <c r="DA62" s="545"/>
      <c r="DB62" s="545"/>
      <c r="DC62" s="545"/>
      <c r="DD62" s="545"/>
      <c r="DE62" s="31"/>
      <c r="DG62" s="272" t="e">
        <f>IF(D$7="YES",'CIA MARKS'!DX59,"")</f>
        <v>#N/A</v>
      </c>
      <c r="DH62" s="31" t="str">
        <f>IF(D$8="YES",'CIA MARKS'!EH59,"")</f>
        <v/>
      </c>
      <c r="DI62" s="272" t="str">
        <f>IF(D$9="YES",'CIA MARKS'!EJ59,"")</f>
        <v/>
      </c>
      <c r="DJ62" s="272">
        <f>IF(Theory!D$7="YES",DC62,
 IF(Theory!D$8="YES",Lab!K54,
 IF(Theory!D$9="YES",DC62,"")))</f>
        <v>0</v>
      </c>
      <c r="DL62" s="350"/>
      <c r="DM62" s="350"/>
      <c r="DN62" s="350"/>
      <c r="DO62" s="350"/>
      <c r="DP62" s="350"/>
      <c r="DQ62" s="351"/>
      <c r="DR62" s="327"/>
      <c r="DS62" s="348">
        <f t="shared" si="0"/>
        <v>0</v>
      </c>
    </row>
    <row r="63" spans="1:123" ht="16.2" thickBot="1" x14ac:dyDescent="0.35">
      <c r="A63" s="471">
        <v>47</v>
      </c>
      <c r="B63" s="476"/>
      <c r="C63" s="477"/>
      <c r="D63" s="500"/>
      <c r="E63" s="501"/>
      <c r="F63" s="501"/>
      <c r="G63" s="501"/>
      <c r="H63" s="502"/>
      <c r="I63" s="501"/>
      <c r="J63" s="501"/>
      <c r="K63" s="501"/>
      <c r="L63" s="502"/>
      <c r="M63" s="501"/>
      <c r="N63" s="501"/>
      <c r="O63" s="501"/>
      <c r="P63" s="503"/>
      <c r="Q63" s="501"/>
      <c r="R63" s="501"/>
      <c r="S63" s="501"/>
      <c r="T63" s="503"/>
      <c r="U63" s="501"/>
      <c r="V63" s="501"/>
      <c r="W63" s="501"/>
      <c r="X63" s="502"/>
      <c r="Y63" s="501"/>
      <c r="Z63" s="501"/>
      <c r="AA63" s="501"/>
      <c r="AB63" s="503"/>
      <c r="AC63" s="501"/>
      <c r="AD63" s="501"/>
      <c r="AE63" s="501"/>
      <c r="AF63" s="502"/>
      <c r="AG63" s="501"/>
      <c r="AH63" s="501"/>
      <c r="AI63" s="511"/>
      <c r="AJ63" s="502"/>
      <c r="AK63" s="503"/>
      <c r="AL63" s="503"/>
      <c r="AM63" s="503"/>
      <c r="AN63" s="503"/>
      <c r="AO63" s="502"/>
      <c r="AP63" s="503"/>
      <c r="AQ63" s="503"/>
      <c r="AR63" s="503"/>
      <c r="AS63" s="504"/>
      <c r="AT63" s="504"/>
      <c r="AU63" s="504"/>
      <c r="AV63" s="502"/>
      <c r="AW63" s="504"/>
      <c r="AX63" s="504"/>
      <c r="AY63" s="504"/>
      <c r="AZ63" s="503"/>
      <c r="BA63" s="504"/>
      <c r="BB63" s="504"/>
      <c r="BC63" s="504"/>
      <c r="BD63" s="502"/>
      <c r="BE63" s="504"/>
      <c r="BF63" s="504"/>
      <c r="BG63" s="504"/>
      <c r="BH63" s="503"/>
      <c r="BI63" s="504"/>
      <c r="BJ63" s="504"/>
      <c r="BK63" s="504"/>
      <c r="BL63" s="502"/>
      <c r="BM63" s="504"/>
      <c r="BN63" s="504"/>
      <c r="BO63" s="504"/>
      <c r="BP63" s="502"/>
      <c r="BQ63" s="505"/>
      <c r="BR63" s="505"/>
      <c r="BS63" s="505"/>
      <c r="BT63" s="502"/>
      <c r="BU63" s="505"/>
      <c r="BV63" s="505"/>
      <c r="BW63" s="505"/>
      <c r="BX63" s="502"/>
      <c r="BY63" s="505"/>
      <c r="BZ63" s="505"/>
      <c r="CA63" s="505"/>
      <c r="CB63" s="503"/>
      <c r="CC63" s="492"/>
      <c r="CD63" s="492"/>
      <c r="CE63" s="492"/>
      <c r="CF63" s="503"/>
      <c r="CG63" s="492"/>
      <c r="CH63" s="492"/>
      <c r="CI63" s="492"/>
      <c r="CJ63" s="502"/>
      <c r="CK63" s="492"/>
      <c r="CL63" s="492"/>
      <c r="CM63" s="492"/>
      <c r="CN63" s="502"/>
      <c r="CO63" s="492"/>
      <c r="CP63" s="492"/>
      <c r="CQ63" s="492"/>
      <c r="CR63" s="503"/>
      <c r="CS63" s="492"/>
      <c r="CT63" s="492"/>
      <c r="CU63" s="533"/>
      <c r="CV63" s="545"/>
      <c r="CW63" s="545"/>
      <c r="CX63" s="546"/>
      <c r="CY63" s="546"/>
      <c r="CZ63" s="546"/>
      <c r="DA63" s="545"/>
      <c r="DB63" s="545"/>
      <c r="DC63" s="545"/>
      <c r="DD63" s="545"/>
      <c r="DE63" s="31"/>
      <c r="DG63" s="272" t="e">
        <f>IF(D$7="YES",'CIA MARKS'!DX60,"")</f>
        <v>#N/A</v>
      </c>
      <c r="DH63" s="31" t="str">
        <f>IF(D$8="YES",'CIA MARKS'!EH60,"")</f>
        <v/>
      </c>
      <c r="DI63" s="272" t="str">
        <f>IF(D$9="YES",'CIA MARKS'!EJ60,"")</f>
        <v/>
      </c>
      <c r="DJ63" s="272">
        <f>IF(Theory!D$7="YES",DC63,
 IF(Theory!D$8="YES",Lab!K55,
 IF(Theory!D$9="YES",DC63,"")))</f>
        <v>0</v>
      </c>
      <c r="DL63" s="350"/>
      <c r="DM63" s="350"/>
      <c r="DN63" s="350"/>
      <c r="DO63" s="350"/>
      <c r="DP63" s="350"/>
      <c r="DQ63" s="351"/>
      <c r="DR63" s="327"/>
      <c r="DS63" s="348">
        <f t="shared" si="0"/>
        <v>0</v>
      </c>
    </row>
    <row r="64" spans="1:123" ht="16.2" thickBot="1" x14ac:dyDescent="0.35">
      <c r="A64" s="471">
        <v>48</v>
      </c>
      <c r="B64" s="476"/>
      <c r="C64" s="477"/>
      <c r="D64" s="500"/>
      <c r="E64" s="501"/>
      <c r="F64" s="501"/>
      <c r="G64" s="501"/>
      <c r="H64" s="502"/>
      <c r="I64" s="501"/>
      <c r="J64" s="501"/>
      <c r="K64" s="501"/>
      <c r="L64" s="502"/>
      <c r="M64" s="501"/>
      <c r="N64" s="501"/>
      <c r="O64" s="501"/>
      <c r="P64" s="503"/>
      <c r="Q64" s="501"/>
      <c r="R64" s="501"/>
      <c r="S64" s="501"/>
      <c r="T64" s="502"/>
      <c r="U64" s="501"/>
      <c r="V64" s="501"/>
      <c r="W64" s="501"/>
      <c r="X64" s="503"/>
      <c r="Y64" s="501"/>
      <c r="Z64" s="501"/>
      <c r="AA64" s="501"/>
      <c r="AB64" s="503"/>
      <c r="AC64" s="501"/>
      <c r="AD64" s="501"/>
      <c r="AE64" s="501"/>
      <c r="AF64" s="502"/>
      <c r="AG64" s="501"/>
      <c r="AH64" s="501"/>
      <c r="AI64" s="501"/>
      <c r="AJ64" s="502"/>
      <c r="AK64" s="503"/>
      <c r="AL64" s="503"/>
      <c r="AM64" s="503"/>
      <c r="AN64" s="502"/>
      <c r="AO64" s="502"/>
      <c r="AP64" s="503"/>
      <c r="AQ64" s="503"/>
      <c r="AR64" s="503"/>
      <c r="AS64" s="504"/>
      <c r="AT64" s="504"/>
      <c r="AU64" s="504"/>
      <c r="AV64" s="502"/>
      <c r="AW64" s="504"/>
      <c r="AX64" s="504"/>
      <c r="AY64" s="504"/>
      <c r="AZ64" s="502"/>
      <c r="BA64" s="504"/>
      <c r="BB64" s="504"/>
      <c r="BC64" s="504"/>
      <c r="BD64" s="503"/>
      <c r="BE64" s="504"/>
      <c r="BF64" s="504"/>
      <c r="BG64" s="504"/>
      <c r="BH64" s="502"/>
      <c r="BI64" s="504"/>
      <c r="BJ64" s="504"/>
      <c r="BK64" s="504"/>
      <c r="BL64" s="503"/>
      <c r="BM64" s="504"/>
      <c r="BN64" s="504"/>
      <c r="BO64" s="504"/>
      <c r="BP64" s="502"/>
      <c r="BQ64" s="505"/>
      <c r="BR64" s="505"/>
      <c r="BS64" s="505"/>
      <c r="BT64" s="502"/>
      <c r="BU64" s="505"/>
      <c r="BV64" s="505"/>
      <c r="BW64" s="505"/>
      <c r="BX64" s="502"/>
      <c r="BY64" s="505"/>
      <c r="BZ64" s="505"/>
      <c r="CA64" s="505"/>
      <c r="CB64" s="503"/>
      <c r="CC64" s="492"/>
      <c r="CD64" s="492"/>
      <c r="CE64" s="492"/>
      <c r="CF64" s="502"/>
      <c r="CG64" s="492"/>
      <c r="CH64" s="492"/>
      <c r="CI64" s="492"/>
      <c r="CJ64" s="503"/>
      <c r="CK64" s="492"/>
      <c r="CL64" s="492"/>
      <c r="CM64" s="492"/>
      <c r="CN64" s="502"/>
      <c r="CO64" s="492"/>
      <c r="CP64" s="492"/>
      <c r="CQ64" s="492"/>
      <c r="CR64" s="503"/>
      <c r="CS64" s="492"/>
      <c r="CT64" s="492"/>
      <c r="CU64" s="533"/>
      <c r="CV64" s="545"/>
      <c r="CW64" s="545"/>
      <c r="CX64" s="546"/>
      <c r="CY64" s="546"/>
      <c r="CZ64" s="546"/>
      <c r="DA64" s="545"/>
      <c r="DB64" s="545"/>
      <c r="DC64" s="545"/>
      <c r="DD64" s="545"/>
      <c r="DE64" s="31"/>
      <c r="DG64" s="272" t="e">
        <f>IF(D$7="YES",'CIA MARKS'!DX61,"")</f>
        <v>#N/A</v>
      </c>
      <c r="DH64" s="31" t="str">
        <f>IF(D$8="YES",'CIA MARKS'!EH61,"")</f>
        <v/>
      </c>
      <c r="DI64" s="272" t="str">
        <f>IF(D$9="YES",'CIA MARKS'!EJ61,"")</f>
        <v/>
      </c>
      <c r="DJ64" s="272">
        <f>IF(Theory!D$7="YES",DC64,
 IF(Theory!D$8="YES",Lab!K56,
 IF(Theory!D$9="YES",DC64,"")))</f>
        <v>0</v>
      </c>
      <c r="DL64" s="350"/>
      <c r="DM64" s="350"/>
      <c r="DN64" s="350"/>
      <c r="DO64" s="350"/>
      <c r="DP64" s="350"/>
      <c r="DQ64" s="351"/>
      <c r="DR64" s="327"/>
      <c r="DS64" s="348">
        <f t="shared" si="0"/>
        <v>0</v>
      </c>
    </row>
    <row r="65" spans="1:123" ht="16.2" thickBot="1" x14ac:dyDescent="0.35">
      <c r="A65" s="471">
        <v>49</v>
      </c>
      <c r="B65" s="476"/>
      <c r="C65" s="477"/>
      <c r="D65" s="500"/>
      <c r="E65" s="501"/>
      <c r="F65" s="501"/>
      <c r="G65" s="501"/>
      <c r="H65" s="502"/>
      <c r="I65" s="501"/>
      <c r="J65" s="501"/>
      <c r="K65" s="501"/>
      <c r="L65" s="502"/>
      <c r="M65" s="501"/>
      <c r="N65" s="501"/>
      <c r="O65" s="501"/>
      <c r="P65" s="503"/>
      <c r="Q65" s="501"/>
      <c r="R65" s="501"/>
      <c r="S65" s="501"/>
      <c r="T65" s="502"/>
      <c r="U65" s="501"/>
      <c r="V65" s="501"/>
      <c r="W65" s="501"/>
      <c r="X65" s="503"/>
      <c r="Y65" s="501"/>
      <c r="Z65" s="501"/>
      <c r="AA65" s="501"/>
      <c r="AB65" s="502"/>
      <c r="AC65" s="501"/>
      <c r="AD65" s="501"/>
      <c r="AE65" s="501"/>
      <c r="AF65" s="503"/>
      <c r="AG65" s="501"/>
      <c r="AH65" s="501"/>
      <c r="AI65" s="501"/>
      <c r="AJ65" s="502"/>
      <c r="AK65" s="503"/>
      <c r="AL65" s="503"/>
      <c r="AM65" s="503"/>
      <c r="AN65" s="502"/>
      <c r="AO65" s="502"/>
      <c r="AP65" s="503"/>
      <c r="AQ65" s="503"/>
      <c r="AR65" s="503"/>
      <c r="AS65" s="504"/>
      <c r="AT65" s="504"/>
      <c r="AU65" s="504"/>
      <c r="AV65" s="502"/>
      <c r="AW65" s="504"/>
      <c r="AX65" s="504"/>
      <c r="AY65" s="504"/>
      <c r="AZ65" s="502"/>
      <c r="BA65" s="504"/>
      <c r="BB65" s="504"/>
      <c r="BC65" s="504"/>
      <c r="BD65" s="503"/>
      <c r="BE65" s="504"/>
      <c r="BF65" s="504"/>
      <c r="BG65" s="504"/>
      <c r="BH65" s="503"/>
      <c r="BI65" s="504"/>
      <c r="BJ65" s="504"/>
      <c r="BK65" s="504"/>
      <c r="BL65" s="502"/>
      <c r="BM65" s="504"/>
      <c r="BN65" s="504"/>
      <c r="BO65" s="504"/>
      <c r="BP65" s="502"/>
      <c r="BQ65" s="505"/>
      <c r="BR65" s="505"/>
      <c r="BS65" s="505"/>
      <c r="BT65" s="502"/>
      <c r="BU65" s="505"/>
      <c r="BV65" s="505"/>
      <c r="BW65" s="505"/>
      <c r="BX65" s="502"/>
      <c r="BY65" s="505"/>
      <c r="BZ65" s="505"/>
      <c r="CA65" s="505"/>
      <c r="CB65" s="503"/>
      <c r="CC65" s="492"/>
      <c r="CD65" s="492"/>
      <c r="CE65" s="492"/>
      <c r="CF65" s="502"/>
      <c r="CG65" s="492"/>
      <c r="CH65" s="492"/>
      <c r="CI65" s="492"/>
      <c r="CJ65" s="503"/>
      <c r="CK65" s="492"/>
      <c r="CL65" s="492"/>
      <c r="CM65" s="492"/>
      <c r="CN65" s="502"/>
      <c r="CO65" s="492"/>
      <c r="CP65" s="492"/>
      <c r="CQ65" s="492"/>
      <c r="CR65" s="503"/>
      <c r="CS65" s="492"/>
      <c r="CT65" s="492"/>
      <c r="CU65" s="533"/>
      <c r="CV65" s="543"/>
      <c r="CW65" s="543"/>
      <c r="CX65" s="544"/>
      <c r="CY65" s="544"/>
      <c r="CZ65" s="544"/>
      <c r="DA65" s="545"/>
      <c r="DB65" s="545"/>
      <c r="DC65" s="545"/>
      <c r="DD65" s="545"/>
      <c r="DE65" s="31"/>
      <c r="DG65" s="272" t="e">
        <f>IF(D$7="YES",'CIA MARKS'!DX62,"")</f>
        <v>#N/A</v>
      </c>
      <c r="DH65" s="31" t="str">
        <f>IF(D$8="YES",'CIA MARKS'!EH62,"")</f>
        <v/>
      </c>
      <c r="DI65" s="272" t="str">
        <f>IF(D$9="YES",'CIA MARKS'!EJ62,"")</f>
        <v/>
      </c>
      <c r="DJ65" s="272">
        <f>IF(Theory!D$7="YES",DC65,
 IF(Theory!D$8="YES",Lab!K57,
 IF(Theory!D$9="YES",DC65,"")))</f>
        <v>0</v>
      </c>
      <c r="DL65" s="350"/>
      <c r="DM65" s="350"/>
      <c r="DN65" s="350"/>
      <c r="DO65" s="350"/>
      <c r="DP65" s="350"/>
      <c r="DQ65" s="351"/>
      <c r="DR65" s="327"/>
      <c r="DS65" s="348">
        <f t="shared" si="0"/>
        <v>0</v>
      </c>
    </row>
    <row r="66" spans="1:123" ht="16.2" thickBot="1" x14ac:dyDescent="0.35">
      <c r="A66" s="471">
        <v>50</v>
      </c>
      <c r="B66" s="476"/>
      <c r="C66" s="477"/>
      <c r="D66" s="510"/>
      <c r="E66" s="501"/>
      <c r="F66" s="501"/>
      <c r="G66" s="501"/>
      <c r="H66" s="503"/>
      <c r="I66" s="501"/>
      <c r="J66" s="501"/>
      <c r="K66" s="501"/>
      <c r="L66" s="503"/>
      <c r="M66" s="501"/>
      <c r="N66" s="501"/>
      <c r="O66" s="501"/>
      <c r="P66" s="503"/>
      <c r="Q66" s="501"/>
      <c r="R66" s="501"/>
      <c r="S66" s="501"/>
      <c r="T66" s="503"/>
      <c r="U66" s="501"/>
      <c r="V66" s="501"/>
      <c r="W66" s="501"/>
      <c r="X66" s="503"/>
      <c r="Y66" s="501"/>
      <c r="Z66" s="501"/>
      <c r="AA66" s="501"/>
      <c r="AB66" s="503"/>
      <c r="AC66" s="501"/>
      <c r="AD66" s="501"/>
      <c r="AE66" s="501"/>
      <c r="AF66" s="503"/>
      <c r="AG66" s="501"/>
      <c r="AH66" s="501"/>
      <c r="AI66" s="501"/>
      <c r="AJ66" s="502"/>
      <c r="AK66" s="503"/>
      <c r="AL66" s="503"/>
      <c r="AM66" s="503"/>
      <c r="AN66" s="502"/>
      <c r="AO66" s="502"/>
      <c r="AP66" s="503"/>
      <c r="AQ66" s="503"/>
      <c r="AR66" s="503"/>
      <c r="AS66" s="504"/>
      <c r="AT66" s="504"/>
      <c r="AU66" s="504"/>
      <c r="AV66" s="502"/>
      <c r="AW66" s="504"/>
      <c r="AX66" s="504"/>
      <c r="AY66" s="504"/>
      <c r="AZ66" s="503"/>
      <c r="BA66" s="504"/>
      <c r="BB66" s="504"/>
      <c r="BC66" s="504"/>
      <c r="BD66" s="502"/>
      <c r="BE66" s="504"/>
      <c r="BF66" s="504"/>
      <c r="BG66" s="504"/>
      <c r="BH66" s="502"/>
      <c r="BI66" s="504"/>
      <c r="BJ66" s="504"/>
      <c r="BK66" s="504"/>
      <c r="BL66" s="503"/>
      <c r="BM66" s="504"/>
      <c r="BN66" s="504"/>
      <c r="BO66" s="504"/>
      <c r="BP66" s="502"/>
      <c r="BQ66" s="505"/>
      <c r="BR66" s="505"/>
      <c r="BS66" s="505"/>
      <c r="BT66" s="502"/>
      <c r="BU66" s="505"/>
      <c r="BV66" s="505"/>
      <c r="BW66" s="505"/>
      <c r="BX66" s="502"/>
      <c r="BY66" s="505"/>
      <c r="BZ66" s="505"/>
      <c r="CA66" s="505"/>
      <c r="CB66" s="503"/>
      <c r="CC66" s="492"/>
      <c r="CD66" s="492"/>
      <c r="CE66" s="492"/>
      <c r="CF66" s="502"/>
      <c r="CG66" s="492"/>
      <c r="CH66" s="492"/>
      <c r="CI66" s="492"/>
      <c r="CJ66" s="503"/>
      <c r="CK66" s="492"/>
      <c r="CL66" s="492"/>
      <c r="CM66" s="492"/>
      <c r="CN66" s="502"/>
      <c r="CO66" s="492"/>
      <c r="CP66" s="492"/>
      <c r="CQ66" s="492"/>
      <c r="CR66" s="503"/>
      <c r="CS66" s="492"/>
      <c r="CT66" s="492"/>
      <c r="CU66" s="533"/>
      <c r="CV66" s="543"/>
      <c r="CW66" s="543"/>
      <c r="CX66" s="544"/>
      <c r="CY66" s="544"/>
      <c r="CZ66" s="544"/>
      <c r="DA66" s="545"/>
      <c r="DB66" s="545"/>
      <c r="DC66" s="545"/>
      <c r="DD66" s="545"/>
      <c r="DE66" s="31"/>
      <c r="DG66" s="272" t="e">
        <f>IF(D$7="YES",'CIA MARKS'!DX63,"")</f>
        <v>#N/A</v>
      </c>
      <c r="DH66" s="31" t="str">
        <f>IF(D$8="YES",'CIA MARKS'!EH63,"")</f>
        <v/>
      </c>
      <c r="DI66" s="272" t="str">
        <f>IF(D$9="YES",'CIA MARKS'!EJ63,"")</f>
        <v/>
      </c>
      <c r="DJ66" s="272">
        <f>IF(Theory!D$7="YES",DC66,
 IF(Theory!D$8="YES",Lab!K58,
 IF(Theory!D$9="YES",DC66,"")))</f>
        <v>0</v>
      </c>
      <c r="DL66" s="350"/>
      <c r="DM66" s="350"/>
      <c r="DN66" s="350"/>
      <c r="DO66" s="350"/>
      <c r="DP66" s="350"/>
      <c r="DQ66" s="351"/>
      <c r="DR66" s="327"/>
      <c r="DS66" s="348">
        <f t="shared" si="0"/>
        <v>0</v>
      </c>
    </row>
    <row r="67" spans="1:123" ht="16.2" thickBot="1" x14ac:dyDescent="0.35">
      <c r="A67" s="471">
        <v>51</v>
      </c>
      <c r="B67" s="476"/>
      <c r="C67" s="477"/>
      <c r="D67" s="500"/>
      <c r="E67" s="501"/>
      <c r="F67" s="501"/>
      <c r="G67" s="501"/>
      <c r="H67" s="502"/>
      <c r="I67" s="501"/>
      <c r="J67" s="501"/>
      <c r="K67" s="501"/>
      <c r="L67" s="503"/>
      <c r="M67" s="501"/>
      <c r="N67" s="501"/>
      <c r="O67" s="501"/>
      <c r="P67" s="502"/>
      <c r="Q67" s="501"/>
      <c r="R67" s="501"/>
      <c r="S67" s="501"/>
      <c r="T67" s="502"/>
      <c r="U67" s="501"/>
      <c r="V67" s="501"/>
      <c r="W67" s="501"/>
      <c r="X67" s="503"/>
      <c r="Y67" s="501"/>
      <c r="Z67" s="501"/>
      <c r="AA67" s="501"/>
      <c r="AB67" s="502"/>
      <c r="AC67" s="501"/>
      <c r="AD67" s="501"/>
      <c r="AE67" s="501"/>
      <c r="AF67" s="503"/>
      <c r="AG67" s="501"/>
      <c r="AH67" s="501"/>
      <c r="AI67" s="511"/>
      <c r="AJ67" s="502"/>
      <c r="AK67" s="503"/>
      <c r="AL67" s="503"/>
      <c r="AM67" s="503"/>
      <c r="AN67" s="502"/>
      <c r="AO67" s="502"/>
      <c r="AP67" s="503"/>
      <c r="AQ67" s="503"/>
      <c r="AR67" s="503"/>
      <c r="AS67" s="504"/>
      <c r="AT67" s="504"/>
      <c r="AU67" s="504"/>
      <c r="AV67" s="502"/>
      <c r="AW67" s="504"/>
      <c r="AX67" s="504"/>
      <c r="AY67" s="504"/>
      <c r="AZ67" s="503"/>
      <c r="BA67" s="504"/>
      <c r="BB67" s="504"/>
      <c r="BC67" s="504"/>
      <c r="BD67" s="502"/>
      <c r="BE67" s="504"/>
      <c r="BF67" s="504"/>
      <c r="BG67" s="504"/>
      <c r="BH67" s="503"/>
      <c r="BI67" s="504"/>
      <c r="BJ67" s="504"/>
      <c r="BK67" s="504"/>
      <c r="BL67" s="503"/>
      <c r="BM67" s="504"/>
      <c r="BN67" s="504"/>
      <c r="BO67" s="504"/>
      <c r="BP67" s="502"/>
      <c r="BQ67" s="505"/>
      <c r="BR67" s="505"/>
      <c r="BS67" s="505"/>
      <c r="BT67" s="502"/>
      <c r="BU67" s="505"/>
      <c r="BV67" s="505"/>
      <c r="BW67" s="505"/>
      <c r="BX67" s="503"/>
      <c r="BY67" s="505"/>
      <c r="BZ67" s="505"/>
      <c r="CA67" s="505"/>
      <c r="CB67" s="502"/>
      <c r="CC67" s="492"/>
      <c r="CD67" s="492"/>
      <c r="CE67" s="492"/>
      <c r="CF67" s="502"/>
      <c r="CG67" s="492"/>
      <c r="CH67" s="492"/>
      <c r="CI67" s="492"/>
      <c r="CJ67" s="503"/>
      <c r="CK67" s="492"/>
      <c r="CL67" s="492"/>
      <c r="CM67" s="492"/>
      <c r="CN67" s="503"/>
      <c r="CO67" s="492"/>
      <c r="CP67" s="492"/>
      <c r="CQ67" s="492"/>
      <c r="CR67" s="502"/>
      <c r="CS67" s="492"/>
      <c r="CT67" s="492"/>
      <c r="CU67" s="533"/>
      <c r="CV67" s="543"/>
      <c r="CW67" s="543"/>
      <c r="CX67" s="544"/>
      <c r="CY67" s="544"/>
      <c r="CZ67" s="544"/>
      <c r="DA67" s="545"/>
      <c r="DB67" s="545"/>
      <c r="DC67" s="545"/>
      <c r="DD67" s="545"/>
      <c r="DE67" s="31"/>
      <c r="DG67" s="272" t="e">
        <f>IF(D$7="YES",'CIA MARKS'!DX64,"")</f>
        <v>#N/A</v>
      </c>
      <c r="DH67" s="31" t="str">
        <f>IF(D$8="YES",'CIA MARKS'!EH64,"")</f>
        <v/>
      </c>
      <c r="DI67" s="272" t="str">
        <f>IF(D$9="YES",'CIA MARKS'!EJ64,"")</f>
        <v/>
      </c>
      <c r="DJ67" s="272">
        <f>IF(Theory!D$7="YES",DC67,
 IF(Theory!D$8="YES",Lab!K59,
 IF(Theory!D$9="YES",DC67,"")))</f>
        <v>0</v>
      </c>
      <c r="DL67" s="350"/>
      <c r="DM67" s="350"/>
      <c r="DN67" s="350"/>
      <c r="DO67" s="350"/>
      <c r="DP67" s="350"/>
      <c r="DQ67" s="351"/>
      <c r="DR67" s="327"/>
      <c r="DS67" s="348">
        <f t="shared" si="0"/>
        <v>0</v>
      </c>
    </row>
    <row r="68" spans="1:123" ht="16.2" thickBot="1" x14ac:dyDescent="0.35">
      <c r="A68" s="471">
        <v>52</v>
      </c>
      <c r="B68" s="476"/>
      <c r="C68" s="477"/>
      <c r="D68" s="500"/>
      <c r="E68" s="501"/>
      <c r="F68" s="501"/>
      <c r="G68" s="501"/>
      <c r="H68" s="502"/>
      <c r="I68" s="501"/>
      <c r="J68" s="501"/>
      <c r="K68" s="501"/>
      <c r="L68" s="502"/>
      <c r="M68" s="501"/>
      <c r="N68" s="501"/>
      <c r="O68" s="501"/>
      <c r="P68" s="503"/>
      <c r="Q68" s="501"/>
      <c r="R68" s="501"/>
      <c r="S68" s="501"/>
      <c r="T68" s="502"/>
      <c r="U68" s="501"/>
      <c r="V68" s="501"/>
      <c r="W68" s="501"/>
      <c r="X68" s="503"/>
      <c r="Y68" s="501"/>
      <c r="Z68" s="501"/>
      <c r="AA68" s="501"/>
      <c r="AB68" s="503"/>
      <c r="AC68" s="501"/>
      <c r="AD68" s="501"/>
      <c r="AE68" s="501"/>
      <c r="AF68" s="502"/>
      <c r="AG68" s="501"/>
      <c r="AH68" s="501"/>
      <c r="AI68" s="501"/>
      <c r="AJ68" s="502"/>
      <c r="AK68" s="503"/>
      <c r="AL68" s="503"/>
      <c r="AM68" s="503"/>
      <c r="AN68" s="502"/>
      <c r="AO68" s="502"/>
      <c r="AP68" s="503"/>
      <c r="AQ68" s="503"/>
      <c r="AR68" s="503"/>
      <c r="AS68" s="504"/>
      <c r="AT68" s="504"/>
      <c r="AU68" s="504"/>
      <c r="AV68" s="502"/>
      <c r="AW68" s="504"/>
      <c r="AX68" s="504"/>
      <c r="AY68" s="504"/>
      <c r="AZ68" s="502"/>
      <c r="BA68" s="504"/>
      <c r="BB68" s="504"/>
      <c r="BC68" s="504"/>
      <c r="BD68" s="503"/>
      <c r="BE68" s="504"/>
      <c r="BF68" s="504"/>
      <c r="BG68" s="504"/>
      <c r="BH68" s="502"/>
      <c r="BI68" s="504"/>
      <c r="BJ68" s="504"/>
      <c r="BK68" s="504"/>
      <c r="BL68" s="503"/>
      <c r="BM68" s="504"/>
      <c r="BN68" s="504"/>
      <c r="BO68" s="504"/>
      <c r="BP68" s="502"/>
      <c r="BQ68" s="505"/>
      <c r="BR68" s="505"/>
      <c r="BS68" s="505"/>
      <c r="BT68" s="502"/>
      <c r="BU68" s="505"/>
      <c r="BV68" s="505"/>
      <c r="BW68" s="505"/>
      <c r="BX68" s="503"/>
      <c r="BY68" s="505"/>
      <c r="BZ68" s="505"/>
      <c r="CA68" s="505"/>
      <c r="CB68" s="502"/>
      <c r="CC68" s="492"/>
      <c r="CD68" s="492"/>
      <c r="CE68" s="492"/>
      <c r="CF68" s="503"/>
      <c r="CG68" s="492"/>
      <c r="CH68" s="492"/>
      <c r="CI68" s="492"/>
      <c r="CJ68" s="502"/>
      <c r="CK68" s="492"/>
      <c r="CL68" s="492"/>
      <c r="CM68" s="492"/>
      <c r="CN68" s="502"/>
      <c r="CO68" s="492"/>
      <c r="CP68" s="492"/>
      <c r="CQ68" s="492"/>
      <c r="CR68" s="503"/>
      <c r="CS68" s="492"/>
      <c r="CT68" s="492"/>
      <c r="CU68" s="533"/>
      <c r="CV68" s="543"/>
      <c r="CW68" s="543"/>
      <c r="CX68" s="544"/>
      <c r="CY68" s="544"/>
      <c r="CZ68" s="544"/>
      <c r="DA68" s="545"/>
      <c r="DB68" s="545"/>
      <c r="DC68" s="545"/>
      <c r="DD68" s="545"/>
      <c r="DE68" s="31"/>
      <c r="DG68" s="272" t="e">
        <f>IF(D$7="YES",'CIA MARKS'!DX65,"")</f>
        <v>#N/A</v>
      </c>
      <c r="DH68" s="31" t="str">
        <f>IF(D$8="YES",'CIA MARKS'!EH65,"")</f>
        <v/>
      </c>
      <c r="DI68" s="272" t="str">
        <f>IF(D$9="YES",'CIA MARKS'!EJ65,"")</f>
        <v/>
      </c>
      <c r="DJ68" s="272">
        <f>IF(Theory!D$7="YES",DC68,
 IF(Theory!D$8="YES",Lab!K60,
 IF(Theory!D$9="YES",DC68,"")))</f>
        <v>0</v>
      </c>
      <c r="DL68" s="350"/>
      <c r="DM68" s="350"/>
      <c r="DN68" s="350"/>
      <c r="DO68" s="350"/>
      <c r="DP68" s="350"/>
      <c r="DQ68" s="351"/>
      <c r="DR68" s="327"/>
      <c r="DS68" s="348">
        <f t="shared" si="0"/>
        <v>0</v>
      </c>
    </row>
    <row r="69" spans="1:123" ht="16.2" thickBot="1" x14ac:dyDescent="0.35">
      <c r="A69" s="471">
        <v>53</v>
      </c>
      <c r="B69" s="476"/>
      <c r="C69" s="477"/>
      <c r="D69" s="510"/>
      <c r="E69" s="501"/>
      <c r="F69" s="501"/>
      <c r="G69" s="501"/>
      <c r="H69" s="503"/>
      <c r="I69" s="501"/>
      <c r="J69" s="501"/>
      <c r="K69" s="501"/>
      <c r="L69" s="503"/>
      <c r="M69" s="501"/>
      <c r="N69" s="501"/>
      <c r="O69" s="501"/>
      <c r="P69" s="503"/>
      <c r="Q69" s="501"/>
      <c r="R69" s="501"/>
      <c r="S69" s="501"/>
      <c r="T69" s="503"/>
      <c r="U69" s="501"/>
      <c r="V69" s="501"/>
      <c r="W69" s="501"/>
      <c r="X69" s="503"/>
      <c r="Y69" s="501"/>
      <c r="Z69" s="501"/>
      <c r="AA69" s="501"/>
      <c r="AB69" s="503"/>
      <c r="AC69" s="501"/>
      <c r="AD69" s="501"/>
      <c r="AE69" s="501"/>
      <c r="AF69" s="503"/>
      <c r="AG69" s="501"/>
      <c r="AH69" s="501"/>
      <c r="AI69" s="501"/>
      <c r="AJ69" s="502"/>
      <c r="AK69" s="503"/>
      <c r="AL69" s="503"/>
      <c r="AM69" s="503"/>
      <c r="AN69" s="502"/>
      <c r="AO69" s="502"/>
      <c r="AP69" s="503"/>
      <c r="AQ69" s="503"/>
      <c r="AR69" s="503"/>
      <c r="AS69" s="504"/>
      <c r="AT69" s="504"/>
      <c r="AU69" s="504"/>
      <c r="AV69" s="502"/>
      <c r="AW69" s="504"/>
      <c r="AX69" s="504"/>
      <c r="AY69" s="504"/>
      <c r="AZ69" s="503"/>
      <c r="BA69" s="504"/>
      <c r="BB69" s="504"/>
      <c r="BC69" s="504"/>
      <c r="BD69" s="502"/>
      <c r="BE69" s="504"/>
      <c r="BF69" s="504"/>
      <c r="BG69" s="504"/>
      <c r="BH69" s="502"/>
      <c r="BI69" s="504"/>
      <c r="BJ69" s="504"/>
      <c r="BK69" s="504"/>
      <c r="BL69" s="503"/>
      <c r="BM69" s="504"/>
      <c r="BN69" s="504"/>
      <c r="BO69" s="504"/>
      <c r="BP69" s="502"/>
      <c r="BQ69" s="505"/>
      <c r="BR69" s="505"/>
      <c r="BS69" s="505"/>
      <c r="BT69" s="502"/>
      <c r="BU69" s="505"/>
      <c r="BV69" s="505"/>
      <c r="BW69" s="505"/>
      <c r="BX69" s="503"/>
      <c r="BY69" s="505"/>
      <c r="BZ69" s="505"/>
      <c r="CA69" s="505"/>
      <c r="CB69" s="502"/>
      <c r="CC69" s="492"/>
      <c r="CD69" s="492"/>
      <c r="CE69" s="492"/>
      <c r="CF69" s="502"/>
      <c r="CG69" s="492"/>
      <c r="CH69" s="492"/>
      <c r="CI69" s="492"/>
      <c r="CJ69" s="503"/>
      <c r="CK69" s="492"/>
      <c r="CL69" s="492"/>
      <c r="CM69" s="492"/>
      <c r="CN69" s="502"/>
      <c r="CO69" s="492"/>
      <c r="CP69" s="492"/>
      <c r="CQ69" s="492"/>
      <c r="CR69" s="503"/>
      <c r="CS69" s="492"/>
      <c r="CT69" s="492"/>
      <c r="CU69" s="533"/>
      <c r="CV69" s="543"/>
      <c r="CW69" s="543"/>
      <c r="CX69" s="544"/>
      <c r="CY69" s="544"/>
      <c r="CZ69" s="544"/>
      <c r="DA69" s="545"/>
      <c r="DB69" s="545"/>
      <c r="DC69" s="545"/>
      <c r="DD69" s="545"/>
      <c r="DE69" s="31"/>
      <c r="DG69" s="272" t="e">
        <f>IF(D$7="YES",'CIA MARKS'!DX66,"")</f>
        <v>#N/A</v>
      </c>
      <c r="DH69" s="31" t="str">
        <f>IF(D$8="YES",'CIA MARKS'!EH66,"")</f>
        <v/>
      </c>
      <c r="DI69" s="272" t="str">
        <f>IF(D$9="YES",'CIA MARKS'!EJ66,"")</f>
        <v/>
      </c>
      <c r="DJ69" s="272">
        <f>IF(Theory!D$7="YES",DC69,
 IF(Theory!D$8="YES",Lab!K61,
 IF(Theory!D$9="YES",DC69,"")))</f>
        <v>0</v>
      </c>
      <c r="DL69" s="350"/>
      <c r="DM69" s="350"/>
      <c r="DN69" s="350"/>
      <c r="DO69" s="350"/>
      <c r="DP69" s="350"/>
      <c r="DQ69" s="351"/>
      <c r="DR69" s="327"/>
      <c r="DS69" s="348">
        <f t="shared" si="0"/>
        <v>0</v>
      </c>
    </row>
    <row r="70" spans="1:123" ht="16.2" thickBot="1" x14ac:dyDescent="0.35">
      <c r="A70" s="471">
        <v>54</v>
      </c>
      <c r="B70" s="476"/>
      <c r="C70" s="477"/>
      <c r="D70" s="500"/>
      <c r="E70" s="501"/>
      <c r="F70" s="501"/>
      <c r="G70" s="501"/>
      <c r="H70" s="502"/>
      <c r="I70" s="501"/>
      <c r="J70" s="501"/>
      <c r="K70" s="501"/>
      <c r="L70" s="502"/>
      <c r="M70" s="501"/>
      <c r="N70" s="501"/>
      <c r="O70" s="501"/>
      <c r="P70" s="503"/>
      <c r="Q70" s="501"/>
      <c r="R70" s="501"/>
      <c r="S70" s="501"/>
      <c r="T70" s="502"/>
      <c r="U70" s="501"/>
      <c r="V70" s="501"/>
      <c r="W70" s="501"/>
      <c r="X70" s="503"/>
      <c r="Y70" s="501"/>
      <c r="Z70" s="501"/>
      <c r="AA70" s="501"/>
      <c r="AB70" s="502"/>
      <c r="AC70" s="501"/>
      <c r="AD70" s="501"/>
      <c r="AE70" s="501"/>
      <c r="AF70" s="503"/>
      <c r="AG70" s="501"/>
      <c r="AH70" s="501"/>
      <c r="AI70" s="501"/>
      <c r="AJ70" s="502"/>
      <c r="AK70" s="503"/>
      <c r="AL70" s="503"/>
      <c r="AM70" s="503"/>
      <c r="AN70" s="502"/>
      <c r="AO70" s="502"/>
      <c r="AP70" s="503"/>
      <c r="AQ70" s="503"/>
      <c r="AR70" s="503"/>
      <c r="AS70" s="504"/>
      <c r="AT70" s="504"/>
      <c r="AU70" s="504"/>
      <c r="AV70" s="502"/>
      <c r="AW70" s="504"/>
      <c r="AX70" s="504"/>
      <c r="AY70" s="504"/>
      <c r="AZ70" s="503"/>
      <c r="BA70" s="504"/>
      <c r="BB70" s="504"/>
      <c r="BC70" s="504"/>
      <c r="BD70" s="502"/>
      <c r="BE70" s="504"/>
      <c r="BF70" s="504"/>
      <c r="BG70" s="504"/>
      <c r="BH70" s="502"/>
      <c r="BI70" s="504"/>
      <c r="BJ70" s="504"/>
      <c r="BK70" s="504"/>
      <c r="BL70" s="503"/>
      <c r="BM70" s="504"/>
      <c r="BN70" s="504"/>
      <c r="BO70" s="504"/>
      <c r="BP70" s="502"/>
      <c r="BQ70" s="505"/>
      <c r="BR70" s="505"/>
      <c r="BS70" s="505"/>
      <c r="BT70" s="502"/>
      <c r="BU70" s="505"/>
      <c r="BV70" s="505"/>
      <c r="BW70" s="505"/>
      <c r="BX70" s="503"/>
      <c r="BY70" s="505"/>
      <c r="BZ70" s="505"/>
      <c r="CA70" s="505"/>
      <c r="CB70" s="502"/>
      <c r="CC70" s="492"/>
      <c r="CD70" s="492"/>
      <c r="CE70" s="492"/>
      <c r="CF70" s="502"/>
      <c r="CG70" s="492"/>
      <c r="CH70" s="492"/>
      <c r="CI70" s="492"/>
      <c r="CJ70" s="503"/>
      <c r="CK70" s="492"/>
      <c r="CL70" s="492"/>
      <c r="CM70" s="492"/>
      <c r="CN70" s="502"/>
      <c r="CO70" s="492"/>
      <c r="CP70" s="492"/>
      <c r="CQ70" s="492"/>
      <c r="CR70" s="503"/>
      <c r="CS70" s="492"/>
      <c r="CT70" s="492"/>
      <c r="CU70" s="533"/>
      <c r="CV70" s="543"/>
      <c r="CW70" s="543"/>
      <c r="CX70" s="544"/>
      <c r="CY70" s="544"/>
      <c r="CZ70" s="544"/>
      <c r="DA70" s="545"/>
      <c r="DB70" s="545"/>
      <c r="DC70" s="545"/>
      <c r="DD70" s="545"/>
      <c r="DE70" s="31"/>
      <c r="DG70" s="272" t="e">
        <f>IF(D$7="YES",'CIA MARKS'!DX67,"")</f>
        <v>#N/A</v>
      </c>
      <c r="DH70" s="31" t="str">
        <f>IF(D$8="YES",'CIA MARKS'!EH67,"")</f>
        <v/>
      </c>
      <c r="DI70" s="272" t="str">
        <f>IF(D$9="YES",'CIA MARKS'!EJ67,"")</f>
        <v/>
      </c>
      <c r="DJ70" s="272">
        <f>IF(Theory!D$7="YES",DC70,
 IF(Theory!D$8="YES",Lab!K62,
 IF(Theory!D$9="YES",DC70,"")))</f>
        <v>0</v>
      </c>
      <c r="DL70" s="350"/>
      <c r="DM70" s="350"/>
      <c r="DN70" s="350"/>
      <c r="DO70" s="350"/>
      <c r="DP70" s="350"/>
      <c r="DQ70" s="351"/>
      <c r="DR70" s="327"/>
      <c r="DS70" s="348">
        <f t="shared" si="0"/>
        <v>0</v>
      </c>
    </row>
    <row r="71" spans="1:123" ht="16.2" thickBot="1" x14ac:dyDescent="0.35">
      <c r="A71" s="471">
        <v>55</v>
      </c>
      <c r="B71" s="476"/>
      <c r="C71" s="477"/>
      <c r="D71" s="500"/>
      <c r="E71" s="501"/>
      <c r="F71" s="501"/>
      <c r="G71" s="501"/>
      <c r="H71" s="502"/>
      <c r="I71" s="501"/>
      <c r="J71" s="501"/>
      <c r="K71" s="501"/>
      <c r="L71" s="502"/>
      <c r="M71" s="501"/>
      <c r="N71" s="501"/>
      <c r="O71" s="501"/>
      <c r="P71" s="503"/>
      <c r="Q71" s="501"/>
      <c r="R71" s="501"/>
      <c r="S71" s="501"/>
      <c r="T71" s="502"/>
      <c r="U71" s="501"/>
      <c r="V71" s="501"/>
      <c r="W71" s="501"/>
      <c r="X71" s="503"/>
      <c r="Y71" s="501"/>
      <c r="Z71" s="501"/>
      <c r="AA71" s="501"/>
      <c r="AB71" s="503"/>
      <c r="AC71" s="501"/>
      <c r="AD71" s="501"/>
      <c r="AE71" s="501"/>
      <c r="AF71" s="502"/>
      <c r="AG71" s="501"/>
      <c r="AH71" s="501"/>
      <c r="AI71" s="501"/>
      <c r="AJ71" s="502"/>
      <c r="AK71" s="503"/>
      <c r="AL71" s="503"/>
      <c r="AM71" s="503"/>
      <c r="AN71" s="502"/>
      <c r="AO71" s="502"/>
      <c r="AP71" s="503"/>
      <c r="AQ71" s="503"/>
      <c r="AR71" s="503"/>
      <c r="AS71" s="504"/>
      <c r="AT71" s="504"/>
      <c r="AU71" s="504"/>
      <c r="AV71" s="502"/>
      <c r="AW71" s="504"/>
      <c r="AX71" s="504"/>
      <c r="AY71" s="504"/>
      <c r="AZ71" s="502"/>
      <c r="BA71" s="504"/>
      <c r="BB71" s="504"/>
      <c r="BC71" s="504"/>
      <c r="BD71" s="503"/>
      <c r="BE71" s="504"/>
      <c r="BF71" s="504"/>
      <c r="BG71" s="504"/>
      <c r="BH71" s="502"/>
      <c r="BI71" s="504"/>
      <c r="BJ71" s="504"/>
      <c r="BK71" s="504"/>
      <c r="BL71" s="503"/>
      <c r="BM71" s="504"/>
      <c r="BN71" s="504"/>
      <c r="BO71" s="504"/>
      <c r="BP71" s="502"/>
      <c r="BQ71" s="505"/>
      <c r="BR71" s="505"/>
      <c r="BS71" s="505"/>
      <c r="BT71" s="502"/>
      <c r="BU71" s="505"/>
      <c r="BV71" s="505"/>
      <c r="BW71" s="505"/>
      <c r="BX71" s="502"/>
      <c r="BY71" s="505"/>
      <c r="BZ71" s="505"/>
      <c r="CA71" s="505"/>
      <c r="CB71" s="503"/>
      <c r="CC71" s="492"/>
      <c r="CD71" s="492"/>
      <c r="CE71" s="492"/>
      <c r="CF71" s="503"/>
      <c r="CG71" s="492"/>
      <c r="CH71" s="492"/>
      <c r="CI71" s="492"/>
      <c r="CJ71" s="502"/>
      <c r="CK71" s="492"/>
      <c r="CL71" s="492"/>
      <c r="CM71" s="492"/>
      <c r="CN71" s="502"/>
      <c r="CO71" s="492"/>
      <c r="CP71" s="492"/>
      <c r="CQ71" s="492"/>
      <c r="CR71" s="503"/>
      <c r="CS71" s="492"/>
      <c r="CT71" s="492"/>
      <c r="CU71" s="533"/>
      <c r="CV71" s="543"/>
      <c r="CW71" s="543"/>
      <c r="CX71" s="544"/>
      <c r="CY71" s="544"/>
      <c r="CZ71" s="544"/>
      <c r="DA71" s="545"/>
      <c r="DB71" s="545"/>
      <c r="DC71" s="545"/>
      <c r="DD71" s="545"/>
      <c r="DE71" s="31"/>
      <c r="DG71" s="272" t="e">
        <f>IF(D$7="YES",'CIA MARKS'!DX68,"")</f>
        <v>#N/A</v>
      </c>
      <c r="DH71" s="31" t="str">
        <f>IF(D$8="YES",'CIA MARKS'!EH68,"")</f>
        <v/>
      </c>
      <c r="DI71" s="272" t="str">
        <f>IF(D$9="YES",'CIA MARKS'!EJ68,"")</f>
        <v/>
      </c>
      <c r="DJ71" s="272">
        <f>IF(Theory!D$7="YES",DC71,
 IF(Theory!D$8="YES",Lab!K63,
 IF(Theory!D$9="YES",DC71,"")))</f>
        <v>0</v>
      </c>
      <c r="DL71" s="350"/>
      <c r="DM71" s="350"/>
      <c r="DN71" s="350"/>
      <c r="DO71" s="350"/>
      <c r="DP71" s="350"/>
      <c r="DQ71" s="351"/>
      <c r="DR71" s="327"/>
      <c r="DS71" s="348">
        <f t="shared" si="0"/>
        <v>0</v>
      </c>
    </row>
    <row r="72" spans="1:123" ht="16.2" thickBot="1" x14ac:dyDescent="0.35">
      <c r="A72" s="471">
        <v>56</v>
      </c>
      <c r="B72" s="476"/>
      <c r="C72" s="477"/>
      <c r="D72" s="512"/>
      <c r="E72" s="501"/>
      <c r="F72" s="501"/>
      <c r="G72" s="501"/>
      <c r="H72" s="487"/>
      <c r="I72" s="501"/>
      <c r="J72" s="501"/>
      <c r="K72" s="501"/>
      <c r="L72" s="487"/>
      <c r="M72" s="501"/>
      <c r="N72" s="501"/>
      <c r="O72" s="501"/>
      <c r="P72" s="487"/>
      <c r="Q72" s="501"/>
      <c r="R72" s="501"/>
      <c r="S72" s="501"/>
      <c r="T72" s="487"/>
      <c r="U72" s="501"/>
      <c r="V72" s="501"/>
      <c r="W72" s="501"/>
      <c r="X72" s="487"/>
      <c r="Y72" s="501"/>
      <c r="Z72" s="501"/>
      <c r="AA72" s="501"/>
      <c r="AB72" s="487"/>
      <c r="AC72" s="501"/>
      <c r="AD72" s="501"/>
      <c r="AE72" s="501"/>
      <c r="AF72" s="487"/>
      <c r="AG72" s="501"/>
      <c r="AH72" s="501"/>
      <c r="AI72" s="501"/>
      <c r="AJ72" s="502"/>
      <c r="AK72" s="503"/>
      <c r="AL72" s="503"/>
      <c r="AM72" s="503"/>
      <c r="AN72" s="487"/>
      <c r="AO72" s="502"/>
      <c r="AP72" s="503"/>
      <c r="AQ72" s="503"/>
      <c r="AR72" s="487"/>
      <c r="AS72" s="504"/>
      <c r="AT72" s="504"/>
      <c r="AU72" s="504"/>
      <c r="AV72" s="502"/>
      <c r="AW72" s="504"/>
      <c r="AX72" s="504"/>
      <c r="AY72" s="504"/>
      <c r="AZ72" s="487"/>
      <c r="BA72" s="504"/>
      <c r="BB72" s="504"/>
      <c r="BC72" s="504"/>
      <c r="BD72" s="502"/>
      <c r="BE72" s="504"/>
      <c r="BF72" s="504"/>
      <c r="BG72" s="504"/>
      <c r="BH72" s="487"/>
      <c r="BI72" s="504"/>
      <c r="BJ72" s="504"/>
      <c r="BK72" s="504"/>
      <c r="BL72" s="487"/>
      <c r="BM72" s="504"/>
      <c r="BN72" s="504"/>
      <c r="BO72" s="504"/>
      <c r="BP72" s="502"/>
      <c r="BQ72" s="505"/>
      <c r="BR72" s="505"/>
      <c r="BS72" s="505"/>
      <c r="BT72" s="502"/>
      <c r="BU72" s="505"/>
      <c r="BV72" s="505"/>
      <c r="BW72" s="505"/>
      <c r="BX72" s="502"/>
      <c r="BY72" s="505"/>
      <c r="BZ72" s="505"/>
      <c r="CA72" s="505"/>
      <c r="CB72" s="487"/>
      <c r="CC72" s="505"/>
      <c r="CD72" s="505"/>
      <c r="CE72" s="505"/>
      <c r="CF72" s="487"/>
      <c r="CG72" s="505"/>
      <c r="CH72" s="505"/>
      <c r="CI72" s="505"/>
      <c r="CJ72" s="502"/>
      <c r="CK72" s="505"/>
      <c r="CL72" s="505"/>
      <c r="CM72" s="505"/>
      <c r="CN72" s="502"/>
      <c r="CO72" s="505"/>
      <c r="CP72" s="505"/>
      <c r="CQ72" s="505"/>
      <c r="CR72" s="487"/>
      <c r="CS72" s="505"/>
      <c r="CT72" s="505"/>
      <c r="CU72" s="534"/>
      <c r="CV72" s="543"/>
      <c r="CW72" s="543"/>
      <c r="CX72" s="544"/>
      <c r="CY72" s="544"/>
      <c r="CZ72" s="544"/>
      <c r="DA72" s="545"/>
      <c r="DB72" s="545"/>
      <c r="DC72" s="545"/>
      <c r="DD72" s="545"/>
      <c r="DE72" s="31"/>
      <c r="DG72" s="272" t="e">
        <f>IF(D$7="YES",'CIA MARKS'!DX69,"")</f>
        <v>#N/A</v>
      </c>
      <c r="DH72" s="31" t="str">
        <f>IF(D$8="YES",'CIA MARKS'!EH69,"")</f>
        <v/>
      </c>
      <c r="DI72" s="272" t="str">
        <f>IF(D$9="YES",'CIA MARKS'!EJ69,"")</f>
        <v/>
      </c>
      <c r="DJ72" s="272">
        <f>IF(Theory!D$7="YES",DC72,
 IF(Theory!D$8="YES",Lab!K64,
 IF(Theory!D$9="YES",DC72,"")))</f>
        <v>0</v>
      </c>
      <c r="DL72" s="350"/>
      <c r="DM72" s="350"/>
      <c r="DN72" s="350"/>
      <c r="DO72" s="350"/>
      <c r="DP72" s="350"/>
      <c r="DQ72" s="351"/>
      <c r="DR72" s="327"/>
      <c r="DS72" s="348">
        <f t="shared" si="0"/>
        <v>0</v>
      </c>
    </row>
    <row r="73" spans="1:123" ht="15" customHeight="1" thickBot="1" x14ac:dyDescent="0.35">
      <c r="A73" s="471">
        <v>57</v>
      </c>
      <c r="B73" s="476"/>
      <c r="C73" s="477"/>
      <c r="D73" s="500"/>
      <c r="E73" s="501"/>
      <c r="F73" s="501"/>
      <c r="G73" s="501"/>
      <c r="H73" s="502"/>
      <c r="I73" s="501"/>
      <c r="J73" s="501"/>
      <c r="K73" s="501"/>
      <c r="L73" s="503"/>
      <c r="M73" s="501"/>
      <c r="N73" s="501"/>
      <c r="O73" s="501"/>
      <c r="P73" s="502"/>
      <c r="Q73" s="501"/>
      <c r="R73" s="501"/>
      <c r="S73" s="501"/>
      <c r="T73" s="502"/>
      <c r="U73" s="501"/>
      <c r="V73" s="501"/>
      <c r="W73" s="501"/>
      <c r="X73" s="503"/>
      <c r="Y73" s="501"/>
      <c r="Z73" s="501"/>
      <c r="AA73" s="501"/>
      <c r="AB73" s="503"/>
      <c r="AC73" s="501"/>
      <c r="AD73" s="501"/>
      <c r="AE73" s="501"/>
      <c r="AF73" s="502"/>
      <c r="AG73" s="501"/>
      <c r="AH73" s="501"/>
      <c r="AI73" s="501"/>
      <c r="AJ73" s="502"/>
      <c r="AK73" s="503"/>
      <c r="AL73" s="503"/>
      <c r="AM73" s="503"/>
      <c r="AN73" s="502"/>
      <c r="AO73" s="502"/>
      <c r="AP73" s="503"/>
      <c r="AQ73" s="503"/>
      <c r="AR73" s="503"/>
      <c r="AS73" s="504"/>
      <c r="AT73" s="504"/>
      <c r="AU73" s="504"/>
      <c r="AV73" s="502"/>
      <c r="AW73" s="504"/>
      <c r="AX73" s="504"/>
      <c r="AY73" s="504"/>
      <c r="AZ73" s="502"/>
      <c r="BA73" s="504"/>
      <c r="BB73" s="504"/>
      <c r="BC73" s="504"/>
      <c r="BD73" s="503"/>
      <c r="BE73" s="504"/>
      <c r="BF73" s="504"/>
      <c r="BG73" s="504"/>
      <c r="BH73" s="503"/>
      <c r="BI73" s="504"/>
      <c r="BJ73" s="504"/>
      <c r="BK73" s="504"/>
      <c r="BL73" s="502"/>
      <c r="BM73" s="504"/>
      <c r="BN73" s="504"/>
      <c r="BO73" s="504"/>
      <c r="BP73" s="502"/>
      <c r="BQ73" s="505"/>
      <c r="BR73" s="505"/>
      <c r="BS73" s="505"/>
      <c r="BT73" s="502"/>
      <c r="BU73" s="505"/>
      <c r="BV73" s="505"/>
      <c r="BW73" s="505"/>
      <c r="BX73" s="502"/>
      <c r="BY73" s="505"/>
      <c r="BZ73" s="505"/>
      <c r="CA73" s="505"/>
      <c r="CB73" s="503"/>
      <c r="CC73" s="505"/>
      <c r="CD73" s="505"/>
      <c r="CE73" s="505"/>
      <c r="CF73" s="503"/>
      <c r="CG73" s="505"/>
      <c r="CH73" s="505"/>
      <c r="CI73" s="505"/>
      <c r="CJ73" s="502"/>
      <c r="CK73" s="505"/>
      <c r="CL73" s="505"/>
      <c r="CM73" s="505"/>
      <c r="CN73" s="502"/>
      <c r="CO73" s="505"/>
      <c r="CP73" s="505"/>
      <c r="CQ73" s="505"/>
      <c r="CR73" s="503"/>
      <c r="CS73" s="505"/>
      <c r="CT73" s="505"/>
      <c r="CU73" s="534"/>
      <c r="CV73" s="543"/>
      <c r="CW73" s="543"/>
      <c r="CX73" s="544"/>
      <c r="CY73" s="544"/>
      <c r="CZ73" s="544"/>
      <c r="DA73" s="545"/>
      <c r="DB73" s="545"/>
      <c r="DC73" s="545"/>
      <c r="DD73" s="545"/>
      <c r="DE73" s="31"/>
      <c r="DG73" s="272" t="e">
        <f>IF(D$7="YES",'CIA MARKS'!DX70,"")</f>
        <v>#N/A</v>
      </c>
      <c r="DH73" s="31" t="str">
        <f>IF(D$8="YES",'CIA MARKS'!EH70,"")</f>
        <v/>
      </c>
      <c r="DI73" s="272" t="str">
        <f>IF(D$9="YES",'CIA MARKS'!EJ70,"")</f>
        <v/>
      </c>
      <c r="DJ73" s="272">
        <f>IF(Theory!D$7="YES",DC73,
 IF(Theory!D$8="YES",Lab!K65,
 IF(Theory!D$9="YES",DC73,"")))</f>
        <v>0</v>
      </c>
      <c r="DL73" s="350"/>
      <c r="DM73" s="350"/>
      <c r="DN73" s="350"/>
      <c r="DO73" s="350"/>
      <c r="DP73" s="350"/>
      <c r="DQ73" s="351"/>
      <c r="DR73" s="327"/>
      <c r="DS73" s="348">
        <f t="shared" si="0"/>
        <v>0</v>
      </c>
    </row>
    <row r="74" spans="1:123" ht="16.2" thickBot="1" x14ac:dyDescent="0.35">
      <c r="A74" s="471">
        <v>58</v>
      </c>
      <c r="B74" s="476"/>
      <c r="C74" s="477"/>
      <c r="D74" s="500"/>
      <c r="E74" s="501"/>
      <c r="F74" s="501"/>
      <c r="G74" s="501"/>
      <c r="H74" s="502"/>
      <c r="I74" s="501"/>
      <c r="J74" s="501"/>
      <c r="K74" s="501"/>
      <c r="L74" s="502"/>
      <c r="M74" s="501"/>
      <c r="N74" s="501"/>
      <c r="O74" s="501"/>
      <c r="P74" s="503"/>
      <c r="Q74" s="501"/>
      <c r="R74" s="501"/>
      <c r="S74" s="501"/>
      <c r="T74" s="503"/>
      <c r="U74" s="501"/>
      <c r="V74" s="501"/>
      <c r="W74" s="501"/>
      <c r="X74" s="502"/>
      <c r="Y74" s="501"/>
      <c r="Z74" s="501"/>
      <c r="AA74" s="501"/>
      <c r="AB74" s="502"/>
      <c r="AC74" s="501"/>
      <c r="AD74" s="501"/>
      <c r="AE74" s="501"/>
      <c r="AF74" s="503"/>
      <c r="AG74" s="501"/>
      <c r="AH74" s="501"/>
      <c r="AI74" s="501"/>
      <c r="AJ74" s="502"/>
      <c r="AK74" s="503"/>
      <c r="AL74" s="503"/>
      <c r="AM74" s="503"/>
      <c r="AN74" s="502"/>
      <c r="AO74" s="502"/>
      <c r="AP74" s="503"/>
      <c r="AQ74" s="503"/>
      <c r="AR74" s="502"/>
      <c r="AS74" s="504"/>
      <c r="AT74" s="504"/>
      <c r="AU74" s="504"/>
      <c r="AV74" s="503"/>
      <c r="AW74" s="504"/>
      <c r="AX74" s="504"/>
      <c r="AY74" s="504"/>
      <c r="AZ74" s="503"/>
      <c r="BA74" s="504"/>
      <c r="BB74" s="504"/>
      <c r="BC74" s="504"/>
      <c r="BD74" s="502"/>
      <c r="BE74" s="504"/>
      <c r="BF74" s="504"/>
      <c r="BG74" s="504"/>
      <c r="BH74" s="503"/>
      <c r="BI74" s="504"/>
      <c r="BJ74" s="504"/>
      <c r="BK74" s="504"/>
      <c r="BL74" s="502"/>
      <c r="BM74" s="504"/>
      <c r="BN74" s="504"/>
      <c r="BO74" s="504"/>
      <c r="BP74" s="502"/>
      <c r="BQ74" s="505"/>
      <c r="BR74" s="505"/>
      <c r="BS74" s="505"/>
      <c r="BT74" s="502"/>
      <c r="BU74" s="505"/>
      <c r="BV74" s="505"/>
      <c r="BW74" s="505"/>
      <c r="BX74" s="502"/>
      <c r="BY74" s="505"/>
      <c r="BZ74" s="505"/>
      <c r="CA74" s="505"/>
      <c r="CB74" s="503"/>
      <c r="CC74" s="505"/>
      <c r="CD74" s="505"/>
      <c r="CE74" s="505"/>
      <c r="CF74" s="503"/>
      <c r="CG74" s="505"/>
      <c r="CH74" s="505"/>
      <c r="CI74" s="505"/>
      <c r="CJ74" s="502"/>
      <c r="CK74" s="505"/>
      <c r="CL74" s="505"/>
      <c r="CM74" s="505"/>
      <c r="CN74" s="502"/>
      <c r="CO74" s="505"/>
      <c r="CP74" s="505"/>
      <c r="CQ74" s="505"/>
      <c r="CR74" s="503"/>
      <c r="CS74" s="505"/>
      <c r="CT74" s="505"/>
      <c r="CU74" s="534"/>
      <c r="CV74" s="543"/>
      <c r="CW74" s="543"/>
      <c r="CX74" s="544"/>
      <c r="CY74" s="544"/>
      <c r="CZ74" s="544"/>
      <c r="DA74" s="545"/>
      <c r="DB74" s="545"/>
      <c r="DC74" s="545"/>
      <c r="DD74" s="545"/>
      <c r="DE74" s="31"/>
      <c r="DG74" s="272" t="e">
        <f>IF(D$7="YES",'CIA MARKS'!DX71,"")</f>
        <v>#N/A</v>
      </c>
      <c r="DH74" s="31" t="str">
        <f>IF(D$8="YES",'CIA MARKS'!EH71,"")</f>
        <v/>
      </c>
      <c r="DI74" s="272" t="str">
        <f>IF(D$9="YES",'CIA MARKS'!EJ71,"")</f>
        <v/>
      </c>
      <c r="DJ74" s="272">
        <f>IF(Theory!D$7="YES",DC74,
 IF(Theory!D$8="YES",Lab!K66,
 IF(Theory!D$9="YES",DC74,"")))</f>
        <v>0</v>
      </c>
      <c r="DL74" s="350"/>
      <c r="DM74" s="350"/>
      <c r="DN74" s="350"/>
      <c r="DO74" s="350"/>
      <c r="DP74" s="350"/>
      <c r="DQ74" s="351"/>
      <c r="DR74" s="327"/>
      <c r="DS74" s="348">
        <f t="shared" si="0"/>
        <v>0</v>
      </c>
    </row>
    <row r="75" spans="1:123" ht="16.2" thickBot="1" x14ac:dyDescent="0.35">
      <c r="A75" s="471">
        <v>59</v>
      </c>
      <c r="B75" s="476"/>
      <c r="C75" s="477"/>
      <c r="D75" s="510"/>
      <c r="E75" s="501"/>
      <c r="F75" s="501"/>
      <c r="G75" s="501"/>
      <c r="H75" s="503"/>
      <c r="I75" s="501"/>
      <c r="J75" s="501"/>
      <c r="K75" s="501"/>
      <c r="L75" s="503"/>
      <c r="M75" s="501"/>
      <c r="N75" s="501"/>
      <c r="O75" s="501"/>
      <c r="P75" s="503"/>
      <c r="Q75" s="501"/>
      <c r="R75" s="501"/>
      <c r="S75" s="501"/>
      <c r="T75" s="503"/>
      <c r="U75" s="501"/>
      <c r="V75" s="501"/>
      <c r="W75" s="501"/>
      <c r="X75" s="503"/>
      <c r="Y75" s="501"/>
      <c r="Z75" s="501"/>
      <c r="AA75" s="501"/>
      <c r="AB75" s="503"/>
      <c r="AC75" s="501"/>
      <c r="AD75" s="501"/>
      <c r="AE75" s="501"/>
      <c r="AF75" s="503"/>
      <c r="AG75" s="501"/>
      <c r="AH75" s="501"/>
      <c r="AI75" s="501"/>
      <c r="AJ75" s="502"/>
      <c r="AK75" s="503"/>
      <c r="AL75" s="503"/>
      <c r="AM75" s="503"/>
      <c r="AN75" s="502"/>
      <c r="AO75" s="503"/>
      <c r="AP75" s="503"/>
      <c r="AQ75" s="503"/>
      <c r="AR75" s="503"/>
      <c r="AS75" s="504"/>
      <c r="AT75" s="504"/>
      <c r="AU75" s="504"/>
      <c r="AV75" s="502"/>
      <c r="AW75" s="504"/>
      <c r="AX75" s="504"/>
      <c r="AY75" s="504"/>
      <c r="AZ75" s="503"/>
      <c r="BA75" s="504"/>
      <c r="BB75" s="504"/>
      <c r="BC75" s="504"/>
      <c r="BD75" s="502"/>
      <c r="BE75" s="504"/>
      <c r="BF75" s="504"/>
      <c r="BG75" s="504"/>
      <c r="BH75" s="503"/>
      <c r="BI75" s="504"/>
      <c r="BJ75" s="504"/>
      <c r="BK75" s="504"/>
      <c r="BL75" s="502"/>
      <c r="BM75" s="504"/>
      <c r="BN75" s="504"/>
      <c r="BO75" s="504"/>
      <c r="BP75" s="502"/>
      <c r="BQ75" s="505"/>
      <c r="BR75" s="505"/>
      <c r="BS75" s="505"/>
      <c r="BT75" s="502"/>
      <c r="BU75" s="505"/>
      <c r="BV75" s="505"/>
      <c r="BW75" s="505"/>
      <c r="BX75" s="503"/>
      <c r="BY75" s="505"/>
      <c r="BZ75" s="505"/>
      <c r="CA75" s="505"/>
      <c r="CB75" s="502"/>
      <c r="CC75" s="505"/>
      <c r="CD75" s="505"/>
      <c r="CE75" s="505"/>
      <c r="CF75" s="503"/>
      <c r="CG75" s="505"/>
      <c r="CH75" s="505"/>
      <c r="CI75" s="505"/>
      <c r="CJ75" s="503"/>
      <c r="CK75" s="505"/>
      <c r="CL75" s="505"/>
      <c r="CM75" s="505"/>
      <c r="CN75" s="502"/>
      <c r="CO75" s="505"/>
      <c r="CP75" s="505"/>
      <c r="CQ75" s="505"/>
      <c r="CR75" s="503"/>
      <c r="CS75" s="505"/>
      <c r="CT75" s="505"/>
      <c r="CU75" s="534"/>
      <c r="CV75" s="543"/>
      <c r="CW75" s="543"/>
      <c r="CX75" s="544"/>
      <c r="CY75" s="544"/>
      <c r="CZ75" s="544"/>
      <c r="DA75" s="545"/>
      <c r="DB75" s="545"/>
      <c r="DC75" s="545"/>
      <c r="DD75" s="545"/>
      <c r="DE75" s="31"/>
      <c r="DG75" s="272" t="e">
        <f>IF(D$7="YES",'CIA MARKS'!DX72,"")</f>
        <v>#N/A</v>
      </c>
      <c r="DH75" s="31" t="str">
        <f>IF(D$8="YES",'CIA MARKS'!EH72,"")</f>
        <v/>
      </c>
      <c r="DI75" s="272" t="str">
        <f>IF(D$9="YES",'CIA MARKS'!EJ72,"")</f>
        <v/>
      </c>
      <c r="DJ75" s="272">
        <f>IF(Theory!D$7="YES",DC75,
 IF(Theory!D$8="YES",Lab!K67,
 IF(Theory!D$9="YES",DC75,"")))</f>
        <v>0</v>
      </c>
      <c r="DL75" s="350"/>
      <c r="DM75" s="350"/>
      <c r="DN75" s="350"/>
      <c r="DO75" s="350"/>
      <c r="DP75" s="350"/>
      <c r="DQ75" s="351"/>
      <c r="DR75" s="327"/>
      <c r="DS75" s="348">
        <f t="shared" si="0"/>
        <v>0</v>
      </c>
    </row>
    <row r="76" spans="1:123" ht="16.5" customHeight="1" thickBot="1" x14ac:dyDescent="0.35">
      <c r="A76" s="471">
        <v>60</v>
      </c>
      <c r="B76" s="476"/>
      <c r="C76" s="477"/>
      <c r="D76" s="500"/>
      <c r="E76" s="501"/>
      <c r="F76" s="501"/>
      <c r="G76" s="501"/>
      <c r="H76" s="502"/>
      <c r="I76" s="501"/>
      <c r="J76" s="501"/>
      <c r="K76" s="501"/>
      <c r="L76" s="503"/>
      <c r="M76" s="501"/>
      <c r="N76" s="501"/>
      <c r="O76" s="501"/>
      <c r="P76" s="503"/>
      <c r="Q76" s="501"/>
      <c r="R76" s="501"/>
      <c r="S76" s="501"/>
      <c r="T76" s="502"/>
      <c r="U76" s="501"/>
      <c r="V76" s="501"/>
      <c r="W76" s="501"/>
      <c r="X76" s="503"/>
      <c r="Y76" s="501"/>
      <c r="Z76" s="501"/>
      <c r="AA76" s="501"/>
      <c r="AB76" s="503"/>
      <c r="AC76" s="501"/>
      <c r="AD76" s="501"/>
      <c r="AE76" s="501"/>
      <c r="AF76" s="502"/>
      <c r="AG76" s="501"/>
      <c r="AH76" s="501"/>
      <c r="AI76" s="501"/>
      <c r="AJ76" s="502"/>
      <c r="AK76" s="503"/>
      <c r="AL76" s="503"/>
      <c r="AM76" s="503"/>
      <c r="AN76" s="502"/>
      <c r="AO76" s="502"/>
      <c r="AP76" s="503"/>
      <c r="AQ76" s="503"/>
      <c r="AR76" s="503"/>
      <c r="AS76" s="504"/>
      <c r="AT76" s="504"/>
      <c r="AU76" s="504"/>
      <c r="AV76" s="502"/>
      <c r="AW76" s="504"/>
      <c r="AX76" s="504"/>
      <c r="AY76" s="504"/>
      <c r="AZ76" s="502"/>
      <c r="BA76" s="504"/>
      <c r="BB76" s="504"/>
      <c r="BC76" s="504"/>
      <c r="BD76" s="503"/>
      <c r="BE76" s="504"/>
      <c r="BF76" s="504"/>
      <c r="BG76" s="504"/>
      <c r="BH76" s="502"/>
      <c r="BI76" s="504"/>
      <c r="BJ76" s="504"/>
      <c r="BK76" s="504"/>
      <c r="BL76" s="503"/>
      <c r="BM76" s="504"/>
      <c r="BN76" s="504"/>
      <c r="BO76" s="504"/>
      <c r="BP76" s="502"/>
      <c r="BQ76" s="505"/>
      <c r="BR76" s="505"/>
      <c r="BS76" s="505"/>
      <c r="BT76" s="502"/>
      <c r="BU76" s="505"/>
      <c r="BV76" s="505"/>
      <c r="BW76" s="505"/>
      <c r="BX76" s="502"/>
      <c r="BY76" s="505"/>
      <c r="BZ76" s="505"/>
      <c r="CA76" s="505"/>
      <c r="CB76" s="503"/>
      <c r="CC76" s="505"/>
      <c r="CD76" s="505"/>
      <c r="CE76" s="505"/>
      <c r="CF76" s="503"/>
      <c r="CG76" s="505"/>
      <c r="CH76" s="505"/>
      <c r="CI76" s="505"/>
      <c r="CJ76" s="502"/>
      <c r="CK76" s="505"/>
      <c r="CL76" s="505"/>
      <c r="CM76" s="505"/>
      <c r="CN76" s="502"/>
      <c r="CO76" s="505"/>
      <c r="CP76" s="505"/>
      <c r="CQ76" s="505"/>
      <c r="CR76" s="503"/>
      <c r="CS76" s="505"/>
      <c r="CT76" s="505"/>
      <c r="CU76" s="505"/>
      <c r="CV76" s="537"/>
      <c r="CW76" s="537"/>
      <c r="CX76" s="538"/>
      <c r="CY76" s="538"/>
      <c r="CZ76" s="538"/>
      <c r="DA76" s="539"/>
      <c r="DB76" s="539"/>
      <c r="DC76" s="539"/>
      <c r="DD76" s="539"/>
      <c r="DE76" s="540"/>
      <c r="DG76" s="272" t="e">
        <f>IF(D$7="YES",'CIA MARKS'!DX73,"")</f>
        <v>#N/A</v>
      </c>
      <c r="DH76" s="31" t="str">
        <f>IF(D$8="YES",'CIA MARKS'!EH73,"")</f>
        <v/>
      </c>
      <c r="DI76" s="272" t="str">
        <f>IF(D$9="YES",'CIA MARKS'!EJ73,"")</f>
        <v/>
      </c>
      <c r="DJ76" s="272">
        <f>IF(Theory!D$7="YES",DC76,
 IF(Theory!D$8="YES",Lab!K68,
 IF(Theory!D$9="YES",DC76,"")))</f>
        <v>0</v>
      </c>
      <c r="DL76" s="350"/>
      <c r="DM76" s="350"/>
      <c r="DN76" s="350"/>
      <c r="DO76" s="350"/>
      <c r="DP76" s="350"/>
      <c r="DQ76" s="351"/>
      <c r="DR76" s="327"/>
      <c r="DS76" s="348">
        <f t="shared" si="0"/>
        <v>0</v>
      </c>
    </row>
    <row r="77" spans="1:123" ht="16.2" thickBot="1" x14ac:dyDescent="0.35">
      <c r="A77" s="471">
        <v>61</v>
      </c>
      <c r="B77" s="476"/>
      <c r="C77" s="477"/>
      <c r="D77" s="500"/>
      <c r="E77" s="501"/>
      <c r="F77" s="501"/>
      <c r="G77" s="501"/>
      <c r="H77" s="502"/>
      <c r="I77" s="501"/>
      <c r="J77" s="501"/>
      <c r="K77" s="501"/>
      <c r="L77" s="502"/>
      <c r="M77" s="501"/>
      <c r="N77" s="501"/>
      <c r="O77" s="501"/>
      <c r="P77" s="503"/>
      <c r="Q77" s="501"/>
      <c r="R77" s="501"/>
      <c r="S77" s="501"/>
      <c r="T77" s="502"/>
      <c r="U77" s="501"/>
      <c r="V77" s="501"/>
      <c r="W77" s="501"/>
      <c r="X77" s="503"/>
      <c r="Y77" s="501"/>
      <c r="Z77" s="501"/>
      <c r="AA77" s="501"/>
      <c r="AB77" s="502"/>
      <c r="AC77" s="501"/>
      <c r="AD77" s="501"/>
      <c r="AE77" s="501"/>
      <c r="AF77" s="503"/>
      <c r="AG77" s="501"/>
      <c r="AH77" s="501"/>
      <c r="AI77" s="511"/>
      <c r="AJ77" s="502"/>
      <c r="AK77" s="503"/>
      <c r="AL77" s="503"/>
      <c r="AM77" s="503"/>
      <c r="AN77" s="502"/>
      <c r="AO77" s="502"/>
      <c r="AP77" s="503"/>
      <c r="AQ77" s="503"/>
      <c r="AR77" s="503"/>
      <c r="AS77" s="504"/>
      <c r="AT77" s="504"/>
      <c r="AU77" s="504"/>
      <c r="AV77" s="502"/>
      <c r="AW77" s="504"/>
      <c r="AX77" s="504"/>
      <c r="AY77" s="504"/>
      <c r="AZ77" s="502"/>
      <c r="BA77" s="504"/>
      <c r="BB77" s="504"/>
      <c r="BC77" s="504"/>
      <c r="BD77" s="503"/>
      <c r="BE77" s="504"/>
      <c r="BF77" s="504"/>
      <c r="BG77" s="504"/>
      <c r="BH77" s="502"/>
      <c r="BI77" s="504"/>
      <c r="BJ77" s="504"/>
      <c r="BK77" s="504"/>
      <c r="BL77" s="503"/>
      <c r="BM77" s="504"/>
      <c r="BN77" s="504"/>
      <c r="BO77" s="504"/>
      <c r="BP77" s="502"/>
      <c r="BQ77" s="505"/>
      <c r="BR77" s="505"/>
      <c r="BS77" s="505"/>
      <c r="BT77" s="502"/>
      <c r="BU77" s="505"/>
      <c r="BV77" s="505"/>
      <c r="BW77" s="505"/>
      <c r="BX77" s="502"/>
      <c r="BY77" s="505"/>
      <c r="BZ77" s="505"/>
      <c r="CA77" s="505"/>
      <c r="CB77" s="503"/>
      <c r="CC77" s="505"/>
      <c r="CD77" s="505"/>
      <c r="CE77" s="505"/>
      <c r="CF77" s="502"/>
      <c r="CG77" s="505"/>
      <c r="CH77" s="505"/>
      <c r="CI77" s="505"/>
      <c r="CJ77" s="503"/>
      <c r="CK77" s="505"/>
      <c r="CL77" s="505"/>
      <c r="CM77" s="505"/>
      <c r="CN77" s="503"/>
      <c r="CO77" s="505"/>
      <c r="CP77" s="505"/>
      <c r="CQ77" s="505"/>
      <c r="CR77" s="502"/>
      <c r="CS77" s="505"/>
      <c r="CT77" s="505"/>
      <c r="CU77" s="505"/>
      <c r="CV77" s="506"/>
      <c r="CW77" s="506"/>
      <c r="CX77" s="507"/>
      <c r="CY77" s="507"/>
      <c r="CZ77" s="507"/>
      <c r="DA77" s="507"/>
      <c r="DB77" s="507"/>
      <c r="DC77" s="508"/>
      <c r="DD77" s="508"/>
      <c r="DE77" s="509"/>
      <c r="DG77" s="272" t="e">
        <f>IF(D$7="YES",'CIA MARKS'!DX74,"")</f>
        <v>#N/A</v>
      </c>
      <c r="DH77" s="31" t="str">
        <f>IF(D$8="YES",'CIA MARKS'!EH74,"")</f>
        <v/>
      </c>
      <c r="DI77" s="272" t="str">
        <f>IF(D$9="YES",'CIA MARKS'!EJ74,"")</f>
        <v/>
      </c>
      <c r="DJ77" s="272">
        <f>IF(Theory!D$7="YES",DC77,
 IF(Theory!D$8="YES",Lab!K69,
 IF(Theory!D$9="YES",DC77,"")))</f>
        <v>0</v>
      </c>
      <c r="DL77" s="350"/>
      <c r="DM77" s="350"/>
      <c r="DN77" s="350"/>
      <c r="DO77" s="350"/>
      <c r="DP77" s="350"/>
      <c r="DQ77" s="351"/>
      <c r="DR77" s="327"/>
      <c r="DS77" s="348">
        <f t="shared" si="0"/>
        <v>0</v>
      </c>
    </row>
    <row r="78" spans="1:123" ht="16.2" thickBot="1" x14ac:dyDescent="0.35">
      <c r="A78" s="471">
        <v>62</v>
      </c>
      <c r="B78" s="476"/>
      <c r="C78" s="477"/>
      <c r="D78" s="500"/>
      <c r="E78" s="501"/>
      <c r="F78" s="501"/>
      <c r="G78" s="501"/>
      <c r="H78" s="502"/>
      <c r="I78" s="501"/>
      <c r="J78" s="501"/>
      <c r="K78" s="501"/>
      <c r="L78" s="503"/>
      <c r="M78" s="501"/>
      <c r="N78" s="501"/>
      <c r="O78" s="501"/>
      <c r="P78" s="503"/>
      <c r="Q78" s="501"/>
      <c r="R78" s="501"/>
      <c r="S78" s="501"/>
      <c r="T78" s="503"/>
      <c r="U78" s="501"/>
      <c r="V78" s="501"/>
      <c r="W78" s="501"/>
      <c r="X78" s="503"/>
      <c r="Y78" s="501"/>
      <c r="Z78" s="501"/>
      <c r="AA78" s="501"/>
      <c r="AB78" s="502"/>
      <c r="AC78" s="501"/>
      <c r="AD78" s="501"/>
      <c r="AE78" s="501"/>
      <c r="AF78" s="503"/>
      <c r="AG78" s="501"/>
      <c r="AH78" s="501"/>
      <c r="AI78" s="501"/>
      <c r="AJ78" s="502"/>
      <c r="AK78" s="503"/>
      <c r="AL78" s="503"/>
      <c r="AM78" s="503"/>
      <c r="AN78" s="502"/>
      <c r="AO78" s="502"/>
      <c r="AP78" s="503"/>
      <c r="AQ78" s="503"/>
      <c r="AR78" s="503"/>
      <c r="AS78" s="504"/>
      <c r="AT78" s="504"/>
      <c r="AU78" s="504"/>
      <c r="AV78" s="503"/>
      <c r="AW78" s="504"/>
      <c r="AX78" s="504"/>
      <c r="AY78" s="504"/>
      <c r="AZ78" s="503"/>
      <c r="BA78" s="504"/>
      <c r="BB78" s="504"/>
      <c r="BC78" s="504"/>
      <c r="BD78" s="503"/>
      <c r="BE78" s="504"/>
      <c r="BF78" s="504"/>
      <c r="BG78" s="504"/>
      <c r="BH78" s="503"/>
      <c r="BI78" s="504"/>
      <c r="BJ78" s="504"/>
      <c r="BK78" s="504"/>
      <c r="BL78" s="503"/>
      <c r="BM78" s="504"/>
      <c r="BN78" s="504"/>
      <c r="BO78" s="504"/>
      <c r="BP78" s="502"/>
      <c r="BQ78" s="505"/>
      <c r="BR78" s="505"/>
      <c r="BS78" s="505"/>
      <c r="BT78" s="502"/>
      <c r="BU78" s="505"/>
      <c r="BV78" s="505"/>
      <c r="BW78" s="505"/>
      <c r="BX78" s="503"/>
      <c r="BY78" s="505"/>
      <c r="BZ78" s="505"/>
      <c r="CA78" s="505"/>
      <c r="CB78" s="503"/>
      <c r="CC78" s="505"/>
      <c r="CD78" s="505"/>
      <c r="CE78" s="505"/>
      <c r="CF78" s="503"/>
      <c r="CG78" s="505"/>
      <c r="CH78" s="505"/>
      <c r="CI78" s="505"/>
      <c r="CJ78" s="503"/>
      <c r="CK78" s="505"/>
      <c r="CL78" s="505"/>
      <c r="CM78" s="505"/>
      <c r="CN78" s="503"/>
      <c r="CO78" s="505"/>
      <c r="CP78" s="505"/>
      <c r="CQ78" s="505"/>
      <c r="CR78" s="502"/>
      <c r="CS78" s="505"/>
      <c r="CT78" s="505"/>
      <c r="CU78" s="505"/>
      <c r="CV78" s="506"/>
      <c r="CW78" s="506"/>
      <c r="CX78" s="507"/>
      <c r="CY78" s="507"/>
      <c r="CZ78" s="507"/>
      <c r="DA78" s="507"/>
      <c r="DB78" s="507"/>
      <c r="DC78" s="508"/>
      <c r="DD78" s="508"/>
      <c r="DE78" s="509"/>
      <c r="DG78" s="272" t="e">
        <f>IF(D$7="YES",'CIA MARKS'!DX75,"")</f>
        <v>#N/A</v>
      </c>
      <c r="DH78" s="31" t="str">
        <f>IF(D$8="YES",'CIA MARKS'!EH75,"")</f>
        <v/>
      </c>
      <c r="DI78" s="272" t="str">
        <f>IF(D$9="YES",'CIA MARKS'!EJ75,"")</f>
        <v/>
      </c>
      <c r="DJ78" s="272">
        <f>IF(Theory!D$7="YES",DC78,
 IF(Theory!D$8="YES",Lab!K70,
 IF(Theory!D$9="YES",DC78,"")))</f>
        <v>0</v>
      </c>
      <c r="DL78" s="350"/>
      <c r="DM78" s="350"/>
      <c r="DN78" s="350"/>
      <c r="DO78" s="350"/>
      <c r="DP78" s="350"/>
      <c r="DQ78" s="351"/>
      <c r="DR78" s="327"/>
      <c r="DS78" s="348">
        <f t="shared" si="0"/>
        <v>0</v>
      </c>
    </row>
    <row r="79" spans="1:123" ht="16.2" thickBot="1" x14ac:dyDescent="0.35">
      <c r="A79" s="471">
        <v>63</v>
      </c>
      <c r="B79" s="476"/>
      <c r="C79" s="477"/>
      <c r="D79" s="510"/>
      <c r="E79" s="501"/>
      <c r="F79" s="501"/>
      <c r="G79" s="501"/>
      <c r="H79" s="503"/>
      <c r="I79" s="501"/>
      <c r="J79" s="501"/>
      <c r="K79" s="501"/>
      <c r="L79" s="503"/>
      <c r="M79" s="501"/>
      <c r="N79" s="501"/>
      <c r="O79" s="501"/>
      <c r="P79" s="503"/>
      <c r="Q79" s="501"/>
      <c r="R79" s="501"/>
      <c r="S79" s="501"/>
      <c r="T79" s="503"/>
      <c r="U79" s="501"/>
      <c r="V79" s="501"/>
      <c r="W79" s="501"/>
      <c r="X79" s="503"/>
      <c r="Y79" s="501"/>
      <c r="Z79" s="501"/>
      <c r="AA79" s="501"/>
      <c r="AB79" s="503"/>
      <c r="AC79" s="501"/>
      <c r="AD79" s="501"/>
      <c r="AE79" s="501"/>
      <c r="AF79" s="503"/>
      <c r="AG79" s="501"/>
      <c r="AH79" s="501"/>
      <c r="AI79" s="501"/>
      <c r="AJ79" s="503"/>
      <c r="AK79" s="503"/>
      <c r="AL79" s="503"/>
      <c r="AM79" s="503"/>
      <c r="AN79" s="503"/>
      <c r="AO79" s="503"/>
      <c r="AP79" s="503"/>
      <c r="AQ79" s="503"/>
      <c r="AR79" s="503"/>
      <c r="AS79" s="504"/>
      <c r="AT79" s="504"/>
      <c r="AU79" s="504"/>
      <c r="AV79" s="503"/>
      <c r="AW79" s="504"/>
      <c r="AX79" s="504"/>
      <c r="AY79" s="504"/>
      <c r="AZ79" s="503"/>
      <c r="BA79" s="504"/>
      <c r="BB79" s="504"/>
      <c r="BC79" s="504"/>
      <c r="BD79" s="503"/>
      <c r="BE79" s="504"/>
      <c r="BF79" s="504"/>
      <c r="BG79" s="504"/>
      <c r="BH79" s="503"/>
      <c r="BI79" s="504"/>
      <c r="BJ79" s="504"/>
      <c r="BK79" s="504"/>
      <c r="BL79" s="503"/>
      <c r="BM79" s="504"/>
      <c r="BN79" s="504"/>
      <c r="BO79" s="504"/>
      <c r="BP79" s="502"/>
      <c r="BQ79" s="505"/>
      <c r="BR79" s="505"/>
      <c r="BS79" s="505"/>
      <c r="BT79" s="503"/>
      <c r="BU79" s="505"/>
      <c r="BV79" s="505"/>
      <c r="BW79" s="505"/>
      <c r="BX79" s="502"/>
      <c r="BY79" s="505"/>
      <c r="BZ79" s="505"/>
      <c r="CA79" s="505"/>
      <c r="CB79" s="503"/>
      <c r="CC79" s="505"/>
      <c r="CD79" s="505"/>
      <c r="CE79" s="505"/>
      <c r="CF79" s="502"/>
      <c r="CG79" s="505"/>
      <c r="CH79" s="505"/>
      <c r="CI79" s="505"/>
      <c r="CJ79" s="503"/>
      <c r="CK79" s="505"/>
      <c r="CL79" s="505"/>
      <c r="CM79" s="505"/>
      <c r="CN79" s="502"/>
      <c r="CO79" s="505"/>
      <c r="CP79" s="505"/>
      <c r="CQ79" s="505"/>
      <c r="CR79" s="503"/>
      <c r="CS79" s="505"/>
      <c r="CT79" s="505"/>
      <c r="CU79" s="505"/>
      <c r="CV79" s="506"/>
      <c r="CW79" s="506"/>
      <c r="CX79" s="507"/>
      <c r="CY79" s="507"/>
      <c r="CZ79" s="507"/>
      <c r="DA79" s="507"/>
      <c r="DB79" s="507"/>
      <c r="DC79" s="508"/>
      <c r="DD79" s="508"/>
      <c r="DE79" s="509"/>
      <c r="DG79" s="272" t="e">
        <f>IF(D$7="YES",'CIA MARKS'!DX76,"")</f>
        <v>#N/A</v>
      </c>
      <c r="DH79" s="31" t="str">
        <f>IF(D$8="YES",'CIA MARKS'!EH76,"")</f>
        <v/>
      </c>
      <c r="DI79" s="272" t="str">
        <f>IF(D$9="YES",'CIA MARKS'!EJ76,"")</f>
        <v/>
      </c>
      <c r="DJ79" s="272">
        <f>IF(Theory!D$7="YES",DC79,
 IF(Theory!D$8="YES",Lab!K71,
 IF(Theory!D$9="YES",DC79,"")))</f>
        <v>0</v>
      </c>
      <c r="DL79" s="350"/>
      <c r="DM79" s="350"/>
      <c r="DN79" s="350"/>
      <c r="DO79" s="350"/>
      <c r="DP79" s="350"/>
      <c r="DQ79" s="351"/>
      <c r="DR79" s="327"/>
      <c r="DS79" s="348">
        <f t="shared" si="0"/>
        <v>0</v>
      </c>
    </row>
    <row r="80" spans="1:123" ht="16.2" thickBot="1" x14ac:dyDescent="0.35">
      <c r="A80" s="471">
        <v>64</v>
      </c>
      <c r="B80" s="476"/>
      <c r="C80" s="477"/>
      <c r="D80" s="500"/>
      <c r="E80" s="501"/>
      <c r="F80" s="501"/>
      <c r="G80" s="501"/>
      <c r="H80" s="502"/>
      <c r="I80" s="501"/>
      <c r="J80" s="501"/>
      <c r="K80" s="501"/>
      <c r="L80" s="503"/>
      <c r="M80" s="501"/>
      <c r="N80" s="501"/>
      <c r="O80" s="501"/>
      <c r="P80" s="502"/>
      <c r="Q80" s="501"/>
      <c r="R80" s="501"/>
      <c r="S80" s="501"/>
      <c r="T80" s="503"/>
      <c r="U80" s="501"/>
      <c r="V80" s="501"/>
      <c r="W80" s="501"/>
      <c r="X80" s="502"/>
      <c r="Y80" s="501"/>
      <c r="Z80" s="501"/>
      <c r="AA80" s="501"/>
      <c r="AB80" s="503"/>
      <c r="AC80" s="501"/>
      <c r="AD80" s="501"/>
      <c r="AE80" s="501"/>
      <c r="AF80" s="503"/>
      <c r="AG80" s="501"/>
      <c r="AH80" s="501"/>
      <c r="AI80" s="501"/>
      <c r="AJ80" s="502"/>
      <c r="AK80" s="501"/>
      <c r="AL80" s="501"/>
      <c r="AM80" s="501"/>
      <c r="AN80" s="503"/>
      <c r="AO80" s="503"/>
      <c r="AP80" s="501"/>
      <c r="AQ80" s="501"/>
      <c r="AR80" s="503"/>
      <c r="AS80" s="501"/>
      <c r="AT80" s="501"/>
      <c r="AU80" s="501"/>
      <c r="AV80" s="502"/>
      <c r="AW80" s="501"/>
      <c r="AX80" s="501"/>
      <c r="AY80" s="501"/>
      <c r="AZ80" s="503"/>
      <c r="BA80" s="501"/>
      <c r="BB80" s="501"/>
      <c r="BC80" s="501"/>
      <c r="BD80" s="502"/>
      <c r="BE80" s="501"/>
      <c r="BF80" s="501"/>
      <c r="BG80" s="501"/>
      <c r="BH80" s="502"/>
      <c r="BI80" s="501"/>
      <c r="BJ80" s="501"/>
      <c r="BK80" s="501"/>
      <c r="BL80" s="503"/>
      <c r="BM80" s="501"/>
      <c r="BN80" s="501"/>
      <c r="BO80" s="504"/>
      <c r="BP80" s="502"/>
      <c r="BQ80" s="501"/>
      <c r="BR80" s="501"/>
      <c r="BS80" s="501"/>
      <c r="BT80" s="502"/>
      <c r="BU80" s="501"/>
      <c r="BV80" s="501"/>
      <c r="BW80" s="501"/>
      <c r="BX80" s="503"/>
      <c r="BY80" s="501"/>
      <c r="BZ80" s="501"/>
      <c r="CA80" s="501"/>
      <c r="CB80" s="502"/>
      <c r="CC80" s="501"/>
      <c r="CD80" s="501"/>
      <c r="CE80" s="501"/>
      <c r="CF80" s="503"/>
      <c r="CG80" s="501"/>
      <c r="CH80" s="501"/>
      <c r="CI80" s="501"/>
      <c r="CJ80" s="502"/>
      <c r="CK80" s="501"/>
      <c r="CL80" s="501"/>
      <c r="CM80" s="501"/>
      <c r="CN80" s="502"/>
      <c r="CO80" s="501"/>
      <c r="CP80" s="501"/>
      <c r="CQ80" s="501"/>
      <c r="CR80" s="503"/>
      <c r="CS80" s="501"/>
      <c r="CT80" s="501"/>
      <c r="CU80" s="505"/>
      <c r="CV80" s="506"/>
      <c r="CW80" s="506"/>
      <c r="CX80" s="507"/>
      <c r="CY80" s="507"/>
      <c r="CZ80" s="507"/>
      <c r="DA80" s="507"/>
      <c r="DB80" s="507"/>
      <c r="DC80" s="508"/>
      <c r="DD80" s="508"/>
      <c r="DE80" s="509"/>
      <c r="DG80" s="272" t="e">
        <f>IF(D$7="YES",'CIA MARKS'!DX77,"")</f>
        <v>#N/A</v>
      </c>
      <c r="DH80" s="31" t="str">
        <f>IF(D$8="YES",'CIA MARKS'!EH77,"")</f>
        <v/>
      </c>
      <c r="DI80" s="272" t="str">
        <f>IF(D$9="YES",'CIA MARKS'!EJ77,"")</f>
        <v/>
      </c>
      <c r="DJ80" s="272">
        <f>IF(Theory!D$7="YES",DC80,
 IF(Theory!D$8="YES",Lab!K72,
 IF(Theory!D$9="YES",DC80,"")))</f>
        <v>0</v>
      </c>
      <c r="DL80" s="353"/>
      <c r="DM80" s="350"/>
      <c r="DN80" s="350"/>
      <c r="DO80" s="350"/>
      <c r="DP80" s="350"/>
      <c r="DQ80" s="354"/>
      <c r="DR80" s="354"/>
      <c r="DS80" s="348">
        <f t="shared" si="0"/>
        <v>0</v>
      </c>
    </row>
    <row r="81" spans="1:123" ht="16.2" thickBot="1" x14ac:dyDescent="0.35">
      <c r="A81" s="471">
        <v>65</v>
      </c>
      <c r="B81" s="476"/>
      <c r="C81" s="477"/>
      <c r="D81" s="500"/>
      <c r="E81" s="501"/>
      <c r="F81" s="501"/>
      <c r="G81" s="501"/>
      <c r="H81" s="502"/>
      <c r="I81" s="501"/>
      <c r="J81" s="501"/>
      <c r="K81" s="501"/>
      <c r="L81" s="502"/>
      <c r="M81" s="501"/>
      <c r="N81" s="501"/>
      <c r="O81" s="501"/>
      <c r="P81" s="503"/>
      <c r="Q81" s="501"/>
      <c r="R81" s="501"/>
      <c r="S81" s="501"/>
      <c r="T81" s="502"/>
      <c r="U81" s="501"/>
      <c r="V81" s="501"/>
      <c r="W81" s="501"/>
      <c r="X81" s="503"/>
      <c r="Y81" s="501"/>
      <c r="Z81" s="501"/>
      <c r="AA81" s="501"/>
      <c r="AB81" s="503"/>
      <c r="AC81" s="501"/>
      <c r="AD81" s="501"/>
      <c r="AE81" s="501"/>
      <c r="AF81" s="502"/>
      <c r="AG81" s="501"/>
      <c r="AH81" s="501"/>
      <c r="AI81" s="501"/>
      <c r="AJ81" s="502"/>
      <c r="AK81" s="501"/>
      <c r="AL81" s="501"/>
      <c r="AM81" s="501"/>
      <c r="AN81" s="502"/>
      <c r="AO81" s="502"/>
      <c r="AP81" s="501"/>
      <c r="AQ81" s="501"/>
      <c r="AR81" s="503"/>
      <c r="AS81" s="501"/>
      <c r="AT81" s="501"/>
      <c r="AU81" s="501"/>
      <c r="AV81" s="502"/>
      <c r="AW81" s="501"/>
      <c r="AX81" s="501"/>
      <c r="AY81" s="501"/>
      <c r="AZ81" s="503"/>
      <c r="BA81" s="501"/>
      <c r="BB81" s="501"/>
      <c r="BC81" s="501"/>
      <c r="BD81" s="502"/>
      <c r="BE81" s="501"/>
      <c r="BF81" s="501"/>
      <c r="BG81" s="501"/>
      <c r="BH81" s="502"/>
      <c r="BI81" s="501"/>
      <c r="BJ81" s="501"/>
      <c r="BK81" s="501"/>
      <c r="BL81" s="503"/>
      <c r="BM81" s="501"/>
      <c r="BN81" s="501"/>
      <c r="BO81" s="504"/>
      <c r="BP81" s="502"/>
      <c r="BQ81" s="501"/>
      <c r="BR81" s="501"/>
      <c r="BS81" s="501"/>
      <c r="BT81" s="502"/>
      <c r="BU81" s="501"/>
      <c r="BV81" s="501"/>
      <c r="BW81" s="501"/>
      <c r="BX81" s="502"/>
      <c r="BY81" s="501"/>
      <c r="BZ81" s="501"/>
      <c r="CA81" s="501"/>
      <c r="CB81" s="503"/>
      <c r="CC81" s="501"/>
      <c r="CD81" s="501"/>
      <c r="CE81" s="501"/>
      <c r="CF81" s="503"/>
      <c r="CG81" s="501"/>
      <c r="CH81" s="501"/>
      <c r="CI81" s="501"/>
      <c r="CJ81" s="502"/>
      <c r="CK81" s="501"/>
      <c r="CL81" s="501"/>
      <c r="CM81" s="501"/>
      <c r="CN81" s="502"/>
      <c r="CO81" s="501"/>
      <c r="CP81" s="501"/>
      <c r="CQ81" s="501"/>
      <c r="CR81" s="503"/>
      <c r="CS81" s="501"/>
      <c r="CT81" s="501"/>
      <c r="CU81" s="505"/>
      <c r="CV81" s="506"/>
      <c r="CW81" s="506"/>
      <c r="CX81" s="507"/>
      <c r="CY81" s="507"/>
      <c r="CZ81" s="507"/>
      <c r="DA81" s="507"/>
      <c r="DB81" s="507"/>
      <c r="DC81" s="508"/>
      <c r="DD81" s="508"/>
      <c r="DE81" s="509"/>
      <c r="DG81" s="272" t="e">
        <f>IF(D$7="YES",'CIA MARKS'!DX78,"")</f>
        <v>#N/A</v>
      </c>
      <c r="DH81" s="31" t="str">
        <f>IF(D$8="YES",'CIA MARKS'!EH78,"")</f>
        <v/>
      </c>
      <c r="DI81" s="272" t="str">
        <f>IF(D$9="YES",'CIA MARKS'!EJ78,"")</f>
        <v/>
      </c>
      <c r="DJ81" s="272">
        <f>IF(Theory!D$7="YES",DC81,
 IF(Theory!D$8="YES",Lab!K73,
 IF(Theory!D$9="YES",DC81,"")))</f>
        <v>0</v>
      </c>
      <c r="DL81" s="353"/>
      <c r="DM81" s="350"/>
      <c r="DN81" s="350"/>
      <c r="DO81" s="350"/>
      <c r="DP81" s="350"/>
      <c r="DQ81" s="354"/>
      <c r="DR81" s="354"/>
      <c r="DS81" s="348">
        <f t="shared" ref="DS81:DS83" si="1">SUM(DQ81:DR81)</f>
        <v>0</v>
      </c>
    </row>
    <row r="82" spans="1:123" ht="16.2" thickBot="1" x14ac:dyDescent="0.35">
      <c r="A82" s="471">
        <v>66</v>
      </c>
      <c r="B82" s="476"/>
      <c r="C82" s="477"/>
      <c r="D82" s="510"/>
      <c r="E82" s="501"/>
      <c r="F82" s="501"/>
      <c r="G82" s="501"/>
      <c r="H82" s="502"/>
      <c r="I82" s="501"/>
      <c r="J82" s="501"/>
      <c r="K82" s="501"/>
      <c r="L82" s="502"/>
      <c r="M82" s="501"/>
      <c r="N82" s="501"/>
      <c r="O82" s="501"/>
      <c r="P82" s="503"/>
      <c r="Q82" s="501"/>
      <c r="R82" s="501"/>
      <c r="S82" s="501"/>
      <c r="T82" s="502"/>
      <c r="U82" s="501"/>
      <c r="V82" s="501"/>
      <c r="W82" s="501"/>
      <c r="X82" s="503"/>
      <c r="Y82" s="501"/>
      <c r="Z82" s="501"/>
      <c r="AA82" s="501"/>
      <c r="AB82" s="502"/>
      <c r="AC82" s="501"/>
      <c r="AD82" s="501"/>
      <c r="AE82" s="501"/>
      <c r="AF82" s="503"/>
      <c r="AG82" s="501"/>
      <c r="AH82" s="501"/>
      <c r="AI82" s="501"/>
      <c r="AJ82" s="502"/>
      <c r="AK82" s="501"/>
      <c r="AL82" s="501"/>
      <c r="AM82" s="501"/>
      <c r="AN82" s="503"/>
      <c r="AO82" s="503"/>
      <c r="AP82" s="501"/>
      <c r="AQ82" s="501"/>
      <c r="AR82" s="503"/>
      <c r="AS82" s="501"/>
      <c r="AT82" s="501"/>
      <c r="AU82" s="501"/>
      <c r="AV82" s="502"/>
      <c r="AW82" s="501"/>
      <c r="AX82" s="501"/>
      <c r="AY82" s="501"/>
      <c r="AZ82" s="503"/>
      <c r="BA82" s="501"/>
      <c r="BB82" s="501"/>
      <c r="BC82" s="501"/>
      <c r="BD82" s="502"/>
      <c r="BE82" s="501"/>
      <c r="BF82" s="501"/>
      <c r="BG82" s="501"/>
      <c r="BH82" s="502"/>
      <c r="BI82" s="501"/>
      <c r="BJ82" s="501"/>
      <c r="BK82" s="501"/>
      <c r="BL82" s="503"/>
      <c r="BM82" s="501"/>
      <c r="BN82" s="501"/>
      <c r="BO82" s="504"/>
      <c r="BP82" s="502"/>
      <c r="BQ82" s="501"/>
      <c r="BR82" s="501"/>
      <c r="BS82" s="501"/>
      <c r="BT82" s="502"/>
      <c r="BU82" s="501"/>
      <c r="BV82" s="501"/>
      <c r="BW82" s="501"/>
      <c r="BX82" s="502"/>
      <c r="BY82" s="501"/>
      <c r="BZ82" s="501"/>
      <c r="CA82" s="501"/>
      <c r="CB82" s="503"/>
      <c r="CC82" s="501"/>
      <c r="CD82" s="501"/>
      <c r="CE82" s="501"/>
      <c r="CF82" s="503"/>
      <c r="CG82" s="501"/>
      <c r="CH82" s="501"/>
      <c r="CI82" s="501"/>
      <c r="CJ82" s="502"/>
      <c r="CK82" s="501"/>
      <c r="CL82" s="501"/>
      <c r="CM82" s="501"/>
      <c r="CN82" s="502"/>
      <c r="CO82" s="501"/>
      <c r="CP82" s="501"/>
      <c r="CQ82" s="501"/>
      <c r="CR82" s="503"/>
      <c r="CS82" s="501"/>
      <c r="CT82" s="501"/>
      <c r="CU82" s="505"/>
      <c r="CV82" s="506"/>
      <c r="CW82" s="506"/>
      <c r="CX82" s="507"/>
      <c r="CY82" s="507"/>
      <c r="CZ82" s="507"/>
      <c r="DA82" s="507"/>
      <c r="DB82" s="507"/>
      <c r="DC82" s="508"/>
      <c r="DD82" s="508"/>
      <c r="DE82" s="509"/>
      <c r="DG82" s="272" t="e">
        <f>IF(D$7="YES",'CIA MARKS'!DX79,"")</f>
        <v>#N/A</v>
      </c>
      <c r="DH82" s="31" t="str">
        <f>IF(D$8="YES",'CIA MARKS'!EH79,"")</f>
        <v/>
      </c>
      <c r="DI82" s="272" t="str">
        <f>IF(D$9="YES",'CIA MARKS'!EJ79,"")</f>
        <v/>
      </c>
      <c r="DJ82" s="272">
        <f>IF(Theory!D$7="YES",DC82,
 IF(Theory!D$8="YES",Lab!K74,
 IF(Theory!D$9="YES",DC82,"")))</f>
        <v>0</v>
      </c>
      <c r="DL82" s="353"/>
      <c r="DM82" s="350"/>
      <c r="DN82" s="350"/>
      <c r="DO82" s="350"/>
      <c r="DP82" s="350"/>
      <c r="DQ82" s="354"/>
      <c r="DR82" s="354"/>
      <c r="DS82" s="348">
        <f t="shared" si="1"/>
        <v>0</v>
      </c>
    </row>
    <row r="83" spans="1:123" ht="16.2" thickBot="1" x14ac:dyDescent="0.35">
      <c r="A83" s="471">
        <v>67</v>
      </c>
      <c r="B83" s="476"/>
      <c r="C83" s="477"/>
      <c r="D83" s="500"/>
      <c r="E83" s="501"/>
      <c r="F83" s="501"/>
      <c r="G83" s="501"/>
      <c r="H83" s="502"/>
      <c r="I83" s="501"/>
      <c r="J83" s="501"/>
      <c r="K83" s="501"/>
      <c r="L83" s="503"/>
      <c r="M83" s="501"/>
      <c r="N83" s="501"/>
      <c r="O83" s="501"/>
      <c r="P83" s="503"/>
      <c r="Q83" s="501"/>
      <c r="R83" s="501"/>
      <c r="S83" s="501"/>
      <c r="T83" s="503"/>
      <c r="U83" s="501"/>
      <c r="V83" s="501"/>
      <c r="W83" s="501"/>
      <c r="X83" s="503"/>
      <c r="Y83" s="501"/>
      <c r="Z83" s="501"/>
      <c r="AA83" s="501"/>
      <c r="AB83" s="503"/>
      <c r="AC83" s="501"/>
      <c r="AD83" s="501"/>
      <c r="AE83" s="501"/>
      <c r="AF83" s="503"/>
      <c r="AG83" s="501"/>
      <c r="AH83" s="501"/>
      <c r="AI83" s="501"/>
      <c r="AJ83" s="502"/>
      <c r="AK83" s="501"/>
      <c r="AL83" s="501"/>
      <c r="AM83" s="501"/>
      <c r="AN83" s="502"/>
      <c r="AO83" s="502"/>
      <c r="AP83" s="501"/>
      <c r="AQ83" s="501"/>
      <c r="AR83" s="503"/>
      <c r="AS83" s="501"/>
      <c r="AT83" s="501"/>
      <c r="AU83" s="501"/>
      <c r="AV83" s="502"/>
      <c r="AW83" s="501"/>
      <c r="AX83" s="501"/>
      <c r="AY83" s="501"/>
      <c r="AZ83" s="502"/>
      <c r="BA83" s="501"/>
      <c r="BB83" s="501"/>
      <c r="BC83" s="501"/>
      <c r="BD83" s="503"/>
      <c r="BE83" s="501"/>
      <c r="BF83" s="501"/>
      <c r="BG83" s="501"/>
      <c r="BH83" s="502"/>
      <c r="BI83" s="501"/>
      <c r="BJ83" s="501"/>
      <c r="BK83" s="501"/>
      <c r="BL83" s="503"/>
      <c r="BM83" s="501"/>
      <c r="BN83" s="501"/>
      <c r="BO83" s="504"/>
      <c r="BP83" s="502"/>
      <c r="BQ83" s="501"/>
      <c r="BR83" s="501"/>
      <c r="BS83" s="501"/>
      <c r="BT83" s="502"/>
      <c r="BU83" s="501"/>
      <c r="BV83" s="501"/>
      <c r="BW83" s="501"/>
      <c r="BX83" s="502"/>
      <c r="BY83" s="501"/>
      <c r="BZ83" s="501"/>
      <c r="CA83" s="501"/>
      <c r="CB83" s="503"/>
      <c r="CC83" s="501"/>
      <c r="CD83" s="501"/>
      <c r="CE83" s="501"/>
      <c r="CF83" s="503"/>
      <c r="CG83" s="501"/>
      <c r="CH83" s="501"/>
      <c r="CI83" s="501"/>
      <c r="CJ83" s="502"/>
      <c r="CK83" s="501"/>
      <c r="CL83" s="501"/>
      <c r="CM83" s="501"/>
      <c r="CN83" s="502"/>
      <c r="CO83" s="501"/>
      <c r="CP83" s="501"/>
      <c r="CQ83" s="501"/>
      <c r="CR83" s="503"/>
      <c r="CS83" s="501"/>
      <c r="CT83" s="501"/>
      <c r="CU83" s="505"/>
      <c r="CV83" s="506"/>
      <c r="CW83" s="506"/>
      <c r="CX83" s="507"/>
      <c r="CY83" s="507"/>
      <c r="CZ83" s="507"/>
      <c r="DA83" s="507"/>
      <c r="DB83" s="507"/>
      <c r="DC83" s="508"/>
      <c r="DD83" s="508"/>
      <c r="DE83" s="509"/>
      <c r="DG83" s="272" t="e">
        <f>IF(D$7="YES",'CIA MARKS'!DX80,"")</f>
        <v>#N/A</v>
      </c>
      <c r="DH83" s="31" t="str">
        <f>IF(D$8="YES",'CIA MARKS'!EH80,"")</f>
        <v/>
      </c>
      <c r="DI83" s="272" t="str">
        <f>IF(D$9="YES",'CIA MARKS'!EJ80,"")</f>
        <v/>
      </c>
      <c r="DJ83" s="272">
        <f>IF(Theory!D$7="YES",DC83,
 IF(Theory!D$8="YES",Lab!K75,
 IF(Theory!D$9="YES",DC83,"")))</f>
        <v>0</v>
      </c>
      <c r="DL83" s="353"/>
      <c r="DM83" s="350"/>
      <c r="DN83" s="350"/>
      <c r="DO83" s="350"/>
      <c r="DP83" s="350"/>
      <c r="DQ83" s="354"/>
      <c r="DR83" s="354"/>
      <c r="DS83" s="348">
        <f t="shared" si="1"/>
        <v>0</v>
      </c>
    </row>
    <row r="84" spans="1:123" ht="33" customHeight="1" thickBot="1" x14ac:dyDescent="0.35">
      <c r="A84" s="15"/>
      <c r="B84" s="20"/>
      <c r="C84" s="49" t="s">
        <v>62</v>
      </c>
      <c r="D84" s="21">
        <f>COUNTIFS(D17:D83,"&lt;&gt;AB",D17:D83,"&lt;&gt;NA",D17:D83,"&lt;&gt;")</f>
        <v>35</v>
      </c>
      <c r="E84" s="21"/>
      <c r="F84" s="21"/>
      <c r="G84" s="21"/>
      <c r="H84" s="21">
        <f>COUNTIFS(H17:H83,"&lt;&gt;AB",H17:H83,"&lt;&gt;NA",H17:H83,"&lt;&gt;")</f>
        <v>35</v>
      </c>
      <c r="I84" s="21">
        <f>COUNTIFS(I17:I83,"&lt;&gt;AB",I17:I83,"&lt;&gt;NA",I17:I83,"&lt;&gt;")</f>
        <v>0</v>
      </c>
      <c r="J84" s="21"/>
      <c r="K84" s="21"/>
      <c r="L84" s="21">
        <f>COUNTIFS(L17:L83,"&lt;&gt;AB",L17:L83,"&lt;&gt;NA",L17:L83,"&lt;&gt;")</f>
        <v>30</v>
      </c>
      <c r="M84" s="21"/>
      <c r="N84" s="21"/>
      <c r="O84" s="21"/>
      <c r="P84" s="21">
        <f>COUNTIFS(P17:P83,"&lt;&gt;AB",P17:P83,"&lt;&gt;NA",P17:P83,"&lt;&gt;")</f>
        <v>6</v>
      </c>
      <c r="Q84" s="21">
        <f>COUNTIFS(Q17:Q83,"&lt;&gt;AB",Q17:Q83,"&lt;&gt;NA",Q17:Q83,"&lt;&gt;")</f>
        <v>0</v>
      </c>
      <c r="R84" s="21"/>
      <c r="S84" s="21"/>
      <c r="T84" s="21">
        <f>COUNTIFS(T17:T83,"&lt;&gt;AB",T17:T83,"&lt;&gt;NA",T17:T83,"&lt;&gt;")</f>
        <v>21</v>
      </c>
      <c r="U84" s="21"/>
      <c r="V84" s="21"/>
      <c r="W84" s="21"/>
      <c r="X84" s="21">
        <f>COUNTIFS(X17:X83,"&lt;&gt;AB",X17:X83,"&lt;&gt;NA",X17:X83,"&lt;&gt;")</f>
        <v>14</v>
      </c>
      <c r="Y84" s="21">
        <f>COUNTIFS(Y17:Y83,"&lt;&gt;AB",Y17:Y83,"&lt;&gt;NA",Y17:Y83,"&lt;&gt;")</f>
        <v>0</v>
      </c>
      <c r="Z84" s="21"/>
      <c r="AA84" s="21"/>
      <c r="AB84" s="21">
        <f>COUNTIFS(AB17:AB83,"&lt;&gt;AB",AB17:AB83,"&lt;&gt;NA",AB17:AB83,"&lt;&gt;")</f>
        <v>28</v>
      </c>
      <c r="AC84" s="21"/>
      <c r="AD84" s="21">
        <f>COUNTIFS(AD17:AD83,"&lt;&gt;AB",AD17:AD83,"&lt;&gt;NA",AD17:AD83,"&lt;&gt;")</f>
        <v>0</v>
      </c>
      <c r="AE84" s="21">
        <f>COUNTIFS(AE17:AE83,"&lt;&gt;AB",AE17:AE83,"&lt;&gt;NA",AE17:AE83,"&lt;&gt;")</f>
        <v>0</v>
      </c>
      <c r="AF84" s="21"/>
      <c r="AG84" s="21"/>
      <c r="AH84" s="21"/>
      <c r="AI84" s="21"/>
      <c r="AJ84" s="21">
        <f>COUNTIFS(AJ17:AJ83,"&lt;&gt;AB",AJ17:AJ83,"&lt;&gt;NA",AJ17:AJ83,"&lt;&gt;")</f>
        <v>36</v>
      </c>
      <c r="AK84" s="21"/>
      <c r="AL84" s="21"/>
      <c r="AM84" s="21"/>
      <c r="AN84" s="21">
        <f>COUNTIFS(AN17:AN83,"&lt;&gt;AB",AN17:AN83,"&lt;&gt;NA",AN17:AN83,"&lt;&gt;")</f>
        <v>39</v>
      </c>
      <c r="AO84" s="21"/>
      <c r="AP84" s="21"/>
      <c r="AQ84" s="21"/>
      <c r="AR84" s="21">
        <f>COUNTIFS(AR17:AR83,"&lt;&gt;AB",AR17:AR83,"&lt;&gt;NA",AR17:AR83,"&lt;&gt;")</f>
        <v>35</v>
      </c>
      <c r="AS84" s="21"/>
      <c r="AT84" s="21"/>
      <c r="AU84" s="21"/>
      <c r="AV84" s="21">
        <f>COUNTIFS(AV17:AV83,"&lt;&gt;AB",AV17:AV83,"&lt;&gt;NA",AV17:AV83,"&lt;&gt;")</f>
        <v>4</v>
      </c>
      <c r="AW84" s="21">
        <f>COUNTIFS(AW17:AW83,"&lt;&gt;AB",AW17:AW83,"&lt;&gt;NA",AW17:AW83,"&lt;&gt;")</f>
        <v>0</v>
      </c>
      <c r="AX84" s="21"/>
      <c r="AY84" s="21"/>
      <c r="AZ84" s="21">
        <f>COUNTIFS(AZ17:AZ83,"&lt;&gt;AB",AZ17:AZ83,"&lt;&gt;NA",AZ17:AZ83,"&lt;&gt;")</f>
        <v>30</v>
      </c>
      <c r="BA84" s="21"/>
      <c r="BB84" s="21"/>
      <c r="BC84" s="21"/>
      <c r="BD84" s="21">
        <f>COUNTIFS(BD17:BD83,"&lt;&gt;AB",BD17:BD83,"&lt;&gt;NA",BD17:BD83,"&lt;&gt;")</f>
        <v>8</v>
      </c>
      <c r="BE84" s="21"/>
      <c r="BF84" s="21"/>
      <c r="BG84" s="21"/>
      <c r="BH84" s="21">
        <f>COUNTIFS(BH17:BH83,"&lt;&gt;AB",BH17:BH83,"&lt;&gt;NA",BH17:BH83,"&lt;&gt;")</f>
        <v>30</v>
      </c>
      <c r="BI84" s="21"/>
      <c r="BJ84" s="21"/>
      <c r="BK84" s="21"/>
      <c r="BL84" s="21"/>
      <c r="BM84" s="21"/>
      <c r="BN84" s="21"/>
      <c r="BO84" s="21"/>
      <c r="BP84" s="415">
        <f>COUNTIFS(BP17:BP83,"&lt;&gt;AB",BP17:BP83,"&lt;&gt;NA",BP17:BP83,"&lt;&gt;")</f>
        <v>38</v>
      </c>
      <c r="BQ84" s="415"/>
      <c r="BR84" s="415"/>
      <c r="BS84" s="415"/>
      <c r="BT84" s="415">
        <f>COUNTIFS(BT18:BT83,"&lt;&gt;AB",BT18:BT83,"&lt;&gt;NA",BT18:BT83,"&lt;&gt;")</f>
        <v>38</v>
      </c>
      <c r="BU84" s="415"/>
      <c r="BV84" s="415"/>
      <c r="BW84" s="415"/>
      <c r="BX84" s="415">
        <f>COUNTIFS(BX17:BX83,"&lt;&gt;AB",BX17:BX83,"&lt;&gt;NA",BX17:BX83,"&lt;&gt;")</f>
        <v>21</v>
      </c>
      <c r="BY84" s="415"/>
      <c r="BZ84" s="415"/>
      <c r="CA84" s="415"/>
      <c r="CB84" s="415">
        <f>COUNTIFS(CB17:CB83,"&lt;&gt;AB",CB17:CB83,"&lt;&gt;NA",CB17:CB83,"&lt;&gt;")</f>
        <v>20</v>
      </c>
      <c r="CC84" s="415">
        <f>COUNTIFS(CC17:CC83,"&lt;&gt;AB",CC17:CC83,"&lt;&gt;NA",CC17:CC83,"&lt;&gt;")</f>
        <v>0</v>
      </c>
      <c r="CD84" s="415"/>
      <c r="CE84" s="415"/>
      <c r="CF84" s="415">
        <f>COUNTIFS(CF17:CF83,"&lt;&gt;AB",CF17:CF83,"&lt;&gt;NA",CF17:CF83,"&lt;&gt;")</f>
        <v>25</v>
      </c>
      <c r="CG84" s="415"/>
      <c r="CH84" s="415"/>
      <c r="CI84" s="415"/>
      <c r="CJ84" s="415">
        <f>COUNTIFS(CJ17:CJ83,"&lt;&gt;AB",CJ17:CJ83,"&lt;&gt;NA",CJ17:CJ83,"&lt;&gt;")</f>
        <v>14</v>
      </c>
      <c r="CK84" s="415">
        <f>COUNTIFS(CK17:CK83,"&lt;&gt;AB",CK17:CK83,"&lt;&gt;NA",CK17:CK83,"&lt;&gt;")</f>
        <v>0</v>
      </c>
      <c r="CL84" s="415"/>
      <c r="CM84" s="415"/>
      <c r="CN84" s="415">
        <f>COUNTIFS(CN17:CN83,"&lt;&gt;AB",CN17:CN83,"&lt;&gt;NA",CN17:CN83,"&lt;&gt;")</f>
        <v>18</v>
      </c>
      <c r="CO84" s="415"/>
      <c r="CP84" s="415"/>
      <c r="CQ84" s="415"/>
      <c r="CR84" s="415"/>
      <c r="CS84" s="415"/>
      <c r="CT84" s="415"/>
      <c r="CU84" s="415"/>
      <c r="CV84" s="415">
        <f t="shared" ref="CV84:CW84" si="2">COUNTIFS(CV17:CV83,"&lt;&gt;AB",CV17:CV83,"&lt;&gt;NA",CV17:CV83,"&lt;&gt;")</f>
        <v>40</v>
      </c>
      <c r="CW84" s="415">
        <f t="shared" si="2"/>
        <v>40</v>
      </c>
      <c r="DC84" s="415">
        <f>COUNTIFS(DC17:DC83,"&lt;&gt;AB",DC17:DC83,"&lt;&gt;NA",DC17:DC83,"&lt;&gt;")</f>
        <v>40</v>
      </c>
      <c r="DD84" s="415">
        <f>COUNTIFS(DD17:DD83,"&lt;&gt;AB",DD17:DD83,"&lt;&gt;NA",DD17:DD83,"&lt;&gt;")</f>
        <v>0</v>
      </c>
      <c r="DE84" s="21">
        <f>COUNTIFS(DE17:DE83,"&lt;&gt;AB",DE17:DE83,"&lt;&gt;NA",DE17:DE83,"&lt;&gt;")</f>
        <v>40</v>
      </c>
    </row>
    <row r="85" spans="1:123" ht="27.75" customHeight="1" thickBot="1" x14ac:dyDescent="0.35">
      <c r="B85" s="22">
        <f>COUNTIF(B17:B83,"&lt;&gt;"&amp;"")</f>
        <v>40</v>
      </c>
      <c r="C85" s="23" t="s">
        <v>56</v>
      </c>
      <c r="D85" s="24">
        <f>SUMIF(D17:D83,"&gt;="&amp;D15,D17:D83)</f>
        <v>224</v>
      </c>
      <c r="E85" s="24"/>
      <c r="F85" s="24"/>
      <c r="G85" s="24"/>
      <c r="H85" s="24">
        <f>SUMIF(H17:H83,"&gt;="&amp;H15,H17:H83)</f>
        <v>214</v>
      </c>
      <c r="I85" s="24">
        <f>SUMIF(I17:I83,"&gt;="&amp;I15,I17:I83)</f>
        <v>0</v>
      </c>
      <c r="J85" s="24"/>
      <c r="K85" s="24"/>
      <c r="L85" s="24">
        <f>SUMIF(L17:L83,"&gt;="&amp;L15,L17:L83)</f>
        <v>204</v>
      </c>
      <c r="M85" s="24"/>
      <c r="N85" s="24"/>
      <c r="O85" s="24"/>
      <c r="P85" s="24">
        <f>SUMIF(P17:P83,"&gt;="&amp;P15,P17:P83)</f>
        <v>22</v>
      </c>
      <c r="Q85" s="24">
        <f>SUMIF(Q17:Q83,"&gt;="&amp;Q15,Q17:Q83)</f>
        <v>0</v>
      </c>
      <c r="R85" s="24"/>
      <c r="S85" s="24"/>
      <c r="T85" s="24">
        <f>SUMIF(T17:T83,"&gt;="&amp;T15,T17:T83)</f>
        <v>144</v>
      </c>
      <c r="U85" s="24"/>
      <c r="V85" s="24"/>
      <c r="W85" s="24"/>
      <c r="X85" s="24">
        <f>SUMIF(X17:X83,"&gt;="&amp;X15,X17:X83)</f>
        <v>94</v>
      </c>
      <c r="Y85" s="24">
        <f>SUMIF(Y17:Y83,"&gt;="&amp;Y15,Y17:Y83)</f>
        <v>0</v>
      </c>
      <c r="Z85" s="24"/>
      <c r="AA85" s="24"/>
      <c r="AB85" s="24">
        <f>SUMIF(AB17:AB83,"&gt;="&amp;AB15,AB17:AB83)</f>
        <v>211</v>
      </c>
      <c r="AC85" s="24"/>
      <c r="AD85" s="24">
        <f>SUMIF(AD17:AD83,"&gt;="&amp;AD15,AD17:AD83)</f>
        <v>0</v>
      </c>
      <c r="AE85" s="24">
        <f>SUMIF(AE17:AE83,"&gt;="&amp;AE15,AE17:AE83)</f>
        <v>0</v>
      </c>
      <c r="AF85" s="24"/>
      <c r="AG85" s="24"/>
      <c r="AH85" s="24"/>
      <c r="AI85" s="24"/>
      <c r="AJ85" s="24">
        <f>SUMIF(AJ17:AJ83,"&gt;="&amp;AJ15,AJ17:AJ83)</f>
        <v>262</v>
      </c>
      <c r="AK85" s="24"/>
      <c r="AL85" s="24"/>
      <c r="AM85" s="24"/>
      <c r="AN85" s="24">
        <f>SUMIF(AN17:AN83,"&gt;="&amp;AN15,AN17:AN83)</f>
        <v>286</v>
      </c>
      <c r="AO85" s="24"/>
      <c r="AP85" s="24"/>
      <c r="AQ85" s="24"/>
      <c r="AR85" s="24">
        <f>SUMIF(AR17:AR83,"&gt;="&amp;AR15,AR17:AR83)</f>
        <v>316</v>
      </c>
      <c r="AS85" s="24"/>
      <c r="AT85" s="24"/>
      <c r="AU85" s="24"/>
      <c r="AV85" s="24">
        <f>SUMIF(AV17:AV83,"&gt;="&amp;AV15,AV17:AV83)</f>
        <v>19</v>
      </c>
      <c r="AW85" s="24">
        <f>SUMIF(AW17:AW83,"&gt;="&amp;AW15,AW17:AW83)</f>
        <v>0</v>
      </c>
      <c r="AX85" s="24"/>
      <c r="AY85" s="24"/>
      <c r="AZ85" s="24">
        <f>SUMIF(AZ17:AZ83,"&gt;="&amp;AZ15,AZ17:AZ83)</f>
        <v>229</v>
      </c>
      <c r="BA85" s="24"/>
      <c r="BB85" s="24"/>
      <c r="BC85" s="24"/>
      <c r="BD85" s="24">
        <f>SUMIF(BD17:BD83,"&gt;="&amp;BD15,BD17:BD83)</f>
        <v>38</v>
      </c>
      <c r="BE85" s="24"/>
      <c r="BF85" s="24"/>
      <c r="BG85" s="24"/>
      <c r="BH85" s="24">
        <f>SUMIF(BH17:BH83,"&gt;="&amp;BH15,BH17:BH83)</f>
        <v>258</v>
      </c>
      <c r="BI85" s="24"/>
      <c r="BJ85" s="24"/>
      <c r="BK85" s="24"/>
      <c r="BL85" s="24"/>
      <c r="BM85" s="24"/>
      <c r="BN85" s="24"/>
      <c r="BO85" s="24"/>
      <c r="BP85" s="24">
        <f>SUMIF(BP17:BP83,"&gt;="&amp;BP15,BP17:BP83)</f>
        <v>285</v>
      </c>
      <c r="BQ85" s="416"/>
      <c r="BR85" s="416"/>
      <c r="BS85" s="416"/>
      <c r="BT85" s="416">
        <f>SUMIF(BT18:BT83,"&gt;="&amp;BT15,BT18:BT83)</f>
        <v>275</v>
      </c>
      <c r="BU85" s="416"/>
      <c r="BV85" s="416"/>
      <c r="BW85" s="416"/>
      <c r="BX85" s="416">
        <f>SUMIF(BX17:BX83,"&gt;="&amp;BX15,BX17:BX83)</f>
        <v>169</v>
      </c>
      <c r="BY85" s="416"/>
      <c r="BZ85" s="416"/>
      <c r="CA85" s="416"/>
      <c r="CB85" s="416">
        <f>SUMIF(CB17:CB83,"&gt;="&amp;CB15,CB17:CB83)</f>
        <v>170</v>
      </c>
      <c r="CC85" s="416">
        <f>SUMIF(CC17:CC83,"&gt;="&amp;CC15,CC17:CC83)</f>
        <v>0</v>
      </c>
      <c r="CD85" s="416"/>
      <c r="CE85" s="416"/>
      <c r="CF85" s="416">
        <f>SUMIF(CF17:CF83,"&gt;="&amp;CF15,CF17:CF83)</f>
        <v>227</v>
      </c>
      <c r="CG85" s="416"/>
      <c r="CH85" s="416"/>
      <c r="CI85" s="416"/>
      <c r="CJ85" s="416">
        <f>SUMIF(CJ17:CJ83,"&gt;="&amp;CJ15,CJ17:CJ83)</f>
        <v>112</v>
      </c>
      <c r="CK85" s="416">
        <f>SUMIF(CK17:CK83,"&gt;="&amp;CK15,CK17:CK83)</f>
        <v>0</v>
      </c>
      <c r="CL85" s="416"/>
      <c r="CM85" s="416"/>
      <c r="CN85" s="416">
        <f>SUMIF(CN17:CN83,"&gt;="&amp;CN15,CN17:CN83)</f>
        <v>134</v>
      </c>
      <c r="CO85" s="416"/>
      <c r="CP85" s="416"/>
      <c r="CQ85" s="416"/>
      <c r="CR85" s="416"/>
      <c r="CS85" s="416"/>
      <c r="CT85" s="416"/>
      <c r="CU85" s="416"/>
      <c r="CV85" s="416">
        <f t="shared" ref="CV85:CW85" si="3">SUMIF(CV17:CV83,"&gt;="&amp;CV15,CV17:CV83)</f>
        <v>400</v>
      </c>
      <c r="CW85" s="416">
        <f t="shared" si="3"/>
        <v>390</v>
      </c>
      <c r="DC85" s="416">
        <f>SUMIF(DC17:DC83,"&gt;="&amp;DC15,DC17:DC83)</f>
        <v>1531</v>
      </c>
      <c r="DD85" s="416">
        <f>SUMIF(DD17:DD83,"&gt;="&amp;DD15,DD17:DD83)</f>
        <v>0</v>
      </c>
      <c r="DE85" s="384">
        <f>SUMIF(DE17:DE83,"&gt;="&amp;DE15,DE17:DE83)</f>
        <v>0</v>
      </c>
    </row>
    <row r="86" spans="1:123" ht="35.25" customHeight="1" thickBot="1" x14ac:dyDescent="0.35">
      <c r="B86" s="25"/>
      <c r="C86" s="26" t="s">
        <v>57</v>
      </c>
      <c r="D86" s="27">
        <f>IF(D84&lt;&gt;0,((D85/D84)/D14)*100,0)</f>
        <v>64</v>
      </c>
      <c r="E86" s="28"/>
      <c r="F86" s="28"/>
      <c r="G86" s="28"/>
      <c r="H86" s="28">
        <f>IF(H84&lt;&gt;0,((H85/H84)/H14)*100,0)</f>
        <v>61.142857142857146</v>
      </c>
      <c r="I86" s="28">
        <f>IF(I84&lt;&gt;0,((I85/I84)/I14)*100,0)</f>
        <v>0</v>
      </c>
      <c r="J86" s="28"/>
      <c r="K86" s="28"/>
      <c r="L86" s="28">
        <f>IF(L84&lt;&gt;0,((L85/L84)/L14)*100,0)</f>
        <v>68</v>
      </c>
      <c r="M86" s="28"/>
      <c r="N86" s="28"/>
      <c r="O86" s="28"/>
      <c r="P86" s="28">
        <f>IF(P84&lt;&gt;0,((P85/P84)/P14)*100,0)</f>
        <v>36.666666666666664</v>
      </c>
      <c r="Q86" s="28">
        <f>IF(Q84&lt;&gt;0,((Q85/Q84)/Q14)*100,0)</f>
        <v>0</v>
      </c>
      <c r="R86" s="28">
        <f>IF(R84&lt;&gt;0,((R85/R84)/R14)*100,0)</f>
        <v>0</v>
      </c>
      <c r="S86" s="28"/>
      <c r="T86" s="28">
        <f>IF(T84&lt;&gt;0,((T85/T84)/T14)*100,0)</f>
        <v>68.571428571428569</v>
      </c>
      <c r="U86" s="28"/>
      <c r="V86" s="28"/>
      <c r="W86" s="28"/>
      <c r="X86" s="28">
        <f>IF(X84&lt;&gt;0,((X85/X84)/X14)*100,0)</f>
        <v>67.142857142857153</v>
      </c>
      <c r="Y86" s="28">
        <f>IF(Y84&lt;&gt;0,((Y85/Y84)/Y14)*100,0)</f>
        <v>0</v>
      </c>
      <c r="Z86" s="28"/>
      <c r="AA86" s="28"/>
      <c r="AB86" s="28">
        <f>IF(AB84&lt;&gt;0,((AB85/AB84)/AB14)*100,0)</f>
        <v>75.357142857142861</v>
      </c>
      <c r="AC86" s="28"/>
      <c r="AD86" s="28">
        <f>IF(AD84&lt;&gt;0,((AD85/AD84)/AD14)*100,0)</f>
        <v>0</v>
      </c>
      <c r="AE86" s="28">
        <f>IF(AE84&lt;&gt;0,((AE85/AE84)/AE14)*100,0)</f>
        <v>0</v>
      </c>
      <c r="AF86" s="28"/>
      <c r="AG86" s="28"/>
      <c r="AH86" s="28"/>
      <c r="AI86" s="28"/>
      <c r="AJ86" s="28">
        <f>IF(AJ84&lt;&gt;0,((AJ85/AJ84)/AJ14)*100,0)</f>
        <v>72.777777777777771</v>
      </c>
      <c r="AK86" s="28"/>
      <c r="AL86" s="28"/>
      <c r="AM86" s="28"/>
      <c r="AN86" s="28">
        <f>IF(AN84&lt;&gt;0,((AN85/AN84)/AN14)*100,0)</f>
        <v>146.66666666666666</v>
      </c>
      <c r="AO86" s="28"/>
      <c r="AP86" s="28"/>
      <c r="AQ86" s="28"/>
      <c r="AR86" s="28">
        <f>IF(AR84&lt;&gt;0,((AR85/AR84)/AR14)*100,0)</f>
        <v>90.285714285714278</v>
      </c>
      <c r="AS86" s="28"/>
      <c r="AT86" s="28"/>
      <c r="AU86" s="28"/>
      <c r="AV86" s="28">
        <f>IF(AV84&lt;&gt;0,((AV85/AV84)/AV14)*100,0)</f>
        <v>47.5</v>
      </c>
      <c r="AW86" s="28">
        <f>IF(AW84&lt;&gt;0,((AW85/AW84)/AW14)*100,0)</f>
        <v>0</v>
      </c>
      <c r="AX86" s="28"/>
      <c r="AY86" s="28"/>
      <c r="AZ86" s="28">
        <f>IF(AZ84&lt;&gt;0,((AZ85/AZ84)/AZ14)*100,0)</f>
        <v>76.333333333333343</v>
      </c>
      <c r="BA86" s="28"/>
      <c r="BB86" s="28"/>
      <c r="BC86" s="28"/>
      <c r="BD86" s="28">
        <f>IF(BD84&lt;&gt;0,((BD85/BD84)/BD14)*100,0)</f>
        <v>47.5</v>
      </c>
      <c r="BE86" s="28"/>
      <c r="BF86" s="28"/>
      <c r="BG86" s="28"/>
      <c r="BH86" s="28">
        <f>IF(BH84&lt;&gt;0,((BH85/BH84)/BH14)*100,0)</f>
        <v>86</v>
      </c>
      <c r="BI86" s="28"/>
      <c r="BJ86" s="28"/>
      <c r="BK86" s="28"/>
      <c r="BL86" s="28"/>
      <c r="BM86" s="28"/>
      <c r="BN86" s="28"/>
      <c r="BO86" s="28"/>
      <c r="BP86" s="28">
        <f>IF(BP84&lt;&gt;0,((BP85/BP84)/BP14)*100,0)</f>
        <v>75</v>
      </c>
      <c r="BQ86" s="28"/>
      <c r="BR86" s="28"/>
      <c r="BS86" s="28"/>
      <c r="BT86" s="28">
        <f>IF(BT84&lt;&gt;0,((BT85/BT84)/BT14)*100,0)</f>
        <v>72.368421052631575</v>
      </c>
      <c r="BU86" s="28"/>
      <c r="BV86" s="28"/>
      <c r="BW86" s="28"/>
      <c r="BX86" s="28">
        <f>IF(BX84&lt;&gt;0,((BX85/BX84)/BX14)*100,0)</f>
        <v>80.476190476190482</v>
      </c>
      <c r="BY86" s="28"/>
      <c r="BZ86" s="28"/>
      <c r="CA86" s="28"/>
      <c r="CB86" s="28">
        <f>IF(CB84&lt;&gt;0,((CB85/CB84)/CB14)*100,0)</f>
        <v>85</v>
      </c>
      <c r="CC86" s="28">
        <f>IF(CC84&lt;&gt;0,((CC85/CC84)/CC14)*100,0)</f>
        <v>0</v>
      </c>
      <c r="CD86" s="28"/>
      <c r="CE86" s="28"/>
      <c r="CF86" s="28">
        <f>IF(CF84&lt;&gt;0,((CF85/CF84)/CF14)*100,0)</f>
        <v>90.8</v>
      </c>
      <c r="CG86" s="28"/>
      <c r="CH86" s="28"/>
      <c r="CI86" s="28"/>
      <c r="CJ86" s="28">
        <f>IF(CJ84&lt;&gt;0,((CJ85/CJ84)/CJ14)*100,0)</f>
        <v>80</v>
      </c>
      <c r="CK86" s="28">
        <f>IF(CK84&lt;&gt;0,((CK85/CK84)/CK14)*100,0)</f>
        <v>0</v>
      </c>
      <c r="CL86" s="28"/>
      <c r="CM86" s="28"/>
      <c r="CN86" s="28">
        <f>IF(CN84&lt;&gt;0,((CN85/CN84)/CN14)*100,0)</f>
        <v>74.444444444444443</v>
      </c>
      <c r="CO86" s="28"/>
      <c r="CP86" s="28"/>
      <c r="CQ86" s="28"/>
      <c r="CR86" s="28"/>
      <c r="CS86" s="29"/>
      <c r="CT86" s="29"/>
      <c r="CU86" s="29"/>
      <c r="CV86" s="28">
        <f t="shared" ref="CV86:CW86" si="4">IF(CV84&lt;&gt;0,((CV85/CV84)/CV14)*100,0)</f>
        <v>100</v>
      </c>
      <c r="CW86" s="28">
        <f t="shared" si="4"/>
        <v>97.5</v>
      </c>
      <c r="DC86" s="28">
        <f>IF(DC84&lt;&gt;0,((DC85/DC84)/DC14)*100,0)</f>
        <v>76.55</v>
      </c>
      <c r="DD86" s="28">
        <f>IF(DD84&lt;&gt;0,((DD85/DD84)/DD14)*100,0)</f>
        <v>0</v>
      </c>
      <c r="DE86" s="11">
        <f>(COUNTIF(DE17:DE83,"=O")*10+COUNTIF(DE17:DE83,"=A+")*9+COUNTIF(DE17:DE83,"=A")*8+COUNTIF(DE17:DE83,"=B+")*7+COUNTIF(DE17:DE83,"=B")*6+COUNTIF(DE17:DE83,"=C")*5.5+COUNTIF(DE17:DE83,"=P")*5+COUNTIF(DE17:DE83,"=F")*4)/(10*COUNTIF(DE17:DE83,"&lt;&gt;"&amp;""))*100</f>
        <v>87.375</v>
      </c>
    </row>
    <row r="87" spans="1:123" ht="35.25" customHeight="1" x14ac:dyDescent="0.3">
      <c r="CV87" s="3"/>
      <c r="DG87" s="3"/>
      <c r="DH87" s="3"/>
      <c r="DI87" s="3"/>
      <c r="DJ87" s="3"/>
    </row>
    <row r="88" spans="1:123" ht="35.25" customHeight="1" x14ac:dyDescent="0.3">
      <c r="B88" s="558" t="s">
        <v>140</v>
      </c>
      <c r="C88" s="396" t="s">
        <v>275</v>
      </c>
      <c r="D88" s="18" t="s">
        <v>270</v>
      </c>
      <c r="CV88" s="3"/>
      <c r="DG88" s="3"/>
      <c r="DH88" s="3"/>
      <c r="DI88" s="3"/>
      <c r="DJ88" s="3"/>
    </row>
    <row r="89" spans="1:123" ht="37.5" customHeight="1" x14ac:dyDescent="0.3">
      <c r="B89" s="558"/>
      <c r="C89" s="396" t="s">
        <v>276</v>
      </c>
      <c r="D89" s="18" t="s">
        <v>271</v>
      </c>
      <c r="M89" s="3" t="s">
        <v>296</v>
      </c>
      <c r="CV89" s="3"/>
    </row>
    <row r="90" spans="1:123" ht="30.75" customHeight="1" x14ac:dyDescent="0.3">
      <c r="B90" s="558" t="s">
        <v>145</v>
      </c>
      <c r="C90" s="396" t="s">
        <v>273</v>
      </c>
      <c r="D90" s="18" t="s">
        <v>374</v>
      </c>
      <c r="CV90" s="3"/>
    </row>
    <row r="91" spans="1:123" ht="39" customHeight="1" x14ac:dyDescent="0.3">
      <c r="B91" s="558"/>
      <c r="C91" s="396" t="s">
        <v>274</v>
      </c>
      <c r="D91" s="18" t="s">
        <v>375</v>
      </c>
      <c r="CV91" s="3"/>
    </row>
    <row r="92" spans="1:123" x14ac:dyDescent="0.3">
      <c r="CV92" s="3"/>
    </row>
    <row r="93" spans="1:123" x14ac:dyDescent="0.3">
      <c r="CV93" s="3"/>
    </row>
    <row r="94" spans="1:123" x14ac:dyDescent="0.3">
      <c r="CV94" s="3"/>
    </row>
    <row r="95" spans="1:123" x14ac:dyDescent="0.3">
      <c r="CV95" s="3"/>
    </row>
    <row r="96" spans="1:123" x14ac:dyDescent="0.3">
      <c r="CV96" s="3"/>
    </row>
    <row r="134" spans="4:4" x14ac:dyDescent="0.3">
      <c r="D134" s="30"/>
    </row>
    <row r="135" spans="4:4" x14ac:dyDescent="0.3">
      <c r="D135" s="30"/>
    </row>
    <row r="136" spans="4:4" x14ac:dyDescent="0.3">
      <c r="D136" s="30"/>
    </row>
    <row r="137" spans="4:4" x14ac:dyDescent="0.3">
      <c r="D137" s="30"/>
    </row>
    <row r="138" spans="4:4" x14ac:dyDescent="0.3">
      <c r="D138" s="30"/>
    </row>
    <row r="139" spans="4:4" x14ac:dyDescent="0.3">
      <c r="D139" s="30"/>
    </row>
    <row r="140" spans="4:4" x14ac:dyDescent="0.3">
      <c r="D140" s="30"/>
    </row>
    <row r="141" spans="4:4" x14ac:dyDescent="0.3">
      <c r="D141" s="30"/>
    </row>
    <row r="142" spans="4:4" x14ac:dyDescent="0.3">
      <c r="D142" s="30"/>
    </row>
    <row r="143" spans="4:4" x14ac:dyDescent="0.3">
      <c r="D143" s="30"/>
    </row>
    <row r="144" spans="4:4" x14ac:dyDescent="0.3">
      <c r="D144" s="30"/>
    </row>
    <row r="145" spans="4:4" x14ac:dyDescent="0.3">
      <c r="D145" s="30"/>
    </row>
    <row r="146" spans="4:4" x14ac:dyDescent="0.3">
      <c r="D146" s="30"/>
    </row>
    <row r="147" spans="4:4" x14ac:dyDescent="0.3">
      <c r="D147" s="30"/>
    </row>
    <row r="148" spans="4:4" x14ac:dyDescent="0.3">
      <c r="D148" s="30"/>
    </row>
    <row r="149" spans="4:4" x14ac:dyDescent="0.3">
      <c r="D149" s="30"/>
    </row>
    <row r="150" spans="4:4" x14ac:dyDescent="0.3">
      <c r="D150" s="30"/>
    </row>
    <row r="151" spans="4:4" x14ac:dyDescent="0.3">
      <c r="D151" s="30"/>
    </row>
  </sheetData>
  <mergeCells count="20">
    <mergeCell ref="DL12:DS12"/>
    <mergeCell ref="A7:C7"/>
    <mergeCell ref="A8:C8"/>
    <mergeCell ref="A9:C9"/>
    <mergeCell ref="DG14:DI14"/>
    <mergeCell ref="DQ14:DS14"/>
    <mergeCell ref="AJ13:BO13"/>
    <mergeCell ref="BP13:CU13"/>
    <mergeCell ref="A1:AC1"/>
    <mergeCell ref="A2:AC2"/>
    <mergeCell ref="A3:AC3"/>
    <mergeCell ref="D4:P4"/>
    <mergeCell ref="Q4:AC4"/>
    <mergeCell ref="B90:B91"/>
    <mergeCell ref="B88:B89"/>
    <mergeCell ref="A4:C4"/>
    <mergeCell ref="A5:AC5"/>
    <mergeCell ref="A6:AC6"/>
    <mergeCell ref="A10:D10"/>
    <mergeCell ref="D13:AI13"/>
  </mergeCells>
  <conditionalFormatting sqref="DL16:DL83">
    <cfRule type="cellIs" dxfId="45" priority="13" operator="lessThan">
      <formula>11</formula>
    </cfRule>
  </conditionalFormatting>
  <conditionalFormatting sqref="DM16">
    <cfRule type="cellIs" dxfId="44" priority="12" operator="lessThan">
      <formula>21</formula>
    </cfRule>
  </conditionalFormatting>
  <conditionalFormatting sqref="DM17:DM83">
    <cfRule type="cellIs" dxfId="43" priority="11" operator="lessThan">
      <formula>11</formula>
    </cfRule>
  </conditionalFormatting>
  <conditionalFormatting sqref="DN17:DN83">
    <cfRule type="cellIs" dxfId="42" priority="2" operator="lessThan">
      <formula>34</formula>
    </cfRule>
  </conditionalFormatting>
  <conditionalFormatting sqref="DO17:DO83">
    <cfRule type="cellIs" dxfId="41" priority="1" operator="lessThan">
      <formula>45</formula>
    </cfRule>
  </conditionalFormatting>
  <conditionalFormatting sqref="DP17:DP83">
    <cfRule type="cellIs" dxfId="40" priority="3" operator="lessThan">
      <formula>11</formula>
    </cfRule>
  </conditionalFormatting>
  <conditionalFormatting sqref="DQ17">
    <cfRule type="cellIs" dxfId="39" priority="8" operator="lessThan">
      <formula>34</formula>
    </cfRule>
  </conditionalFormatting>
  <conditionalFormatting sqref="DQ17:DQ83">
    <cfRule type="cellIs" dxfId="38" priority="5" operator="lessThan">
      <formula>34</formula>
    </cfRule>
  </conditionalFormatting>
  <conditionalFormatting sqref="DR17:DR83">
    <cfRule type="cellIs" dxfId="37" priority="7" operator="lessThan">
      <formula>11</formula>
    </cfRule>
  </conditionalFormatting>
  <conditionalFormatting sqref="DS17:DS83">
    <cfRule type="cellIs" dxfId="36" priority="6" operator="lessThan">
      <formula>45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97"/>
  <sheetViews>
    <sheetView topLeftCell="A79" zoomScaleNormal="100" workbookViewId="0">
      <selection activeCell="D97" sqref="D97"/>
    </sheetView>
  </sheetViews>
  <sheetFormatPr defaultColWidth="9" defaultRowHeight="14.4" x14ac:dyDescent="0.3"/>
  <cols>
    <col min="1" max="1" width="6.6640625" customWidth="1"/>
    <col min="2" max="2" width="14.5546875" customWidth="1"/>
    <col min="3" max="3" width="29.33203125" customWidth="1"/>
    <col min="4" max="4" width="14.6640625" customWidth="1"/>
    <col min="5" max="5" width="13" customWidth="1"/>
    <col min="6" max="6" width="12.88671875" customWidth="1"/>
    <col min="7" max="7" width="14.5546875" customWidth="1"/>
    <col min="8" max="8" width="12.6640625" customWidth="1"/>
    <col min="9" max="9" width="12.88671875" customWidth="1"/>
    <col min="10" max="10" width="10.44140625" style="41" customWidth="1"/>
    <col min="11" max="11" width="11" style="41" bestFit="1" customWidth="1"/>
    <col min="12" max="12" width="9.6640625" bestFit="1" customWidth="1"/>
    <col min="13" max="13" width="11" bestFit="1" customWidth="1"/>
    <col min="14" max="15" width="9.6640625" bestFit="1" customWidth="1"/>
    <col min="257" max="257" width="6.6640625" customWidth="1"/>
    <col min="258" max="258" width="14.5546875" customWidth="1"/>
    <col min="259" max="259" width="29.33203125" customWidth="1"/>
    <col min="260" max="260" width="14.6640625" customWidth="1"/>
    <col min="261" max="261" width="12.109375" customWidth="1"/>
    <col min="262" max="262" width="12.88671875" customWidth="1"/>
    <col min="263" max="263" width="14.5546875" customWidth="1"/>
    <col min="264" max="264" width="12.6640625" customWidth="1"/>
    <col min="265" max="265" width="12.88671875" customWidth="1"/>
    <col min="266" max="266" width="9.109375" customWidth="1"/>
    <col min="513" max="513" width="6.6640625" customWidth="1"/>
    <col min="514" max="514" width="14.5546875" customWidth="1"/>
    <col min="515" max="515" width="29.33203125" customWidth="1"/>
    <col min="516" max="516" width="14.6640625" customWidth="1"/>
    <col min="517" max="517" width="12.109375" customWidth="1"/>
    <col min="518" max="518" width="12.88671875" customWidth="1"/>
    <col min="519" max="519" width="14.5546875" customWidth="1"/>
    <col min="520" max="520" width="12.6640625" customWidth="1"/>
    <col min="521" max="521" width="12.88671875" customWidth="1"/>
    <col min="522" max="522" width="9.109375" customWidth="1"/>
    <col min="769" max="769" width="6.6640625" customWidth="1"/>
    <col min="770" max="770" width="14.5546875" customWidth="1"/>
    <col min="771" max="771" width="29.33203125" customWidth="1"/>
    <col min="772" max="772" width="14.6640625" customWidth="1"/>
    <col min="773" max="773" width="12.109375" customWidth="1"/>
    <col min="774" max="774" width="12.88671875" customWidth="1"/>
    <col min="775" max="775" width="14.5546875" customWidth="1"/>
    <col min="776" max="776" width="12.6640625" customWidth="1"/>
    <col min="777" max="777" width="12.88671875" customWidth="1"/>
    <col min="778" max="778" width="9.109375" customWidth="1"/>
    <col min="1025" max="1025" width="6.6640625" customWidth="1"/>
    <col min="1026" max="1026" width="14.5546875" customWidth="1"/>
    <col min="1027" max="1027" width="29.33203125" customWidth="1"/>
    <col min="1028" max="1028" width="14.6640625" customWidth="1"/>
    <col min="1029" max="1029" width="12.109375" customWidth="1"/>
    <col min="1030" max="1030" width="12.88671875" customWidth="1"/>
    <col min="1031" max="1031" width="14.5546875" customWidth="1"/>
    <col min="1032" max="1032" width="12.6640625" customWidth="1"/>
    <col min="1033" max="1033" width="12.88671875" customWidth="1"/>
    <col min="1034" max="1034" width="9.109375" customWidth="1"/>
    <col min="1281" max="1281" width="6.6640625" customWidth="1"/>
    <col min="1282" max="1282" width="14.5546875" customWidth="1"/>
    <col min="1283" max="1283" width="29.33203125" customWidth="1"/>
    <col min="1284" max="1284" width="14.6640625" customWidth="1"/>
    <col min="1285" max="1285" width="12.109375" customWidth="1"/>
    <col min="1286" max="1286" width="12.88671875" customWidth="1"/>
    <col min="1287" max="1287" width="14.5546875" customWidth="1"/>
    <col min="1288" max="1288" width="12.6640625" customWidth="1"/>
    <col min="1289" max="1289" width="12.88671875" customWidth="1"/>
    <col min="1290" max="1290" width="9.109375" customWidth="1"/>
    <col min="1537" max="1537" width="6.6640625" customWidth="1"/>
    <col min="1538" max="1538" width="14.5546875" customWidth="1"/>
    <col min="1539" max="1539" width="29.33203125" customWidth="1"/>
    <col min="1540" max="1540" width="14.6640625" customWidth="1"/>
    <col min="1541" max="1541" width="12.109375" customWidth="1"/>
    <col min="1542" max="1542" width="12.88671875" customWidth="1"/>
    <col min="1543" max="1543" width="14.5546875" customWidth="1"/>
    <col min="1544" max="1544" width="12.6640625" customWidth="1"/>
    <col min="1545" max="1545" width="12.88671875" customWidth="1"/>
    <col min="1546" max="1546" width="9.109375" customWidth="1"/>
    <col min="1793" max="1793" width="6.6640625" customWidth="1"/>
    <col min="1794" max="1794" width="14.5546875" customWidth="1"/>
    <col min="1795" max="1795" width="29.33203125" customWidth="1"/>
    <col min="1796" max="1796" width="14.6640625" customWidth="1"/>
    <col min="1797" max="1797" width="12.109375" customWidth="1"/>
    <col min="1798" max="1798" width="12.88671875" customWidth="1"/>
    <col min="1799" max="1799" width="14.5546875" customWidth="1"/>
    <col min="1800" max="1800" width="12.6640625" customWidth="1"/>
    <col min="1801" max="1801" width="12.88671875" customWidth="1"/>
    <col min="1802" max="1802" width="9.109375" customWidth="1"/>
    <col min="2049" max="2049" width="6.6640625" customWidth="1"/>
    <col min="2050" max="2050" width="14.5546875" customWidth="1"/>
    <col min="2051" max="2051" width="29.33203125" customWidth="1"/>
    <col min="2052" max="2052" width="14.6640625" customWidth="1"/>
    <col min="2053" max="2053" width="12.109375" customWidth="1"/>
    <col min="2054" max="2054" width="12.88671875" customWidth="1"/>
    <col min="2055" max="2055" width="14.5546875" customWidth="1"/>
    <col min="2056" max="2056" width="12.6640625" customWidth="1"/>
    <col min="2057" max="2057" width="12.88671875" customWidth="1"/>
    <col min="2058" max="2058" width="9.109375" customWidth="1"/>
    <col min="2305" max="2305" width="6.6640625" customWidth="1"/>
    <col min="2306" max="2306" width="14.5546875" customWidth="1"/>
    <col min="2307" max="2307" width="29.33203125" customWidth="1"/>
    <col min="2308" max="2308" width="14.6640625" customWidth="1"/>
    <col min="2309" max="2309" width="12.109375" customWidth="1"/>
    <col min="2310" max="2310" width="12.88671875" customWidth="1"/>
    <col min="2311" max="2311" width="14.5546875" customWidth="1"/>
    <col min="2312" max="2312" width="12.6640625" customWidth="1"/>
    <col min="2313" max="2313" width="12.88671875" customWidth="1"/>
    <col min="2314" max="2314" width="9.109375" customWidth="1"/>
    <col min="2561" max="2561" width="6.6640625" customWidth="1"/>
    <col min="2562" max="2562" width="14.5546875" customWidth="1"/>
    <col min="2563" max="2563" width="29.33203125" customWidth="1"/>
    <col min="2564" max="2564" width="14.6640625" customWidth="1"/>
    <col min="2565" max="2565" width="12.109375" customWidth="1"/>
    <col min="2566" max="2566" width="12.88671875" customWidth="1"/>
    <col min="2567" max="2567" width="14.5546875" customWidth="1"/>
    <col min="2568" max="2568" width="12.6640625" customWidth="1"/>
    <col min="2569" max="2569" width="12.88671875" customWidth="1"/>
    <col min="2570" max="2570" width="9.109375" customWidth="1"/>
    <col min="2817" max="2817" width="6.6640625" customWidth="1"/>
    <col min="2818" max="2818" width="14.5546875" customWidth="1"/>
    <col min="2819" max="2819" width="29.33203125" customWidth="1"/>
    <col min="2820" max="2820" width="14.6640625" customWidth="1"/>
    <col min="2821" max="2821" width="12.109375" customWidth="1"/>
    <col min="2822" max="2822" width="12.88671875" customWidth="1"/>
    <col min="2823" max="2823" width="14.5546875" customWidth="1"/>
    <col min="2824" max="2824" width="12.6640625" customWidth="1"/>
    <col min="2825" max="2825" width="12.88671875" customWidth="1"/>
    <col min="2826" max="2826" width="9.109375" customWidth="1"/>
    <col min="3073" max="3073" width="6.6640625" customWidth="1"/>
    <col min="3074" max="3074" width="14.5546875" customWidth="1"/>
    <col min="3075" max="3075" width="29.33203125" customWidth="1"/>
    <col min="3076" max="3076" width="14.6640625" customWidth="1"/>
    <col min="3077" max="3077" width="12.109375" customWidth="1"/>
    <col min="3078" max="3078" width="12.88671875" customWidth="1"/>
    <col min="3079" max="3079" width="14.5546875" customWidth="1"/>
    <col min="3080" max="3080" width="12.6640625" customWidth="1"/>
    <col min="3081" max="3081" width="12.88671875" customWidth="1"/>
    <col min="3082" max="3082" width="9.109375" customWidth="1"/>
    <col min="3329" max="3329" width="6.6640625" customWidth="1"/>
    <col min="3330" max="3330" width="14.5546875" customWidth="1"/>
    <col min="3331" max="3331" width="29.33203125" customWidth="1"/>
    <col min="3332" max="3332" width="14.6640625" customWidth="1"/>
    <col min="3333" max="3333" width="12.109375" customWidth="1"/>
    <col min="3334" max="3334" width="12.88671875" customWidth="1"/>
    <col min="3335" max="3335" width="14.5546875" customWidth="1"/>
    <col min="3336" max="3336" width="12.6640625" customWidth="1"/>
    <col min="3337" max="3337" width="12.88671875" customWidth="1"/>
    <col min="3338" max="3338" width="9.109375" customWidth="1"/>
    <col min="3585" max="3585" width="6.6640625" customWidth="1"/>
    <col min="3586" max="3586" width="14.5546875" customWidth="1"/>
    <col min="3587" max="3587" width="29.33203125" customWidth="1"/>
    <col min="3588" max="3588" width="14.6640625" customWidth="1"/>
    <col min="3589" max="3589" width="12.109375" customWidth="1"/>
    <col min="3590" max="3590" width="12.88671875" customWidth="1"/>
    <col min="3591" max="3591" width="14.5546875" customWidth="1"/>
    <col min="3592" max="3592" width="12.6640625" customWidth="1"/>
    <col min="3593" max="3593" width="12.88671875" customWidth="1"/>
    <col min="3594" max="3594" width="9.109375" customWidth="1"/>
    <col min="3841" max="3841" width="6.6640625" customWidth="1"/>
    <col min="3842" max="3842" width="14.5546875" customWidth="1"/>
    <col min="3843" max="3843" width="29.33203125" customWidth="1"/>
    <col min="3844" max="3844" width="14.6640625" customWidth="1"/>
    <col min="3845" max="3845" width="12.109375" customWidth="1"/>
    <col min="3846" max="3846" width="12.88671875" customWidth="1"/>
    <col min="3847" max="3847" width="14.5546875" customWidth="1"/>
    <col min="3848" max="3848" width="12.6640625" customWidth="1"/>
    <col min="3849" max="3849" width="12.88671875" customWidth="1"/>
    <col min="3850" max="3850" width="9.109375" customWidth="1"/>
    <col min="4097" max="4097" width="6.6640625" customWidth="1"/>
    <col min="4098" max="4098" width="14.5546875" customWidth="1"/>
    <col min="4099" max="4099" width="29.33203125" customWidth="1"/>
    <col min="4100" max="4100" width="14.6640625" customWidth="1"/>
    <col min="4101" max="4101" width="12.109375" customWidth="1"/>
    <col min="4102" max="4102" width="12.88671875" customWidth="1"/>
    <col min="4103" max="4103" width="14.5546875" customWidth="1"/>
    <col min="4104" max="4104" width="12.6640625" customWidth="1"/>
    <col min="4105" max="4105" width="12.88671875" customWidth="1"/>
    <col min="4106" max="4106" width="9.109375" customWidth="1"/>
    <col min="4353" max="4353" width="6.6640625" customWidth="1"/>
    <col min="4354" max="4354" width="14.5546875" customWidth="1"/>
    <col min="4355" max="4355" width="29.33203125" customWidth="1"/>
    <col min="4356" max="4356" width="14.6640625" customWidth="1"/>
    <col min="4357" max="4357" width="12.109375" customWidth="1"/>
    <col min="4358" max="4358" width="12.88671875" customWidth="1"/>
    <col min="4359" max="4359" width="14.5546875" customWidth="1"/>
    <col min="4360" max="4360" width="12.6640625" customWidth="1"/>
    <col min="4361" max="4361" width="12.88671875" customWidth="1"/>
    <col min="4362" max="4362" width="9.109375" customWidth="1"/>
    <col min="4609" max="4609" width="6.6640625" customWidth="1"/>
    <col min="4610" max="4610" width="14.5546875" customWidth="1"/>
    <col min="4611" max="4611" width="29.33203125" customWidth="1"/>
    <col min="4612" max="4612" width="14.6640625" customWidth="1"/>
    <col min="4613" max="4613" width="12.109375" customWidth="1"/>
    <col min="4614" max="4614" width="12.88671875" customWidth="1"/>
    <col min="4615" max="4615" width="14.5546875" customWidth="1"/>
    <col min="4616" max="4616" width="12.6640625" customWidth="1"/>
    <col min="4617" max="4617" width="12.88671875" customWidth="1"/>
    <col min="4618" max="4618" width="9.109375" customWidth="1"/>
    <col min="4865" max="4865" width="6.6640625" customWidth="1"/>
    <col min="4866" max="4866" width="14.5546875" customWidth="1"/>
    <col min="4867" max="4867" width="29.33203125" customWidth="1"/>
    <col min="4868" max="4868" width="14.6640625" customWidth="1"/>
    <col min="4869" max="4869" width="12.109375" customWidth="1"/>
    <col min="4870" max="4870" width="12.88671875" customWidth="1"/>
    <col min="4871" max="4871" width="14.5546875" customWidth="1"/>
    <col min="4872" max="4872" width="12.6640625" customWidth="1"/>
    <col min="4873" max="4873" width="12.88671875" customWidth="1"/>
    <col min="4874" max="4874" width="9.109375" customWidth="1"/>
    <col min="5121" max="5121" width="6.6640625" customWidth="1"/>
    <col min="5122" max="5122" width="14.5546875" customWidth="1"/>
    <col min="5123" max="5123" width="29.33203125" customWidth="1"/>
    <col min="5124" max="5124" width="14.6640625" customWidth="1"/>
    <col min="5125" max="5125" width="12.109375" customWidth="1"/>
    <col min="5126" max="5126" width="12.88671875" customWidth="1"/>
    <col min="5127" max="5127" width="14.5546875" customWidth="1"/>
    <col min="5128" max="5128" width="12.6640625" customWidth="1"/>
    <col min="5129" max="5129" width="12.88671875" customWidth="1"/>
    <col min="5130" max="5130" width="9.109375" customWidth="1"/>
    <col min="5377" max="5377" width="6.6640625" customWidth="1"/>
    <col min="5378" max="5378" width="14.5546875" customWidth="1"/>
    <col min="5379" max="5379" width="29.33203125" customWidth="1"/>
    <col min="5380" max="5380" width="14.6640625" customWidth="1"/>
    <col min="5381" max="5381" width="12.109375" customWidth="1"/>
    <col min="5382" max="5382" width="12.88671875" customWidth="1"/>
    <col min="5383" max="5383" width="14.5546875" customWidth="1"/>
    <col min="5384" max="5384" width="12.6640625" customWidth="1"/>
    <col min="5385" max="5385" width="12.88671875" customWidth="1"/>
    <col min="5386" max="5386" width="9.109375" customWidth="1"/>
    <col min="5633" max="5633" width="6.6640625" customWidth="1"/>
    <col min="5634" max="5634" width="14.5546875" customWidth="1"/>
    <col min="5635" max="5635" width="29.33203125" customWidth="1"/>
    <col min="5636" max="5636" width="14.6640625" customWidth="1"/>
    <col min="5637" max="5637" width="12.109375" customWidth="1"/>
    <col min="5638" max="5638" width="12.88671875" customWidth="1"/>
    <col min="5639" max="5639" width="14.5546875" customWidth="1"/>
    <col min="5640" max="5640" width="12.6640625" customWidth="1"/>
    <col min="5641" max="5641" width="12.88671875" customWidth="1"/>
    <col min="5642" max="5642" width="9.109375" customWidth="1"/>
    <col min="5889" max="5889" width="6.6640625" customWidth="1"/>
    <col min="5890" max="5890" width="14.5546875" customWidth="1"/>
    <col min="5891" max="5891" width="29.33203125" customWidth="1"/>
    <col min="5892" max="5892" width="14.6640625" customWidth="1"/>
    <col min="5893" max="5893" width="12.109375" customWidth="1"/>
    <col min="5894" max="5894" width="12.88671875" customWidth="1"/>
    <col min="5895" max="5895" width="14.5546875" customWidth="1"/>
    <col min="5896" max="5896" width="12.6640625" customWidth="1"/>
    <col min="5897" max="5897" width="12.88671875" customWidth="1"/>
    <col min="5898" max="5898" width="9.109375" customWidth="1"/>
    <col min="6145" max="6145" width="6.6640625" customWidth="1"/>
    <col min="6146" max="6146" width="14.5546875" customWidth="1"/>
    <col min="6147" max="6147" width="29.33203125" customWidth="1"/>
    <col min="6148" max="6148" width="14.6640625" customWidth="1"/>
    <col min="6149" max="6149" width="12.109375" customWidth="1"/>
    <col min="6150" max="6150" width="12.88671875" customWidth="1"/>
    <col min="6151" max="6151" width="14.5546875" customWidth="1"/>
    <col min="6152" max="6152" width="12.6640625" customWidth="1"/>
    <col min="6153" max="6153" width="12.88671875" customWidth="1"/>
    <col min="6154" max="6154" width="9.109375" customWidth="1"/>
    <col min="6401" max="6401" width="6.6640625" customWidth="1"/>
    <col min="6402" max="6402" width="14.5546875" customWidth="1"/>
    <col min="6403" max="6403" width="29.33203125" customWidth="1"/>
    <col min="6404" max="6404" width="14.6640625" customWidth="1"/>
    <col min="6405" max="6405" width="12.109375" customWidth="1"/>
    <col min="6406" max="6406" width="12.88671875" customWidth="1"/>
    <col min="6407" max="6407" width="14.5546875" customWidth="1"/>
    <col min="6408" max="6408" width="12.6640625" customWidth="1"/>
    <col min="6409" max="6409" width="12.88671875" customWidth="1"/>
    <col min="6410" max="6410" width="9.109375" customWidth="1"/>
    <col min="6657" max="6657" width="6.6640625" customWidth="1"/>
    <col min="6658" max="6658" width="14.5546875" customWidth="1"/>
    <col min="6659" max="6659" width="29.33203125" customWidth="1"/>
    <col min="6660" max="6660" width="14.6640625" customWidth="1"/>
    <col min="6661" max="6661" width="12.109375" customWidth="1"/>
    <col min="6662" max="6662" width="12.88671875" customWidth="1"/>
    <col min="6663" max="6663" width="14.5546875" customWidth="1"/>
    <col min="6664" max="6664" width="12.6640625" customWidth="1"/>
    <col min="6665" max="6665" width="12.88671875" customWidth="1"/>
    <col min="6666" max="6666" width="9.109375" customWidth="1"/>
    <col min="6913" max="6913" width="6.6640625" customWidth="1"/>
    <col min="6914" max="6914" width="14.5546875" customWidth="1"/>
    <col min="6915" max="6915" width="29.33203125" customWidth="1"/>
    <col min="6916" max="6916" width="14.6640625" customWidth="1"/>
    <col min="6917" max="6917" width="12.109375" customWidth="1"/>
    <col min="6918" max="6918" width="12.88671875" customWidth="1"/>
    <col min="6919" max="6919" width="14.5546875" customWidth="1"/>
    <col min="6920" max="6920" width="12.6640625" customWidth="1"/>
    <col min="6921" max="6921" width="12.88671875" customWidth="1"/>
    <col min="6922" max="6922" width="9.109375" customWidth="1"/>
    <col min="7169" max="7169" width="6.6640625" customWidth="1"/>
    <col min="7170" max="7170" width="14.5546875" customWidth="1"/>
    <col min="7171" max="7171" width="29.33203125" customWidth="1"/>
    <col min="7172" max="7172" width="14.6640625" customWidth="1"/>
    <col min="7173" max="7173" width="12.109375" customWidth="1"/>
    <col min="7174" max="7174" width="12.88671875" customWidth="1"/>
    <col min="7175" max="7175" width="14.5546875" customWidth="1"/>
    <col min="7176" max="7176" width="12.6640625" customWidth="1"/>
    <col min="7177" max="7177" width="12.88671875" customWidth="1"/>
    <col min="7178" max="7178" width="9.109375" customWidth="1"/>
    <col min="7425" max="7425" width="6.6640625" customWidth="1"/>
    <col min="7426" max="7426" width="14.5546875" customWidth="1"/>
    <col min="7427" max="7427" width="29.33203125" customWidth="1"/>
    <col min="7428" max="7428" width="14.6640625" customWidth="1"/>
    <col min="7429" max="7429" width="12.109375" customWidth="1"/>
    <col min="7430" max="7430" width="12.88671875" customWidth="1"/>
    <col min="7431" max="7431" width="14.5546875" customWidth="1"/>
    <col min="7432" max="7432" width="12.6640625" customWidth="1"/>
    <col min="7433" max="7433" width="12.88671875" customWidth="1"/>
    <col min="7434" max="7434" width="9.109375" customWidth="1"/>
    <col min="7681" max="7681" width="6.6640625" customWidth="1"/>
    <col min="7682" max="7682" width="14.5546875" customWidth="1"/>
    <col min="7683" max="7683" width="29.33203125" customWidth="1"/>
    <col min="7684" max="7684" width="14.6640625" customWidth="1"/>
    <col min="7685" max="7685" width="12.109375" customWidth="1"/>
    <col min="7686" max="7686" width="12.88671875" customWidth="1"/>
    <col min="7687" max="7687" width="14.5546875" customWidth="1"/>
    <col min="7688" max="7688" width="12.6640625" customWidth="1"/>
    <col min="7689" max="7689" width="12.88671875" customWidth="1"/>
    <col min="7690" max="7690" width="9.109375" customWidth="1"/>
    <col min="7937" max="7937" width="6.6640625" customWidth="1"/>
    <col min="7938" max="7938" width="14.5546875" customWidth="1"/>
    <col min="7939" max="7939" width="29.33203125" customWidth="1"/>
    <col min="7940" max="7940" width="14.6640625" customWidth="1"/>
    <col min="7941" max="7941" width="12.109375" customWidth="1"/>
    <col min="7942" max="7942" width="12.88671875" customWidth="1"/>
    <col min="7943" max="7943" width="14.5546875" customWidth="1"/>
    <col min="7944" max="7944" width="12.6640625" customWidth="1"/>
    <col min="7945" max="7945" width="12.88671875" customWidth="1"/>
    <col min="7946" max="7946" width="9.109375" customWidth="1"/>
    <col min="8193" max="8193" width="6.6640625" customWidth="1"/>
    <col min="8194" max="8194" width="14.5546875" customWidth="1"/>
    <col min="8195" max="8195" width="29.33203125" customWidth="1"/>
    <col min="8196" max="8196" width="14.6640625" customWidth="1"/>
    <col min="8197" max="8197" width="12.109375" customWidth="1"/>
    <col min="8198" max="8198" width="12.88671875" customWidth="1"/>
    <col min="8199" max="8199" width="14.5546875" customWidth="1"/>
    <col min="8200" max="8200" width="12.6640625" customWidth="1"/>
    <col min="8201" max="8201" width="12.88671875" customWidth="1"/>
    <col min="8202" max="8202" width="9.109375" customWidth="1"/>
    <col min="8449" max="8449" width="6.6640625" customWidth="1"/>
    <col min="8450" max="8450" width="14.5546875" customWidth="1"/>
    <col min="8451" max="8451" width="29.33203125" customWidth="1"/>
    <col min="8452" max="8452" width="14.6640625" customWidth="1"/>
    <col min="8453" max="8453" width="12.109375" customWidth="1"/>
    <col min="8454" max="8454" width="12.88671875" customWidth="1"/>
    <col min="8455" max="8455" width="14.5546875" customWidth="1"/>
    <col min="8456" max="8456" width="12.6640625" customWidth="1"/>
    <col min="8457" max="8457" width="12.88671875" customWidth="1"/>
    <col min="8458" max="8458" width="9.109375" customWidth="1"/>
    <col min="8705" max="8705" width="6.6640625" customWidth="1"/>
    <col min="8706" max="8706" width="14.5546875" customWidth="1"/>
    <col min="8707" max="8707" width="29.33203125" customWidth="1"/>
    <col min="8708" max="8708" width="14.6640625" customWidth="1"/>
    <col min="8709" max="8709" width="12.109375" customWidth="1"/>
    <col min="8710" max="8710" width="12.88671875" customWidth="1"/>
    <col min="8711" max="8711" width="14.5546875" customWidth="1"/>
    <col min="8712" max="8712" width="12.6640625" customWidth="1"/>
    <col min="8713" max="8713" width="12.88671875" customWidth="1"/>
    <col min="8714" max="8714" width="9.109375" customWidth="1"/>
    <col min="8961" max="8961" width="6.6640625" customWidth="1"/>
    <col min="8962" max="8962" width="14.5546875" customWidth="1"/>
    <col min="8963" max="8963" width="29.33203125" customWidth="1"/>
    <col min="8964" max="8964" width="14.6640625" customWidth="1"/>
    <col min="8965" max="8965" width="12.109375" customWidth="1"/>
    <col min="8966" max="8966" width="12.88671875" customWidth="1"/>
    <col min="8967" max="8967" width="14.5546875" customWidth="1"/>
    <col min="8968" max="8968" width="12.6640625" customWidth="1"/>
    <col min="8969" max="8969" width="12.88671875" customWidth="1"/>
    <col min="8970" max="8970" width="9.109375" customWidth="1"/>
    <col min="9217" max="9217" width="6.6640625" customWidth="1"/>
    <col min="9218" max="9218" width="14.5546875" customWidth="1"/>
    <col min="9219" max="9219" width="29.33203125" customWidth="1"/>
    <col min="9220" max="9220" width="14.6640625" customWidth="1"/>
    <col min="9221" max="9221" width="12.109375" customWidth="1"/>
    <col min="9222" max="9222" width="12.88671875" customWidth="1"/>
    <col min="9223" max="9223" width="14.5546875" customWidth="1"/>
    <col min="9224" max="9224" width="12.6640625" customWidth="1"/>
    <col min="9225" max="9225" width="12.88671875" customWidth="1"/>
    <col min="9226" max="9226" width="9.109375" customWidth="1"/>
    <col min="9473" max="9473" width="6.6640625" customWidth="1"/>
    <col min="9474" max="9474" width="14.5546875" customWidth="1"/>
    <col min="9475" max="9475" width="29.33203125" customWidth="1"/>
    <col min="9476" max="9476" width="14.6640625" customWidth="1"/>
    <col min="9477" max="9477" width="12.109375" customWidth="1"/>
    <col min="9478" max="9478" width="12.88671875" customWidth="1"/>
    <col min="9479" max="9479" width="14.5546875" customWidth="1"/>
    <col min="9480" max="9480" width="12.6640625" customWidth="1"/>
    <col min="9481" max="9481" width="12.88671875" customWidth="1"/>
    <col min="9482" max="9482" width="9.109375" customWidth="1"/>
    <col min="9729" max="9729" width="6.6640625" customWidth="1"/>
    <col min="9730" max="9730" width="14.5546875" customWidth="1"/>
    <col min="9731" max="9731" width="29.33203125" customWidth="1"/>
    <col min="9732" max="9732" width="14.6640625" customWidth="1"/>
    <col min="9733" max="9733" width="12.109375" customWidth="1"/>
    <col min="9734" max="9734" width="12.88671875" customWidth="1"/>
    <col min="9735" max="9735" width="14.5546875" customWidth="1"/>
    <col min="9736" max="9736" width="12.6640625" customWidth="1"/>
    <col min="9737" max="9737" width="12.88671875" customWidth="1"/>
    <col min="9738" max="9738" width="9.109375" customWidth="1"/>
    <col min="9985" max="9985" width="6.6640625" customWidth="1"/>
    <col min="9986" max="9986" width="14.5546875" customWidth="1"/>
    <col min="9987" max="9987" width="29.33203125" customWidth="1"/>
    <col min="9988" max="9988" width="14.6640625" customWidth="1"/>
    <col min="9989" max="9989" width="12.109375" customWidth="1"/>
    <col min="9990" max="9990" width="12.88671875" customWidth="1"/>
    <col min="9991" max="9991" width="14.5546875" customWidth="1"/>
    <col min="9992" max="9992" width="12.6640625" customWidth="1"/>
    <col min="9993" max="9993" width="12.88671875" customWidth="1"/>
    <col min="9994" max="9994" width="9.109375" customWidth="1"/>
    <col min="10241" max="10241" width="6.6640625" customWidth="1"/>
    <col min="10242" max="10242" width="14.5546875" customWidth="1"/>
    <col min="10243" max="10243" width="29.33203125" customWidth="1"/>
    <col min="10244" max="10244" width="14.6640625" customWidth="1"/>
    <col min="10245" max="10245" width="12.109375" customWidth="1"/>
    <col min="10246" max="10246" width="12.88671875" customWidth="1"/>
    <col min="10247" max="10247" width="14.5546875" customWidth="1"/>
    <col min="10248" max="10248" width="12.6640625" customWidth="1"/>
    <col min="10249" max="10249" width="12.88671875" customWidth="1"/>
    <col min="10250" max="10250" width="9.109375" customWidth="1"/>
    <col min="10497" max="10497" width="6.6640625" customWidth="1"/>
    <col min="10498" max="10498" width="14.5546875" customWidth="1"/>
    <col min="10499" max="10499" width="29.33203125" customWidth="1"/>
    <col min="10500" max="10500" width="14.6640625" customWidth="1"/>
    <col min="10501" max="10501" width="12.109375" customWidth="1"/>
    <col min="10502" max="10502" width="12.88671875" customWidth="1"/>
    <col min="10503" max="10503" width="14.5546875" customWidth="1"/>
    <col min="10504" max="10504" width="12.6640625" customWidth="1"/>
    <col min="10505" max="10505" width="12.88671875" customWidth="1"/>
    <col min="10506" max="10506" width="9.109375" customWidth="1"/>
    <col min="10753" max="10753" width="6.6640625" customWidth="1"/>
    <col min="10754" max="10754" width="14.5546875" customWidth="1"/>
    <col min="10755" max="10755" width="29.33203125" customWidth="1"/>
    <col min="10756" max="10756" width="14.6640625" customWidth="1"/>
    <col min="10757" max="10757" width="12.109375" customWidth="1"/>
    <col min="10758" max="10758" width="12.88671875" customWidth="1"/>
    <col min="10759" max="10759" width="14.5546875" customWidth="1"/>
    <col min="10760" max="10760" width="12.6640625" customWidth="1"/>
    <col min="10761" max="10761" width="12.88671875" customWidth="1"/>
    <col min="10762" max="10762" width="9.109375" customWidth="1"/>
    <col min="11009" max="11009" width="6.6640625" customWidth="1"/>
    <col min="11010" max="11010" width="14.5546875" customWidth="1"/>
    <col min="11011" max="11011" width="29.33203125" customWidth="1"/>
    <col min="11012" max="11012" width="14.6640625" customWidth="1"/>
    <col min="11013" max="11013" width="12.109375" customWidth="1"/>
    <col min="11014" max="11014" width="12.88671875" customWidth="1"/>
    <col min="11015" max="11015" width="14.5546875" customWidth="1"/>
    <col min="11016" max="11016" width="12.6640625" customWidth="1"/>
    <col min="11017" max="11017" width="12.88671875" customWidth="1"/>
    <col min="11018" max="11018" width="9.109375" customWidth="1"/>
    <col min="11265" max="11265" width="6.6640625" customWidth="1"/>
    <col min="11266" max="11266" width="14.5546875" customWidth="1"/>
    <col min="11267" max="11267" width="29.33203125" customWidth="1"/>
    <col min="11268" max="11268" width="14.6640625" customWidth="1"/>
    <col min="11269" max="11269" width="12.109375" customWidth="1"/>
    <col min="11270" max="11270" width="12.88671875" customWidth="1"/>
    <col min="11271" max="11271" width="14.5546875" customWidth="1"/>
    <col min="11272" max="11272" width="12.6640625" customWidth="1"/>
    <col min="11273" max="11273" width="12.88671875" customWidth="1"/>
    <col min="11274" max="11274" width="9.109375" customWidth="1"/>
    <col min="11521" max="11521" width="6.6640625" customWidth="1"/>
    <col min="11522" max="11522" width="14.5546875" customWidth="1"/>
    <col min="11523" max="11523" width="29.33203125" customWidth="1"/>
    <col min="11524" max="11524" width="14.6640625" customWidth="1"/>
    <col min="11525" max="11525" width="12.109375" customWidth="1"/>
    <col min="11526" max="11526" width="12.88671875" customWidth="1"/>
    <col min="11527" max="11527" width="14.5546875" customWidth="1"/>
    <col min="11528" max="11528" width="12.6640625" customWidth="1"/>
    <col min="11529" max="11529" width="12.88671875" customWidth="1"/>
    <col min="11530" max="11530" width="9.109375" customWidth="1"/>
    <col min="11777" max="11777" width="6.6640625" customWidth="1"/>
    <col min="11778" max="11778" width="14.5546875" customWidth="1"/>
    <col min="11779" max="11779" width="29.33203125" customWidth="1"/>
    <col min="11780" max="11780" width="14.6640625" customWidth="1"/>
    <col min="11781" max="11781" width="12.109375" customWidth="1"/>
    <col min="11782" max="11782" width="12.88671875" customWidth="1"/>
    <col min="11783" max="11783" width="14.5546875" customWidth="1"/>
    <col min="11784" max="11784" width="12.6640625" customWidth="1"/>
    <col min="11785" max="11785" width="12.88671875" customWidth="1"/>
    <col min="11786" max="11786" width="9.109375" customWidth="1"/>
    <col min="12033" max="12033" width="6.6640625" customWidth="1"/>
    <col min="12034" max="12034" width="14.5546875" customWidth="1"/>
    <col min="12035" max="12035" width="29.33203125" customWidth="1"/>
    <col min="12036" max="12036" width="14.6640625" customWidth="1"/>
    <col min="12037" max="12037" width="12.109375" customWidth="1"/>
    <col min="12038" max="12038" width="12.88671875" customWidth="1"/>
    <col min="12039" max="12039" width="14.5546875" customWidth="1"/>
    <col min="12040" max="12040" width="12.6640625" customWidth="1"/>
    <col min="12041" max="12041" width="12.88671875" customWidth="1"/>
    <col min="12042" max="12042" width="9.109375" customWidth="1"/>
    <col min="12289" max="12289" width="6.6640625" customWidth="1"/>
    <col min="12290" max="12290" width="14.5546875" customWidth="1"/>
    <col min="12291" max="12291" width="29.33203125" customWidth="1"/>
    <col min="12292" max="12292" width="14.6640625" customWidth="1"/>
    <col min="12293" max="12293" width="12.109375" customWidth="1"/>
    <col min="12294" max="12294" width="12.88671875" customWidth="1"/>
    <col min="12295" max="12295" width="14.5546875" customWidth="1"/>
    <col min="12296" max="12296" width="12.6640625" customWidth="1"/>
    <col min="12297" max="12297" width="12.88671875" customWidth="1"/>
    <col min="12298" max="12298" width="9.109375" customWidth="1"/>
    <col min="12545" max="12545" width="6.6640625" customWidth="1"/>
    <col min="12546" max="12546" width="14.5546875" customWidth="1"/>
    <col min="12547" max="12547" width="29.33203125" customWidth="1"/>
    <col min="12548" max="12548" width="14.6640625" customWidth="1"/>
    <col min="12549" max="12549" width="12.109375" customWidth="1"/>
    <col min="12550" max="12550" width="12.88671875" customWidth="1"/>
    <col min="12551" max="12551" width="14.5546875" customWidth="1"/>
    <col min="12552" max="12552" width="12.6640625" customWidth="1"/>
    <col min="12553" max="12553" width="12.88671875" customWidth="1"/>
    <col min="12554" max="12554" width="9.109375" customWidth="1"/>
    <col min="12801" max="12801" width="6.6640625" customWidth="1"/>
    <col min="12802" max="12802" width="14.5546875" customWidth="1"/>
    <col min="12803" max="12803" width="29.33203125" customWidth="1"/>
    <col min="12804" max="12804" width="14.6640625" customWidth="1"/>
    <col min="12805" max="12805" width="12.109375" customWidth="1"/>
    <col min="12806" max="12806" width="12.88671875" customWidth="1"/>
    <col min="12807" max="12807" width="14.5546875" customWidth="1"/>
    <col min="12808" max="12808" width="12.6640625" customWidth="1"/>
    <col min="12809" max="12809" width="12.88671875" customWidth="1"/>
    <col min="12810" max="12810" width="9.109375" customWidth="1"/>
    <col min="13057" max="13057" width="6.6640625" customWidth="1"/>
    <col min="13058" max="13058" width="14.5546875" customWidth="1"/>
    <col min="13059" max="13059" width="29.33203125" customWidth="1"/>
    <col min="13060" max="13060" width="14.6640625" customWidth="1"/>
    <col min="13061" max="13061" width="12.109375" customWidth="1"/>
    <col min="13062" max="13062" width="12.88671875" customWidth="1"/>
    <col min="13063" max="13063" width="14.5546875" customWidth="1"/>
    <col min="13064" max="13064" width="12.6640625" customWidth="1"/>
    <col min="13065" max="13065" width="12.88671875" customWidth="1"/>
    <col min="13066" max="13066" width="9.109375" customWidth="1"/>
    <col min="13313" max="13313" width="6.6640625" customWidth="1"/>
    <col min="13314" max="13314" width="14.5546875" customWidth="1"/>
    <col min="13315" max="13315" width="29.33203125" customWidth="1"/>
    <col min="13316" max="13316" width="14.6640625" customWidth="1"/>
    <col min="13317" max="13317" width="12.109375" customWidth="1"/>
    <col min="13318" max="13318" width="12.88671875" customWidth="1"/>
    <col min="13319" max="13319" width="14.5546875" customWidth="1"/>
    <col min="13320" max="13320" width="12.6640625" customWidth="1"/>
    <col min="13321" max="13321" width="12.88671875" customWidth="1"/>
    <col min="13322" max="13322" width="9.109375" customWidth="1"/>
    <col min="13569" max="13569" width="6.6640625" customWidth="1"/>
    <col min="13570" max="13570" width="14.5546875" customWidth="1"/>
    <col min="13571" max="13571" width="29.33203125" customWidth="1"/>
    <col min="13572" max="13572" width="14.6640625" customWidth="1"/>
    <col min="13573" max="13573" width="12.109375" customWidth="1"/>
    <col min="13574" max="13574" width="12.88671875" customWidth="1"/>
    <col min="13575" max="13575" width="14.5546875" customWidth="1"/>
    <col min="13576" max="13576" width="12.6640625" customWidth="1"/>
    <col min="13577" max="13577" width="12.88671875" customWidth="1"/>
    <col min="13578" max="13578" width="9.109375" customWidth="1"/>
    <col min="13825" max="13825" width="6.6640625" customWidth="1"/>
    <col min="13826" max="13826" width="14.5546875" customWidth="1"/>
    <col min="13827" max="13827" width="29.33203125" customWidth="1"/>
    <col min="13828" max="13828" width="14.6640625" customWidth="1"/>
    <col min="13829" max="13829" width="12.109375" customWidth="1"/>
    <col min="13830" max="13830" width="12.88671875" customWidth="1"/>
    <col min="13831" max="13831" width="14.5546875" customWidth="1"/>
    <col min="13832" max="13832" width="12.6640625" customWidth="1"/>
    <col min="13833" max="13833" width="12.88671875" customWidth="1"/>
    <col min="13834" max="13834" width="9.109375" customWidth="1"/>
    <col min="14081" max="14081" width="6.6640625" customWidth="1"/>
    <col min="14082" max="14082" width="14.5546875" customWidth="1"/>
    <col min="14083" max="14083" width="29.33203125" customWidth="1"/>
    <col min="14084" max="14084" width="14.6640625" customWidth="1"/>
    <col min="14085" max="14085" width="12.109375" customWidth="1"/>
    <col min="14086" max="14086" width="12.88671875" customWidth="1"/>
    <col min="14087" max="14087" width="14.5546875" customWidth="1"/>
    <col min="14088" max="14088" width="12.6640625" customWidth="1"/>
    <col min="14089" max="14089" width="12.88671875" customWidth="1"/>
    <col min="14090" max="14090" width="9.109375" customWidth="1"/>
    <col min="14337" max="14337" width="6.6640625" customWidth="1"/>
    <col min="14338" max="14338" width="14.5546875" customWidth="1"/>
    <col min="14339" max="14339" width="29.33203125" customWidth="1"/>
    <col min="14340" max="14340" width="14.6640625" customWidth="1"/>
    <col min="14341" max="14341" width="12.109375" customWidth="1"/>
    <col min="14342" max="14342" width="12.88671875" customWidth="1"/>
    <col min="14343" max="14343" width="14.5546875" customWidth="1"/>
    <col min="14344" max="14344" width="12.6640625" customWidth="1"/>
    <col min="14345" max="14345" width="12.88671875" customWidth="1"/>
    <col min="14346" max="14346" width="9.109375" customWidth="1"/>
    <col min="14593" max="14593" width="6.6640625" customWidth="1"/>
    <col min="14594" max="14594" width="14.5546875" customWidth="1"/>
    <col min="14595" max="14595" width="29.33203125" customWidth="1"/>
    <col min="14596" max="14596" width="14.6640625" customWidth="1"/>
    <col min="14597" max="14597" width="12.109375" customWidth="1"/>
    <col min="14598" max="14598" width="12.88671875" customWidth="1"/>
    <col min="14599" max="14599" width="14.5546875" customWidth="1"/>
    <col min="14600" max="14600" width="12.6640625" customWidth="1"/>
    <col min="14601" max="14601" width="12.88671875" customWidth="1"/>
    <col min="14602" max="14602" width="9.109375" customWidth="1"/>
    <col min="14849" max="14849" width="6.6640625" customWidth="1"/>
    <col min="14850" max="14850" width="14.5546875" customWidth="1"/>
    <col min="14851" max="14851" width="29.33203125" customWidth="1"/>
    <col min="14852" max="14852" width="14.6640625" customWidth="1"/>
    <col min="14853" max="14853" width="12.109375" customWidth="1"/>
    <col min="14854" max="14854" width="12.88671875" customWidth="1"/>
    <col min="14855" max="14855" width="14.5546875" customWidth="1"/>
    <col min="14856" max="14856" width="12.6640625" customWidth="1"/>
    <col min="14857" max="14857" width="12.88671875" customWidth="1"/>
    <col min="14858" max="14858" width="9.109375" customWidth="1"/>
    <col min="15105" max="15105" width="6.6640625" customWidth="1"/>
    <col min="15106" max="15106" width="14.5546875" customWidth="1"/>
    <col min="15107" max="15107" width="29.33203125" customWidth="1"/>
    <col min="15108" max="15108" width="14.6640625" customWidth="1"/>
    <col min="15109" max="15109" width="12.109375" customWidth="1"/>
    <col min="15110" max="15110" width="12.88671875" customWidth="1"/>
    <col min="15111" max="15111" width="14.5546875" customWidth="1"/>
    <col min="15112" max="15112" width="12.6640625" customWidth="1"/>
    <col min="15113" max="15113" width="12.88671875" customWidth="1"/>
    <col min="15114" max="15114" width="9.109375" customWidth="1"/>
    <col min="15361" max="15361" width="6.6640625" customWidth="1"/>
    <col min="15362" max="15362" width="14.5546875" customWidth="1"/>
    <col min="15363" max="15363" width="29.33203125" customWidth="1"/>
    <col min="15364" max="15364" width="14.6640625" customWidth="1"/>
    <col min="15365" max="15365" width="12.109375" customWidth="1"/>
    <col min="15366" max="15366" width="12.88671875" customWidth="1"/>
    <col min="15367" max="15367" width="14.5546875" customWidth="1"/>
    <col min="15368" max="15368" width="12.6640625" customWidth="1"/>
    <col min="15369" max="15369" width="12.88671875" customWidth="1"/>
    <col min="15370" max="15370" width="9.109375" customWidth="1"/>
    <col min="15617" max="15617" width="6.6640625" customWidth="1"/>
    <col min="15618" max="15618" width="14.5546875" customWidth="1"/>
    <col min="15619" max="15619" width="29.33203125" customWidth="1"/>
    <col min="15620" max="15620" width="14.6640625" customWidth="1"/>
    <col min="15621" max="15621" width="12.109375" customWidth="1"/>
    <col min="15622" max="15622" width="12.88671875" customWidth="1"/>
    <col min="15623" max="15623" width="14.5546875" customWidth="1"/>
    <col min="15624" max="15624" width="12.6640625" customWidth="1"/>
    <col min="15625" max="15625" width="12.88671875" customWidth="1"/>
    <col min="15626" max="15626" width="9.109375" customWidth="1"/>
    <col min="15873" max="15873" width="6.6640625" customWidth="1"/>
    <col min="15874" max="15874" width="14.5546875" customWidth="1"/>
    <col min="15875" max="15875" width="29.33203125" customWidth="1"/>
    <col min="15876" max="15876" width="14.6640625" customWidth="1"/>
    <col min="15877" max="15877" width="12.109375" customWidth="1"/>
    <col min="15878" max="15878" width="12.88671875" customWidth="1"/>
    <col min="15879" max="15879" width="14.5546875" customWidth="1"/>
    <col min="15880" max="15880" width="12.6640625" customWidth="1"/>
    <col min="15881" max="15881" width="12.88671875" customWidth="1"/>
    <col min="15882" max="15882" width="9.109375" customWidth="1"/>
    <col min="16129" max="16129" width="6.6640625" customWidth="1"/>
    <col min="16130" max="16130" width="14.5546875" customWidth="1"/>
    <col min="16131" max="16131" width="29.33203125" customWidth="1"/>
    <col min="16132" max="16132" width="14.6640625" customWidth="1"/>
    <col min="16133" max="16133" width="12.109375" customWidth="1"/>
    <col min="16134" max="16134" width="12.88671875" customWidth="1"/>
    <col min="16135" max="16135" width="14.5546875" customWidth="1"/>
    <col min="16136" max="16136" width="12.6640625" customWidth="1"/>
    <col min="16137" max="16137" width="12.88671875" customWidth="1"/>
    <col min="16138" max="16138" width="9.109375" customWidth="1"/>
  </cols>
  <sheetData>
    <row r="3" spans="1:11" ht="54" customHeight="1" x14ac:dyDescent="0.55000000000000004">
      <c r="D3" s="587" t="s">
        <v>285</v>
      </c>
      <c r="E3" s="587"/>
      <c r="F3" s="587"/>
      <c r="G3" s="588" t="s">
        <v>60</v>
      </c>
      <c r="H3" s="588"/>
      <c r="I3" s="588"/>
      <c r="J3" s="417" t="s">
        <v>286</v>
      </c>
    </row>
    <row r="4" spans="1:11" ht="32.25" customHeight="1" x14ac:dyDescent="0.3">
      <c r="C4" s="31" t="s">
        <v>61</v>
      </c>
      <c r="D4" s="32"/>
      <c r="E4" s="32"/>
      <c r="F4" s="32"/>
      <c r="G4" s="32"/>
      <c r="H4" s="32"/>
      <c r="I4" s="32"/>
      <c r="J4" s="32"/>
    </row>
    <row r="5" spans="1:11" ht="15.6" x14ac:dyDescent="0.3">
      <c r="C5" s="33" t="s">
        <v>1</v>
      </c>
      <c r="D5" s="34"/>
      <c r="E5" s="34"/>
      <c r="F5" s="34"/>
      <c r="G5" s="34"/>
      <c r="H5" s="34"/>
      <c r="I5" s="131"/>
      <c r="J5" s="34"/>
      <c r="K5" s="308"/>
    </row>
    <row r="6" spans="1:11" ht="15.6" x14ac:dyDescent="0.3">
      <c r="C6" s="35" t="s">
        <v>12</v>
      </c>
      <c r="D6" s="36"/>
      <c r="E6" s="36"/>
      <c r="F6" s="36"/>
      <c r="G6" s="36"/>
      <c r="H6" s="36"/>
      <c r="I6" s="14"/>
      <c r="J6" s="137"/>
      <c r="K6" s="307"/>
    </row>
    <row r="7" spans="1:11" ht="27.6" x14ac:dyDescent="0.3">
      <c r="C7" s="37" t="s">
        <v>13</v>
      </c>
      <c r="D7" s="38">
        <f t="shared" ref="D7:J7" si="0">0.6*D6</f>
        <v>0</v>
      </c>
      <c r="E7" s="38">
        <f t="shared" si="0"/>
        <v>0</v>
      </c>
      <c r="F7" s="38">
        <f t="shared" si="0"/>
        <v>0</v>
      </c>
      <c r="G7" s="38">
        <f t="shared" si="0"/>
        <v>0</v>
      </c>
      <c r="H7" s="38">
        <f t="shared" si="0"/>
        <v>0</v>
      </c>
      <c r="I7" s="132">
        <f t="shared" si="0"/>
        <v>0</v>
      </c>
      <c r="J7" s="38">
        <f t="shared" si="0"/>
        <v>0</v>
      </c>
    </row>
    <row r="8" spans="1:11" x14ac:dyDescent="0.3">
      <c r="A8" s="393" t="s">
        <v>14</v>
      </c>
      <c r="B8" s="393" t="s">
        <v>15</v>
      </c>
      <c r="C8" s="393" t="s">
        <v>16</v>
      </c>
      <c r="D8" s="589" t="s">
        <v>267</v>
      </c>
      <c r="E8" s="589"/>
      <c r="F8" s="589"/>
      <c r="G8" s="590" t="s">
        <v>268</v>
      </c>
      <c r="H8" s="590"/>
      <c r="I8" s="590"/>
      <c r="J8" s="418" t="s">
        <v>220</v>
      </c>
      <c r="K8" s="394" t="s">
        <v>150</v>
      </c>
    </row>
    <row r="9" spans="1:11" ht="16.2" thickBot="1" x14ac:dyDescent="0.35">
      <c r="A9" s="465">
        <v>1</v>
      </c>
      <c r="B9" s="47" t="str">
        <f>Theory!B17</f>
        <v>1DS21AI001</v>
      </c>
      <c r="C9" s="47" t="str">
        <f>Theory!C17</f>
        <v>ADITHYA N AWATI</v>
      </c>
      <c r="D9" s="466"/>
      <c r="E9" s="466"/>
      <c r="F9" s="466"/>
      <c r="G9" s="44"/>
      <c r="H9" s="44"/>
      <c r="I9" s="133"/>
      <c r="J9" s="101"/>
      <c r="K9" s="101"/>
    </row>
    <row r="10" spans="1:11" ht="16.2" thickBot="1" x14ac:dyDescent="0.35">
      <c r="A10" s="42">
        <v>2</v>
      </c>
      <c r="B10" s="43" t="str">
        <f>Theory!B18</f>
        <v>1DS21AI002</v>
      </c>
      <c r="C10" s="43" t="str">
        <f>Theory!C18</f>
        <v>AMIT A</v>
      </c>
      <c r="D10" s="410"/>
      <c r="E10" s="410"/>
      <c r="F10" s="410"/>
      <c r="G10" s="44"/>
      <c r="H10" s="44"/>
      <c r="I10" s="133"/>
      <c r="J10" s="64"/>
      <c r="K10" s="64"/>
    </row>
    <row r="11" spans="1:11" ht="16.2" thickBot="1" x14ac:dyDescent="0.35">
      <c r="A11" s="42">
        <v>3</v>
      </c>
      <c r="B11" s="43" t="str">
        <f>Theory!B19</f>
        <v>1DS21AI005</v>
      </c>
      <c r="C11" s="43" t="str">
        <f>Theory!C19</f>
        <v>ANKUSH G</v>
      </c>
      <c r="D11" s="410"/>
      <c r="E11" s="410"/>
      <c r="F11" s="410"/>
      <c r="G11" s="44"/>
      <c r="H11" s="44"/>
      <c r="I11" s="133"/>
      <c r="J11" s="64"/>
      <c r="K11" s="64"/>
    </row>
    <row r="12" spans="1:11" ht="16.2" thickBot="1" x14ac:dyDescent="0.35">
      <c r="A12" s="42">
        <v>4</v>
      </c>
      <c r="B12" s="43" t="str">
        <f>Theory!B20</f>
        <v>1DS21AI006</v>
      </c>
      <c r="C12" s="43" t="str">
        <f>Theory!C20</f>
        <v>ARYAMAN SAXENA</v>
      </c>
      <c r="D12" s="410"/>
      <c r="E12" s="410"/>
      <c r="F12" s="410"/>
      <c r="G12" s="44"/>
      <c r="H12" s="44"/>
      <c r="I12" s="133"/>
      <c r="J12" s="64"/>
      <c r="K12" s="64"/>
    </row>
    <row r="13" spans="1:11" ht="16.2" thickBot="1" x14ac:dyDescent="0.35">
      <c r="A13" s="42">
        <v>5</v>
      </c>
      <c r="B13" s="43" t="str">
        <f>Theory!B21</f>
        <v>1DS21AI007</v>
      </c>
      <c r="C13" s="43" t="str">
        <f>Theory!C21</f>
        <v>ASHWIN SAI G</v>
      </c>
      <c r="D13" s="410"/>
      <c r="E13" s="410"/>
      <c r="F13" s="410"/>
      <c r="G13" s="44"/>
      <c r="H13" s="44"/>
      <c r="I13" s="133"/>
      <c r="J13" s="64"/>
      <c r="K13" s="64"/>
    </row>
    <row r="14" spans="1:11" ht="16.2" thickBot="1" x14ac:dyDescent="0.35">
      <c r="A14" s="42">
        <v>6</v>
      </c>
      <c r="B14" s="43" t="str">
        <f>Theory!B22</f>
        <v>1DS21AI009</v>
      </c>
      <c r="C14" s="43" t="str">
        <f>Theory!C22</f>
        <v>BHARGAVI K</v>
      </c>
      <c r="D14" s="410"/>
      <c r="E14" s="410"/>
      <c r="F14" s="410"/>
      <c r="G14" s="44"/>
      <c r="H14" s="44"/>
      <c r="I14" s="133"/>
      <c r="J14" s="64"/>
      <c r="K14" s="64"/>
    </row>
    <row r="15" spans="1:11" ht="16.2" thickBot="1" x14ac:dyDescent="0.35">
      <c r="A15" s="42">
        <v>7</v>
      </c>
      <c r="B15" s="43" t="str">
        <f>Theory!B23</f>
        <v>1DS21AI014</v>
      </c>
      <c r="C15" s="43" t="str">
        <f>Theory!C23</f>
        <v>DARSHAN R</v>
      </c>
      <c r="D15" s="410"/>
      <c r="E15" s="410"/>
      <c r="F15" s="410"/>
      <c r="G15" s="44"/>
      <c r="H15" s="44"/>
      <c r="I15" s="133"/>
      <c r="J15" s="64"/>
      <c r="K15" s="64"/>
    </row>
    <row r="16" spans="1:11" ht="16.2" thickBot="1" x14ac:dyDescent="0.35">
      <c r="A16" s="42">
        <v>8</v>
      </c>
      <c r="B16" s="43" t="str">
        <f>Theory!B24</f>
        <v>1DS21AI017</v>
      </c>
      <c r="C16" s="43" t="str">
        <f>Theory!C24</f>
        <v>FATIMA ANEES MULLA</v>
      </c>
      <c r="D16" s="410"/>
      <c r="E16" s="410"/>
      <c r="F16" s="410"/>
      <c r="G16" s="44"/>
      <c r="H16" s="44"/>
      <c r="I16" s="133"/>
      <c r="J16" s="64"/>
      <c r="K16" s="64"/>
    </row>
    <row r="17" spans="1:11" ht="16.2" thickBot="1" x14ac:dyDescent="0.35">
      <c r="A17" s="42">
        <v>9</v>
      </c>
      <c r="B17" s="43" t="str">
        <f>Theory!B25</f>
        <v>1DS21AI019</v>
      </c>
      <c r="C17" s="43" t="str">
        <f>Theory!C25</f>
        <v>HARIKRISHNA M</v>
      </c>
      <c r="D17" s="410"/>
      <c r="E17" s="410"/>
      <c r="F17" s="410"/>
      <c r="G17" s="44"/>
      <c r="H17" s="44"/>
      <c r="I17" s="133"/>
      <c r="J17" s="64"/>
      <c r="K17" s="64"/>
    </row>
    <row r="18" spans="1:11" ht="16.2" thickBot="1" x14ac:dyDescent="0.35">
      <c r="A18" s="42">
        <v>10</v>
      </c>
      <c r="B18" s="43" t="str">
        <f>Theory!B26</f>
        <v>1DS21AI020</v>
      </c>
      <c r="C18" s="43" t="str">
        <f>Theory!C26</f>
        <v>HARSHITHA B</v>
      </c>
      <c r="D18" s="410"/>
      <c r="E18" s="410"/>
      <c r="F18" s="410"/>
      <c r="G18" s="44"/>
      <c r="H18" s="44"/>
      <c r="I18" s="133"/>
      <c r="J18" s="64"/>
      <c r="K18" s="64"/>
    </row>
    <row r="19" spans="1:11" ht="16.2" thickBot="1" x14ac:dyDescent="0.35">
      <c r="A19" s="42">
        <v>11</v>
      </c>
      <c r="B19" s="43" t="str">
        <f>Theory!B27</f>
        <v>1DS21AI021</v>
      </c>
      <c r="C19" s="43" t="str">
        <f>Theory!C27</f>
        <v>HARSHITHA S</v>
      </c>
      <c r="D19" s="410"/>
      <c r="E19" s="410"/>
      <c r="F19" s="410"/>
      <c r="G19" s="44"/>
      <c r="H19" s="44"/>
      <c r="I19" s="133"/>
      <c r="J19" s="64"/>
      <c r="K19" s="64"/>
    </row>
    <row r="20" spans="1:11" ht="16.2" thickBot="1" x14ac:dyDescent="0.35">
      <c r="A20" s="42">
        <v>12</v>
      </c>
      <c r="B20" s="43" t="str">
        <f>Theory!B28</f>
        <v>1DS21AI023</v>
      </c>
      <c r="C20" s="43" t="str">
        <f>Theory!C28</f>
        <v>HITHA N</v>
      </c>
      <c r="D20" s="410"/>
      <c r="E20" s="410"/>
      <c r="F20" s="410"/>
      <c r="G20" s="44"/>
      <c r="H20" s="44"/>
      <c r="I20" s="133"/>
      <c r="J20" s="64"/>
      <c r="K20" s="64"/>
    </row>
    <row r="21" spans="1:11" ht="16.2" thickBot="1" x14ac:dyDescent="0.35">
      <c r="A21" s="42">
        <v>13</v>
      </c>
      <c r="B21" s="43" t="str">
        <f>Theory!B29</f>
        <v>1DS21AI026</v>
      </c>
      <c r="C21" s="43" t="str">
        <f>Theory!C29</f>
        <v>KAASHIF MERAJ</v>
      </c>
      <c r="D21" s="410"/>
      <c r="E21" s="410"/>
      <c r="F21" s="410"/>
      <c r="G21" s="44"/>
      <c r="H21" s="44"/>
      <c r="I21" s="133"/>
      <c r="J21" s="64"/>
      <c r="K21" s="64"/>
    </row>
    <row r="22" spans="1:11" ht="16.2" thickBot="1" x14ac:dyDescent="0.35">
      <c r="A22" s="42">
        <v>14</v>
      </c>
      <c r="B22" s="43" t="str">
        <f>Theory!B30</f>
        <v>1DS21AI027</v>
      </c>
      <c r="C22" s="43" t="str">
        <f>Theory!C30</f>
        <v>KOTIREDDY CHARAN SIMHA REDDY</v>
      </c>
      <c r="D22" s="410"/>
      <c r="E22" s="410"/>
      <c r="F22" s="410"/>
      <c r="G22" s="44"/>
      <c r="H22" s="44"/>
      <c r="I22" s="133"/>
      <c r="J22" s="64"/>
      <c r="K22" s="64"/>
    </row>
    <row r="23" spans="1:11" ht="16.2" thickBot="1" x14ac:dyDescent="0.35">
      <c r="A23" s="42">
        <v>15</v>
      </c>
      <c r="B23" s="43" t="str">
        <f>Theory!B31</f>
        <v>1DS21AI028</v>
      </c>
      <c r="C23" s="43" t="str">
        <f>Theory!C31</f>
        <v>KRUTIKA R SINNUR</v>
      </c>
      <c r="D23" s="410"/>
      <c r="E23" s="410"/>
      <c r="F23" s="410"/>
      <c r="G23" s="44"/>
      <c r="H23" s="44"/>
      <c r="I23" s="133"/>
      <c r="J23" s="64"/>
      <c r="K23" s="64"/>
    </row>
    <row r="24" spans="1:11" ht="16.2" thickBot="1" x14ac:dyDescent="0.35">
      <c r="A24" s="42">
        <v>16</v>
      </c>
      <c r="B24" s="43" t="str">
        <f>Theory!B32</f>
        <v>1DS21AI030</v>
      </c>
      <c r="C24" s="43" t="str">
        <f>Theory!C32</f>
        <v>MANAS KALRA</v>
      </c>
      <c r="D24" s="410"/>
      <c r="E24" s="410"/>
      <c r="F24" s="410"/>
      <c r="G24" s="44"/>
      <c r="H24" s="44"/>
      <c r="I24" s="133"/>
      <c r="J24" s="64"/>
      <c r="K24" s="64"/>
    </row>
    <row r="25" spans="1:11" ht="16.2" thickBot="1" x14ac:dyDescent="0.35">
      <c r="A25" s="42">
        <v>17</v>
      </c>
      <c r="B25" s="43" t="str">
        <f>Theory!B33</f>
        <v>1DS21AI031</v>
      </c>
      <c r="C25" s="43" t="str">
        <f>Theory!C33</f>
        <v>MANASVINI T</v>
      </c>
      <c r="D25" s="410"/>
      <c r="E25" s="410"/>
      <c r="F25" s="410"/>
      <c r="G25" s="44"/>
      <c r="H25" s="44"/>
      <c r="I25" s="133"/>
      <c r="J25" s="64"/>
      <c r="K25" s="64"/>
    </row>
    <row r="26" spans="1:11" ht="16.2" thickBot="1" x14ac:dyDescent="0.35">
      <c r="A26" s="42">
        <v>18</v>
      </c>
      <c r="B26" s="43" t="str">
        <f>Theory!B34</f>
        <v>1DS21AI032</v>
      </c>
      <c r="C26" s="43" t="str">
        <f>Theory!C34</f>
        <v>MESHANK BANSAL</v>
      </c>
      <c r="D26" s="410"/>
      <c r="E26" s="410"/>
      <c r="F26" s="410"/>
      <c r="G26" s="44"/>
      <c r="H26" s="44"/>
      <c r="I26" s="133"/>
      <c r="J26" s="64"/>
      <c r="K26" s="64"/>
    </row>
    <row r="27" spans="1:11" ht="16.2" thickBot="1" x14ac:dyDescent="0.35">
      <c r="A27" s="42">
        <v>19</v>
      </c>
      <c r="B27" s="43" t="str">
        <f>Theory!B35</f>
        <v>1DS21AI034</v>
      </c>
      <c r="C27" s="43" t="str">
        <f>Theory!C35</f>
        <v>MONICA K C</v>
      </c>
      <c r="D27" s="410"/>
      <c r="E27" s="410"/>
      <c r="F27" s="410"/>
      <c r="G27" s="44"/>
      <c r="H27" s="44"/>
      <c r="I27" s="133"/>
      <c r="J27" s="64"/>
      <c r="K27" s="64"/>
    </row>
    <row r="28" spans="1:11" ht="16.2" thickBot="1" x14ac:dyDescent="0.35">
      <c r="A28" s="42">
        <v>20</v>
      </c>
      <c r="B28" s="43" t="str">
        <f>Theory!B36</f>
        <v>1DS21AI035</v>
      </c>
      <c r="C28" s="43" t="str">
        <f>Theory!C36</f>
        <v>NANDITHA K G</v>
      </c>
      <c r="D28" s="410"/>
      <c r="E28" s="410"/>
      <c r="F28" s="410"/>
      <c r="G28" s="44"/>
      <c r="H28" s="44"/>
      <c r="I28" s="133"/>
      <c r="J28" s="64"/>
      <c r="K28" s="64"/>
    </row>
    <row r="29" spans="1:11" ht="16.2" thickBot="1" x14ac:dyDescent="0.35">
      <c r="A29" s="42">
        <v>21</v>
      </c>
      <c r="B29" s="43" t="str">
        <f>Theory!B37</f>
        <v>1DS21AI038</v>
      </c>
      <c r="C29" s="43" t="str">
        <f>Theory!C37</f>
        <v>PRAJWAL K</v>
      </c>
      <c r="D29" s="410"/>
      <c r="E29" s="410"/>
      <c r="F29" s="410"/>
      <c r="G29" s="44"/>
      <c r="H29" s="44"/>
      <c r="I29" s="133"/>
      <c r="J29" s="64"/>
      <c r="K29" s="64"/>
    </row>
    <row r="30" spans="1:11" ht="16.2" thickBot="1" x14ac:dyDescent="0.35">
      <c r="A30" s="42">
        <v>22</v>
      </c>
      <c r="B30" s="43" t="str">
        <f>Theory!B38</f>
        <v>1DS21AI039</v>
      </c>
      <c r="C30" s="43" t="str">
        <f>Theory!C38</f>
        <v>PRAKRITI SINGH</v>
      </c>
      <c r="D30" s="410"/>
      <c r="E30" s="410"/>
      <c r="F30" s="410"/>
      <c r="G30" s="44"/>
      <c r="H30" s="44"/>
      <c r="I30" s="133"/>
      <c r="J30" s="64"/>
      <c r="K30" s="64"/>
    </row>
    <row r="31" spans="1:11" ht="16.2" thickBot="1" x14ac:dyDescent="0.35">
      <c r="A31" s="42">
        <v>23</v>
      </c>
      <c r="B31" s="43" t="str">
        <f>Theory!B39</f>
        <v>1DS21AI040</v>
      </c>
      <c r="C31" s="43" t="str">
        <f>Theory!C39</f>
        <v>PRERANA S B</v>
      </c>
      <c r="D31" s="410"/>
      <c r="E31" s="410"/>
      <c r="F31" s="410"/>
      <c r="G31" s="44"/>
      <c r="H31" s="44"/>
      <c r="I31" s="133"/>
      <c r="J31" s="64"/>
      <c r="K31" s="64"/>
    </row>
    <row r="32" spans="1:11" ht="16.2" thickBot="1" x14ac:dyDescent="0.35">
      <c r="A32" s="42">
        <v>24</v>
      </c>
      <c r="B32" s="43" t="str">
        <f>Theory!B40</f>
        <v>1DS21AI041</v>
      </c>
      <c r="C32" s="43" t="str">
        <f>Theory!C40</f>
        <v>RADHIKA MITTAL</v>
      </c>
      <c r="D32" s="410"/>
      <c r="E32" s="410"/>
      <c r="F32" s="410"/>
      <c r="G32" s="44"/>
      <c r="H32" s="44"/>
      <c r="I32" s="133"/>
      <c r="J32" s="64"/>
      <c r="K32" s="64"/>
    </row>
    <row r="33" spans="1:11" ht="16.2" thickBot="1" x14ac:dyDescent="0.35">
      <c r="A33" s="42">
        <v>25</v>
      </c>
      <c r="B33" s="43" t="str">
        <f>Theory!B41</f>
        <v>1DS21AI044</v>
      </c>
      <c r="C33" s="43" t="str">
        <f>Theory!C41</f>
        <v>S UDAY KUMAR</v>
      </c>
      <c r="D33" s="410"/>
      <c r="E33" s="410"/>
      <c r="F33" s="410"/>
      <c r="G33" s="44"/>
      <c r="H33" s="44"/>
      <c r="I33" s="133"/>
      <c r="J33" s="64"/>
      <c r="K33" s="64"/>
    </row>
    <row r="34" spans="1:11" ht="16.2" thickBot="1" x14ac:dyDescent="0.35">
      <c r="A34" s="42">
        <v>26</v>
      </c>
      <c r="B34" s="43" t="str">
        <f>Theory!B42</f>
        <v>1DS21AI045</v>
      </c>
      <c r="C34" s="43" t="str">
        <f>Theory!C42</f>
        <v>SHAMS AARIZE SIDDIQUE</v>
      </c>
      <c r="D34" s="410"/>
      <c r="E34" s="410"/>
      <c r="F34" s="410"/>
      <c r="G34" s="44"/>
      <c r="H34" s="44"/>
      <c r="I34" s="133"/>
      <c r="J34" s="64"/>
      <c r="K34" s="64"/>
    </row>
    <row r="35" spans="1:11" ht="16.2" thickBot="1" x14ac:dyDescent="0.35">
      <c r="A35" s="42">
        <v>27</v>
      </c>
      <c r="B35" s="43" t="str">
        <f>Theory!B43</f>
        <v>1DS21AI048</v>
      </c>
      <c r="C35" s="43" t="str">
        <f>Theory!C43</f>
        <v>SHREYAS M J KALKUR</v>
      </c>
      <c r="D35" s="410"/>
      <c r="E35" s="410"/>
      <c r="F35" s="410"/>
      <c r="G35" s="44"/>
      <c r="H35" s="44"/>
      <c r="I35" s="133"/>
      <c r="J35" s="64"/>
      <c r="K35" s="64"/>
    </row>
    <row r="36" spans="1:11" ht="16.2" thickBot="1" x14ac:dyDescent="0.35">
      <c r="A36" s="42">
        <v>28</v>
      </c>
      <c r="B36" s="43" t="str">
        <f>Theory!B44</f>
        <v>1DS21AI049</v>
      </c>
      <c r="C36" s="43" t="str">
        <f>Theory!C44</f>
        <v>SHUBHAM MISHRA</v>
      </c>
      <c r="D36" s="410"/>
      <c r="E36" s="410"/>
      <c r="F36" s="410"/>
      <c r="G36" s="44"/>
      <c r="H36" s="44"/>
      <c r="I36" s="133"/>
      <c r="J36" s="64"/>
      <c r="K36" s="64"/>
    </row>
    <row r="37" spans="1:11" ht="16.2" thickBot="1" x14ac:dyDescent="0.35">
      <c r="A37" s="42">
        <v>29</v>
      </c>
      <c r="B37" s="43" t="str">
        <f>Theory!B45</f>
        <v>1DS21AI052</v>
      </c>
      <c r="C37" s="43" t="str">
        <f>Theory!C45</f>
        <v>SUPRITH A S</v>
      </c>
      <c r="D37" s="411"/>
      <c r="E37" s="411"/>
      <c r="F37" s="411"/>
      <c r="G37" s="44"/>
      <c r="H37" s="44"/>
      <c r="I37" s="133"/>
      <c r="J37" s="64"/>
      <c r="K37" s="64"/>
    </row>
    <row r="38" spans="1:11" ht="16.2" thickBot="1" x14ac:dyDescent="0.35">
      <c r="A38" s="42">
        <v>30</v>
      </c>
      <c r="B38" s="43" t="str">
        <f>Theory!B46</f>
        <v>1DS21AI053</v>
      </c>
      <c r="C38" s="43" t="str">
        <f>Theory!C46</f>
        <v>UDAYASURYA S</v>
      </c>
      <c r="D38" s="410"/>
      <c r="E38" s="410"/>
      <c r="F38" s="410"/>
      <c r="G38" s="44"/>
      <c r="H38" s="44"/>
      <c r="I38" s="133"/>
      <c r="J38" s="64"/>
      <c r="K38" s="64"/>
    </row>
    <row r="39" spans="1:11" ht="16.2" thickBot="1" x14ac:dyDescent="0.35">
      <c r="A39" s="42">
        <v>31</v>
      </c>
      <c r="B39" s="43" t="str">
        <f>Theory!B47</f>
        <v>1DS21AI054</v>
      </c>
      <c r="C39" s="43" t="str">
        <f>Theory!C47</f>
        <v>VELPULA JASWANTH REDDY</v>
      </c>
      <c r="D39" s="410"/>
      <c r="E39" s="410"/>
      <c r="F39" s="410"/>
      <c r="G39" s="44"/>
      <c r="H39" s="44"/>
      <c r="I39" s="133"/>
      <c r="J39" s="64"/>
      <c r="K39" s="64"/>
    </row>
    <row r="40" spans="1:11" ht="16.2" thickBot="1" x14ac:dyDescent="0.35">
      <c r="A40" s="42">
        <v>32</v>
      </c>
      <c r="B40" s="43" t="str">
        <f>Theory!B48</f>
        <v>1DS21AI055</v>
      </c>
      <c r="C40" s="43" t="str">
        <f>Theory!C48</f>
        <v>VIDYA V</v>
      </c>
      <c r="D40" s="410"/>
      <c r="E40" s="410"/>
      <c r="F40" s="410"/>
      <c r="G40" s="44"/>
      <c r="H40" s="44"/>
      <c r="I40" s="133"/>
      <c r="J40" s="64"/>
      <c r="K40" s="64"/>
    </row>
    <row r="41" spans="1:11" ht="16.2" thickBot="1" x14ac:dyDescent="0.35">
      <c r="A41" s="42">
        <v>33</v>
      </c>
      <c r="B41" s="43" t="str">
        <f>Theory!B49</f>
        <v>1DS21AI056</v>
      </c>
      <c r="C41" s="43" t="str">
        <f>Theory!C49</f>
        <v>YARASINGU SHANMUKHA PRIYA</v>
      </c>
      <c r="D41" s="410"/>
      <c r="E41" s="410"/>
      <c r="F41" s="410"/>
      <c r="G41" s="44"/>
      <c r="H41" s="44"/>
      <c r="I41" s="133"/>
      <c r="J41" s="64"/>
      <c r="K41" s="64"/>
    </row>
    <row r="42" spans="1:11" ht="16.2" thickBot="1" x14ac:dyDescent="0.35">
      <c r="A42" s="42">
        <v>34</v>
      </c>
      <c r="B42" s="43" t="str">
        <f>Theory!B50</f>
        <v>1DS21AI057</v>
      </c>
      <c r="C42" s="43" t="str">
        <f>Theory!C50</f>
        <v>YASH GOVIL</v>
      </c>
      <c r="D42" s="410"/>
      <c r="E42" s="410"/>
      <c r="F42" s="410"/>
      <c r="G42" s="44"/>
      <c r="H42" s="44"/>
      <c r="I42" s="133"/>
      <c r="J42" s="64"/>
      <c r="K42" s="64"/>
    </row>
    <row r="43" spans="1:11" ht="16.2" thickBot="1" x14ac:dyDescent="0.35">
      <c r="A43" s="42">
        <v>35</v>
      </c>
      <c r="B43" s="43" t="str">
        <f>Theory!B51</f>
        <v>1DS21AI058</v>
      </c>
      <c r="C43" s="43" t="str">
        <f>Theory!C51</f>
        <v>YASHAS A M</v>
      </c>
      <c r="D43" s="410"/>
      <c r="E43" s="410"/>
      <c r="F43" s="410"/>
      <c r="G43" s="44"/>
      <c r="H43" s="44"/>
      <c r="I43" s="133"/>
      <c r="J43" s="64"/>
      <c r="K43" s="64"/>
    </row>
    <row r="44" spans="1:11" ht="16.2" thickBot="1" x14ac:dyDescent="0.35">
      <c r="A44" s="42">
        <v>36</v>
      </c>
      <c r="B44" s="43" t="str">
        <f>Theory!B52</f>
        <v>1DS22AI400</v>
      </c>
      <c r="C44" s="43" t="str">
        <f>Theory!C52</f>
        <v>AKSHATA PUJAR</v>
      </c>
      <c r="D44" s="410"/>
      <c r="E44" s="410"/>
      <c r="F44" s="410"/>
      <c r="G44" s="44"/>
      <c r="H44" s="44"/>
      <c r="I44" s="133"/>
      <c r="J44" s="64"/>
      <c r="K44" s="64"/>
    </row>
    <row r="45" spans="1:11" ht="16.2" thickBot="1" x14ac:dyDescent="0.35">
      <c r="A45" s="42">
        <v>37</v>
      </c>
      <c r="B45" s="43" t="str">
        <f>Theory!B53</f>
        <v>1DS22AI401</v>
      </c>
      <c r="C45" s="43" t="str">
        <f>Theory!C53</f>
        <v>MEGHANA M D</v>
      </c>
      <c r="D45" s="410"/>
      <c r="E45" s="410"/>
      <c r="F45" s="410"/>
      <c r="G45" s="44"/>
      <c r="H45" s="44"/>
      <c r="I45" s="133"/>
      <c r="J45" s="64"/>
      <c r="K45" s="64"/>
    </row>
    <row r="46" spans="1:11" ht="16.2" thickBot="1" x14ac:dyDescent="0.35">
      <c r="A46" s="42">
        <v>38</v>
      </c>
      <c r="B46" s="43" t="str">
        <f>Theory!B54</f>
        <v>1DS22AI405</v>
      </c>
      <c r="C46" s="43" t="str">
        <f>Theory!C54</f>
        <v>SHAIK SUHANA</v>
      </c>
      <c r="D46" s="410"/>
      <c r="E46" s="410"/>
      <c r="F46" s="410"/>
      <c r="G46" s="44"/>
      <c r="H46" s="44"/>
      <c r="I46" s="133"/>
      <c r="J46" s="64"/>
      <c r="K46" s="64"/>
    </row>
    <row r="47" spans="1:11" ht="16.2" thickBot="1" x14ac:dyDescent="0.35">
      <c r="A47" s="42">
        <v>39</v>
      </c>
      <c r="B47" s="43" t="str">
        <f>Theory!B55</f>
        <v>1DS22AI404</v>
      </c>
      <c r="C47" s="43" t="str">
        <f>Theory!C55</f>
        <v>S B GAGAN</v>
      </c>
      <c r="D47" s="410"/>
      <c r="E47" s="410"/>
      <c r="F47" s="410"/>
      <c r="G47" s="44"/>
      <c r="H47" s="44"/>
      <c r="I47" s="133"/>
      <c r="J47" s="64"/>
      <c r="K47" s="64"/>
    </row>
    <row r="48" spans="1:11" ht="16.2" thickBot="1" x14ac:dyDescent="0.35">
      <c r="A48" s="42">
        <v>40</v>
      </c>
      <c r="B48" s="43" t="str">
        <f>Theory!B56</f>
        <v>1DS22AI406</v>
      </c>
      <c r="C48" s="43" t="str">
        <f>Theory!C56</f>
        <v>SHASHANK L S</v>
      </c>
      <c r="D48" s="410"/>
      <c r="E48" s="410"/>
      <c r="F48" s="410"/>
      <c r="G48" s="44"/>
      <c r="H48" s="44"/>
      <c r="I48" s="133"/>
      <c r="J48" s="64"/>
      <c r="K48" s="64"/>
    </row>
    <row r="49" spans="1:11" ht="16.2" thickBot="1" x14ac:dyDescent="0.35">
      <c r="A49" s="42">
        <v>41</v>
      </c>
      <c r="B49" s="43">
        <f>Theory!B57</f>
        <v>0</v>
      </c>
      <c r="C49" s="43">
        <f>Theory!C57</f>
        <v>0</v>
      </c>
      <c r="D49" s="410"/>
      <c r="E49" s="410"/>
      <c r="F49" s="410"/>
      <c r="G49" s="44"/>
      <c r="H49" s="44"/>
      <c r="I49" s="133"/>
      <c r="J49" s="64"/>
      <c r="K49" s="64"/>
    </row>
    <row r="50" spans="1:11" ht="16.2" thickBot="1" x14ac:dyDescent="0.35">
      <c r="A50" s="42">
        <v>42</v>
      </c>
      <c r="B50" s="43">
        <f>Theory!B58</f>
        <v>0</v>
      </c>
      <c r="C50" s="43">
        <f>Theory!C58</f>
        <v>0</v>
      </c>
      <c r="D50" s="410"/>
      <c r="E50" s="410"/>
      <c r="F50" s="410"/>
      <c r="G50" s="44"/>
      <c r="H50" s="44"/>
      <c r="I50" s="133"/>
      <c r="J50" s="64"/>
      <c r="K50" s="64"/>
    </row>
    <row r="51" spans="1:11" ht="16.2" thickBot="1" x14ac:dyDescent="0.35">
      <c r="A51" s="42">
        <v>43</v>
      </c>
      <c r="B51" s="43">
        <f>Theory!B59</f>
        <v>0</v>
      </c>
      <c r="C51" s="43">
        <f>Theory!C59</f>
        <v>0</v>
      </c>
      <c r="D51" s="410"/>
      <c r="E51" s="410"/>
      <c r="F51" s="410"/>
      <c r="G51" s="44"/>
      <c r="H51" s="44"/>
      <c r="I51" s="133"/>
      <c r="J51" s="64"/>
      <c r="K51" s="64"/>
    </row>
    <row r="52" spans="1:11" ht="16.2" thickBot="1" x14ac:dyDescent="0.35">
      <c r="A52" s="42">
        <v>44</v>
      </c>
      <c r="B52" s="43">
        <f>Theory!B60</f>
        <v>0</v>
      </c>
      <c r="C52" s="43">
        <f>Theory!C60</f>
        <v>0</v>
      </c>
      <c r="D52" s="410"/>
      <c r="E52" s="410"/>
      <c r="F52" s="410"/>
      <c r="G52" s="44"/>
      <c r="H52" s="44"/>
      <c r="I52" s="133"/>
      <c r="J52" s="64"/>
      <c r="K52" s="64"/>
    </row>
    <row r="53" spans="1:11" ht="16.2" thickBot="1" x14ac:dyDescent="0.35">
      <c r="A53" s="42">
        <v>45</v>
      </c>
      <c r="B53" s="43">
        <f>Theory!B61</f>
        <v>0</v>
      </c>
      <c r="C53" s="43">
        <f>Theory!C61</f>
        <v>0</v>
      </c>
      <c r="D53" s="410"/>
      <c r="E53" s="410"/>
      <c r="F53" s="410"/>
      <c r="G53" s="44"/>
      <c r="H53" s="44"/>
      <c r="I53" s="133"/>
      <c r="J53" s="64"/>
      <c r="K53" s="64"/>
    </row>
    <row r="54" spans="1:11" ht="16.2" thickBot="1" x14ac:dyDescent="0.35">
      <c r="A54" s="42">
        <v>46</v>
      </c>
      <c r="B54" s="43">
        <f>Theory!B62</f>
        <v>0</v>
      </c>
      <c r="C54" s="43">
        <f>Theory!C62</f>
        <v>0</v>
      </c>
      <c r="D54" s="410"/>
      <c r="E54" s="410"/>
      <c r="F54" s="410"/>
      <c r="G54" s="44"/>
      <c r="H54" s="44"/>
      <c r="I54" s="133"/>
      <c r="J54" s="64"/>
      <c r="K54" s="64"/>
    </row>
    <row r="55" spans="1:11" ht="16.2" thickBot="1" x14ac:dyDescent="0.35">
      <c r="A55" s="42">
        <v>47</v>
      </c>
      <c r="B55" s="43">
        <f>Theory!B63</f>
        <v>0</v>
      </c>
      <c r="C55" s="43">
        <f>Theory!C63</f>
        <v>0</v>
      </c>
      <c r="D55" s="410"/>
      <c r="E55" s="410"/>
      <c r="F55" s="410"/>
      <c r="G55" s="44"/>
      <c r="H55" s="44"/>
      <c r="I55" s="133"/>
      <c r="J55" s="64"/>
      <c r="K55" s="64"/>
    </row>
    <row r="56" spans="1:11" ht="16.2" thickBot="1" x14ac:dyDescent="0.35">
      <c r="A56" s="42">
        <v>48</v>
      </c>
      <c r="B56" s="43">
        <f>Theory!B64</f>
        <v>0</v>
      </c>
      <c r="C56" s="43">
        <f>Theory!C64</f>
        <v>0</v>
      </c>
      <c r="D56" s="410"/>
      <c r="E56" s="410"/>
      <c r="F56" s="410"/>
      <c r="G56" s="44"/>
      <c r="H56" s="44"/>
      <c r="I56" s="133"/>
      <c r="J56" s="64"/>
      <c r="K56" s="64"/>
    </row>
    <row r="57" spans="1:11" ht="16.2" thickBot="1" x14ac:dyDescent="0.35">
      <c r="A57" s="42">
        <v>49</v>
      </c>
      <c r="B57" s="43">
        <f>Theory!B65</f>
        <v>0</v>
      </c>
      <c r="C57" s="43">
        <f>Theory!C65</f>
        <v>0</v>
      </c>
      <c r="D57" s="410"/>
      <c r="E57" s="410"/>
      <c r="F57" s="410"/>
      <c r="G57" s="44"/>
      <c r="H57" s="44"/>
      <c r="I57" s="133"/>
      <c r="J57" s="64"/>
      <c r="K57" s="64"/>
    </row>
    <row r="58" spans="1:11" ht="16.2" thickBot="1" x14ac:dyDescent="0.35">
      <c r="A58" s="42">
        <v>50</v>
      </c>
      <c r="B58" s="43">
        <f>Theory!B66</f>
        <v>0</v>
      </c>
      <c r="C58" s="43">
        <f>Theory!C66</f>
        <v>0</v>
      </c>
      <c r="D58" s="410"/>
      <c r="E58" s="410"/>
      <c r="F58" s="410"/>
      <c r="G58" s="44"/>
      <c r="H58" s="44"/>
      <c r="I58" s="133"/>
      <c r="J58" s="64"/>
      <c r="K58" s="64"/>
    </row>
    <row r="59" spans="1:11" ht="16.2" thickBot="1" x14ac:dyDescent="0.35">
      <c r="A59" s="42">
        <v>51</v>
      </c>
      <c r="B59" s="43">
        <f>Theory!B67</f>
        <v>0</v>
      </c>
      <c r="C59" s="43">
        <f>Theory!C67</f>
        <v>0</v>
      </c>
      <c r="D59" s="410"/>
      <c r="E59" s="410"/>
      <c r="F59" s="410"/>
      <c r="G59" s="44"/>
      <c r="H59" s="44"/>
      <c r="I59" s="133"/>
      <c r="J59" s="64"/>
      <c r="K59" s="64"/>
    </row>
    <row r="60" spans="1:11" ht="16.2" thickBot="1" x14ac:dyDescent="0.35">
      <c r="A60" s="42">
        <v>52</v>
      </c>
      <c r="B60" s="43">
        <f>Theory!B68</f>
        <v>0</v>
      </c>
      <c r="C60" s="43">
        <f>Theory!C68</f>
        <v>0</v>
      </c>
      <c r="D60" s="412"/>
      <c r="E60" s="412"/>
      <c r="F60" s="412"/>
      <c r="G60" s="44"/>
      <c r="H60" s="44"/>
      <c r="I60" s="133"/>
      <c r="J60" s="64"/>
      <c r="K60" s="64"/>
    </row>
    <row r="61" spans="1:11" ht="16.2" thickBot="1" x14ac:dyDescent="0.35">
      <c r="A61" s="42">
        <v>53</v>
      </c>
      <c r="B61" s="43">
        <f>Theory!B69</f>
        <v>0</v>
      </c>
      <c r="C61" s="43">
        <f>Theory!C69</f>
        <v>0</v>
      </c>
      <c r="D61" s="410"/>
      <c r="E61" s="410"/>
      <c r="F61" s="410"/>
      <c r="G61" s="44"/>
      <c r="H61" s="44"/>
      <c r="I61" s="133"/>
      <c r="J61" s="64"/>
      <c r="K61" s="64"/>
    </row>
    <row r="62" spans="1:11" ht="16.2" thickBot="1" x14ac:dyDescent="0.35">
      <c r="A62" s="42">
        <v>54</v>
      </c>
      <c r="B62" s="43">
        <f>Theory!B70</f>
        <v>0</v>
      </c>
      <c r="C62" s="43">
        <f>Theory!C70</f>
        <v>0</v>
      </c>
      <c r="D62" s="410"/>
      <c r="E62" s="410"/>
      <c r="F62" s="410"/>
      <c r="G62" s="44"/>
      <c r="H62" s="44"/>
      <c r="I62" s="133"/>
      <c r="J62" s="64"/>
      <c r="K62" s="64"/>
    </row>
    <row r="63" spans="1:11" ht="16.2" thickBot="1" x14ac:dyDescent="0.35">
      <c r="A63" s="42">
        <v>55</v>
      </c>
      <c r="B63" s="43">
        <f>Theory!B71</f>
        <v>0</v>
      </c>
      <c r="C63" s="43">
        <f>Theory!C71</f>
        <v>0</v>
      </c>
      <c r="D63" s="410"/>
      <c r="E63" s="410"/>
      <c r="F63" s="410"/>
      <c r="G63" s="44"/>
      <c r="H63" s="44"/>
      <c r="I63" s="133"/>
      <c r="J63" s="64"/>
      <c r="K63" s="64"/>
    </row>
    <row r="64" spans="1:11" ht="16.2" thickBot="1" x14ac:dyDescent="0.35">
      <c r="A64" s="42">
        <v>56</v>
      </c>
      <c r="B64" s="43">
        <f>Theory!B72</f>
        <v>0</v>
      </c>
      <c r="C64" s="43">
        <f>Theory!C72</f>
        <v>0</v>
      </c>
      <c r="D64" s="410"/>
      <c r="E64" s="410"/>
      <c r="F64" s="410"/>
      <c r="G64" s="44"/>
      <c r="H64" s="44"/>
      <c r="I64" s="133"/>
      <c r="J64" s="64"/>
      <c r="K64" s="64"/>
    </row>
    <row r="65" spans="1:11" ht="16.2" thickBot="1" x14ac:dyDescent="0.35">
      <c r="A65" s="42">
        <v>57</v>
      </c>
      <c r="B65" s="43">
        <f>Theory!B73</f>
        <v>0</v>
      </c>
      <c r="C65" s="43">
        <f>Theory!C73</f>
        <v>0</v>
      </c>
      <c r="D65" s="410"/>
      <c r="E65" s="410"/>
      <c r="F65" s="410"/>
      <c r="G65" s="44"/>
      <c r="H65" s="44"/>
      <c r="I65" s="133"/>
      <c r="J65" s="64"/>
      <c r="K65" s="64"/>
    </row>
    <row r="66" spans="1:11" ht="16.2" thickBot="1" x14ac:dyDescent="0.35">
      <c r="A66" s="42">
        <v>58</v>
      </c>
      <c r="B66" s="43">
        <f>Theory!B74</f>
        <v>0</v>
      </c>
      <c r="C66" s="43">
        <f>Theory!C74</f>
        <v>0</v>
      </c>
      <c r="D66" s="410"/>
      <c r="E66" s="410"/>
      <c r="F66" s="410"/>
      <c r="G66" s="44"/>
      <c r="H66" s="44"/>
      <c r="I66" s="133"/>
      <c r="J66" s="64"/>
      <c r="K66" s="64"/>
    </row>
    <row r="67" spans="1:11" ht="16.2" thickBot="1" x14ac:dyDescent="0.35">
      <c r="A67" s="42">
        <v>59</v>
      </c>
      <c r="B67" s="43">
        <f>Theory!B75</f>
        <v>0</v>
      </c>
      <c r="C67" s="43">
        <f>Theory!C75</f>
        <v>0</v>
      </c>
      <c r="D67" s="410"/>
      <c r="E67" s="410"/>
      <c r="F67" s="410"/>
      <c r="G67" s="44"/>
      <c r="H67" s="44"/>
      <c r="I67" s="133"/>
      <c r="J67" s="64"/>
      <c r="K67" s="64"/>
    </row>
    <row r="68" spans="1:11" ht="16.2" thickBot="1" x14ac:dyDescent="0.35">
      <c r="A68" s="42">
        <v>60</v>
      </c>
      <c r="B68" s="43">
        <f>Theory!B76</f>
        <v>0</v>
      </c>
      <c r="C68" s="43">
        <f>Theory!C76</f>
        <v>0</v>
      </c>
      <c r="D68" s="410"/>
      <c r="E68" s="410"/>
      <c r="F68" s="410"/>
      <c r="G68" s="44"/>
      <c r="H68" s="44"/>
      <c r="I68" s="133"/>
      <c r="J68" s="64"/>
      <c r="K68" s="64"/>
    </row>
    <row r="69" spans="1:11" ht="16.2" thickBot="1" x14ac:dyDescent="0.35">
      <c r="A69" s="42">
        <v>61</v>
      </c>
      <c r="B69" s="43">
        <f>Theory!B77</f>
        <v>0</v>
      </c>
      <c r="C69" s="43">
        <f>Theory!C77</f>
        <v>0</v>
      </c>
      <c r="D69" s="410"/>
      <c r="E69" s="410"/>
      <c r="F69" s="410"/>
      <c r="G69" s="44"/>
      <c r="H69" s="44"/>
      <c r="I69" s="133"/>
      <c r="J69" s="64"/>
      <c r="K69" s="64"/>
    </row>
    <row r="70" spans="1:11" ht="16.2" thickBot="1" x14ac:dyDescent="0.35">
      <c r="A70" s="42">
        <v>62</v>
      </c>
      <c r="B70" s="43">
        <f>Theory!B78</f>
        <v>0</v>
      </c>
      <c r="C70" s="43">
        <f>Theory!C78</f>
        <v>0</v>
      </c>
      <c r="D70" s="410"/>
      <c r="E70" s="410"/>
      <c r="F70" s="410"/>
      <c r="G70" s="44"/>
      <c r="H70" s="44"/>
      <c r="I70" s="133"/>
      <c r="J70" s="64"/>
      <c r="K70" s="64"/>
    </row>
    <row r="71" spans="1:11" ht="16.2" thickBot="1" x14ac:dyDescent="0.35">
      <c r="A71" s="42">
        <v>63</v>
      </c>
      <c r="B71" s="43">
        <f>Theory!B79</f>
        <v>0</v>
      </c>
      <c r="C71" s="43">
        <f>Theory!C79</f>
        <v>0</v>
      </c>
      <c r="D71" s="410"/>
      <c r="E71" s="410"/>
      <c r="F71" s="410"/>
      <c r="G71" s="44"/>
      <c r="H71" s="44"/>
      <c r="I71" s="133"/>
      <c r="J71" s="64"/>
      <c r="K71" s="64"/>
    </row>
    <row r="72" spans="1:11" ht="16.2" thickBot="1" x14ac:dyDescent="0.35">
      <c r="A72" s="42">
        <v>64</v>
      </c>
      <c r="B72" s="43">
        <f>Theory!B80</f>
        <v>0</v>
      </c>
      <c r="C72" s="43">
        <f>Theory!C80</f>
        <v>0</v>
      </c>
      <c r="D72" s="410"/>
      <c r="E72" s="410"/>
      <c r="F72" s="410"/>
      <c r="G72" s="44"/>
      <c r="H72" s="44"/>
      <c r="I72" s="133"/>
      <c r="J72" s="64"/>
      <c r="K72" s="64"/>
    </row>
    <row r="73" spans="1:11" ht="16.2" thickBot="1" x14ac:dyDescent="0.35">
      <c r="A73" s="42">
        <v>65</v>
      </c>
      <c r="B73" s="43">
        <f>Theory!B81</f>
        <v>0</v>
      </c>
      <c r="C73" s="43">
        <f>Theory!C81</f>
        <v>0</v>
      </c>
      <c r="D73" s="410"/>
      <c r="E73" s="410"/>
      <c r="F73" s="410"/>
      <c r="G73" s="44"/>
      <c r="H73" s="44"/>
      <c r="I73" s="133"/>
      <c r="J73" s="64"/>
      <c r="K73" s="64"/>
    </row>
    <row r="74" spans="1:11" ht="16.2" thickBot="1" x14ac:dyDescent="0.35">
      <c r="A74" s="42">
        <v>66</v>
      </c>
      <c r="B74" s="43">
        <f>Theory!B82</f>
        <v>0</v>
      </c>
      <c r="C74" s="43">
        <f>Theory!C82</f>
        <v>0</v>
      </c>
      <c r="D74" s="410"/>
      <c r="E74" s="410"/>
      <c r="F74" s="410"/>
      <c r="G74" s="44"/>
      <c r="H74" s="44"/>
      <c r="I74" s="133"/>
      <c r="J74" s="64"/>
      <c r="K74" s="64"/>
    </row>
    <row r="75" spans="1:11" ht="16.2" thickBot="1" x14ac:dyDescent="0.35">
      <c r="A75" s="42">
        <v>67</v>
      </c>
      <c r="B75" s="43">
        <f>Theory!B83</f>
        <v>0</v>
      </c>
      <c r="C75" s="43">
        <f>Theory!C83</f>
        <v>0</v>
      </c>
      <c r="D75" s="410"/>
      <c r="E75" s="410"/>
      <c r="F75" s="410"/>
      <c r="G75" s="44"/>
      <c r="H75" s="44"/>
      <c r="I75" s="133"/>
      <c r="J75" s="64"/>
      <c r="K75" s="64"/>
    </row>
    <row r="76" spans="1:11" ht="16.2" thickBot="1" x14ac:dyDescent="0.35">
      <c r="A76" s="42"/>
      <c r="B76" s="43"/>
      <c r="C76" s="43"/>
      <c r="D76" s="410"/>
      <c r="E76" s="410"/>
      <c r="F76" s="410"/>
      <c r="G76" s="44"/>
      <c r="H76" s="44"/>
      <c r="I76" s="133"/>
      <c r="J76" s="64"/>
      <c r="K76" s="64"/>
    </row>
    <row r="77" spans="1:11" ht="16.2" thickBot="1" x14ac:dyDescent="0.35">
      <c r="A77" s="42"/>
      <c r="B77" s="43"/>
      <c r="C77" s="43"/>
      <c r="D77" s="410"/>
      <c r="E77" s="410"/>
      <c r="F77" s="410"/>
      <c r="G77" s="44"/>
      <c r="H77" s="44"/>
      <c r="I77" s="133"/>
      <c r="J77" s="64"/>
      <c r="K77" s="64"/>
    </row>
    <row r="78" spans="1:11" ht="16.2" thickBot="1" x14ac:dyDescent="0.35">
      <c r="A78" s="42"/>
      <c r="B78" s="43"/>
      <c r="C78" s="43"/>
      <c r="D78" s="410"/>
      <c r="E78" s="410"/>
      <c r="F78" s="410"/>
      <c r="G78" s="44"/>
      <c r="H78" s="44"/>
      <c r="I78" s="133"/>
      <c r="J78" s="64"/>
      <c r="K78" s="64"/>
    </row>
    <row r="79" spans="1:11" x14ac:dyDescent="0.3">
      <c r="A79" s="45"/>
      <c r="B79" s="46"/>
      <c r="C79" s="47"/>
      <c r="D79" s="48"/>
      <c r="E79" s="48"/>
      <c r="F79" s="48"/>
      <c r="G79" s="48"/>
      <c r="H79" s="48"/>
      <c r="I79" s="134"/>
      <c r="J79" s="64"/>
      <c r="K79" s="64"/>
    </row>
    <row r="80" spans="1:11" x14ac:dyDescent="0.3">
      <c r="A80" s="45"/>
      <c r="B80" s="46"/>
      <c r="C80" s="47"/>
      <c r="D80" s="48"/>
      <c r="E80" s="48"/>
      <c r="F80" s="48"/>
      <c r="G80" s="48"/>
      <c r="H80" s="48"/>
      <c r="I80" s="134"/>
      <c r="J80" s="64"/>
      <c r="K80" s="64"/>
    </row>
    <row r="81" spans="1:16" x14ac:dyDescent="0.3">
      <c r="A81" s="45"/>
      <c r="B81" s="46"/>
      <c r="C81" s="47"/>
      <c r="D81" s="48"/>
      <c r="E81" s="48"/>
      <c r="F81" s="48"/>
      <c r="G81" s="48"/>
      <c r="H81" s="48"/>
      <c r="I81" s="134"/>
      <c r="J81" s="64"/>
      <c r="K81" s="64"/>
    </row>
    <row r="82" spans="1:16" ht="27.6" x14ac:dyDescent="0.3">
      <c r="C82" s="49" t="s">
        <v>62</v>
      </c>
      <c r="D82" s="50">
        <f t="shared" ref="D82:J82" si="1">COUNTIFS(D9:D78,"&lt;&gt;AB",D9:D78,"&lt;&gt;NA",D9:D78,"&lt;&gt;")</f>
        <v>0</v>
      </c>
      <c r="E82" s="50">
        <f t="shared" si="1"/>
        <v>0</v>
      </c>
      <c r="F82" s="50">
        <f t="shared" si="1"/>
        <v>0</v>
      </c>
      <c r="G82" s="50">
        <f t="shared" si="1"/>
        <v>0</v>
      </c>
      <c r="H82" s="50">
        <f t="shared" si="1"/>
        <v>0</v>
      </c>
      <c r="I82" s="135">
        <f t="shared" si="1"/>
        <v>0</v>
      </c>
      <c r="J82" s="135">
        <f t="shared" si="1"/>
        <v>0</v>
      </c>
      <c r="K82" s="384">
        <f>COUNTIFS(K12:K81,"&lt;&gt;AB",K12:K81,"&lt;&gt;NA",K12:K81,"&lt;&gt;")</f>
        <v>0</v>
      </c>
      <c r="N82" s="463"/>
    </row>
    <row r="83" spans="1:16" ht="23.25" customHeight="1" x14ac:dyDescent="0.3">
      <c r="C83" s="51" t="s">
        <v>56</v>
      </c>
      <c r="D83" s="468">
        <f t="shared" ref="D83:J83" si="2">SUMIF(D9:D78,"&gt;="&amp;D7,D9:D78)</f>
        <v>0</v>
      </c>
      <c r="E83" s="468">
        <f t="shared" si="2"/>
        <v>0</v>
      </c>
      <c r="F83" s="468">
        <f t="shared" si="2"/>
        <v>0</v>
      </c>
      <c r="G83" s="468">
        <f t="shared" si="2"/>
        <v>0</v>
      </c>
      <c r="H83" s="468">
        <f t="shared" si="2"/>
        <v>0</v>
      </c>
      <c r="I83" s="469">
        <f t="shared" si="2"/>
        <v>0</v>
      </c>
      <c r="J83" s="469">
        <f t="shared" si="2"/>
        <v>0</v>
      </c>
      <c r="K83" s="470">
        <f>SUMIF(K12:K81,"&gt;="&amp;K10,K12:K81)</f>
        <v>0</v>
      </c>
      <c r="N83" s="463"/>
    </row>
    <row r="84" spans="1:16" ht="15.6" x14ac:dyDescent="0.3">
      <c r="B84" s="53"/>
      <c r="C84" s="54" t="s">
        <v>57</v>
      </c>
      <c r="D84" s="52">
        <f t="shared" ref="D84:J84" si="3">IF(D82&lt;&gt;0,((D83/D82)/D6)*100,0)</f>
        <v>0</v>
      </c>
      <c r="E84" s="52">
        <f t="shared" si="3"/>
        <v>0</v>
      </c>
      <c r="F84" s="52">
        <f t="shared" si="3"/>
        <v>0</v>
      </c>
      <c r="G84" s="52">
        <f t="shared" si="3"/>
        <v>0</v>
      </c>
      <c r="H84" s="52">
        <f t="shared" si="3"/>
        <v>0</v>
      </c>
      <c r="I84" s="136">
        <f t="shared" si="3"/>
        <v>0</v>
      </c>
      <c r="J84" s="136">
        <f t="shared" si="3"/>
        <v>0</v>
      </c>
      <c r="K84" s="11">
        <f>VALUE(IF(K82&lt;&gt;0,(COUNTIF(K12:K81,"=S")*10+COUNTIF(K12:K81,"=A")*9+COUNTIF(K12:K81,"=B")*8+COUNTIF(K12:K81,"=C")*7+COUNTIF(K12:K81,"=D")*5+COUNTIF(K12:K81,"=E")*4)/(10*COUNTIF(K12:K81,"&lt;&gt;"&amp;""))*100,0))</f>
        <v>0</v>
      </c>
    </row>
    <row r="86" spans="1:16" x14ac:dyDescent="0.3">
      <c r="D86" s="463"/>
      <c r="E86" s="463"/>
      <c r="F86" s="463"/>
      <c r="G86" s="463"/>
      <c r="H86" s="463"/>
      <c r="I86" s="463"/>
      <c r="J86" s="464"/>
    </row>
    <row r="88" spans="1:16" s="55" customFormat="1" ht="43.2" x14ac:dyDescent="0.3">
      <c r="C88" s="56" t="s">
        <v>63</v>
      </c>
      <c r="D88" s="57" t="s">
        <v>64</v>
      </c>
      <c r="E88" s="57" t="s">
        <v>65</v>
      </c>
      <c r="F88" s="57" t="s">
        <v>66</v>
      </c>
      <c r="G88" s="57" t="s">
        <v>67</v>
      </c>
      <c r="H88" s="57" t="s">
        <v>68</v>
      </c>
      <c r="I88" s="57" t="s">
        <v>69</v>
      </c>
      <c r="J88" s="41"/>
      <c r="K88" s="41"/>
      <c r="L88" s="41"/>
      <c r="M88" s="41"/>
      <c r="N88" s="41"/>
      <c r="O88" s="41"/>
      <c r="P88" s="41"/>
    </row>
    <row r="89" spans="1:16" s="58" customFormat="1" ht="18" x14ac:dyDescent="0.3">
      <c r="C89" s="59" t="s">
        <v>74</v>
      </c>
      <c r="D89" s="461" t="str" cm="1">
        <f t="array" ref="D89">IFERROR( AVERAGE(_xlfn._xlws.FILTER(D84:I84,_xlfn.BYCOL(D5:I5, _xlfn.LAMBDA(_xlpm.x, ISNUMBER(MATCH(1, --_xlfn.TEXTSPLIT(_xlpm.x, ","), 0)))))),"")</f>
        <v/>
      </c>
      <c r="E89" s="461" t="str" cm="1">
        <f t="array" ref="E89">IFERROR( AVERAGE(_xlfn._xlws.FILTER(D84:I84,_xlfn.BYCOL(D5:I5, _xlfn.LAMBDA(_xlpm.x, ISNUMBER(MATCH(2, --_xlfn.TEXTSPLIT(_xlpm.x, ","), 0)))))),"")</f>
        <v/>
      </c>
      <c r="F89" s="461" t="str" cm="1">
        <f t="array" ref="F89">IFERROR( AVERAGE(_xlfn._xlws.FILTER(D84:I84,_xlfn.BYCOL(D5:I5, _xlfn.LAMBDA(_xlpm.x, ISNUMBER(MATCH(3, --_xlfn.TEXTSPLIT(_xlpm.x, ","), 0)))))),"")</f>
        <v/>
      </c>
      <c r="G89" s="461" t="str" cm="1">
        <f t="array" ref="G89">IFERROR( AVERAGE(_xlfn._xlws.FILTER(D84:I84,_xlfn.BYCOL(D5:I5, _xlfn.LAMBDA(_xlpm.x, ISNUMBER(MATCH(4, --_xlfn.TEXTSPLIT(_xlpm.x, ","), 0)))))),"")</f>
        <v/>
      </c>
      <c r="H89" s="462" t="str" cm="1">
        <f t="array" ref="H89">IFERROR( AVERAGE(_xlfn._xlws.FILTER(D84:I84,_xlfn.BYCOL(D5:I5, _xlfn.LAMBDA(_xlpm.x, ISNUMBER(MATCH(5, --_xlfn.TEXTSPLIT(_xlpm.x, ","), 0)))))),"")</f>
        <v/>
      </c>
      <c r="I89" s="462" t="str" cm="1">
        <f t="array" ref="I89">IFERROR( AVERAGE(_xlfn._xlws.FILTER(D84:I84,_xlfn.BYCOL(D5:I5, _xlfn.LAMBDA(_xlpm.x, ISNUMBER(MATCH(6, --_xlfn.TEXTSPLIT(_xlpm.x, ","), 0)))))),"")</f>
        <v/>
      </c>
      <c r="J89" s="41"/>
      <c r="K89" s="41"/>
      <c r="L89" s="41"/>
      <c r="M89" s="41"/>
      <c r="N89" s="41"/>
      <c r="O89" s="41"/>
      <c r="P89" s="41"/>
    </row>
    <row r="90" spans="1:16" x14ac:dyDescent="0.3">
      <c r="L90" s="41"/>
      <c r="M90" s="41"/>
      <c r="N90" s="41"/>
      <c r="O90" s="41"/>
      <c r="P90" s="41"/>
    </row>
    <row r="96" spans="1:16" s="41" customFormat="1" ht="28.8" x14ac:dyDescent="0.3">
      <c r="C96" s="60" t="s">
        <v>75</v>
      </c>
      <c r="D96" s="61" t="s">
        <v>76</v>
      </c>
      <c r="E96" s="61" t="s">
        <v>77</v>
      </c>
      <c r="F96" s="61" t="s">
        <v>78</v>
      </c>
      <c r="G96" s="61" t="s">
        <v>79</v>
      </c>
      <c r="H96" s="61" t="s">
        <v>80</v>
      </c>
      <c r="I96" s="61" t="s">
        <v>81</v>
      </c>
      <c r="J96" s="61" t="s">
        <v>82</v>
      </c>
      <c r="K96" s="61" t="s">
        <v>83</v>
      </c>
      <c r="L96" s="61" t="s">
        <v>84</v>
      </c>
      <c r="M96" s="61" t="s">
        <v>85</v>
      </c>
      <c r="N96" s="61" t="s">
        <v>86</v>
      </c>
      <c r="O96" s="61" t="s">
        <v>87</v>
      </c>
    </row>
    <row r="97" spans="3:15" s="41" customFormat="1" ht="18" x14ac:dyDescent="0.35">
      <c r="C97" s="62" t="s">
        <v>88</v>
      </c>
      <c r="D97" s="63">
        <f>IF(COUNTIFS($D$4:$I$4,"=*,1,*",$D84:$I84,"&lt;&gt;0")=0,0,SUMIF($D$4:$I$4,"=*,1,*",$D84:$I84)/COUNTIFS($D$4:$I$4,"=*,1,*",$D84:$I84,"&lt;&gt;0"))</f>
        <v>0</v>
      </c>
      <c r="E97" s="63">
        <f>IF(COUNTIFS($D$4:$I$4,"=*,2,*",$D84:$I84,"&lt;&gt;0")=0,0,SUMIF($D$4:$I$4,"=*,2,*",$D84:$I84)/COUNTIFS($D$4:$I$4,"=*,2,*",$D84:$I84,"&lt;&gt;0"))</f>
        <v>0</v>
      </c>
      <c r="F97" s="467">
        <f>IF(COUNTIFS($D$4:$I$4,"=*,3,*",$D84:$I84,"&lt;&gt;0")=0,0,SUMIF($D$4:$I$4,"=*,3,*",$D84:$I84)/COUNTIFS($D$4:$I$4,"=*,3,*",$D84:$I84,"&lt;&gt;0"))</f>
        <v>0</v>
      </c>
      <c r="G97" s="467">
        <f>IF(COUNTIFS($D$4:$I$4,"=*,4,*",$D84:$I84,"&lt;&gt;0")=0,0,SUMIF($D$4:$I$4,"=*,4,*",$D84:$I84)/COUNTIFS($D$4:$I$4,"=*,4,*",$D84:$I84,"&lt;&gt;0"))</f>
        <v>0</v>
      </c>
      <c r="H97" s="467">
        <f>IF(COUNTIFS($D$4:$I$4,"=*,5,*",$D84:$I84,"&lt;&gt;0")=0,0,SUMIF($D$4:$I$4,"=*,5,*",$D84:$I84)/COUNTIFS($D$4:$I$4,"=*,5,*",$D84:$I84,"&lt;&gt;0"))</f>
        <v>0</v>
      </c>
      <c r="I97" s="467">
        <f>IF(COUNTIFS($D$4:$I$4,"=*,6,*",$D84:$I84,"&lt;&gt;0")=0,0,SUMIF($D$4:$I$4,"=*,6,*",$D84:$I84)/COUNTIFS($D$4:$I$4,"=*,6,*",$D84:$I84,"&lt;&gt;0"))</f>
        <v>0</v>
      </c>
      <c r="J97" s="467">
        <f>IF(COUNTIFS($D$4:$I$4,"=*,7,*",$D84:$I84,"&lt;&gt;0")=0,0,SUMIF($D$4:$I$4,"=*,7,*",$D84:$I84)/COUNTIFS($D$4:$I$4,"=*,7,*",$D84:$I84,"&lt;&gt;0"))</f>
        <v>0</v>
      </c>
      <c r="K97" s="467">
        <f>IF(COUNTIFS($D$4:$I$4,"=*,8,*",$D84:$I84,"&lt;&gt;0")=0,0,SUMIF($D$4:$I$4,"=*,8,*",$D84:$I84)/COUNTIFS($D$4:$I$4,"=*,8,*",$D84:$I84,"&lt;&gt;0"))</f>
        <v>0</v>
      </c>
      <c r="L97" s="467">
        <f>IF(COUNTIFS($D$4:$I$4,"=*,9,*",$D84:$I84,"&lt;&gt;0")=0,0,SUMIF($D$4:$I$4,"=*,9,*",$D84:$I84)/COUNTIFS($D$4:$I$4,"=*,9,*",$D84:$I84,"&lt;&gt;0"))</f>
        <v>0</v>
      </c>
      <c r="M97" s="467">
        <f>IF(COUNTIFS($D$4:$I$4,"=*,10,*",$D84:$I84,"&lt;&gt;0")=0,0,SUMIF($D$4:$I$4,"=*,10,*",$D84:$I84)/COUNTIFS($D$4:$I$4,"=*,10,*",$D84:$I84,"&lt;&gt;0"))</f>
        <v>0</v>
      </c>
      <c r="N97" s="467">
        <f>IF(COUNTIFS($D$4:$I$4,"=*,11,*",$D84:$I84,"&lt;&gt;0")=0,0,SUMIF($D$4:$I$4,"=*,11,*",$D84:$I84)/COUNTIFS($D$4:$I$4,"=*,11,*",$D84:$I84,"&lt;&gt;0"))</f>
        <v>0</v>
      </c>
      <c r="O97" s="467">
        <f>IF(COUNTIFS($D$4:$I$4,"=*,12,*",$D84:$I84,"&lt;&gt;0")=0,0,SUMIF($D$4:$I$4,"=*,12,*",$D84:$I84)/COUNTIFS($D$4:$I$4,"=*,12,*",$D84:$I84,"&lt;&gt;0"))</f>
        <v>0</v>
      </c>
    </row>
  </sheetData>
  <mergeCells count="4">
    <mergeCell ref="D3:F3"/>
    <mergeCell ref="G3:I3"/>
    <mergeCell ref="D8:F8"/>
    <mergeCell ref="G8:I8"/>
  </mergeCells>
  <conditionalFormatting sqref="B9:C81">
    <cfRule type="duplicateValues" dxfId="35" priority="1" stopIfTrue="1"/>
    <cfRule type="duplicateValues" dxfId="34" priority="2"/>
    <cfRule type="duplicateValues" dxfId="33" priority="3"/>
    <cfRule type="duplicateValues" dxfId="32" priority="4" stopIfTrue="1"/>
    <cfRule type="duplicateValues" dxfId="31" priority="5"/>
    <cfRule type="expression" dxfId="30" priority="7" stopIfTrue="1">
      <formula>AND(COUNTIF($C$59:$C$59, B9)+COUNTIF($C$62:$C$65, B9)+COUNTIF($B$9:$C$58, B9)&gt;1,NOT(ISBLANK(B9)))</formula>
    </cfRule>
  </conditionalFormatting>
  <conditionalFormatting sqref="C9:C81">
    <cfRule type="containsText" dxfId="29" priority="6" stopIfTrue="1" operator="containsText" text="F">
      <formula>NOT(ISERROR(SEARCH("F",C9)))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F87"/>
  <sheetViews>
    <sheetView topLeftCell="A7" zoomScale="89" zoomScaleNormal="89" workbookViewId="0">
      <selection activeCell="A8" sqref="A8:C8"/>
    </sheetView>
  </sheetViews>
  <sheetFormatPr defaultRowHeight="14.4" x14ac:dyDescent="0.3"/>
  <cols>
    <col min="1" max="1" width="6.109375" style="41" bestFit="1" customWidth="1"/>
    <col min="2" max="2" width="29.44140625" customWidth="1"/>
    <col min="3" max="3" width="16.109375" customWidth="1"/>
    <col min="4" max="77" width="4.6640625" customWidth="1"/>
    <col min="78" max="78" width="6.44140625" customWidth="1"/>
    <col min="79" max="79" width="6.33203125" customWidth="1"/>
    <col min="80" max="117" width="4.6640625" customWidth="1"/>
    <col min="118" max="120" width="5.88671875" customWidth="1"/>
    <col min="121" max="122" width="5.88671875" style="246" customWidth="1"/>
    <col min="123" max="123" width="6.6640625" style="246" customWidth="1"/>
    <col min="124" max="124" width="12.109375" customWidth="1"/>
    <col min="125" max="128" width="10.5546875" customWidth="1"/>
    <col min="129" max="129" width="12" customWidth="1"/>
    <col min="130" max="132" width="10.5546875" style="246" customWidth="1"/>
    <col min="133" max="133" width="11.44140625" style="246" customWidth="1"/>
    <col min="134" max="136" width="9.109375" customWidth="1"/>
    <col min="137" max="137" width="11.88671875" style="246" customWidth="1"/>
    <col min="138" max="139" width="10.33203125" style="41" customWidth="1"/>
    <col min="140" max="140" width="15.109375" style="41" customWidth="1"/>
    <col min="141" max="142" width="10.33203125" style="320" customWidth="1"/>
    <col min="143" max="143" width="14.44140625" style="41" customWidth="1"/>
    <col min="144" max="146" width="15.33203125" style="41" customWidth="1"/>
    <col min="147" max="147" width="13.5546875" style="41" customWidth="1"/>
    <col min="148" max="150" width="15" style="41" bestFit="1" customWidth="1"/>
  </cols>
  <sheetData>
    <row r="1" spans="1:162" ht="129" customHeight="1" x14ac:dyDescent="0.3">
      <c r="A1" s="600"/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0"/>
      <c r="Z1" s="600"/>
      <c r="AA1" s="600"/>
      <c r="AB1" s="600"/>
      <c r="AC1" s="600"/>
      <c r="AD1" s="600"/>
      <c r="AE1" s="600"/>
      <c r="AF1" s="600"/>
      <c r="AG1" s="600"/>
      <c r="AH1" s="600"/>
      <c r="AI1" s="600"/>
      <c r="AJ1" s="600"/>
      <c r="AK1" s="600"/>
      <c r="AL1" s="600"/>
      <c r="AM1" s="600"/>
      <c r="AN1" s="600"/>
      <c r="AO1" s="600"/>
      <c r="AP1" s="600"/>
      <c r="AQ1" s="600"/>
      <c r="AR1" s="600"/>
      <c r="AS1" s="600"/>
      <c r="AT1" s="600"/>
      <c r="AU1" s="600"/>
      <c r="AV1" s="600"/>
      <c r="AW1" s="600"/>
      <c r="AX1" s="600"/>
      <c r="AY1" s="600"/>
      <c r="AZ1" s="600"/>
      <c r="BA1" s="600"/>
      <c r="BB1" s="600"/>
      <c r="BC1" s="600"/>
      <c r="BD1" s="600"/>
      <c r="BE1" s="600"/>
      <c r="BF1" s="600"/>
      <c r="BG1" s="600"/>
      <c r="BH1" s="600"/>
      <c r="BI1" s="600"/>
      <c r="BJ1" s="600"/>
      <c r="BK1" s="600"/>
      <c r="BL1" s="600"/>
      <c r="BM1" s="600"/>
      <c r="BN1" s="600"/>
      <c r="BO1" s="600"/>
      <c r="BP1" s="600"/>
      <c r="BQ1" s="600"/>
      <c r="BR1" s="600"/>
      <c r="BS1" s="600"/>
      <c r="BT1" s="600"/>
      <c r="BU1" s="600"/>
      <c r="BV1" s="600"/>
      <c r="BW1" s="600"/>
      <c r="BX1" s="600"/>
      <c r="BY1" s="600"/>
      <c r="BZ1" s="600"/>
      <c r="CA1" s="600"/>
      <c r="CB1" s="600"/>
      <c r="CC1" s="600"/>
      <c r="CD1" s="600"/>
      <c r="CE1" s="600"/>
      <c r="CF1" s="600"/>
      <c r="CG1" s="600"/>
      <c r="CH1" s="600"/>
      <c r="CI1" s="600"/>
      <c r="CJ1" s="600"/>
      <c r="CK1" s="600"/>
      <c r="CL1" s="600"/>
      <c r="CM1" s="600"/>
      <c r="CN1" s="600"/>
      <c r="CO1" s="600"/>
      <c r="CP1" s="600"/>
      <c r="CQ1" s="600"/>
      <c r="CR1" s="600"/>
      <c r="CS1" s="600"/>
      <c r="CT1" s="600"/>
      <c r="CU1" s="600"/>
      <c r="CV1" s="600"/>
      <c r="CW1" s="600"/>
      <c r="CX1" s="600"/>
      <c r="CY1" s="600"/>
      <c r="CZ1" s="600"/>
      <c r="DA1" s="600"/>
      <c r="DB1" s="600"/>
      <c r="DC1" s="600"/>
      <c r="DD1" s="600"/>
      <c r="DE1" s="600"/>
      <c r="DF1" s="600"/>
      <c r="DG1" s="600"/>
      <c r="DH1" s="600"/>
      <c r="DI1" s="600"/>
      <c r="DJ1" s="600"/>
      <c r="DK1" s="600"/>
      <c r="DL1" s="600"/>
      <c r="DM1" s="600"/>
      <c r="DN1" s="600"/>
      <c r="DO1" s="600"/>
      <c r="DP1" s="600"/>
      <c r="DQ1" s="600"/>
      <c r="DR1" s="600"/>
      <c r="DS1" s="600"/>
      <c r="DT1" s="600"/>
      <c r="DU1" s="600"/>
      <c r="DV1" s="600"/>
      <c r="DW1" s="600"/>
      <c r="DX1" s="600"/>
      <c r="DY1" s="600"/>
      <c r="DZ1" s="600"/>
      <c r="EA1" s="600"/>
      <c r="EB1" s="600"/>
      <c r="EC1" s="600"/>
      <c r="ED1" s="600"/>
      <c r="EE1" s="600"/>
      <c r="EF1" s="600"/>
      <c r="EG1" s="600"/>
      <c r="EH1" s="600"/>
      <c r="EI1" s="600"/>
      <c r="EJ1" s="600"/>
    </row>
    <row r="2" spans="1:162" ht="24" customHeight="1" x14ac:dyDescent="0.4">
      <c r="A2" s="591" t="str">
        <f>Theory!A7</f>
        <v>STAND ALONE THEORY</v>
      </c>
      <c r="B2" s="592"/>
      <c r="C2" s="392" t="str">
        <f>Theory!D7</f>
        <v>YES</v>
      </c>
      <c r="D2" s="150"/>
      <c r="E2" s="150"/>
      <c r="F2" s="150"/>
      <c r="G2" s="150"/>
      <c r="H2" s="150"/>
    </row>
    <row r="3" spans="1:162" ht="22.5" customHeight="1" x14ac:dyDescent="0.4">
      <c r="A3" s="591" t="str">
        <f>Theory!A8</f>
        <v>STAND ALONE LAB</v>
      </c>
      <c r="B3" s="592"/>
      <c r="C3" s="392" t="str">
        <f>Theory!D8</f>
        <v>NO</v>
      </c>
    </row>
    <row r="4" spans="1:162" ht="20.25" customHeight="1" x14ac:dyDescent="0.4">
      <c r="A4" s="591" t="str">
        <f>Theory!A9</f>
        <v>IPCC</v>
      </c>
      <c r="B4" s="592"/>
      <c r="C4" s="392" t="str">
        <f>Theory!D9</f>
        <v>NO</v>
      </c>
      <c r="D4" s="150"/>
      <c r="E4" s="150"/>
      <c r="F4" s="150"/>
      <c r="G4" s="150"/>
      <c r="H4" s="150"/>
    </row>
    <row r="5" spans="1:162" ht="18" x14ac:dyDescent="0.35">
      <c r="A5" s="593" t="str">
        <f>Theory!A4</f>
        <v>Academic Year : 2023 -24</v>
      </c>
      <c r="B5" s="593"/>
      <c r="C5" s="593"/>
    </row>
    <row r="6" spans="1:162" ht="18" x14ac:dyDescent="0.35">
      <c r="A6" s="594" t="str">
        <f>Theory!D4</f>
        <v>Scheme :2021-25</v>
      </c>
      <c r="B6" s="594"/>
      <c r="C6" s="594"/>
      <c r="M6" s="599"/>
      <c r="N6" s="600"/>
      <c r="O6" s="600"/>
      <c r="P6" s="600"/>
      <c r="Q6" s="600"/>
      <c r="R6" s="600"/>
      <c r="S6" s="600"/>
      <c r="T6" s="600"/>
      <c r="U6" s="600"/>
      <c r="V6" s="600"/>
      <c r="W6" s="600"/>
      <c r="X6" s="600"/>
      <c r="Y6" s="600"/>
      <c r="Z6" s="600"/>
    </row>
    <row r="7" spans="1:162" ht="40.5" customHeight="1" x14ac:dyDescent="0.4">
      <c r="A7" s="617" t="str">
        <f>Theory!A6</f>
        <v>COURSE TITLE :IoT &amp; 5G</v>
      </c>
      <c r="B7" s="617"/>
      <c r="C7" s="617"/>
      <c r="D7" s="601">
        <f>Theory!A10</f>
        <v>0</v>
      </c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3"/>
      <c r="S7" s="618" t="s">
        <v>194</v>
      </c>
      <c r="T7" s="618"/>
      <c r="U7" s="618"/>
      <c r="V7" s="241" t="s">
        <v>64</v>
      </c>
      <c r="W7" s="241" t="s">
        <v>65</v>
      </c>
      <c r="X7" s="241" t="s">
        <v>66</v>
      </c>
      <c r="Y7" s="241" t="s">
        <v>67</v>
      </c>
      <c r="Z7" s="241" t="s">
        <v>68</v>
      </c>
      <c r="AA7" s="241" t="s">
        <v>69</v>
      </c>
    </row>
    <row r="8" spans="1:162" s="246" customFormat="1" ht="19.5" customHeight="1" x14ac:dyDescent="0.35">
      <c r="A8" s="595" t="str">
        <f>Theory!A5</f>
        <v>COURSE CODE : 21AI643</v>
      </c>
      <c r="B8" s="595"/>
      <c r="C8" s="595"/>
      <c r="D8" s="604"/>
      <c r="E8" s="605"/>
      <c r="F8" s="605"/>
      <c r="G8" s="605"/>
      <c r="H8" s="605"/>
      <c r="I8" s="605"/>
      <c r="J8" s="605"/>
      <c r="K8" s="605"/>
      <c r="L8" s="605"/>
      <c r="M8" s="605"/>
      <c r="N8" s="605"/>
      <c r="O8" s="605"/>
      <c r="P8" s="605"/>
      <c r="Q8" s="605"/>
      <c r="R8" s="606"/>
      <c r="S8" s="613" t="s">
        <v>195</v>
      </c>
      <c r="T8" s="613"/>
      <c r="U8" s="613"/>
      <c r="V8" s="242">
        <v>60</v>
      </c>
      <c r="W8" s="242">
        <v>60</v>
      </c>
      <c r="X8" s="242">
        <v>60</v>
      </c>
      <c r="Y8" s="242">
        <v>60</v>
      </c>
      <c r="Z8" s="242">
        <v>60</v>
      </c>
      <c r="AA8" s="242">
        <v>60</v>
      </c>
      <c r="AO8" s="623" t="s">
        <v>207</v>
      </c>
      <c r="AP8" s="370"/>
      <c r="AQ8" s="370"/>
      <c r="AR8" s="370"/>
      <c r="AS8" s="370"/>
      <c r="AT8" s="370"/>
      <c r="AU8" s="370"/>
      <c r="AV8" s="370"/>
      <c r="AW8" s="370"/>
      <c r="AX8" s="370"/>
      <c r="AY8" s="370"/>
      <c r="AZ8" s="370"/>
      <c r="BA8" s="370"/>
      <c r="BB8" s="370"/>
      <c r="BC8" s="370"/>
      <c r="BD8" s="370"/>
      <c r="BE8" s="370"/>
      <c r="BF8" s="370"/>
      <c r="BG8" s="370"/>
      <c r="BH8" s="370"/>
      <c r="BI8" s="370"/>
      <c r="BJ8" s="370"/>
      <c r="BK8" s="370"/>
      <c r="BL8" s="370"/>
      <c r="BM8" s="370"/>
      <c r="BN8" s="370"/>
      <c r="BO8" s="370"/>
      <c r="BP8" s="370"/>
      <c r="BQ8" s="370"/>
      <c r="BR8" s="370"/>
      <c r="BS8" s="370"/>
      <c r="BT8" s="370"/>
      <c r="BU8" s="370"/>
      <c r="BV8" s="370"/>
      <c r="BW8" s="370"/>
      <c r="BX8" s="370"/>
      <c r="BY8" s="370"/>
      <c r="BZ8" s="370"/>
      <c r="CA8" s="624" t="s">
        <v>218</v>
      </c>
      <c r="CB8" s="375"/>
      <c r="CC8" s="375"/>
      <c r="CD8" s="375"/>
      <c r="CE8" s="375"/>
      <c r="CF8" s="375"/>
      <c r="CG8" s="375"/>
      <c r="CH8" s="375"/>
      <c r="CI8" s="375"/>
      <c r="CJ8" s="375"/>
      <c r="CK8" s="375"/>
      <c r="CL8" s="375"/>
      <c r="CM8" s="375"/>
      <c r="CN8" s="375"/>
      <c r="CO8" s="375"/>
      <c r="CP8" s="375"/>
      <c r="CQ8" s="375"/>
      <c r="CR8" s="375"/>
      <c r="CS8" s="375"/>
      <c r="CT8" s="375"/>
      <c r="CU8" s="375"/>
      <c r="CV8" s="375"/>
      <c r="CW8" s="375"/>
      <c r="CX8" s="375"/>
      <c r="CY8" s="375"/>
      <c r="CZ8" s="375"/>
      <c r="DA8" s="375"/>
      <c r="DB8" s="375"/>
      <c r="DC8" s="375"/>
      <c r="DD8" s="375"/>
      <c r="DE8" s="375"/>
      <c r="DF8" s="375"/>
      <c r="DG8" s="375"/>
      <c r="DH8" s="375"/>
      <c r="DI8" s="375"/>
      <c r="DJ8" s="375"/>
      <c r="DK8" s="375"/>
      <c r="DL8" s="375"/>
      <c r="DM8" s="623" t="s">
        <v>206</v>
      </c>
      <c r="DN8" s="379"/>
      <c r="DO8" s="379"/>
      <c r="DP8" s="379"/>
      <c r="DQ8" s="379"/>
      <c r="DR8" s="379"/>
      <c r="DS8" s="379"/>
      <c r="DT8" s="379"/>
      <c r="DU8" s="375"/>
      <c r="DV8" s="375"/>
      <c r="DW8" s="375"/>
      <c r="DX8" s="375"/>
      <c r="DY8" s="375"/>
      <c r="DZ8" s="375"/>
      <c r="EA8" s="375"/>
      <c r="EB8" s="375"/>
      <c r="EC8" s="375"/>
      <c r="ED8" s="375"/>
      <c r="EE8" s="375"/>
      <c r="EF8" s="375"/>
      <c r="EG8" s="375"/>
      <c r="EH8" s="332"/>
      <c r="EI8" s="332"/>
      <c r="EJ8" s="332"/>
      <c r="EK8" s="332"/>
      <c r="EL8" s="332"/>
      <c r="EM8" s="320"/>
      <c r="EN8" s="320"/>
      <c r="EO8" s="320"/>
      <c r="EP8" s="320"/>
      <c r="EQ8" s="320"/>
      <c r="ER8" s="320"/>
      <c r="ES8" s="320"/>
      <c r="ET8" s="41"/>
    </row>
    <row r="9" spans="1:162" ht="25.5" customHeight="1" x14ac:dyDescent="0.5">
      <c r="A9" s="596" t="str">
        <f>Theory!Q4</f>
        <v>Semester : 6th</v>
      </c>
      <c r="B9" s="596"/>
      <c r="C9" s="596"/>
      <c r="D9" s="614" t="s">
        <v>196</v>
      </c>
      <c r="E9" s="615"/>
      <c r="F9" s="615"/>
      <c r="G9" s="615"/>
      <c r="H9" s="615"/>
      <c r="I9" s="615"/>
      <c r="J9" s="615"/>
      <c r="K9" s="615"/>
      <c r="L9" s="615"/>
      <c r="M9" s="615"/>
      <c r="N9" s="615"/>
      <c r="O9" s="615"/>
      <c r="P9" s="615"/>
      <c r="Q9" s="615"/>
      <c r="R9" s="615"/>
      <c r="S9" s="615"/>
      <c r="T9" s="615"/>
      <c r="U9" s="615"/>
      <c r="V9" s="615"/>
      <c r="W9" s="615"/>
      <c r="X9" s="615"/>
      <c r="Y9" s="615"/>
      <c r="Z9" s="615"/>
      <c r="AA9" s="615"/>
      <c r="AB9" s="615"/>
      <c r="AC9" s="615"/>
      <c r="AD9" s="615"/>
      <c r="AE9" s="615"/>
      <c r="AF9" s="615"/>
      <c r="AG9" s="615"/>
      <c r="AH9" s="615"/>
      <c r="AI9" s="615"/>
      <c r="AJ9" s="615"/>
      <c r="AK9" s="615"/>
      <c r="AL9" s="615"/>
      <c r="AM9" s="615"/>
      <c r="AN9" s="615"/>
      <c r="AO9" s="623"/>
      <c r="AP9" s="616" t="s">
        <v>197</v>
      </c>
      <c r="AQ9" s="616"/>
      <c r="AR9" s="616"/>
      <c r="AS9" s="616"/>
      <c r="AT9" s="616"/>
      <c r="AU9" s="616"/>
      <c r="AV9" s="616"/>
      <c r="AW9" s="616"/>
      <c r="AX9" s="616"/>
      <c r="AY9" s="616"/>
      <c r="AZ9" s="616"/>
      <c r="BA9" s="616"/>
      <c r="BB9" s="616"/>
      <c r="BC9" s="616"/>
      <c r="BD9" s="616"/>
      <c r="BE9" s="616"/>
      <c r="BF9" s="616"/>
      <c r="BG9" s="616"/>
      <c r="BH9" s="616"/>
      <c r="BI9" s="616"/>
      <c r="BJ9" s="616"/>
      <c r="BK9" s="616"/>
      <c r="BL9" s="616"/>
      <c r="BM9" s="616"/>
      <c r="BN9" s="616"/>
      <c r="BO9" s="616"/>
      <c r="BP9" s="616"/>
      <c r="BQ9" s="616"/>
      <c r="BR9" s="616"/>
      <c r="BS9" s="616"/>
      <c r="BT9" s="616"/>
      <c r="BU9" s="616"/>
      <c r="BV9" s="616"/>
      <c r="BW9" s="616"/>
      <c r="BX9" s="616"/>
      <c r="BY9" s="616"/>
      <c r="BZ9" s="616"/>
      <c r="CA9" s="623"/>
      <c r="CB9" s="609" t="s">
        <v>198</v>
      </c>
      <c r="CC9" s="609"/>
      <c r="CD9" s="609"/>
      <c r="CE9" s="609"/>
      <c r="CF9" s="609"/>
      <c r="CG9" s="609"/>
      <c r="CH9" s="609"/>
      <c r="CI9" s="609"/>
      <c r="CJ9" s="609"/>
      <c r="CK9" s="609"/>
      <c r="CL9" s="609"/>
      <c r="CM9" s="609"/>
      <c r="CN9" s="609"/>
      <c r="CO9" s="609"/>
      <c r="CP9" s="609"/>
      <c r="CQ9" s="609"/>
      <c r="CR9" s="609"/>
      <c r="CS9" s="609"/>
      <c r="CT9" s="609"/>
      <c r="CU9" s="609"/>
      <c r="CV9" s="609"/>
      <c r="CW9" s="609"/>
      <c r="CX9" s="609"/>
      <c r="CY9" s="609"/>
      <c r="CZ9" s="609"/>
      <c r="DA9" s="609"/>
      <c r="DB9" s="609"/>
      <c r="DC9" s="609"/>
      <c r="DD9" s="609"/>
      <c r="DE9" s="609"/>
      <c r="DF9" s="609"/>
      <c r="DG9" s="609"/>
      <c r="DH9" s="609"/>
      <c r="DI9" s="609"/>
      <c r="DJ9" s="609"/>
      <c r="DK9" s="609"/>
      <c r="DL9" s="609"/>
      <c r="DM9" s="623"/>
      <c r="DN9" s="248" t="s">
        <v>212</v>
      </c>
      <c r="DO9" s="248" t="s">
        <v>213</v>
      </c>
      <c r="DP9" s="248" t="s">
        <v>214</v>
      </c>
      <c r="DQ9" s="248" t="s">
        <v>215</v>
      </c>
      <c r="DR9" s="248" t="s">
        <v>216</v>
      </c>
      <c r="DS9" s="248" t="s">
        <v>217</v>
      </c>
      <c r="DT9" s="248" t="s">
        <v>219</v>
      </c>
      <c r="DU9" s="248" t="s">
        <v>209</v>
      </c>
      <c r="DV9" s="248" t="s">
        <v>208</v>
      </c>
      <c r="DW9" s="248" t="s">
        <v>257</v>
      </c>
      <c r="DX9" s="248" t="s">
        <v>221</v>
      </c>
      <c r="DY9" s="260" t="s">
        <v>222</v>
      </c>
      <c r="DZ9" s="597" t="s">
        <v>199</v>
      </c>
      <c r="EA9" s="597"/>
      <c r="EB9" s="597"/>
      <c r="EC9" s="597"/>
      <c r="ED9" s="597" t="s">
        <v>200</v>
      </c>
      <c r="EE9" s="597"/>
      <c r="EF9" s="597"/>
      <c r="EG9" s="597"/>
      <c r="EH9" s="248" t="s">
        <v>210</v>
      </c>
      <c r="EI9" s="260" t="s">
        <v>223</v>
      </c>
      <c r="EJ9" s="261" t="s">
        <v>220</v>
      </c>
      <c r="EK9" s="382" t="s">
        <v>150</v>
      </c>
      <c r="EM9" s="598" t="s">
        <v>272</v>
      </c>
      <c r="EN9" s="598"/>
      <c r="EO9" s="598"/>
      <c r="EP9" s="598"/>
      <c r="EQ9" s="598"/>
      <c r="ER9" s="598"/>
      <c r="ES9" s="598"/>
      <c r="ET9" s="598"/>
    </row>
    <row r="10" spans="1:162" s="48" customFormat="1" ht="35.25" customHeight="1" x14ac:dyDescent="0.3">
      <c r="A10" s="610" t="s">
        <v>201</v>
      </c>
      <c r="B10" s="611"/>
      <c r="C10" s="612"/>
      <c r="D10" s="137" t="str">
        <f>Theory!D12</f>
        <v>0,1</v>
      </c>
      <c r="E10" s="137">
        <f>Theory!E12</f>
        <v>0</v>
      </c>
      <c r="F10" s="137">
        <f>Theory!F12</f>
        <v>0</v>
      </c>
      <c r="G10" s="137">
        <f>Theory!G12</f>
        <v>0</v>
      </c>
      <c r="I10" s="137" t="str">
        <f>Theory!H12</f>
        <v>0,1</v>
      </c>
      <c r="J10" s="137">
        <f>Theory!I12</f>
        <v>0</v>
      </c>
      <c r="K10" s="137">
        <f>Theory!J12</f>
        <v>0</v>
      </c>
      <c r="L10" s="137">
        <f>Theory!K12</f>
        <v>0</v>
      </c>
      <c r="N10" s="137" t="str">
        <f>Theory!L12</f>
        <v>0,1</v>
      </c>
      <c r="O10" s="137">
        <f>Theory!M12</f>
        <v>0</v>
      </c>
      <c r="P10" s="137">
        <f>Theory!N12</f>
        <v>0</v>
      </c>
      <c r="Q10" s="137">
        <f>Theory!O12</f>
        <v>0</v>
      </c>
      <c r="R10" s="137" t="str">
        <f>Theory!P12</f>
        <v>0,1</v>
      </c>
      <c r="S10" s="137">
        <f>Theory!Q12</f>
        <v>0</v>
      </c>
      <c r="T10" s="137">
        <f>Theory!R12</f>
        <v>0</v>
      </c>
      <c r="U10" s="137">
        <f>Theory!S12</f>
        <v>0</v>
      </c>
      <c r="W10" s="137" t="str">
        <f>Theory!T12</f>
        <v>0,1</v>
      </c>
      <c r="X10" s="137">
        <f>Theory!U12</f>
        <v>0</v>
      </c>
      <c r="Y10" s="137">
        <f>Theory!V12</f>
        <v>0</v>
      </c>
      <c r="Z10" s="137">
        <f>Theory!W12</f>
        <v>0</v>
      </c>
      <c r="AA10" s="137" t="str">
        <f>Theory!X12</f>
        <v>0,1</v>
      </c>
      <c r="AB10" s="137">
        <f>Theory!Y12</f>
        <v>0</v>
      </c>
      <c r="AC10" s="137">
        <f>Theory!Z12</f>
        <v>0</v>
      </c>
      <c r="AD10" s="137">
        <f>Theory!AA12</f>
        <v>0</v>
      </c>
      <c r="AF10" s="137" t="str">
        <f>Theory!AB12</f>
        <v>0,1</v>
      </c>
      <c r="AG10" s="137">
        <f>Theory!AC12</f>
        <v>0</v>
      </c>
      <c r="AH10" s="137">
        <f>Theory!AD12</f>
        <v>0</v>
      </c>
      <c r="AI10" s="137">
        <f>Theory!AE12</f>
        <v>0</v>
      </c>
      <c r="AJ10" s="137" t="str">
        <f>Theory!AF12</f>
        <v>0,1</v>
      </c>
      <c r="AK10" s="137">
        <f>Theory!AG12</f>
        <v>0</v>
      </c>
      <c r="AL10" s="137">
        <f>Theory!AH12</f>
        <v>0</v>
      </c>
      <c r="AM10" s="137">
        <f>Theory!AI12</f>
        <v>0</v>
      </c>
      <c r="AO10" s="623"/>
      <c r="AP10" s="137" t="str">
        <f>Theory!AJ12</f>
        <v>0,4</v>
      </c>
      <c r="AQ10" s="137">
        <f>Theory!AK12</f>
        <v>0</v>
      </c>
      <c r="AR10" s="137">
        <f>Theory!AL12</f>
        <v>0</v>
      </c>
      <c r="AS10" s="137">
        <f>Theory!AM12</f>
        <v>0</v>
      </c>
      <c r="AT10" s="137"/>
      <c r="AU10" s="137" t="str">
        <f>Theory!AN12</f>
        <v>0,4</v>
      </c>
      <c r="AV10" s="137" t="str">
        <f>Theory!AO12</f>
        <v>0,4</v>
      </c>
      <c r="AW10" s="137">
        <f>Theory!AP12</f>
        <v>0</v>
      </c>
      <c r="AX10" s="137">
        <f>Theory!AQ12</f>
        <v>0</v>
      </c>
      <c r="AY10" s="137"/>
      <c r="AZ10" s="137" t="str">
        <f>Theory!AR12</f>
        <v>0,2</v>
      </c>
      <c r="BA10" s="137">
        <f>Theory!AS12</f>
        <v>0</v>
      </c>
      <c r="BB10" s="137">
        <f>Theory!AT12</f>
        <v>0</v>
      </c>
      <c r="BC10" s="137">
        <f>Theory!AU12</f>
        <v>0</v>
      </c>
      <c r="BD10" s="137" t="str">
        <f>Theory!AV12</f>
        <v>0,2</v>
      </c>
      <c r="BE10" s="137">
        <f>Theory!AW12</f>
        <v>0</v>
      </c>
      <c r="BF10" s="137">
        <f>Theory!AX12</f>
        <v>0</v>
      </c>
      <c r="BG10" s="137">
        <f>Theory!AY12</f>
        <v>0</v>
      </c>
      <c r="BH10" s="68"/>
      <c r="BI10" s="137" t="str">
        <f>Theory!AZ12</f>
        <v>0,4</v>
      </c>
      <c r="BJ10" s="137">
        <f>Theory!BA12</f>
        <v>0</v>
      </c>
      <c r="BK10" s="137">
        <f>Theory!BB12</f>
        <v>0</v>
      </c>
      <c r="BL10" s="137">
        <f>Theory!BC12</f>
        <v>0</v>
      </c>
      <c r="BM10" s="137" t="str">
        <f>Theory!BD12</f>
        <v>0,4</v>
      </c>
      <c r="BN10" s="137">
        <f>Theory!BE12</f>
        <v>0</v>
      </c>
      <c r="BO10" s="137">
        <f>Theory!BF12</f>
        <v>0</v>
      </c>
      <c r="BP10" s="137">
        <f>Theory!BG12</f>
        <v>0</v>
      </c>
      <c r="BQ10" s="137"/>
      <c r="BR10" s="137" t="str">
        <f>Theory!BH12</f>
        <v>0,4</v>
      </c>
      <c r="BS10" s="137">
        <f>Theory!BI12</f>
        <v>0</v>
      </c>
      <c r="BT10" s="137">
        <f>Theory!BJ12</f>
        <v>0</v>
      </c>
      <c r="BU10" s="137">
        <f>Theory!BK12</f>
        <v>0</v>
      </c>
      <c r="BV10" s="137" t="str">
        <f>Theory!BL12</f>
        <v>0,4</v>
      </c>
      <c r="BW10" s="137">
        <f>Theory!BM12</f>
        <v>0</v>
      </c>
      <c r="BX10" s="137">
        <f>Theory!BN12</f>
        <v>0</v>
      </c>
      <c r="BY10" s="137">
        <f>Theory!BO12</f>
        <v>0</v>
      </c>
      <c r="BZ10" s="372"/>
      <c r="CA10" s="623"/>
      <c r="CB10" s="137" t="str">
        <f>Theory!BP12</f>
        <v>0,3</v>
      </c>
      <c r="CC10" s="137">
        <f>Theory!BQ12</f>
        <v>0</v>
      </c>
      <c r="CD10" s="137">
        <f>Theory!BR12</f>
        <v>0</v>
      </c>
      <c r="CE10" s="137">
        <f>Theory!BS12</f>
        <v>0</v>
      </c>
      <c r="CF10" s="249"/>
      <c r="CG10" s="137" t="str">
        <f>Theory!BT12</f>
        <v>0,4</v>
      </c>
      <c r="CH10" s="137">
        <f>Theory!BU12</f>
        <v>0</v>
      </c>
      <c r="CI10" s="137">
        <f>Theory!BV12</f>
        <v>0</v>
      </c>
      <c r="CJ10" s="137">
        <f>Theory!BW12</f>
        <v>0</v>
      </c>
      <c r="CK10" s="249"/>
      <c r="CL10" s="137" t="str">
        <f>Theory!BX12</f>
        <v>0,3</v>
      </c>
      <c r="CM10" s="137">
        <f>Theory!BY12</f>
        <v>0</v>
      </c>
      <c r="CN10" s="137">
        <f>Theory!BZ12</f>
        <v>0</v>
      </c>
      <c r="CO10" s="137">
        <f>Theory!CA12</f>
        <v>0</v>
      </c>
      <c r="CP10" s="137" t="str">
        <f>Theory!CB12</f>
        <v>0,3</v>
      </c>
      <c r="CQ10" s="137">
        <f>Theory!CC12</f>
        <v>0</v>
      </c>
      <c r="CR10" s="137">
        <f>Theory!CD12</f>
        <v>0</v>
      </c>
      <c r="CS10" s="137">
        <f>Theory!CE12</f>
        <v>0</v>
      </c>
      <c r="CT10" s="249"/>
      <c r="CU10" s="137" t="str">
        <f>Theory!CF12</f>
        <v>0,3</v>
      </c>
      <c r="CV10" s="137">
        <f>Theory!CG12</f>
        <v>0</v>
      </c>
      <c r="CW10" s="137">
        <f>Theory!CH12</f>
        <v>0</v>
      </c>
      <c r="CX10" s="137">
        <f>Theory!CI12</f>
        <v>0</v>
      </c>
      <c r="CY10" s="137" t="str">
        <f>Theory!CJ12</f>
        <v>0,3</v>
      </c>
      <c r="CZ10" s="137">
        <f>Theory!CK12</f>
        <v>0</v>
      </c>
      <c r="DA10" s="137">
        <f>Theory!CL12</f>
        <v>0</v>
      </c>
      <c r="DB10" s="137">
        <f>Theory!CM12</f>
        <v>0</v>
      </c>
      <c r="DC10" s="249"/>
      <c r="DD10" s="137" t="str">
        <f>Theory!CN12</f>
        <v>0,4</v>
      </c>
      <c r="DE10" s="137">
        <f>Theory!CO12</f>
        <v>0</v>
      </c>
      <c r="DF10" s="137">
        <f>Theory!CP12</f>
        <v>0</v>
      </c>
      <c r="DG10" s="137">
        <f>Theory!CQ12</f>
        <v>0</v>
      </c>
      <c r="DH10" s="137" t="str">
        <f>Theory!CR12</f>
        <v>0,4</v>
      </c>
      <c r="DI10" s="137">
        <f>Theory!CS12</f>
        <v>0</v>
      </c>
      <c r="DJ10" s="137">
        <f>Theory!CT12</f>
        <v>0</v>
      </c>
      <c r="DK10" s="137">
        <f>Theory!CU12</f>
        <v>0</v>
      </c>
      <c r="DL10" s="376"/>
      <c r="DM10" s="623"/>
      <c r="DN10" s="380"/>
      <c r="DO10" s="262"/>
      <c r="DP10" s="262"/>
      <c r="DQ10" s="262"/>
      <c r="DR10" s="262"/>
      <c r="DS10" s="262"/>
      <c r="DT10" s="262"/>
      <c r="DU10" s="262"/>
      <c r="DV10" s="262"/>
      <c r="DW10" s="262"/>
      <c r="DX10" s="262"/>
      <c r="DY10" s="255" t="s">
        <v>6</v>
      </c>
      <c r="DZ10" s="263"/>
      <c r="EA10" s="263"/>
      <c r="EB10" s="263"/>
      <c r="EC10" s="262"/>
      <c r="ED10" s="262"/>
      <c r="EE10" s="262"/>
      <c r="EF10" s="262"/>
      <c r="EG10" s="262"/>
      <c r="EH10" s="262"/>
      <c r="EI10" s="255" t="s">
        <v>205</v>
      </c>
      <c r="EJ10" s="255" t="s">
        <v>226</v>
      </c>
      <c r="EK10" s="255" t="s">
        <v>225</v>
      </c>
      <c r="EL10" s="320"/>
      <c r="EM10" s="385" t="s">
        <v>260</v>
      </c>
      <c r="EN10" s="318" t="s">
        <v>261</v>
      </c>
      <c r="EO10" s="318" t="s">
        <v>262</v>
      </c>
      <c r="EP10" s="318" t="s">
        <v>262</v>
      </c>
      <c r="EQ10" s="318" t="s">
        <v>260</v>
      </c>
      <c r="ER10" s="318" t="s">
        <v>252</v>
      </c>
      <c r="ES10" s="318" t="s">
        <v>253</v>
      </c>
      <c r="ET10" s="64"/>
      <c r="EU10"/>
      <c r="EV10"/>
      <c r="EW10"/>
      <c r="EX10" s="352"/>
      <c r="EY10" s="352"/>
      <c r="EZ10" s="352"/>
      <c r="FA10" s="352"/>
      <c r="FB10" s="352"/>
      <c r="FC10" s="352"/>
      <c r="FD10" s="352"/>
      <c r="FE10" s="352"/>
      <c r="FF10" s="352"/>
    </row>
    <row r="11" spans="1:162" ht="30.75" customHeight="1" x14ac:dyDescent="0.3">
      <c r="B11" s="250"/>
      <c r="C11" s="250"/>
      <c r="D11" s="9" t="str">
        <f>Theory!D16</f>
        <v>Q1A</v>
      </c>
      <c r="E11" s="9" t="str">
        <f>Theory!E16</f>
        <v>Q1B</v>
      </c>
      <c r="F11" s="9" t="str">
        <f>Theory!F16</f>
        <v>Q1C</v>
      </c>
      <c r="G11" s="9" t="str">
        <f>Theory!G16</f>
        <v>Q1D</v>
      </c>
      <c r="H11" s="251"/>
      <c r="I11" s="9" t="str">
        <f>Theory!H16</f>
        <v>Q2A</v>
      </c>
      <c r="J11" s="9" t="str">
        <f>Theory!I16</f>
        <v>Q2B</v>
      </c>
      <c r="K11" s="9" t="str">
        <f>Theory!J16</f>
        <v>Q2C</v>
      </c>
      <c r="L11" s="9" t="str">
        <f>Theory!K16</f>
        <v>Q2D</v>
      </c>
      <c r="M11" s="251"/>
      <c r="N11" s="9" t="str">
        <f>Theory!L16</f>
        <v>Q3A</v>
      </c>
      <c r="O11" s="9" t="str">
        <f>Theory!M16</f>
        <v>Q3B</v>
      </c>
      <c r="P11" s="9" t="str">
        <f>Theory!N16</f>
        <v>Q3C</v>
      </c>
      <c r="Q11" s="9" t="str">
        <f>Theory!O16</f>
        <v>Q3D</v>
      </c>
      <c r="R11" s="9" t="str">
        <f>Theory!P16</f>
        <v>Q4A</v>
      </c>
      <c r="S11" s="9" t="str">
        <f>Theory!Q16</f>
        <v>Q4B</v>
      </c>
      <c r="T11" s="9" t="str">
        <f>Theory!R16</f>
        <v>Q4C</v>
      </c>
      <c r="U11" s="9" t="str">
        <f>Theory!S16</f>
        <v>Q4D</v>
      </c>
      <c r="V11" s="251"/>
      <c r="W11" s="9" t="str">
        <f>Theory!T16</f>
        <v>Q5A</v>
      </c>
      <c r="X11" s="9" t="str">
        <f>Theory!U16</f>
        <v>Q5B</v>
      </c>
      <c r="Y11" s="9" t="str">
        <f>Theory!V16</f>
        <v>Q5C</v>
      </c>
      <c r="Z11" s="9" t="str">
        <f>Theory!W16</f>
        <v>Q5D</v>
      </c>
      <c r="AA11" s="9" t="str">
        <f>Theory!X16</f>
        <v>Q6A</v>
      </c>
      <c r="AB11" s="9" t="str">
        <f>Theory!Y16</f>
        <v>Q6B</v>
      </c>
      <c r="AC11" s="9" t="str">
        <f>Theory!Z16</f>
        <v>Q6C</v>
      </c>
      <c r="AD11" s="9" t="str">
        <f>Theory!AA16</f>
        <v>Q6D</v>
      </c>
      <c r="AE11" s="256"/>
      <c r="AF11" s="9" t="str">
        <f>Theory!AB16</f>
        <v>Q7A</v>
      </c>
      <c r="AG11" s="9" t="str">
        <f>Theory!AC16</f>
        <v>Q7B</v>
      </c>
      <c r="AH11" s="9" t="str">
        <f>Theory!AD16</f>
        <v>Q7C</v>
      </c>
      <c r="AI11" s="9" t="str">
        <f>Theory!AE16</f>
        <v>Q7D</v>
      </c>
      <c r="AJ11" s="9" t="str">
        <f>Theory!AF16</f>
        <v>Q8A</v>
      </c>
      <c r="AK11" s="9" t="str">
        <f>Theory!AG16</f>
        <v>Q8B</v>
      </c>
      <c r="AL11" s="9" t="str">
        <f>Theory!AH16</f>
        <v>Q8C</v>
      </c>
      <c r="AM11" s="9" t="str">
        <f>Theory!AI16</f>
        <v>Q8D</v>
      </c>
      <c r="AN11" s="251"/>
      <c r="AO11" s="623"/>
      <c r="AP11" s="9" t="str">
        <f>Theory!AJ16</f>
        <v>Q1A</v>
      </c>
      <c r="AQ11" s="9" t="str">
        <f>Theory!AK16</f>
        <v>Q1A</v>
      </c>
      <c r="AR11" s="9" t="str">
        <f>Theory!AL16</f>
        <v>Q1C</v>
      </c>
      <c r="AS11" s="9" t="str">
        <f>Theory!AM16</f>
        <v>Q1D</v>
      </c>
      <c r="AT11" s="252"/>
      <c r="AU11" s="9" t="str">
        <f>Theory!AN16</f>
        <v>Q2A</v>
      </c>
      <c r="AV11" s="9" t="str">
        <f>Theory!AO16</f>
        <v>Q2A</v>
      </c>
      <c r="AW11" s="9" t="str">
        <f>Theory!AP16</f>
        <v>Q2C</v>
      </c>
      <c r="AX11" s="9" t="str">
        <f>Theory!AQ16</f>
        <v>Q2D</v>
      </c>
      <c r="AY11" s="252"/>
      <c r="AZ11" s="9" t="str">
        <f>Theory!AR16</f>
        <v>Q3A</v>
      </c>
      <c r="BA11" s="9" t="str">
        <f>Theory!AS16</f>
        <v>Q3B</v>
      </c>
      <c r="BB11" s="9" t="str">
        <f>Theory!AT16</f>
        <v>Q3C</v>
      </c>
      <c r="BC11" s="9" t="str">
        <f>Theory!AU16</f>
        <v>Q3D</v>
      </c>
      <c r="BD11" s="9" t="str">
        <f>Theory!AV16</f>
        <v>Q4A</v>
      </c>
      <c r="BE11" s="9" t="str">
        <f>Theory!AW16</f>
        <v>Q4B</v>
      </c>
      <c r="BF11" s="9" t="str">
        <f>Theory!AX16</f>
        <v>Q4C</v>
      </c>
      <c r="BG11" s="9" t="str">
        <f>Theory!AY16</f>
        <v>Q4D</v>
      </c>
      <c r="BH11" s="252"/>
      <c r="BI11" s="9" t="str">
        <f>Theory!AZ16</f>
        <v>Q5A</v>
      </c>
      <c r="BJ11" s="9" t="str">
        <f>Theory!BA16</f>
        <v>Q5B</v>
      </c>
      <c r="BK11" s="9" t="str">
        <f>Theory!BB16</f>
        <v>Q5C</v>
      </c>
      <c r="BL11" s="9" t="str">
        <f>Theory!BC16</f>
        <v>Q5D</v>
      </c>
      <c r="BM11" s="9" t="str">
        <f>Theory!BD16</f>
        <v>Q6A</v>
      </c>
      <c r="BN11" s="9" t="str">
        <f>Theory!BE16</f>
        <v>Q6B</v>
      </c>
      <c r="BO11" s="9" t="str">
        <f>Theory!BF16</f>
        <v>Q6C</v>
      </c>
      <c r="BP11" s="9" t="str">
        <f>Theory!BG16</f>
        <v>Q6D</v>
      </c>
      <c r="BQ11" s="252"/>
      <c r="BR11" s="9" t="str">
        <f>Theory!BH16</f>
        <v>Q7A</v>
      </c>
      <c r="BS11" s="9" t="str">
        <f>Theory!BI16</f>
        <v>Q7B</v>
      </c>
      <c r="BT11" s="9" t="str">
        <f>Theory!BJ16</f>
        <v>Q7C</v>
      </c>
      <c r="BU11" s="9" t="str">
        <f>Theory!BK16</f>
        <v>Q7D</v>
      </c>
      <c r="BV11" s="9" t="str">
        <f>Theory!BL16</f>
        <v>Q8A</v>
      </c>
      <c r="BW11" s="9" t="str">
        <f>Theory!BM16</f>
        <v>Q8B</v>
      </c>
      <c r="BX11" s="9" t="str">
        <f>Theory!BN16</f>
        <v>Q8C</v>
      </c>
      <c r="BY11" s="9" t="str">
        <f>Theory!BO16</f>
        <v>Q8D</v>
      </c>
      <c r="BZ11" s="373"/>
      <c r="CA11" s="623"/>
      <c r="CB11" s="9" t="str">
        <f>Theory!BP16</f>
        <v>Q1A</v>
      </c>
      <c r="CC11" s="9" t="str">
        <f>Theory!BQ16</f>
        <v>Q1B</v>
      </c>
      <c r="CD11" s="9" t="str">
        <f>Theory!BR16</f>
        <v>Q1C</v>
      </c>
      <c r="CE11" s="9" t="str">
        <f>Theory!BS16</f>
        <v>Q1D</v>
      </c>
      <c r="CF11" s="254"/>
      <c r="CG11" s="9" t="str">
        <f>Theory!BT16</f>
        <v>Q2A</v>
      </c>
      <c r="CH11" s="9" t="str">
        <f>Theory!BU16</f>
        <v>Q2B</v>
      </c>
      <c r="CI11" s="9" t="str">
        <f>Theory!BV16</f>
        <v>Q2C</v>
      </c>
      <c r="CJ11" s="9" t="str">
        <f>Theory!BW16</f>
        <v>Q2D</v>
      </c>
      <c r="CK11" s="254"/>
      <c r="CL11" s="9" t="str">
        <f>Theory!BX16</f>
        <v>Q3A</v>
      </c>
      <c r="CM11" s="9" t="str">
        <f>Theory!BY16</f>
        <v>Q3B</v>
      </c>
      <c r="CN11" s="9" t="str">
        <f>Theory!BZ16</f>
        <v>Q3C</v>
      </c>
      <c r="CO11" s="9" t="str">
        <f>Theory!CA16</f>
        <v>Q3D</v>
      </c>
      <c r="CP11" s="9" t="str">
        <f>Theory!CB16</f>
        <v>Q4A</v>
      </c>
      <c r="CQ11" s="9" t="str">
        <f>Theory!CC16</f>
        <v>Q4B</v>
      </c>
      <c r="CR11" s="9" t="str">
        <f>Theory!CD16</f>
        <v>Q4C</v>
      </c>
      <c r="CS11" s="9" t="str">
        <f>Theory!CE16</f>
        <v>Q4D</v>
      </c>
      <c r="CT11" s="9"/>
      <c r="CU11" s="9" t="str">
        <f>Theory!CF16</f>
        <v>Q5A</v>
      </c>
      <c r="CV11" s="9" t="str">
        <f>Theory!CG16</f>
        <v>Q5B</v>
      </c>
      <c r="CW11" s="9" t="str">
        <f>Theory!CH16</f>
        <v>Q5C</v>
      </c>
      <c r="CX11" s="9" t="str">
        <f>Theory!CI16</f>
        <v>Q5D</v>
      </c>
      <c r="CY11" s="9" t="str">
        <f>Theory!CJ16</f>
        <v>Q6A</v>
      </c>
      <c r="CZ11" s="9" t="str">
        <f>Theory!CK16</f>
        <v>Q6B</v>
      </c>
      <c r="DA11" s="9" t="str">
        <f>Theory!CL16</f>
        <v>Q6C</v>
      </c>
      <c r="DB11" s="9" t="str">
        <f>Theory!CM16</f>
        <v>Q6D</v>
      </c>
      <c r="DC11" s="253"/>
      <c r="DD11" s="9" t="str">
        <f>Theory!CN16</f>
        <v>Q7A</v>
      </c>
      <c r="DE11" s="9" t="str">
        <f>Theory!CO16</f>
        <v>Q7B</v>
      </c>
      <c r="DF11" s="9" t="str">
        <f>Theory!CP16</f>
        <v>Q7C</v>
      </c>
      <c r="DG11" s="9" t="str">
        <f>Theory!CQ16</f>
        <v>Q7D</v>
      </c>
      <c r="DH11" s="9" t="str">
        <f>Theory!CR16</f>
        <v>Q8A</v>
      </c>
      <c r="DI11" s="9" t="str">
        <f>Theory!CS16</f>
        <v>Q8B</v>
      </c>
      <c r="DJ11" s="9" t="str">
        <f>Theory!CT16</f>
        <v>Q8C</v>
      </c>
      <c r="DK11" s="9" t="str">
        <f>Theory!CU16</f>
        <v>Q8D</v>
      </c>
      <c r="DL11" s="377"/>
      <c r="DM11" s="623"/>
      <c r="DN11" s="381"/>
      <c r="DO11" s="259"/>
      <c r="DP11" s="259"/>
      <c r="DQ11" s="259"/>
      <c r="DR11" s="259"/>
      <c r="DS11" s="259"/>
      <c r="DT11" s="257" t="s">
        <v>220</v>
      </c>
      <c r="DU11" s="257" t="s">
        <v>10</v>
      </c>
      <c r="DV11" s="247" t="s">
        <v>11</v>
      </c>
      <c r="DW11" s="247" t="s">
        <v>256</v>
      </c>
      <c r="DX11" s="248" t="s">
        <v>221</v>
      </c>
      <c r="DY11" s="619" t="s">
        <v>222</v>
      </c>
      <c r="DZ11" s="248"/>
      <c r="EA11" s="248"/>
      <c r="EB11" s="248"/>
      <c r="EC11" s="248" t="s">
        <v>199</v>
      </c>
      <c r="ED11" s="248"/>
      <c r="EE11" s="248"/>
      <c r="EF11" s="248"/>
      <c r="EG11" s="248" t="s">
        <v>200</v>
      </c>
      <c r="EH11" s="247" t="s">
        <v>180</v>
      </c>
      <c r="EI11" s="621" t="s">
        <v>223</v>
      </c>
      <c r="EJ11" s="261" t="s">
        <v>211</v>
      </c>
      <c r="EK11" s="382" t="s">
        <v>224</v>
      </c>
      <c r="EM11" s="137" t="s">
        <v>249</v>
      </c>
      <c r="EN11" s="137" t="s">
        <v>250</v>
      </c>
      <c r="EO11" s="137" t="s">
        <v>251</v>
      </c>
      <c r="EP11" s="137" t="s">
        <v>259</v>
      </c>
      <c r="EQ11" s="137" t="s">
        <v>283</v>
      </c>
      <c r="ER11" s="581" t="s">
        <v>259</v>
      </c>
      <c r="ES11" s="582"/>
      <c r="ET11" s="583"/>
    </row>
    <row r="12" spans="1:162" ht="51.75" customHeight="1" x14ac:dyDescent="0.45">
      <c r="A12" s="607" t="s">
        <v>202</v>
      </c>
      <c r="B12" s="397" t="s">
        <v>203</v>
      </c>
      <c r="C12" s="398" t="s">
        <v>263</v>
      </c>
      <c r="D12" s="357"/>
      <c r="E12" s="358"/>
      <c r="F12" s="358"/>
      <c r="G12" s="358"/>
      <c r="H12" s="358"/>
      <c r="I12" s="358"/>
      <c r="J12" s="358"/>
      <c r="K12" s="358"/>
      <c r="L12" s="358"/>
      <c r="M12" s="358"/>
      <c r="N12" s="358"/>
      <c r="O12" s="358"/>
      <c r="P12" s="358"/>
      <c r="Q12" s="358"/>
      <c r="R12" s="358"/>
      <c r="S12" s="35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8"/>
      <c r="AG12" s="358"/>
      <c r="AH12" s="358"/>
      <c r="AI12" s="358"/>
      <c r="AJ12" s="358"/>
      <c r="AK12" s="358"/>
      <c r="AL12" s="358"/>
      <c r="AM12" s="358"/>
      <c r="AN12" s="358"/>
      <c r="AO12" s="623"/>
      <c r="AP12" s="371"/>
      <c r="AQ12" s="358"/>
      <c r="AR12" s="358"/>
      <c r="AS12" s="358"/>
      <c r="AT12" s="359"/>
      <c r="AU12" s="360"/>
      <c r="AV12" s="357"/>
      <c r="AW12" s="357"/>
      <c r="AX12" s="357"/>
      <c r="AY12" s="359"/>
      <c r="AZ12" s="357"/>
      <c r="BA12" s="357"/>
      <c r="BB12" s="357"/>
      <c r="BC12" s="357"/>
      <c r="BD12" s="357"/>
      <c r="BE12" s="357"/>
      <c r="BF12" s="357"/>
      <c r="BG12" s="357"/>
      <c r="BH12" s="357"/>
      <c r="BI12" s="357"/>
      <c r="BJ12" s="357"/>
      <c r="BK12" s="357"/>
      <c r="BL12" s="357"/>
      <c r="BM12" s="357"/>
      <c r="BN12" s="357"/>
      <c r="BO12" s="357"/>
      <c r="BP12" s="357"/>
      <c r="BQ12" s="357"/>
      <c r="BR12" s="357"/>
      <c r="BS12" s="357"/>
      <c r="BT12" s="357"/>
      <c r="BU12" s="357"/>
      <c r="BV12" s="357"/>
      <c r="BW12" s="357"/>
      <c r="BX12" s="357"/>
      <c r="BY12" s="357"/>
      <c r="BZ12" s="374"/>
      <c r="CA12" s="623"/>
      <c r="CB12" s="361"/>
      <c r="CC12" s="361"/>
      <c r="CD12" s="361"/>
      <c r="CE12" s="361"/>
      <c r="CF12" s="361"/>
      <c r="CG12" s="361"/>
      <c r="CH12" s="361"/>
      <c r="CI12" s="361"/>
      <c r="CJ12" s="361"/>
      <c r="CK12" s="361"/>
      <c r="CL12" s="361"/>
      <c r="CM12" s="361"/>
      <c r="CN12" s="361"/>
      <c r="CO12" s="361"/>
      <c r="CP12" s="361"/>
      <c r="CQ12" s="361"/>
      <c r="CR12" s="361"/>
      <c r="CS12" s="361"/>
      <c r="CT12" s="361"/>
      <c r="CU12" s="361"/>
      <c r="CV12" s="361"/>
      <c r="CW12" s="361"/>
      <c r="CX12" s="361"/>
      <c r="CY12" s="361"/>
      <c r="CZ12" s="361"/>
      <c r="DA12" s="361"/>
      <c r="DB12" s="361"/>
      <c r="DC12" s="361"/>
      <c r="DD12" s="361"/>
      <c r="DE12" s="361"/>
      <c r="DF12" s="361"/>
      <c r="DG12" s="361"/>
      <c r="DH12" s="361"/>
      <c r="DI12" s="361"/>
      <c r="DJ12" s="361"/>
      <c r="DK12" s="361"/>
      <c r="DL12" s="378"/>
      <c r="DM12" s="623"/>
      <c r="DN12" s="381"/>
      <c r="DO12" s="259"/>
      <c r="DP12" s="259"/>
      <c r="DQ12" s="259"/>
      <c r="DR12" s="259"/>
      <c r="DS12" s="259"/>
      <c r="DT12" s="321" t="s">
        <v>235</v>
      </c>
      <c r="DU12" s="243"/>
      <c r="DV12" s="243"/>
      <c r="DW12" s="321" t="s">
        <v>236</v>
      </c>
      <c r="DX12" s="268" t="s">
        <v>229</v>
      </c>
      <c r="DY12" s="620"/>
      <c r="DZ12" s="243"/>
      <c r="EA12" s="243"/>
      <c r="EB12" s="243"/>
      <c r="EC12" s="322" t="s">
        <v>239</v>
      </c>
      <c r="ED12" s="244"/>
      <c r="EE12" s="244"/>
      <c r="EF12" s="244"/>
      <c r="EG12" s="323" t="s">
        <v>240</v>
      </c>
      <c r="EH12" s="268" t="s">
        <v>228</v>
      </c>
      <c r="EI12" s="622"/>
      <c r="EJ12" s="324" t="s">
        <v>227</v>
      </c>
      <c r="EK12" s="324" t="s">
        <v>150</v>
      </c>
      <c r="EM12" s="60" t="s">
        <v>244</v>
      </c>
      <c r="EN12" s="60" t="s">
        <v>244</v>
      </c>
      <c r="EO12" s="60" t="s">
        <v>244</v>
      </c>
      <c r="EP12" s="60" t="s">
        <v>244</v>
      </c>
      <c r="EQ12" s="60" t="s">
        <v>245</v>
      </c>
      <c r="ER12" s="60" t="s">
        <v>246</v>
      </c>
      <c r="ES12" s="60" t="s">
        <v>247</v>
      </c>
      <c r="ET12" s="60" t="s">
        <v>248</v>
      </c>
    </row>
    <row r="13" spans="1:162" ht="21" thickBot="1" x14ac:dyDescent="0.4">
      <c r="A13" s="608"/>
      <c r="C13" s="383" t="s">
        <v>204</v>
      </c>
      <c r="D13" s="264">
        <f>Theory!D14</f>
        <v>10</v>
      </c>
      <c r="E13" s="264">
        <f>Theory!E14</f>
        <v>0</v>
      </c>
      <c r="F13" s="264">
        <f>Theory!F14</f>
        <v>0</v>
      </c>
      <c r="G13" s="264">
        <f>Theory!G14</f>
        <v>0</v>
      </c>
      <c r="H13" s="264">
        <f>SUM(D13:G13)</f>
        <v>10</v>
      </c>
      <c r="I13" s="264">
        <f>Theory!H14</f>
        <v>10</v>
      </c>
      <c r="J13" s="264">
        <f>Theory!I14</f>
        <v>0</v>
      </c>
      <c r="K13" s="264">
        <f>Theory!J14</f>
        <v>0</v>
      </c>
      <c r="L13" s="264">
        <f>Theory!K14</f>
        <v>0</v>
      </c>
      <c r="M13" s="264">
        <f>SUM(I13:L13)</f>
        <v>10</v>
      </c>
      <c r="N13" s="264">
        <f>Theory!L14</f>
        <v>10</v>
      </c>
      <c r="O13" s="264">
        <f>Theory!M14</f>
        <v>0</v>
      </c>
      <c r="P13" s="264">
        <f>Theory!N14</f>
        <v>0</v>
      </c>
      <c r="Q13" s="264">
        <f>Theory!O14</f>
        <v>0</v>
      </c>
      <c r="R13" s="264">
        <f>Theory!P14</f>
        <v>10</v>
      </c>
      <c r="S13" s="264">
        <f>Theory!Q14</f>
        <v>0</v>
      </c>
      <c r="T13" s="264">
        <f>Theory!R14</f>
        <v>0</v>
      </c>
      <c r="U13" s="264">
        <f>Theory!S14</f>
        <v>0</v>
      </c>
      <c r="V13" s="264">
        <f>MAX(SUM(N13:Q13),SUM(R13:U13))</f>
        <v>10</v>
      </c>
      <c r="W13" s="264">
        <f>Theory!T14</f>
        <v>10</v>
      </c>
      <c r="X13" s="264">
        <f>Theory!U14</f>
        <v>0</v>
      </c>
      <c r="Y13" s="264">
        <f>Theory!V14</f>
        <v>0</v>
      </c>
      <c r="Z13" s="264">
        <f>Theory!W14</f>
        <v>0</v>
      </c>
      <c r="AA13" s="264">
        <f>Theory!X14</f>
        <v>10</v>
      </c>
      <c r="AB13" s="264">
        <f>Theory!Y14</f>
        <v>0</v>
      </c>
      <c r="AC13" s="264">
        <f>Theory!Z14</f>
        <v>0</v>
      </c>
      <c r="AD13" s="264">
        <f>Theory!AA14</f>
        <v>0</v>
      </c>
      <c r="AE13" s="264">
        <f>MAX(SUM(W13:Z13),SUM(AA13:AD13))</f>
        <v>10</v>
      </c>
      <c r="AF13" s="264">
        <f>Theory!AB14</f>
        <v>10</v>
      </c>
      <c r="AG13" s="264">
        <f>Theory!AC14</f>
        <v>0</v>
      </c>
      <c r="AH13" s="264">
        <f>Theory!AD14</f>
        <v>0</v>
      </c>
      <c r="AI13" s="264">
        <f>Theory!AE14</f>
        <v>0</v>
      </c>
      <c r="AJ13" s="264">
        <f>Theory!AF14</f>
        <v>10</v>
      </c>
      <c r="AK13" s="264">
        <f>Theory!AG14</f>
        <v>0</v>
      </c>
      <c r="AL13" s="264">
        <f>Theory!AH14</f>
        <v>0</v>
      </c>
      <c r="AM13" s="264">
        <f>Theory!AI14</f>
        <v>0</v>
      </c>
      <c r="AN13" s="264">
        <f>MAX(SUM(AF13:AI13),SUM(AJ13:AM13))</f>
        <v>10</v>
      </c>
      <c r="AO13" s="333">
        <f t="shared" ref="AO13:AO76" si="0">SUM(H13,M13,V13,AE13,AN13)</f>
        <v>50</v>
      </c>
      <c r="AP13" s="264">
        <f>Theory!AJ14</f>
        <v>10</v>
      </c>
      <c r="AQ13" s="264">
        <f>Theory!AK14</f>
        <v>0</v>
      </c>
      <c r="AR13" s="264">
        <f>Theory!AL14</f>
        <v>0</v>
      </c>
      <c r="AS13" s="264">
        <f>Theory!AM14</f>
        <v>0</v>
      </c>
      <c r="AT13" s="264">
        <f>SUM(AP13:AS13)</f>
        <v>10</v>
      </c>
      <c r="AU13" s="264">
        <f>Theory!AN14</f>
        <v>5</v>
      </c>
      <c r="AV13" s="264">
        <f>Theory!AO14</f>
        <v>5</v>
      </c>
      <c r="AW13" s="264">
        <f>Theory!AP14</f>
        <v>0</v>
      </c>
      <c r="AX13" s="264">
        <f>Theory!AQ14</f>
        <v>0</v>
      </c>
      <c r="AY13" s="264">
        <f>SUM(AU13:AX13)</f>
        <v>10</v>
      </c>
      <c r="AZ13" s="264">
        <f>Theory!AR14</f>
        <v>10</v>
      </c>
      <c r="BA13" s="264">
        <f>Theory!AS14</f>
        <v>0</v>
      </c>
      <c r="BB13" s="264">
        <f>Theory!AT14</f>
        <v>0</v>
      </c>
      <c r="BC13" s="264">
        <f>Theory!AU14</f>
        <v>0</v>
      </c>
      <c r="BD13" s="264">
        <f>Theory!AV14</f>
        <v>10</v>
      </c>
      <c r="BE13" s="264">
        <f>Theory!AW14</f>
        <v>0</v>
      </c>
      <c r="BF13" s="264">
        <f>Theory!AX14</f>
        <v>0</v>
      </c>
      <c r="BG13" s="264">
        <f>Theory!AY14</f>
        <v>0</v>
      </c>
      <c r="BH13" s="264">
        <f>MAX(SUM(AZ13:BC13),SUM(BD13:BG13))</f>
        <v>10</v>
      </c>
      <c r="BI13" s="264">
        <f>Theory!AZ14</f>
        <v>10</v>
      </c>
      <c r="BJ13" s="264">
        <f>Theory!BA14</f>
        <v>0</v>
      </c>
      <c r="BK13" s="264">
        <f>Theory!BB14</f>
        <v>0</v>
      </c>
      <c r="BL13" s="264">
        <f>Theory!BC14</f>
        <v>0</v>
      </c>
      <c r="BM13" s="264">
        <f>Theory!BD14</f>
        <v>10</v>
      </c>
      <c r="BN13" s="264">
        <f>Theory!BE14</f>
        <v>0</v>
      </c>
      <c r="BO13" s="264">
        <f>Theory!BF14</f>
        <v>0</v>
      </c>
      <c r="BP13" s="264">
        <f>Theory!BG14</f>
        <v>0</v>
      </c>
      <c r="BQ13" s="264">
        <f>MAX(SUM(BI13:BL13),SUM(BM13:BP13))</f>
        <v>10</v>
      </c>
      <c r="BR13" s="264">
        <f>Theory!BH14</f>
        <v>10</v>
      </c>
      <c r="BS13" s="264">
        <f>Theory!BI14</f>
        <v>0</v>
      </c>
      <c r="BT13" s="264">
        <f>Theory!BJ14</f>
        <v>0</v>
      </c>
      <c r="BU13" s="264">
        <f>Theory!BK14</f>
        <v>0</v>
      </c>
      <c r="BV13" s="264">
        <f>Theory!BL14</f>
        <v>10</v>
      </c>
      <c r="BW13" s="264">
        <f>Theory!BM14</f>
        <v>0</v>
      </c>
      <c r="BX13" s="264">
        <f>Theory!BN14</f>
        <v>0</v>
      </c>
      <c r="BY13" s="264">
        <f>Theory!BO14</f>
        <v>0</v>
      </c>
      <c r="BZ13" s="264">
        <f>MAX(SUM(BR13:BU13),SUM(BV13:BY13))</f>
        <v>10</v>
      </c>
      <c r="CA13" s="333">
        <f t="shared" ref="CA13:CA76" si="1">SUM(AT13,AY13,BH13,BQ13,BZ13)</f>
        <v>50</v>
      </c>
      <c r="CB13" s="264">
        <f>Theory!BP14</f>
        <v>10</v>
      </c>
      <c r="CC13" s="264">
        <f>Theory!BQ14</f>
        <v>0</v>
      </c>
      <c r="CD13" s="264">
        <f>Theory!BR14</f>
        <v>0</v>
      </c>
      <c r="CE13" s="264">
        <f>Theory!BS14</f>
        <v>0</v>
      </c>
      <c r="CF13" s="264">
        <f>SUM(CB13:CE13)</f>
        <v>10</v>
      </c>
      <c r="CG13" s="264">
        <f>Theory!BT14</f>
        <v>10</v>
      </c>
      <c r="CH13" s="264">
        <f>Theory!BU14</f>
        <v>0</v>
      </c>
      <c r="CI13" s="264">
        <f>Theory!BV14</f>
        <v>0</v>
      </c>
      <c r="CJ13" s="264">
        <f>Theory!BW14</f>
        <v>0</v>
      </c>
      <c r="CK13" s="264">
        <f>SUM(CG13:CJ13)</f>
        <v>10</v>
      </c>
      <c r="CL13" s="264">
        <f>Theory!BX14</f>
        <v>10</v>
      </c>
      <c r="CM13" s="264">
        <f>Theory!BY14</f>
        <v>0</v>
      </c>
      <c r="CN13" s="264">
        <f>Theory!BZ14</f>
        <v>0</v>
      </c>
      <c r="CO13" s="264">
        <f>Theory!CA14</f>
        <v>0</v>
      </c>
      <c r="CP13" s="264">
        <f>Theory!CB14</f>
        <v>10</v>
      </c>
      <c r="CQ13" s="264">
        <f>Theory!CC14</f>
        <v>0</v>
      </c>
      <c r="CR13" s="264">
        <f>Theory!CD14</f>
        <v>0</v>
      </c>
      <c r="CS13" s="264">
        <f>Theory!CE14</f>
        <v>0</v>
      </c>
      <c r="CT13" s="264">
        <f>MAX(SUM(CL13:CO13),SUM(CP13:CS13))</f>
        <v>10</v>
      </c>
      <c r="CU13" s="264">
        <f>Theory!CF14</f>
        <v>10</v>
      </c>
      <c r="CV13" s="264">
        <f>Theory!CG14</f>
        <v>0</v>
      </c>
      <c r="CW13" s="264">
        <f>Theory!CH14</f>
        <v>0</v>
      </c>
      <c r="CX13" s="264">
        <f>Theory!CI14</f>
        <v>0</v>
      </c>
      <c r="CY13" s="264">
        <f>Theory!CJ14</f>
        <v>10</v>
      </c>
      <c r="CZ13" s="264">
        <f>Theory!CK14</f>
        <v>0</v>
      </c>
      <c r="DA13" s="264">
        <f>Theory!CL14</f>
        <v>0</v>
      </c>
      <c r="DB13" s="264">
        <f>Theory!CM14</f>
        <v>0</v>
      </c>
      <c r="DC13" s="264">
        <f>MAX(SUM(CU13:CX13),SUM(CY13:DB13))</f>
        <v>10</v>
      </c>
      <c r="DD13" s="264">
        <f>Theory!CN14</f>
        <v>10</v>
      </c>
      <c r="DE13" s="264">
        <f>Theory!CO14</f>
        <v>0</v>
      </c>
      <c r="DF13" s="264">
        <f>Theory!CP14</f>
        <v>0</v>
      </c>
      <c r="DG13" s="264">
        <f>Theory!CQ14</f>
        <v>0</v>
      </c>
      <c r="DH13" s="264">
        <f>Theory!CR14</f>
        <v>10</v>
      </c>
      <c r="DI13" s="264">
        <f>Theory!CS14</f>
        <v>0</v>
      </c>
      <c r="DJ13" s="264">
        <f>Theory!CT14</f>
        <v>0</v>
      </c>
      <c r="DK13" s="264">
        <f>Theory!CU14</f>
        <v>0</v>
      </c>
      <c r="DL13" s="264">
        <f>MAX(SUM(DD13:DG13),SUM(DH13:DK13))</f>
        <v>10</v>
      </c>
      <c r="DM13" s="265">
        <f t="shared" ref="DM13:DM76" si="2">SUM(CF13,CK13,CT13,DC13,DL13)</f>
        <v>50</v>
      </c>
      <c r="DN13" s="387">
        <f>AO13</f>
        <v>50</v>
      </c>
      <c r="DO13" s="387">
        <f>CA13</f>
        <v>50</v>
      </c>
      <c r="DP13" s="387">
        <f>DM13</f>
        <v>50</v>
      </c>
      <c r="DQ13" s="388">
        <f>ROUND(30*DN13/50,0)</f>
        <v>30</v>
      </c>
      <c r="DR13" s="388">
        <f>ROUND(30*DO13/50,0)</f>
        <v>30</v>
      </c>
      <c r="DS13" s="388">
        <f>ROUND(30*DP13/50,0)</f>
        <v>30</v>
      </c>
      <c r="DT13" s="328">
        <f>ROUND(AVERAGE(DQ13:DS13),0)</f>
        <v>30</v>
      </c>
      <c r="DU13" s="266">
        <f>Theory!CV14</f>
        <v>10</v>
      </c>
      <c r="DV13" s="266">
        <f>Theory!CW14</f>
        <v>10</v>
      </c>
      <c r="DW13" s="329">
        <f>SUM(DU13:DV13)</f>
        <v>20</v>
      </c>
      <c r="DX13" s="266">
        <f t="shared" ref="DX13:DX76" si="3">SUM(DT13:DV13)</f>
        <v>50</v>
      </c>
      <c r="DY13" s="266">
        <f t="shared" ref="DY13:DY77" si="4">ROUND((30*DX13/50),0)</f>
        <v>30</v>
      </c>
      <c r="DZ13" s="266">
        <f>Lab!D6</f>
        <v>0</v>
      </c>
      <c r="EA13" s="266">
        <f>Lab!E6</f>
        <v>0</v>
      </c>
      <c r="EB13" s="266">
        <f>Lab!F6</f>
        <v>0</v>
      </c>
      <c r="EC13" s="329">
        <f>SUM(DZ13:EB13)</f>
        <v>0</v>
      </c>
      <c r="ED13" s="267">
        <f>Lab!G6</f>
        <v>0</v>
      </c>
      <c r="EE13" s="267">
        <f>Lab!H6</f>
        <v>0</v>
      </c>
      <c r="EF13" s="267">
        <f>Lab!I6</f>
        <v>0</v>
      </c>
      <c r="EG13" s="330">
        <f>SUM(ED13:EF13)</f>
        <v>0</v>
      </c>
      <c r="EH13" s="267">
        <f>SUM(EC13,EG13)</f>
        <v>0</v>
      </c>
      <c r="EI13" s="267">
        <f>ROUND((20*EH13/50),0)</f>
        <v>0</v>
      </c>
      <c r="EJ13" s="267">
        <f t="shared" ref="EJ13:EJ76" si="5">SUM(DY13,EI13)</f>
        <v>30</v>
      </c>
      <c r="EK13" s="267">
        <f>Theory!DC14</f>
        <v>50</v>
      </c>
      <c r="EM13" s="386">
        <v>12</v>
      </c>
      <c r="EN13" s="386">
        <v>24</v>
      </c>
      <c r="EO13" s="386">
        <v>40</v>
      </c>
      <c r="EP13" s="386">
        <v>52</v>
      </c>
      <c r="EQ13" s="386">
        <v>12</v>
      </c>
      <c r="ER13" s="386">
        <v>40</v>
      </c>
      <c r="ES13" s="386">
        <v>12</v>
      </c>
      <c r="ET13" s="386">
        <f>SUM(ER13:ES13)</f>
        <v>52</v>
      </c>
    </row>
    <row r="14" spans="1:162" ht="24.75" customHeight="1" thickBot="1" x14ac:dyDescent="0.35">
      <c r="A14" s="64">
        <v>1</v>
      </c>
      <c r="B14" s="17" t="str">
        <f>Theory!C17</f>
        <v>ADITHYA N AWATI</v>
      </c>
      <c r="C14" s="16" t="str">
        <f>Theory!B17</f>
        <v>1DS21AI001</v>
      </c>
      <c r="D14" s="334">
        <f>VLOOKUP(C14,Theory!B17:D83,3,FALSE)</f>
        <v>9</v>
      </c>
      <c r="E14" s="334">
        <f>VLOOKUP(C14,Theory!B17:E83,4,FALSE)</f>
        <v>0</v>
      </c>
      <c r="F14" s="334">
        <f>VLOOKUP(C14,Theory!B17:F83,5,FALSE)</f>
        <v>0</v>
      </c>
      <c r="G14" s="334">
        <f>VLOOKUP(C14,Theory!B17:G83,6,FALSE)</f>
        <v>0</v>
      </c>
      <c r="H14" s="335">
        <f t="shared" ref="H14:H78" si="6">SUM(D14:G14)</f>
        <v>9</v>
      </c>
      <c r="I14" s="338">
        <f>VLOOKUP(C14,Theory!B17:H83,7,FALSE)</f>
        <v>8</v>
      </c>
      <c r="J14" s="337">
        <f>VLOOKUP(C14,Theory!B17:I83,8,FALSE)</f>
        <v>0</v>
      </c>
      <c r="K14" s="337">
        <f>VLOOKUP(C14,Theory!B17:J83,9,FALSE)</f>
        <v>0</v>
      </c>
      <c r="L14" s="337">
        <f>VLOOKUP(C14,Theory!B17:K83,10,FALSE)</f>
        <v>0</v>
      </c>
      <c r="M14" s="335">
        <f t="shared" ref="M14:M77" si="7">SUM(I14:L14)</f>
        <v>8</v>
      </c>
      <c r="N14" s="336">
        <f>VLOOKUP(C14,Theory!B17:L83,11,FALSE)</f>
        <v>8</v>
      </c>
      <c r="O14" s="336">
        <f>VLOOKUP(C14,Theory!B17:M83,12,FALSE)</f>
        <v>0</v>
      </c>
      <c r="P14" s="336">
        <f>VLOOKUP(C14,Theory!B17:N83,13,FALSE)</f>
        <v>0</v>
      </c>
      <c r="Q14" s="336">
        <f>VLOOKUP(C14,Theory!B17:O83,14,FALSE)</f>
        <v>0</v>
      </c>
      <c r="R14" s="337">
        <f>VLOOKUP(C14,Theory!B17:P83,15,FALSE)</f>
        <v>0</v>
      </c>
      <c r="S14" s="337">
        <f>VLOOKUP(C14,Theory!B17:Q83,16,FALSE)</f>
        <v>0</v>
      </c>
      <c r="T14" s="337">
        <f>VLOOKUP(C14,Theory!B17:R83,17,FALSE)</f>
        <v>0</v>
      </c>
      <c r="U14" s="337">
        <f>VLOOKUP(C14,Theory!B17:S83,18,FALSE)</f>
        <v>0</v>
      </c>
      <c r="V14" s="335">
        <f t="shared" ref="V14:V77" si="8">MAX(SUM(N14:Q14),SUM(R14:U14))</f>
        <v>8</v>
      </c>
      <c r="W14" s="334">
        <f>VLOOKUP(C14,Theory!B17:T83,19,FALSE)</f>
        <v>8</v>
      </c>
      <c r="X14" s="334">
        <f>VLOOKUP(C14,Theory!B17:U83,20,FALSE)</f>
        <v>0</v>
      </c>
      <c r="Y14" s="334">
        <f>VLOOKUP(C14,Theory!B17:V83,21,FALSE)</f>
        <v>0</v>
      </c>
      <c r="Z14" s="334">
        <f>VLOOKUP(C14,Theory!B17:W83,22,FALSE)</f>
        <v>0</v>
      </c>
      <c r="AA14" s="338">
        <f>VLOOKUP(C14,Theory!B17:X83,23,FALSE)</f>
        <v>0</v>
      </c>
      <c r="AB14" s="338">
        <f>VLOOKUP(C14,Theory!B17:Y83,24,FALSE)</f>
        <v>0</v>
      </c>
      <c r="AC14" s="338">
        <f>VLOOKUP(C14,Theory!B17:Z83,25,FALSE)</f>
        <v>0</v>
      </c>
      <c r="AD14" s="338">
        <f>VLOOKUP(C14,Theory!B17:AA83,26,FALSE)</f>
        <v>0</v>
      </c>
      <c r="AE14" s="335">
        <f t="shared" ref="AE14:AE77" si="9">MAX(SUM(W14:Z14),SUM(AA14:AD14))</f>
        <v>8</v>
      </c>
      <c r="AF14" s="334">
        <f>VLOOKUP(C14,Theory!B17:AB83,27,FALSE)</f>
        <v>9</v>
      </c>
      <c r="AG14" s="334">
        <f>VLOOKUP(C14,Theory!B17:AC83,28,FALSE)</f>
        <v>0</v>
      </c>
      <c r="AH14" s="334">
        <f>VLOOKUP(C14,Theory!B17:AD83,29,FALSE)</f>
        <v>0</v>
      </c>
      <c r="AI14" s="334">
        <f>VLOOKUP(C14,Theory!B17:AE83,30,FALSE)</f>
        <v>0</v>
      </c>
      <c r="AJ14" s="339">
        <f>VLOOKUP(C14,Theory!B17:AF83,31,FALSE)</f>
        <v>0</v>
      </c>
      <c r="AK14" s="339">
        <f>VLOOKUP(C14,Theory!B17:AG83,32,FALSE)</f>
        <v>0</v>
      </c>
      <c r="AL14" s="339">
        <f>VLOOKUP(C14,Theory!B17:AH83,33,FALSE)</f>
        <v>0</v>
      </c>
      <c r="AM14" s="339">
        <f>VLOOKUP(C14,Theory!B17:AI83,34,FALSE)</f>
        <v>0</v>
      </c>
      <c r="AN14" s="335">
        <f t="shared" ref="AN14:AN77" si="10">MAX(SUM(AF14:AI14),SUM(AJ14:AM14))</f>
        <v>9</v>
      </c>
      <c r="AO14" s="333">
        <f t="shared" si="0"/>
        <v>42</v>
      </c>
      <c r="AP14" s="340">
        <f>VLOOKUP(C14,Theory!B17:AJ83,35,FALSE)</f>
        <v>9</v>
      </c>
      <c r="AQ14" s="340">
        <f>VLOOKUP(C14,Theory!B17:AK83,36,FALSE)</f>
        <v>0</v>
      </c>
      <c r="AR14" s="340">
        <f>VLOOKUP(C14,Theory!B17:AL83,37,FALSE)</f>
        <v>0</v>
      </c>
      <c r="AS14" s="340">
        <f>VLOOKUP(C14,Theory!B17:AM83,38,FALSE)</f>
        <v>0</v>
      </c>
      <c r="AT14" s="335">
        <f t="shared" ref="AT14:AT77" si="11">SUM(AP14:AS14)</f>
        <v>9</v>
      </c>
      <c r="AU14" s="340">
        <f>VLOOKUP(C14,Theory!B17:AN83,39,FALSE)</f>
        <v>9</v>
      </c>
      <c r="AV14" s="340">
        <f>VLOOKUP(C14,Theory!B17:AO83,40,FALSE)</f>
        <v>0</v>
      </c>
      <c r="AW14" s="340">
        <f>VLOOKUP(C14,Theory!B17:AP83,41,FALSE)</f>
        <v>0</v>
      </c>
      <c r="AX14" s="340">
        <f>VLOOKUP(C14,Theory!B17:AQ83,42,FALSE)</f>
        <v>0</v>
      </c>
      <c r="AY14" s="335">
        <f t="shared" ref="AY14:AY77" si="12">SUM(AU14:AX14)</f>
        <v>9</v>
      </c>
      <c r="AZ14" s="340">
        <f>VLOOKUP(C14,Theory!B17:AR83,43,FALSE)</f>
        <v>9</v>
      </c>
      <c r="BA14" s="340">
        <f>VLOOKUP(C14,Theory!B17:AS83,44,FALSE)</f>
        <v>0</v>
      </c>
      <c r="BB14" s="340">
        <f>VLOOKUP(C14,Theory!B17:AT83,45,FALSE)</f>
        <v>0</v>
      </c>
      <c r="BC14" s="340">
        <f>VLOOKUP(C14,Theory!B17:AU83,46,FALSE)</f>
        <v>0</v>
      </c>
      <c r="BD14" s="340">
        <f>VLOOKUP(C14,Theory!B17:AV83,47,FALSE)</f>
        <v>0</v>
      </c>
      <c r="BE14" s="340">
        <f>VLOOKUP(C14,Theory!B17:AW83,48,FALSE)</f>
        <v>0</v>
      </c>
      <c r="BF14" s="340">
        <f>VLOOKUP(C14,Theory!B17:AX83,49,FALSE)</f>
        <v>0</v>
      </c>
      <c r="BG14" s="340">
        <f>VLOOKUP(C14,Theory!B17:AY83,50,FALSE)</f>
        <v>0</v>
      </c>
      <c r="BH14" s="335">
        <f t="shared" ref="BH14:BH77" si="13">MAX(SUM(AZ14:BC14),SUM(BD14:BG14))</f>
        <v>9</v>
      </c>
      <c r="BI14" s="340">
        <f>VLOOKUP(C14,Theory!B17:AZ83,51,FALSE)</f>
        <v>8</v>
      </c>
      <c r="BJ14" s="340">
        <f>VLOOKUP(C14,Theory!B17:BA83,52,FALSE)</f>
        <v>0</v>
      </c>
      <c r="BK14" s="340">
        <f>VLOOKUP(C14,Theory!B17:BB83,53,FALSE)</f>
        <v>0</v>
      </c>
      <c r="BL14" s="340">
        <f>VLOOKUP(C14,Theory!B17:BC83,54,FALSE)</f>
        <v>0</v>
      </c>
      <c r="BM14" s="340">
        <f>VLOOKUP(C14,Theory!B17:BD83,55,FALSE)</f>
        <v>0</v>
      </c>
      <c r="BN14" s="340">
        <f>VLOOKUP(C14,Theory!B17:BE83,56,FALSE)</f>
        <v>0</v>
      </c>
      <c r="BO14" s="340">
        <f>VLOOKUP(C14,Theory!B17:BF83,57,FALSE)</f>
        <v>0</v>
      </c>
      <c r="BP14" s="340">
        <f>VLOOKUP(C14,Theory!B17:BG83,58,FALSE)</f>
        <v>0</v>
      </c>
      <c r="BQ14" s="335">
        <f t="shared" ref="BQ14:BQ77" si="14">MAX(SUM(BI14:BL14),SUM(BM14:BP14))</f>
        <v>8</v>
      </c>
      <c r="BR14" s="340">
        <f>VLOOKUP(C14,Theory!B17:BH83,59,FALSE)</f>
        <v>10</v>
      </c>
      <c r="BS14" s="340">
        <f>VLOOKUP(C14,Theory!B17:BI83,60,FALSE)</f>
        <v>0</v>
      </c>
      <c r="BT14" s="340">
        <f>VLOOKUP(C14,Theory!B17:BJ83,61,FALSE)</f>
        <v>0</v>
      </c>
      <c r="BU14" s="340">
        <f>VLOOKUP(C14,Theory!B17:BK83,62,FALSE)</f>
        <v>0</v>
      </c>
      <c r="BV14" s="340">
        <f>VLOOKUP(C14,Theory!B17:BL83,63,FALSE)</f>
        <v>0</v>
      </c>
      <c r="BW14" s="340">
        <f>VLOOKUP(C14,Theory!B17:BM83,64,FALSE)</f>
        <v>0</v>
      </c>
      <c r="BX14" s="340">
        <f>VLOOKUP(C14,Theory!B17:BN83,65,FALSE)</f>
        <v>0</v>
      </c>
      <c r="BY14" s="340">
        <f>VLOOKUP(C14,Theory!B17:BO83,66,FALSE)</f>
        <v>0</v>
      </c>
      <c r="BZ14" s="335">
        <f t="shared" ref="BZ14:BZ77" si="15">MAX(SUM(BR14:BU14),SUM(BV14:BY14))</f>
        <v>10</v>
      </c>
      <c r="CA14" s="333">
        <f t="shared" si="1"/>
        <v>45</v>
      </c>
      <c r="CB14" s="340">
        <f>VLOOKUP(C14,Theory!B17:BP83,67,FALSE)</f>
        <v>7</v>
      </c>
      <c r="CC14" s="340">
        <f>VLOOKUP(C14,Theory!B17:BQ83,68,FALSE)</f>
        <v>0</v>
      </c>
      <c r="CD14" s="340">
        <f>VLOOKUP(C14,Theory!B17:BR83,69,FALSE)</f>
        <v>0</v>
      </c>
      <c r="CE14" s="340">
        <f>VLOOKUP(C14,Theory!B17:BS83,70,FALSE)</f>
        <v>0</v>
      </c>
      <c r="CF14" s="335">
        <f t="shared" ref="CF14:CF78" si="16">SUM(CB14:CE14)</f>
        <v>7</v>
      </c>
      <c r="CG14" s="341">
        <f>VLOOKUP(C14,Theory!B17:BT83,71,FALSE)</f>
        <v>9</v>
      </c>
      <c r="CH14" s="341">
        <f>VLOOKUP(C14,Theory!B17:BU83,72,FALSE)</f>
        <v>0</v>
      </c>
      <c r="CI14" s="341">
        <f>VLOOKUP(C14,Theory!B17:BV83,73,FALSE)</f>
        <v>0</v>
      </c>
      <c r="CJ14" s="341">
        <f>VLOOKUP(C14,Theory!B17:BW83,74,FALSE)</f>
        <v>0</v>
      </c>
      <c r="CK14" s="335">
        <f t="shared" ref="CK14:CK77" si="17">SUM(CG14:CJ14)</f>
        <v>9</v>
      </c>
      <c r="CL14" s="340">
        <f>VLOOKUP(C14,Theory!B17:BX83,75,FALSE)</f>
        <v>10</v>
      </c>
      <c r="CM14" s="342">
        <f>VLOOKUP(C14,Theory!B17:BY83,76,FALSE)</f>
        <v>0</v>
      </c>
      <c r="CN14" s="342">
        <f>VLOOKUP(C14,Theory!B17:BZ83,77,FALSE)</f>
        <v>0</v>
      </c>
      <c r="CO14" s="342">
        <f>VLOOKUP(C14,Theory!B17:CA83,78,FALSE)</f>
        <v>0</v>
      </c>
      <c r="CP14" s="340">
        <f>VLOOKUP(C14,Theory!B17:CB83,79,FALSE)</f>
        <v>0</v>
      </c>
      <c r="CQ14" s="340">
        <f>VLOOKUP(C14,Theory!B17:CC83,80,FALSE)</f>
        <v>0</v>
      </c>
      <c r="CR14" s="340">
        <f>VLOOKUP(C14,Theory!B17:CD83,81,FALSE)</f>
        <v>0</v>
      </c>
      <c r="CS14" s="340">
        <f>VLOOKUP(C14,Theory!B17:CE83,82,FALSE)</f>
        <v>0</v>
      </c>
      <c r="CT14" s="335">
        <f t="shared" ref="CT14:CT77" si="18">MAX(SUM(CL14:CO14),SUM(CP14:CS14))</f>
        <v>10</v>
      </c>
      <c r="CU14" s="341">
        <f>VLOOKUP(C14,Theory!B17:CF83,83,FALSE)</f>
        <v>9</v>
      </c>
      <c r="CV14" s="342">
        <f>VLOOKUP(C14,Theory!B17:CG83,84,FALSE)</f>
        <v>0</v>
      </c>
      <c r="CW14" s="342">
        <f>VLOOKUP(C14,Theory!B17:CH83,85,FALSE)</f>
        <v>0</v>
      </c>
      <c r="CX14" s="342">
        <f>VLOOKUP(C14,Theory!B17:CI83,86,FALSE)</f>
        <v>0</v>
      </c>
      <c r="CY14" s="341">
        <f>VLOOKUP(C14,Theory!B17:CJ83,87,FALSE)</f>
        <v>0</v>
      </c>
      <c r="CZ14" s="341">
        <f>VLOOKUP(C14,Theory!B17:CK83,88,FALSE)</f>
        <v>0</v>
      </c>
      <c r="DA14" s="341">
        <f>VLOOKUP(C14,Theory!B17:CL83,89,FALSE)</f>
        <v>0</v>
      </c>
      <c r="DB14" s="341">
        <f>VLOOKUP(C14,Theory!B17:CM83,90,FALSE)</f>
        <v>0</v>
      </c>
      <c r="DC14" s="335">
        <f t="shared" ref="DC14:DC77" si="19">MAX(SUM(CU14:CX14),SUM(CY14:DB14))</f>
        <v>9</v>
      </c>
      <c r="DD14" s="340">
        <f>VLOOKUP(C14,Theory!B17:CN83,91,FALSE)</f>
        <v>8</v>
      </c>
      <c r="DE14" s="342">
        <f>VLOOKUP(C14,Theory!B17:CO83,92,FALSE)</f>
        <v>0</v>
      </c>
      <c r="DF14" s="342">
        <f>VLOOKUP(C14,Theory!B17:CP83,93,FALSE)</f>
        <v>0</v>
      </c>
      <c r="DG14" s="342">
        <f>VLOOKUP(C14,Theory!B17:CQ83,94,FALSE)</f>
        <v>0</v>
      </c>
      <c r="DH14" s="340">
        <f>VLOOKUP(C14,Theory!B17:CR83,95,FALSE)</f>
        <v>0</v>
      </c>
      <c r="DI14" s="340">
        <f>VLOOKUP(C14,Theory!B17:CS83,96,FALSE)</f>
        <v>0</v>
      </c>
      <c r="DJ14" s="340">
        <f>VLOOKUP(C14,Theory!B17:CT83,97,FALSE)</f>
        <v>0</v>
      </c>
      <c r="DK14" s="340">
        <f>VLOOKUP(C14,Theory!B17:CU83,98,FALSE)</f>
        <v>0</v>
      </c>
      <c r="DL14" s="335">
        <f t="shared" ref="DL14:DL77" si="20">MAX(SUM(DD14:DG14),SUM(DH14:DK14))</f>
        <v>8</v>
      </c>
      <c r="DM14" s="265">
        <f t="shared" si="2"/>
        <v>43</v>
      </c>
      <c r="DN14" s="362">
        <f t="shared" ref="DN14" si="21">AO14</f>
        <v>42</v>
      </c>
      <c r="DO14" s="362">
        <f t="shared" ref="DO14" si="22">CA14</f>
        <v>45</v>
      </c>
      <c r="DP14" s="362">
        <f t="shared" ref="DP14" si="23">DM14</f>
        <v>43</v>
      </c>
      <c r="DQ14" s="343">
        <f t="shared" ref="DQ14" si="24">ROUND(30*DN14/50,0)</f>
        <v>25</v>
      </c>
      <c r="DR14" s="343">
        <f t="shared" ref="DR14" si="25">ROUND(30*DO14/50,0)</f>
        <v>27</v>
      </c>
      <c r="DS14" s="343">
        <f t="shared" ref="DS14" si="26">ROUND(30*DP14/50,0)</f>
        <v>26</v>
      </c>
      <c r="DT14" s="328">
        <f>ROUND(AVERAGE(DQ14:DS14),0)</f>
        <v>26</v>
      </c>
      <c r="DU14" s="326">
        <f>VLOOKUP(C14,Theory!B17:CV83,99,FALSE)</f>
        <v>10</v>
      </c>
      <c r="DV14" s="326">
        <f>VLOOKUP(C14,Theory!B17:CW83,100,FALSE)</f>
        <v>5</v>
      </c>
      <c r="DW14" s="331">
        <f t="shared" ref="DW14:DW77" si="27">SUM(DU14:DV14)</f>
        <v>15</v>
      </c>
      <c r="DX14" s="266">
        <f t="shared" si="3"/>
        <v>41</v>
      </c>
      <c r="DY14" s="363">
        <f t="shared" si="4"/>
        <v>25</v>
      </c>
      <c r="DZ14" s="344">
        <f>VLOOKUP(C14,Lab!B9:D78,3,FALSE)</f>
        <v>0</v>
      </c>
      <c r="EA14" s="345">
        <f>VLOOKUP(C14,Lab!B9:E78,4,FALSE)</f>
        <v>0</v>
      </c>
      <c r="EB14" s="345">
        <f>VLOOKUP(C14,Lab!B9:F78,5,FALSE)</f>
        <v>0</v>
      </c>
      <c r="EC14" s="329">
        <f>SUM(DZ14:EB14)</f>
        <v>0</v>
      </c>
      <c r="ED14" s="346">
        <f>VLOOKUP(C14,Lab!B9:G78,6,FALSE)</f>
        <v>0</v>
      </c>
      <c r="EE14" s="346">
        <f>VLOOKUP(C14,Lab!B9:H78,7,FALSE)</f>
        <v>0</v>
      </c>
      <c r="EF14" s="347">
        <f>VLOOKUP(C14,Lab!B9:I78,8,FALSE)</f>
        <v>0</v>
      </c>
      <c r="EG14" s="330">
        <f>SUM(ED14:EF14)</f>
        <v>0</v>
      </c>
      <c r="EH14" s="390">
        <f t="shared" ref="EH14:EH77" si="28">SUM(EC14,EG14)</f>
        <v>0</v>
      </c>
      <c r="EI14" s="349">
        <f t="shared" ref="EI14:EI77" si="29">ROUND((20*EH14/50),0)</f>
        <v>0</v>
      </c>
      <c r="EJ14" s="391">
        <f t="shared" si="5"/>
        <v>25</v>
      </c>
      <c r="EK14" s="258" cm="1">
        <f t="array" ref="EK14:EK80">IF(D$8="YES",Lab!K9:K78,Theory!DC17:DC83)</f>
        <v>42</v>
      </c>
      <c r="EM14" s="350">
        <f>VLOOKUP(C14,Theory!B17:DL83,114,FALSE)</f>
        <v>0</v>
      </c>
      <c r="EN14" s="350">
        <f>VLOOKUP(C14,Theory!B17:DM83,115,FALSE)</f>
        <v>0</v>
      </c>
      <c r="EO14" s="350">
        <f>VLOOKUP(C14,Theory!B17:DN83,116,FALSE)</f>
        <v>0</v>
      </c>
      <c r="EP14" s="350">
        <f>VLOOKUP(C14,Theory!B17:DO83,117,FALSE)</f>
        <v>0</v>
      </c>
      <c r="EQ14" s="350">
        <f>VLOOKUP(C14,Theory!B17:DP83,118,FALSE)</f>
        <v>0</v>
      </c>
      <c r="ER14" s="351">
        <f>VLOOKUP(C14,Theory!B17:DQ83,119,FALSE)</f>
        <v>0</v>
      </c>
      <c r="ES14" s="327">
        <f>VLOOKUP(C14,Theory!B17:DR83,120,FALSE)</f>
        <v>0</v>
      </c>
      <c r="ET14" s="348">
        <f>SUM(ER14:ES14)</f>
        <v>0</v>
      </c>
      <c r="EU14" s="352"/>
      <c r="EV14" s="352"/>
      <c r="EW14" s="352"/>
      <c r="EX14" s="352"/>
      <c r="EY14" s="352"/>
      <c r="EZ14" s="352"/>
      <c r="FA14" s="352"/>
      <c r="FB14" s="352"/>
      <c r="FC14" s="352"/>
      <c r="FD14" s="352"/>
    </row>
    <row r="15" spans="1:162" ht="16.2" thickBot="1" x14ac:dyDescent="0.35">
      <c r="A15" s="64">
        <v>2</v>
      </c>
      <c r="B15" s="17" t="str">
        <f>Theory!C18</f>
        <v>AMIT A</v>
      </c>
      <c r="C15" s="16" t="str">
        <f>Theory!B18</f>
        <v>1DS21AI002</v>
      </c>
      <c r="D15" s="334">
        <f>VLOOKUP(C15,Theory!B18:D84,3,FALSE)</f>
        <v>9</v>
      </c>
      <c r="E15" s="334">
        <f>VLOOKUP(C15,Theory!B18:E84,4,FALSE)</f>
        <v>0</v>
      </c>
      <c r="F15" s="334">
        <f>VLOOKUP(C15,Theory!B18:F84,5,FALSE)</f>
        <v>0</v>
      </c>
      <c r="G15" s="334">
        <f>VLOOKUP(C15,Theory!B18:G84,6,FALSE)</f>
        <v>0</v>
      </c>
      <c r="H15" s="335">
        <f t="shared" si="6"/>
        <v>9</v>
      </c>
      <c r="I15" s="338">
        <f>VLOOKUP(C15,Theory!B18:H84,7,FALSE)</f>
        <v>9</v>
      </c>
      <c r="J15" s="337">
        <f>VLOOKUP(C15,Theory!B18:I84,8,FALSE)</f>
        <v>0</v>
      </c>
      <c r="K15" s="337">
        <f>VLOOKUP(C15,Theory!B18:J84,9,FALSE)</f>
        <v>0</v>
      </c>
      <c r="L15" s="337">
        <f>VLOOKUP(C15,Theory!B18:K84,10,FALSE)</f>
        <v>0</v>
      </c>
      <c r="M15" s="335">
        <f t="shared" si="7"/>
        <v>9</v>
      </c>
      <c r="N15" s="336">
        <f>VLOOKUP(C15,Theory!B18:L84,11,FALSE)</f>
        <v>10</v>
      </c>
      <c r="O15" s="336">
        <f>VLOOKUP(C15,Theory!B18:M84,12,FALSE)</f>
        <v>0</v>
      </c>
      <c r="P15" s="336">
        <f>VLOOKUP(C15,Theory!B18:N84,13,FALSE)</f>
        <v>0</v>
      </c>
      <c r="Q15" s="336">
        <f>VLOOKUP(C15,Theory!B18:O84,14,FALSE)</f>
        <v>0</v>
      </c>
      <c r="R15" s="337">
        <f>VLOOKUP(C15,Theory!B18:P84,15,FALSE)</f>
        <v>0</v>
      </c>
      <c r="S15" s="337">
        <f>VLOOKUP(C15,Theory!B18:Q84,16,FALSE)</f>
        <v>0</v>
      </c>
      <c r="T15" s="337">
        <f>VLOOKUP(C15,Theory!B18:R84,17,FALSE)</f>
        <v>0</v>
      </c>
      <c r="U15" s="337">
        <f>VLOOKUP(C15,Theory!B18:S84,18,FALSE)</f>
        <v>0</v>
      </c>
      <c r="V15" s="335">
        <f t="shared" si="8"/>
        <v>10</v>
      </c>
      <c r="W15" s="334">
        <f>VLOOKUP(C15,Theory!B18:T84,19,FALSE)</f>
        <v>10</v>
      </c>
      <c r="X15" s="334">
        <f>VLOOKUP(C15,Theory!B18:U84,20,FALSE)</f>
        <v>0</v>
      </c>
      <c r="Y15" s="334">
        <f>VLOOKUP(C15,Theory!B18:V84,21,FALSE)</f>
        <v>0</v>
      </c>
      <c r="Z15" s="334">
        <f>VLOOKUP(C15,Theory!B18:W84,22,FALSE)</f>
        <v>0</v>
      </c>
      <c r="AA15" s="338">
        <f>VLOOKUP(C15,Theory!B18:X84,23,FALSE)</f>
        <v>0</v>
      </c>
      <c r="AB15" s="338">
        <f>VLOOKUP(C15,Theory!B18:Y84,24,FALSE)</f>
        <v>0</v>
      </c>
      <c r="AC15" s="338">
        <f>VLOOKUP(C15,Theory!B18:Z84,25,FALSE)</f>
        <v>0</v>
      </c>
      <c r="AD15" s="338">
        <f>VLOOKUP(C15,Theory!B18:AA84,26,FALSE)</f>
        <v>0</v>
      </c>
      <c r="AE15" s="335">
        <f t="shared" si="9"/>
        <v>10</v>
      </c>
      <c r="AF15" s="334">
        <f>VLOOKUP(C15,Theory!B18:AB84,27,FALSE)</f>
        <v>10</v>
      </c>
      <c r="AG15" s="334">
        <f>VLOOKUP(C15,Theory!B18:AC84,28,FALSE)</f>
        <v>0</v>
      </c>
      <c r="AH15" s="334">
        <f>VLOOKUP(C15,Theory!B18:AD84,29,FALSE)</f>
        <v>0</v>
      </c>
      <c r="AI15" s="334">
        <f>VLOOKUP(C15,Theory!B18:AE84,30,FALSE)</f>
        <v>0</v>
      </c>
      <c r="AJ15" s="339">
        <f>VLOOKUP(C15,Theory!B18:AF84,31,FALSE)</f>
        <v>0</v>
      </c>
      <c r="AK15" s="339">
        <f>VLOOKUP(C15,Theory!B18:AG84,32,FALSE)</f>
        <v>0</v>
      </c>
      <c r="AL15" s="339">
        <f>VLOOKUP(C15,Theory!B18:AH84,33,FALSE)</f>
        <v>0</v>
      </c>
      <c r="AM15" s="339">
        <f>VLOOKUP(C15,Theory!B18:AI84,34,FALSE)</f>
        <v>0</v>
      </c>
      <c r="AN15" s="335">
        <f t="shared" si="10"/>
        <v>10</v>
      </c>
      <c r="AO15" s="333">
        <f t="shared" si="0"/>
        <v>48</v>
      </c>
      <c r="AP15" s="340">
        <f>VLOOKUP(C15,Theory!B18:AJ84,35,FALSE)</f>
        <v>9</v>
      </c>
      <c r="AQ15" s="340">
        <f>VLOOKUP(C15,Theory!B18:AK84,36,FALSE)</f>
        <v>0</v>
      </c>
      <c r="AR15" s="340">
        <f>VLOOKUP(C15,Theory!B18:AL84,37,FALSE)</f>
        <v>0</v>
      </c>
      <c r="AS15" s="340">
        <f>VLOOKUP(C15,Theory!B18:AM84,38,FALSE)</f>
        <v>0</v>
      </c>
      <c r="AT15" s="335">
        <f t="shared" si="11"/>
        <v>9</v>
      </c>
      <c r="AU15" s="340">
        <f>VLOOKUP(C15,Theory!B18:AN84,39,FALSE)</f>
        <v>9</v>
      </c>
      <c r="AV15" s="340">
        <f>VLOOKUP(C15,Theory!B18:AO84,40,FALSE)</f>
        <v>0</v>
      </c>
      <c r="AW15" s="340">
        <f>VLOOKUP(C15,Theory!B18:AP84,41,FALSE)</f>
        <v>0</v>
      </c>
      <c r="AX15" s="340">
        <f>VLOOKUP(C15,Theory!B18:AQ84,42,FALSE)</f>
        <v>0</v>
      </c>
      <c r="AY15" s="335">
        <f t="shared" si="12"/>
        <v>9</v>
      </c>
      <c r="AZ15" s="340">
        <f>VLOOKUP(C15,Theory!B18:AR84,43,FALSE)</f>
        <v>10</v>
      </c>
      <c r="BA15" s="340">
        <f>VLOOKUP(C15,Theory!B18:AS84,44,FALSE)</f>
        <v>0</v>
      </c>
      <c r="BB15" s="340">
        <f>VLOOKUP(C15,Theory!B18:AT84,45,FALSE)</f>
        <v>0</v>
      </c>
      <c r="BC15" s="340">
        <f>VLOOKUP(C15,Theory!B18:AU84,46,FALSE)</f>
        <v>0</v>
      </c>
      <c r="BD15" s="340">
        <f>VLOOKUP(C15,Theory!B18:AV84,47,FALSE)</f>
        <v>0</v>
      </c>
      <c r="BE15" s="340">
        <f>VLOOKUP(C15,Theory!B18:AW84,48,FALSE)</f>
        <v>0</v>
      </c>
      <c r="BF15" s="340">
        <f>VLOOKUP(C15,Theory!B18:AX84,49,FALSE)</f>
        <v>0</v>
      </c>
      <c r="BG15" s="340">
        <f>VLOOKUP(C15,Theory!B18:AY84,50,FALSE)</f>
        <v>0</v>
      </c>
      <c r="BH15" s="335">
        <f t="shared" si="13"/>
        <v>10</v>
      </c>
      <c r="BI15" s="340">
        <f>VLOOKUP(C15,Theory!B18:AZ84,51,FALSE)</f>
        <v>8</v>
      </c>
      <c r="BJ15" s="340">
        <f>VLOOKUP(C15,Theory!B18:BA84,52,FALSE)</f>
        <v>0</v>
      </c>
      <c r="BK15" s="340">
        <f>VLOOKUP(C15,Theory!B18:BB84,53,FALSE)</f>
        <v>0</v>
      </c>
      <c r="BL15" s="340">
        <f>VLOOKUP(C15,Theory!B18:BC84,54,FALSE)</f>
        <v>0</v>
      </c>
      <c r="BM15" s="340">
        <f>VLOOKUP(C15,Theory!B18:BD84,55,FALSE)</f>
        <v>0</v>
      </c>
      <c r="BN15" s="340">
        <f>VLOOKUP(C15,Theory!B18:BE84,56,FALSE)</f>
        <v>0</v>
      </c>
      <c r="BO15" s="340">
        <f>VLOOKUP(C15,Theory!B18:BF84,57,FALSE)</f>
        <v>0</v>
      </c>
      <c r="BP15" s="340">
        <f>VLOOKUP(C15,Theory!B18:BG84,58,FALSE)</f>
        <v>0</v>
      </c>
      <c r="BQ15" s="335">
        <f t="shared" si="14"/>
        <v>8</v>
      </c>
      <c r="BR15" s="340">
        <f>VLOOKUP(C15,Theory!B18:BH84,59,FALSE)</f>
        <v>9</v>
      </c>
      <c r="BS15" s="340">
        <f>VLOOKUP(C15,Theory!B18:BI84,60,FALSE)</f>
        <v>0</v>
      </c>
      <c r="BT15" s="340">
        <f>VLOOKUP(C15,Theory!B18:BJ84,61,FALSE)</f>
        <v>0</v>
      </c>
      <c r="BU15" s="340">
        <f>VLOOKUP(C15,Theory!B18:BK84,62,FALSE)</f>
        <v>0</v>
      </c>
      <c r="BV15" s="340">
        <f>VLOOKUP(C15,Theory!B18:BL84,63,FALSE)</f>
        <v>0</v>
      </c>
      <c r="BW15" s="340">
        <f>VLOOKUP(C15,Theory!B18:BM84,64,FALSE)</f>
        <v>0</v>
      </c>
      <c r="BX15" s="340">
        <f>VLOOKUP(C15,Theory!B18:BN84,65,FALSE)</f>
        <v>0</v>
      </c>
      <c r="BY15" s="340">
        <f>VLOOKUP(C15,Theory!B18:BO84,66,FALSE)</f>
        <v>0</v>
      </c>
      <c r="BZ15" s="335">
        <f t="shared" si="15"/>
        <v>9</v>
      </c>
      <c r="CA15" s="333">
        <f t="shared" si="1"/>
        <v>45</v>
      </c>
      <c r="CB15" s="340">
        <f>VLOOKUP(C15,Theory!B18:BP84,67,FALSE)</f>
        <v>10</v>
      </c>
      <c r="CC15" s="340">
        <f>VLOOKUP(C15,Theory!B18:BQ84,68,FALSE)</f>
        <v>0</v>
      </c>
      <c r="CD15" s="340">
        <f>VLOOKUP(C15,Theory!B18:BR84,69,FALSE)</f>
        <v>0</v>
      </c>
      <c r="CE15" s="340">
        <f>VLOOKUP(C15,Theory!B18:BS84,70,FALSE)</f>
        <v>0</v>
      </c>
      <c r="CF15" s="335">
        <f t="shared" si="16"/>
        <v>10</v>
      </c>
      <c r="CG15" s="341">
        <f>VLOOKUP(C15,Theory!B18:BT84,71,FALSE)</f>
        <v>9</v>
      </c>
      <c r="CH15" s="341">
        <f>VLOOKUP(C15,Theory!B18:BU84,72,FALSE)</f>
        <v>0</v>
      </c>
      <c r="CI15" s="341">
        <f>VLOOKUP(C15,Theory!B18:BV84,73,FALSE)</f>
        <v>0</v>
      </c>
      <c r="CJ15" s="341">
        <f>VLOOKUP(C15,Theory!B18:BW84,74,FALSE)</f>
        <v>0</v>
      </c>
      <c r="CK15" s="335">
        <f t="shared" si="17"/>
        <v>9</v>
      </c>
      <c r="CL15" s="340">
        <f>VLOOKUP(C15,Theory!B18:BX84,75,FALSE)</f>
        <v>9</v>
      </c>
      <c r="CM15" s="342">
        <f>VLOOKUP(C15,Theory!B18:BY84,76,FALSE)</f>
        <v>0</v>
      </c>
      <c r="CN15" s="342">
        <f>VLOOKUP(C15,Theory!B18:BZ84,77,FALSE)</f>
        <v>0</v>
      </c>
      <c r="CO15" s="342">
        <f>VLOOKUP(C15,Theory!B18:CA84,78,FALSE)</f>
        <v>0</v>
      </c>
      <c r="CP15" s="340">
        <f>VLOOKUP(C15,Theory!B18:CB84,79,FALSE)</f>
        <v>0</v>
      </c>
      <c r="CQ15" s="340">
        <f>VLOOKUP(C15,Theory!B18:CC84,80,FALSE)</f>
        <v>0</v>
      </c>
      <c r="CR15" s="340">
        <f>VLOOKUP(C15,Theory!B18:CD84,81,FALSE)</f>
        <v>0</v>
      </c>
      <c r="CS15" s="340">
        <f>VLOOKUP(C15,Theory!B18:CE84,82,FALSE)</f>
        <v>0</v>
      </c>
      <c r="CT15" s="335">
        <f t="shared" si="18"/>
        <v>9</v>
      </c>
      <c r="CU15" s="341">
        <f>VLOOKUP(C15,Theory!B18:CF84,83,FALSE)</f>
        <v>10</v>
      </c>
      <c r="CV15" s="342">
        <f>VLOOKUP(C15,Theory!B18:CG84,84,FALSE)</f>
        <v>0</v>
      </c>
      <c r="CW15" s="342">
        <f>VLOOKUP(C15,Theory!B18:CH84,85,FALSE)</f>
        <v>0</v>
      </c>
      <c r="CX15" s="342">
        <f>VLOOKUP(C15,Theory!B18:CI84,86,FALSE)</f>
        <v>0</v>
      </c>
      <c r="CY15" s="341">
        <f>VLOOKUP(C15,Theory!B18:CJ84,87,FALSE)</f>
        <v>0</v>
      </c>
      <c r="CZ15" s="341">
        <f>VLOOKUP(C15,Theory!B18:CK84,88,FALSE)</f>
        <v>0</v>
      </c>
      <c r="DA15" s="341">
        <f>VLOOKUP(C15,Theory!B18:CL84,89,FALSE)</f>
        <v>0</v>
      </c>
      <c r="DB15" s="341">
        <f>VLOOKUP(C15,Theory!B18:CM84,90,FALSE)</f>
        <v>0</v>
      </c>
      <c r="DC15" s="335">
        <f t="shared" si="19"/>
        <v>10</v>
      </c>
      <c r="DD15" s="340">
        <f>VLOOKUP(C15,Theory!B18:CN84,91,FALSE)</f>
        <v>0</v>
      </c>
      <c r="DE15" s="342">
        <f>VLOOKUP(C15,Theory!B18:CO84,92,FALSE)</f>
        <v>0</v>
      </c>
      <c r="DF15" s="342">
        <f>VLOOKUP(C15,Theory!B18:CP84,93,FALSE)</f>
        <v>0</v>
      </c>
      <c r="DG15" s="342">
        <f>VLOOKUP(C15,Theory!B18:CQ84,94,FALSE)</f>
        <v>0</v>
      </c>
      <c r="DH15" s="340">
        <f>VLOOKUP(C15,Theory!B18:CR84,95,FALSE)</f>
        <v>10</v>
      </c>
      <c r="DI15" s="340">
        <f>VLOOKUP(C15,Theory!B18:CS84,96,FALSE)</f>
        <v>0</v>
      </c>
      <c r="DJ15" s="340">
        <f>VLOOKUP(C15,Theory!B18:CT84,97,FALSE)</f>
        <v>0</v>
      </c>
      <c r="DK15" s="340">
        <f>VLOOKUP(C15,Theory!B18:CU84,98,FALSE)</f>
        <v>0</v>
      </c>
      <c r="DL15" s="335">
        <f t="shared" si="20"/>
        <v>10</v>
      </c>
      <c r="DM15" s="265">
        <f t="shared" si="2"/>
        <v>48</v>
      </c>
      <c r="DN15" s="362">
        <f t="shared" ref="DN15:DN16" si="30">AO15</f>
        <v>48</v>
      </c>
      <c r="DO15" s="362">
        <f t="shared" ref="DO15:DO16" si="31">CA15</f>
        <v>45</v>
      </c>
      <c r="DP15" s="362">
        <f t="shared" ref="DP15:DP16" si="32">DM15</f>
        <v>48</v>
      </c>
      <c r="DQ15" s="343">
        <f t="shared" ref="DQ15:DQ16" si="33">ROUND(30*DN15/50,0)</f>
        <v>29</v>
      </c>
      <c r="DR15" s="343">
        <f t="shared" ref="DR15:DR16" si="34">ROUND(30*DO15/50,0)</f>
        <v>27</v>
      </c>
      <c r="DS15" s="343">
        <f t="shared" ref="DS15:DS16" si="35">ROUND(30*DP15/50,0)</f>
        <v>29</v>
      </c>
      <c r="DT15" s="328">
        <f t="shared" ref="DT15:DT78" si="36">ROUND(AVERAGE(DQ15:DS15),0)</f>
        <v>28</v>
      </c>
      <c r="DU15" s="326">
        <f>VLOOKUP(C15,Theory!B18:CV84,99,FALSE)</f>
        <v>10</v>
      </c>
      <c r="DV15" s="326">
        <f>VLOOKUP(C15,Theory!B18:CW84,100,FALSE)</f>
        <v>10</v>
      </c>
      <c r="DW15" s="331">
        <f t="shared" si="27"/>
        <v>20</v>
      </c>
      <c r="DX15" s="266">
        <f t="shared" si="3"/>
        <v>48</v>
      </c>
      <c r="DY15" s="363">
        <f t="shared" si="4"/>
        <v>29</v>
      </c>
      <c r="DZ15" s="344">
        <f>VLOOKUP(C15,Lab!B10:D79,3,FALSE)</f>
        <v>0</v>
      </c>
      <c r="EA15" s="345">
        <f>VLOOKUP(C15,Lab!B10:E79,4,FALSE)</f>
        <v>0</v>
      </c>
      <c r="EB15" s="345">
        <f>VLOOKUP(C15,Lab!B10:F79,5,FALSE)</f>
        <v>0</v>
      </c>
      <c r="EC15" s="329">
        <f t="shared" ref="EC15:EC78" si="37">SUM(DZ15:EB15)</f>
        <v>0</v>
      </c>
      <c r="ED15" s="346">
        <f>VLOOKUP(C15,Lab!B10:G79,6,FALSE)</f>
        <v>0</v>
      </c>
      <c r="EE15" s="346">
        <f>VLOOKUP(C15,Lab!B10:H79,7,FALSE)</f>
        <v>0</v>
      </c>
      <c r="EF15" s="347">
        <f>VLOOKUP(C15,Lab!B10:I79,8,FALSE)</f>
        <v>0</v>
      </c>
      <c r="EG15" s="330">
        <f t="shared" ref="EG15:EG78" si="38">SUM(ED15:EF15)</f>
        <v>0</v>
      </c>
      <c r="EH15" s="390">
        <f t="shared" si="28"/>
        <v>0</v>
      </c>
      <c r="EI15" s="349">
        <f t="shared" si="29"/>
        <v>0</v>
      </c>
      <c r="EJ15" s="391">
        <f t="shared" si="5"/>
        <v>29</v>
      </c>
      <c r="EK15" s="258">
        <v>40</v>
      </c>
      <c r="EM15" s="350">
        <f>VLOOKUP(C15,Theory!B18:DL84,114,FALSE)</f>
        <v>0</v>
      </c>
      <c r="EN15" s="350">
        <f>VLOOKUP(C15,Theory!B18:DM84,115,FALSE)</f>
        <v>0</v>
      </c>
      <c r="EO15" s="350">
        <f>VLOOKUP(C15,Theory!B18:DN84,116,FALSE)</f>
        <v>0</v>
      </c>
      <c r="EP15" s="350">
        <f>VLOOKUP(C15,Theory!B18:DO84,117,FALSE)</f>
        <v>0</v>
      </c>
      <c r="EQ15" s="350">
        <f>VLOOKUP(C15,Theory!B18:DP84,118,FALSE)</f>
        <v>0</v>
      </c>
      <c r="ER15" s="351">
        <f>VLOOKUP(C15,Theory!B18:DQ84,119,FALSE)</f>
        <v>0</v>
      </c>
      <c r="ES15" s="327">
        <f>VLOOKUP(C15,Theory!B18:DR84,120,FALSE)</f>
        <v>0</v>
      </c>
      <c r="ET15" s="348">
        <f t="shared" ref="ET15:ET78" si="39">SUM(ER15:ES15)</f>
        <v>0</v>
      </c>
      <c r="EU15" s="352"/>
      <c r="EV15" s="352"/>
      <c r="EW15" s="352"/>
      <c r="EX15" s="352"/>
      <c r="EY15" s="352"/>
      <c r="EZ15" s="352"/>
      <c r="FA15" s="352"/>
      <c r="FB15" s="352"/>
      <c r="FC15" s="352"/>
      <c r="FD15" s="352"/>
    </row>
    <row r="16" spans="1:162" ht="16.2" thickBot="1" x14ac:dyDescent="0.35">
      <c r="A16" s="64">
        <v>3</v>
      </c>
      <c r="B16" s="17" t="str">
        <f>Theory!C19</f>
        <v>ANKUSH G</v>
      </c>
      <c r="C16" s="16" t="str">
        <f>Theory!B19</f>
        <v>1DS21AI005</v>
      </c>
      <c r="D16" s="334">
        <f>VLOOKUP(C16,Theory!B19:D85,3,FALSE)</f>
        <v>7</v>
      </c>
      <c r="E16" s="334">
        <f>VLOOKUP(C16,Theory!B19:E85,4,FALSE)</f>
        <v>0</v>
      </c>
      <c r="F16" s="334">
        <f>VLOOKUP(C16,Theory!B19:F85,5,FALSE)</f>
        <v>0</v>
      </c>
      <c r="G16" s="334">
        <f>VLOOKUP(C16,Theory!B19:G85,6,FALSE)</f>
        <v>0</v>
      </c>
      <c r="H16" s="335">
        <f t="shared" si="6"/>
        <v>7</v>
      </c>
      <c r="I16" s="338">
        <f>VLOOKUP(C16,Theory!B19:H85,7,FALSE)</f>
        <v>8</v>
      </c>
      <c r="J16" s="337">
        <f>VLOOKUP(C16,Theory!B19:I85,8,FALSE)</f>
        <v>0</v>
      </c>
      <c r="K16" s="337">
        <f>VLOOKUP(C16,Theory!B19:J85,9,FALSE)</f>
        <v>0</v>
      </c>
      <c r="L16" s="337">
        <f>VLOOKUP(C16,Theory!B19:K85,10,FALSE)</f>
        <v>0</v>
      </c>
      <c r="M16" s="335">
        <f t="shared" si="7"/>
        <v>8</v>
      </c>
      <c r="N16" s="336">
        <f>VLOOKUP(C16,Theory!B19:L85,11,FALSE)</f>
        <v>0</v>
      </c>
      <c r="O16" s="336">
        <f>VLOOKUP(C16,Theory!B19:M85,12,FALSE)</f>
        <v>0</v>
      </c>
      <c r="P16" s="336">
        <f>VLOOKUP(C16,Theory!B19:N85,13,FALSE)</f>
        <v>0</v>
      </c>
      <c r="Q16" s="336">
        <f>VLOOKUP(C16,Theory!B19:O85,14,FALSE)</f>
        <v>0</v>
      </c>
      <c r="R16" s="337">
        <f>VLOOKUP(C16,Theory!B19:P85,15,FALSE)</f>
        <v>9</v>
      </c>
      <c r="S16" s="337">
        <f>VLOOKUP(C16,Theory!B19:Q85,16,FALSE)</f>
        <v>0</v>
      </c>
      <c r="T16" s="337">
        <f>VLOOKUP(C16,Theory!B19:R85,17,FALSE)</f>
        <v>0</v>
      </c>
      <c r="U16" s="337">
        <f>VLOOKUP(C16,Theory!B19:S85,18,FALSE)</f>
        <v>0</v>
      </c>
      <c r="V16" s="335">
        <f t="shared" si="8"/>
        <v>9</v>
      </c>
      <c r="W16" s="334">
        <f>VLOOKUP(C16,Theory!B19:T85,19,FALSE)</f>
        <v>0</v>
      </c>
      <c r="X16" s="334">
        <f>VLOOKUP(C16,Theory!B19:U85,20,FALSE)</f>
        <v>0</v>
      </c>
      <c r="Y16" s="334">
        <f>VLOOKUP(C16,Theory!B19:V85,21,FALSE)</f>
        <v>0</v>
      </c>
      <c r="Z16" s="334">
        <f>VLOOKUP(C16,Theory!B19:W85,22,FALSE)</f>
        <v>0</v>
      </c>
      <c r="AA16" s="338">
        <f>VLOOKUP(C16,Theory!B19:X85,23,FALSE)</f>
        <v>9</v>
      </c>
      <c r="AB16" s="338">
        <f>VLOOKUP(C16,Theory!B19:Y85,24,FALSE)</f>
        <v>0</v>
      </c>
      <c r="AC16" s="338">
        <f>VLOOKUP(C16,Theory!B19:Z85,25,FALSE)</f>
        <v>0</v>
      </c>
      <c r="AD16" s="338">
        <f>VLOOKUP(C16,Theory!B19:AA85,26,FALSE)</f>
        <v>0</v>
      </c>
      <c r="AE16" s="335">
        <f t="shared" si="9"/>
        <v>9</v>
      </c>
      <c r="AF16" s="334">
        <f>VLOOKUP(C16,Theory!B19:AB85,27,FALSE)</f>
        <v>10</v>
      </c>
      <c r="AG16" s="334">
        <f>VLOOKUP(C16,Theory!B19:AC85,28,FALSE)</f>
        <v>0</v>
      </c>
      <c r="AH16" s="334">
        <f>VLOOKUP(C16,Theory!B19:AD85,29,FALSE)</f>
        <v>0</v>
      </c>
      <c r="AI16" s="334">
        <f>VLOOKUP(C16,Theory!B19:AE85,30,FALSE)</f>
        <v>0</v>
      </c>
      <c r="AJ16" s="339">
        <f>VLOOKUP(C16,Theory!B19:AF85,31,FALSE)</f>
        <v>0</v>
      </c>
      <c r="AK16" s="339">
        <f>VLOOKUP(C16,Theory!B19:AG85,32,FALSE)</f>
        <v>0</v>
      </c>
      <c r="AL16" s="339">
        <f>VLOOKUP(C16,Theory!B19:AH85,33,FALSE)</f>
        <v>0</v>
      </c>
      <c r="AM16" s="339">
        <f>VLOOKUP(C16,Theory!B19:AI85,34,FALSE)</f>
        <v>0</v>
      </c>
      <c r="AN16" s="335">
        <f t="shared" si="10"/>
        <v>10</v>
      </c>
      <c r="AO16" s="333">
        <f t="shared" si="0"/>
        <v>43</v>
      </c>
      <c r="AP16" s="340">
        <f>VLOOKUP(C16,Theory!B19:AJ85,35,FALSE)</f>
        <v>9</v>
      </c>
      <c r="AQ16" s="340">
        <f>VLOOKUP(C16,Theory!B19:AK85,36,FALSE)</f>
        <v>0</v>
      </c>
      <c r="AR16" s="340">
        <f>VLOOKUP(C16,Theory!B19:AL85,37,FALSE)</f>
        <v>0</v>
      </c>
      <c r="AS16" s="340">
        <f>VLOOKUP(C16,Theory!B19:AM85,38,FALSE)</f>
        <v>0</v>
      </c>
      <c r="AT16" s="335">
        <f t="shared" si="11"/>
        <v>9</v>
      </c>
      <c r="AU16" s="340">
        <f>VLOOKUP(C16,Theory!B19:AN85,39,FALSE)</f>
        <v>10</v>
      </c>
      <c r="AV16" s="340">
        <f>VLOOKUP(C16,Theory!B19:AO85,40,FALSE)</f>
        <v>0</v>
      </c>
      <c r="AW16" s="340">
        <f>VLOOKUP(C16,Theory!B19:AP85,41,FALSE)</f>
        <v>0</v>
      </c>
      <c r="AX16" s="340">
        <f>VLOOKUP(C16,Theory!B19:AQ85,42,FALSE)</f>
        <v>0</v>
      </c>
      <c r="AY16" s="335">
        <f t="shared" si="12"/>
        <v>10</v>
      </c>
      <c r="AZ16" s="340">
        <f>VLOOKUP(C16,Theory!B19:AR85,43,FALSE)</f>
        <v>10</v>
      </c>
      <c r="BA16" s="340">
        <f>VLOOKUP(C16,Theory!B19:AS85,44,FALSE)</f>
        <v>0</v>
      </c>
      <c r="BB16" s="340">
        <f>VLOOKUP(C16,Theory!B19:AT85,45,FALSE)</f>
        <v>0</v>
      </c>
      <c r="BC16" s="340">
        <f>VLOOKUP(C16,Theory!B19:AU85,46,FALSE)</f>
        <v>0</v>
      </c>
      <c r="BD16" s="340">
        <f>VLOOKUP(C16,Theory!B19:AV85,47,FALSE)</f>
        <v>0</v>
      </c>
      <c r="BE16" s="340">
        <f>VLOOKUP(C16,Theory!B19:AW85,48,FALSE)</f>
        <v>0</v>
      </c>
      <c r="BF16" s="340">
        <f>VLOOKUP(C16,Theory!B19:AX85,49,FALSE)</f>
        <v>0</v>
      </c>
      <c r="BG16" s="340">
        <f>VLOOKUP(C16,Theory!B19:AY85,50,FALSE)</f>
        <v>0</v>
      </c>
      <c r="BH16" s="335">
        <f t="shared" si="13"/>
        <v>10</v>
      </c>
      <c r="BI16" s="340">
        <f>VLOOKUP(C16,Theory!B19:AZ85,51,FALSE)</f>
        <v>8</v>
      </c>
      <c r="BJ16" s="340">
        <f>VLOOKUP(C16,Theory!B19:BA85,52,FALSE)</f>
        <v>0</v>
      </c>
      <c r="BK16" s="340">
        <f>VLOOKUP(C16,Theory!B19:BB85,53,FALSE)</f>
        <v>0</v>
      </c>
      <c r="BL16" s="340">
        <f>VLOOKUP(C16,Theory!B19:BC85,54,FALSE)</f>
        <v>0</v>
      </c>
      <c r="BM16" s="340">
        <f>VLOOKUP(C16,Theory!B19:BD85,55,FALSE)</f>
        <v>0</v>
      </c>
      <c r="BN16" s="340">
        <f>VLOOKUP(C16,Theory!B19:BE85,56,FALSE)</f>
        <v>0</v>
      </c>
      <c r="BO16" s="340">
        <f>VLOOKUP(C16,Theory!B19:BF85,57,FALSE)</f>
        <v>0</v>
      </c>
      <c r="BP16" s="340">
        <f>VLOOKUP(C16,Theory!B19:BG85,58,FALSE)</f>
        <v>0</v>
      </c>
      <c r="BQ16" s="335">
        <f t="shared" si="14"/>
        <v>8</v>
      </c>
      <c r="BR16" s="340">
        <f>VLOOKUP(C16,Theory!B19:BH85,59,FALSE)</f>
        <v>10</v>
      </c>
      <c r="BS16" s="340">
        <f>VLOOKUP(C16,Theory!B19:BI85,60,FALSE)</f>
        <v>0</v>
      </c>
      <c r="BT16" s="340">
        <f>VLOOKUP(C16,Theory!B19:BJ85,61,FALSE)</f>
        <v>0</v>
      </c>
      <c r="BU16" s="340">
        <f>VLOOKUP(C16,Theory!B19:BK85,62,FALSE)</f>
        <v>0</v>
      </c>
      <c r="BV16" s="340">
        <f>VLOOKUP(C16,Theory!B19:BL85,63,FALSE)</f>
        <v>0</v>
      </c>
      <c r="BW16" s="340">
        <f>VLOOKUP(C16,Theory!B19:BM85,64,FALSE)</f>
        <v>0</v>
      </c>
      <c r="BX16" s="340">
        <f>VLOOKUP(C16,Theory!B19:BN85,65,FALSE)</f>
        <v>0</v>
      </c>
      <c r="BY16" s="340">
        <f>VLOOKUP(C16,Theory!B19:BO85,66,FALSE)</f>
        <v>0</v>
      </c>
      <c r="BZ16" s="335">
        <f t="shared" si="15"/>
        <v>10</v>
      </c>
      <c r="CA16" s="333">
        <f t="shared" si="1"/>
        <v>47</v>
      </c>
      <c r="CB16" s="340">
        <f>VLOOKUP(C16,Theory!B19:BP85,67,FALSE)</f>
        <v>9</v>
      </c>
      <c r="CC16" s="340">
        <f>VLOOKUP(C16,Theory!B19:BQ85,68,FALSE)</f>
        <v>0</v>
      </c>
      <c r="CD16" s="340">
        <f>VLOOKUP(C16,Theory!B19:BR85,69,FALSE)</f>
        <v>0</v>
      </c>
      <c r="CE16" s="340">
        <f>VLOOKUP(C16,Theory!B19:BS85,70,FALSE)</f>
        <v>0</v>
      </c>
      <c r="CF16" s="335">
        <f t="shared" si="16"/>
        <v>9</v>
      </c>
      <c r="CG16" s="341">
        <f>VLOOKUP(C16,Theory!B19:BT85,71,FALSE)</f>
        <v>9</v>
      </c>
      <c r="CH16" s="341">
        <f>VLOOKUP(C16,Theory!B19:BU85,72,FALSE)</f>
        <v>0</v>
      </c>
      <c r="CI16" s="341">
        <f>VLOOKUP(C16,Theory!B19:BV85,73,FALSE)</f>
        <v>0</v>
      </c>
      <c r="CJ16" s="341">
        <f>VLOOKUP(C16,Theory!B19:BW85,74,FALSE)</f>
        <v>0</v>
      </c>
      <c r="CK16" s="335">
        <f t="shared" si="17"/>
        <v>9</v>
      </c>
      <c r="CL16" s="340">
        <f>VLOOKUP(C16,Theory!B19:BX85,75,FALSE)</f>
        <v>0</v>
      </c>
      <c r="CM16" s="342">
        <f>VLOOKUP(C16,Theory!B19:BY85,76,FALSE)</f>
        <v>0</v>
      </c>
      <c r="CN16" s="342">
        <f>VLOOKUP(C16,Theory!B19:BZ85,77,FALSE)</f>
        <v>0</v>
      </c>
      <c r="CO16" s="342">
        <f>VLOOKUP(C16,Theory!B19:CA85,78,FALSE)</f>
        <v>0</v>
      </c>
      <c r="CP16" s="340">
        <f>VLOOKUP(C16,Theory!B19:CB85,79,FALSE)</f>
        <v>10</v>
      </c>
      <c r="CQ16" s="340">
        <f>VLOOKUP(C16,Theory!B19:CC85,80,FALSE)</f>
        <v>0</v>
      </c>
      <c r="CR16" s="340">
        <f>VLOOKUP(C16,Theory!B19:CD85,81,FALSE)</f>
        <v>0</v>
      </c>
      <c r="CS16" s="340">
        <f>VLOOKUP(C16,Theory!B19:CE85,82,FALSE)</f>
        <v>0</v>
      </c>
      <c r="CT16" s="335">
        <f t="shared" si="18"/>
        <v>10</v>
      </c>
      <c r="CU16" s="341">
        <f>VLOOKUP(C16,Theory!B19:CF85,83,FALSE)</f>
        <v>10</v>
      </c>
      <c r="CV16" s="342">
        <f>VLOOKUP(C16,Theory!B19:CG85,84,FALSE)</f>
        <v>0</v>
      </c>
      <c r="CW16" s="342">
        <f>VLOOKUP(C16,Theory!B19:CH85,85,FALSE)</f>
        <v>0</v>
      </c>
      <c r="CX16" s="342">
        <f>VLOOKUP(C16,Theory!B19:CI85,86,FALSE)</f>
        <v>0</v>
      </c>
      <c r="CY16" s="341">
        <f>VLOOKUP(C16,Theory!B19:CJ85,87,FALSE)</f>
        <v>0</v>
      </c>
      <c r="CZ16" s="341">
        <f>VLOOKUP(C16,Theory!B19:CK85,88,FALSE)</f>
        <v>0</v>
      </c>
      <c r="DA16" s="341">
        <f>VLOOKUP(C16,Theory!B19:CL85,89,FALSE)</f>
        <v>0</v>
      </c>
      <c r="DB16" s="341">
        <f>VLOOKUP(C16,Theory!B19:CM85,90,FALSE)</f>
        <v>0</v>
      </c>
      <c r="DC16" s="335">
        <f t="shared" si="19"/>
        <v>10</v>
      </c>
      <c r="DD16" s="340">
        <f>VLOOKUP(C16,Theory!B19:CN85,91,FALSE)</f>
        <v>9</v>
      </c>
      <c r="DE16" s="342">
        <f>VLOOKUP(C16,Theory!B19:CO85,92,FALSE)</f>
        <v>0</v>
      </c>
      <c r="DF16" s="342">
        <f>VLOOKUP(C16,Theory!B19:CP85,93,FALSE)</f>
        <v>0</v>
      </c>
      <c r="DG16" s="342">
        <f>VLOOKUP(C16,Theory!B19:CQ85,94,FALSE)</f>
        <v>0</v>
      </c>
      <c r="DH16" s="340">
        <f>VLOOKUP(C16,Theory!B19:CR85,95,FALSE)</f>
        <v>0</v>
      </c>
      <c r="DI16" s="340">
        <f>VLOOKUP(C16,Theory!B19:CS85,96,FALSE)</f>
        <v>0</v>
      </c>
      <c r="DJ16" s="340">
        <f>VLOOKUP(C16,Theory!B19:CT85,97,FALSE)</f>
        <v>0</v>
      </c>
      <c r="DK16" s="340">
        <f>VLOOKUP(C16,Theory!B19:CU85,98,FALSE)</f>
        <v>0</v>
      </c>
      <c r="DL16" s="335">
        <f t="shared" si="20"/>
        <v>9</v>
      </c>
      <c r="DM16" s="265">
        <f t="shared" si="2"/>
        <v>47</v>
      </c>
      <c r="DN16" s="362">
        <f t="shared" si="30"/>
        <v>43</v>
      </c>
      <c r="DO16" s="362">
        <f t="shared" si="31"/>
        <v>47</v>
      </c>
      <c r="DP16" s="362">
        <f t="shared" si="32"/>
        <v>47</v>
      </c>
      <c r="DQ16" s="343">
        <f t="shared" si="33"/>
        <v>26</v>
      </c>
      <c r="DR16" s="343">
        <f t="shared" si="34"/>
        <v>28</v>
      </c>
      <c r="DS16" s="343">
        <f t="shared" si="35"/>
        <v>28</v>
      </c>
      <c r="DT16" s="328">
        <f t="shared" si="36"/>
        <v>27</v>
      </c>
      <c r="DU16" s="326">
        <f>VLOOKUP(C16,Theory!B19:CV85,99,FALSE)</f>
        <v>10</v>
      </c>
      <c r="DV16" s="326">
        <f>VLOOKUP(C16,Theory!B19:CW85,100,FALSE)</f>
        <v>10</v>
      </c>
      <c r="DW16" s="331">
        <f t="shared" si="27"/>
        <v>20</v>
      </c>
      <c r="DX16" s="266">
        <f t="shared" si="3"/>
        <v>47</v>
      </c>
      <c r="DY16" s="363">
        <f t="shared" si="4"/>
        <v>28</v>
      </c>
      <c r="DZ16" s="344">
        <f>VLOOKUP(C16,Lab!B11:D80,3,FALSE)</f>
        <v>0</v>
      </c>
      <c r="EA16" s="345">
        <f>VLOOKUP(C16,Lab!B11:E80,4,FALSE)</f>
        <v>0</v>
      </c>
      <c r="EB16" s="345">
        <f>VLOOKUP(C16,Lab!B11:F80,5,FALSE)</f>
        <v>0</v>
      </c>
      <c r="EC16" s="329">
        <f t="shared" si="37"/>
        <v>0</v>
      </c>
      <c r="ED16" s="346">
        <f>VLOOKUP(C16,Lab!B11:G80,6,FALSE)</f>
        <v>0</v>
      </c>
      <c r="EE16" s="346">
        <f>VLOOKUP(C16,Lab!B11:H80,7,FALSE)</f>
        <v>0</v>
      </c>
      <c r="EF16" s="347">
        <f>VLOOKUP(C16,Lab!B11:I80,8,FALSE)</f>
        <v>0</v>
      </c>
      <c r="EG16" s="330">
        <f t="shared" si="38"/>
        <v>0</v>
      </c>
      <c r="EH16" s="390">
        <f t="shared" si="28"/>
        <v>0</v>
      </c>
      <c r="EI16" s="349">
        <f t="shared" si="29"/>
        <v>0</v>
      </c>
      <c r="EJ16" s="391">
        <f t="shared" si="5"/>
        <v>28</v>
      </c>
      <c r="EK16" s="258">
        <v>42</v>
      </c>
      <c r="EM16" s="350">
        <f>VLOOKUP(C16,Theory!B19:DL85,114,FALSE)</f>
        <v>0</v>
      </c>
      <c r="EN16" s="350">
        <f>VLOOKUP(C16,Theory!B19:DM85,115,FALSE)</f>
        <v>0</v>
      </c>
      <c r="EO16" s="350">
        <f>VLOOKUP(C16,Theory!B19:DN85,116,FALSE)</f>
        <v>0</v>
      </c>
      <c r="EP16" s="350">
        <f>VLOOKUP(C16,Theory!B19:DO85,117,FALSE)</f>
        <v>0</v>
      </c>
      <c r="EQ16" s="350">
        <f>VLOOKUP(C16,Theory!B19:DP85,118,FALSE)</f>
        <v>0</v>
      </c>
      <c r="ER16" s="351">
        <f>VLOOKUP(C16,Theory!B19:DQ85,119,FALSE)</f>
        <v>0</v>
      </c>
      <c r="ES16" s="327">
        <f>VLOOKUP(C16,Theory!B19:DR85,120,FALSE)</f>
        <v>0</v>
      </c>
      <c r="ET16" s="348">
        <f t="shared" si="39"/>
        <v>0</v>
      </c>
      <c r="EU16" s="352"/>
      <c r="EV16" s="352"/>
      <c r="EW16" s="352"/>
      <c r="EX16" s="352"/>
      <c r="EY16" s="352"/>
      <c r="EZ16" s="352"/>
      <c r="FA16" s="352"/>
      <c r="FB16" s="352"/>
      <c r="FC16" s="352"/>
      <c r="FD16" s="352"/>
    </row>
    <row r="17" spans="1:160" ht="16.2" thickBot="1" x14ac:dyDescent="0.35">
      <c r="A17" s="64">
        <v>4</v>
      </c>
      <c r="B17" s="17" t="str">
        <f>Theory!C20</f>
        <v>ARYAMAN SAXENA</v>
      </c>
      <c r="C17" s="16" t="str">
        <f>Theory!B20</f>
        <v>1DS21AI006</v>
      </c>
      <c r="D17" s="334">
        <f>VLOOKUP(C17,Theory!B20:D86,3,FALSE)</f>
        <v>6</v>
      </c>
      <c r="E17" s="334">
        <f>VLOOKUP(C17,Theory!B20:E86,4,FALSE)</f>
        <v>0</v>
      </c>
      <c r="F17" s="334">
        <f>VLOOKUP(C17,Theory!B20:F86,5,FALSE)</f>
        <v>0</v>
      </c>
      <c r="G17" s="334">
        <f>VLOOKUP(C17,Theory!B20:G86,6,FALSE)</f>
        <v>0</v>
      </c>
      <c r="H17" s="335">
        <f t="shared" si="6"/>
        <v>6</v>
      </c>
      <c r="I17" s="338">
        <f>VLOOKUP(C17,Theory!B20:H86,7,FALSE)</f>
        <v>5</v>
      </c>
      <c r="J17" s="337">
        <f>VLOOKUP(C17,Theory!B20:I86,8,FALSE)</f>
        <v>0</v>
      </c>
      <c r="K17" s="337">
        <f>VLOOKUP(C17,Theory!B20:J86,9,FALSE)</f>
        <v>0</v>
      </c>
      <c r="L17" s="337">
        <f>VLOOKUP(C17,Theory!B20:K86,10,FALSE)</f>
        <v>0</v>
      </c>
      <c r="M17" s="335">
        <f t="shared" si="7"/>
        <v>5</v>
      </c>
      <c r="N17" s="336">
        <f>VLOOKUP(C17,Theory!B20:L86,11,FALSE)</f>
        <v>10</v>
      </c>
      <c r="O17" s="336">
        <f>VLOOKUP(C17,Theory!B20:M86,12,FALSE)</f>
        <v>0</v>
      </c>
      <c r="P17" s="336">
        <f>VLOOKUP(C17,Theory!B20:N86,13,FALSE)</f>
        <v>0</v>
      </c>
      <c r="Q17" s="336">
        <f>VLOOKUP(C17,Theory!B20:O86,14,FALSE)</f>
        <v>0</v>
      </c>
      <c r="R17" s="337">
        <f>VLOOKUP(C17,Theory!B20:P86,15,FALSE)</f>
        <v>0</v>
      </c>
      <c r="S17" s="337">
        <f>VLOOKUP(C17,Theory!B20:Q86,16,FALSE)</f>
        <v>0</v>
      </c>
      <c r="T17" s="337">
        <f>VLOOKUP(C17,Theory!B20:R86,17,FALSE)</f>
        <v>0</v>
      </c>
      <c r="U17" s="337">
        <f>VLOOKUP(C17,Theory!B20:S86,18,FALSE)</f>
        <v>0</v>
      </c>
      <c r="V17" s="335">
        <f t="shared" si="8"/>
        <v>10</v>
      </c>
      <c r="W17" s="334">
        <f>VLOOKUP(C17,Theory!B20:T86,19,FALSE)</f>
        <v>0</v>
      </c>
      <c r="X17" s="334">
        <f>VLOOKUP(C17,Theory!B20:U86,20,FALSE)</f>
        <v>0</v>
      </c>
      <c r="Y17" s="334">
        <f>VLOOKUP(C17,Theory!B20:V86,21,FALSE)</f>
        <v>0</v>
      </c>
      <c r="Z17" s="334">
        <f>VLOOKUP(C17,Theory!B20:W86,22,FALSE)</f>
        <v>0</v>
      </c>
      <c r="AA17" s="338">
        <f>VLOOKUP(C17,Theory!B20:X86,23,FALSE)</f>
        <v>7</v>
      </c>
      <c r="AB17" s="338">
        <f>VLOOKUP(C17,Theory!B20:Y86,24,FALSE)</f>
        <v>0</v>
      </c>
      <c r="AC17" s="338">
        <f>VLOOKUP(C17,Theory!B20:Z86,25,FALSE)</f>
        <v>0</v>
      </c>
      <c r="AD17" s="338">
        <f>VLOOKUP(C17,Theory!B20:AA86,26,FALSE)</f>
        <v>0</v>
      </c>
      <c r="AE17" s="335">
        <f t="shared" si="9"/>
        <v>7</v>
      </c>
      <c r="AF17" s="334">
        <f>VLOOKUP(C17,Theory!B20:AB86,27,FALSE)</f>
        <v>7</v>
      </c>
      <c r="AG17" s="334">
        <f>VLOOKUP(C17,Theory!B20:AC86,28,FALSE)</f>
        <v>0</v>
      </c>
      <c r="AH17" s="334">
        <f>VLOOKUP(C17,Theory!B20:AD86,29,FALSE)</f>
        <v>0</v>
      </c>
      <c r="AI17" s="334">
        <f>VLOOKUP(C17,Theory!B20:AE86,30,FALSE)</f>
        <v>0</v>
      </c>
      <c r="AJ17" s="339">
        <f>VLOOKUP(C17,Theory!B20:AF86,31,FALSE)</f>
        <v>0</v>
      </c>
      <c r="AK17" s="339">
        <f>VLOOKUP(C17,Theory!B20:AG86,32,FALSE)</f>
        <v>0</v>
      </c>
      <c r="AL17" s="339">
        <f>VLOOKUP(C17,Theory!B20:AH86,33,FALSE)</f>
        <v>0</v>
      </c>
      <c r="AM17" s="339">
        <f>VLOOKUP(C17,Theory!B20:AI86,34,FALSE)</f>
        <v>0</v>
      </c>
      <c r="AN17" s="335">
        <f t="shared" si="10"/>
        <v>7</v>
      </c>
      <c r="AO17" s="333">
        <f t="shared" si="0"/>
        <v>35</v>
      </c>
      <c r="AP17" s="340">
        <f>VLOOKUP(C17,Theory!B20:AJ86,35,FALSE)</f>
        <v>0</v>
      </c>
      <c r="AQ17" s="340">
        <f>VLOOKUP(C17,Theory!B20:AK86,36,FALSE)</f>
        <v>0</v>
      </c>
      <c r="AR17" s="340">
        <f>VLOOKUP(C17,Theory!B20:AL86,37,FALSE)</f>
        <v>0</v>
      </c>
      <c r="AS17" s="340">
        <f>VLOOKUP(C17,Theory!B20:AM86,38,FALSE)</f>
        <v>0</v>
      </c>
      <c r="AT17" s="335">
        <f t="shared" si="11"/>
        <v>0</v>
      </c>
      <c r="AU17" s="340">
        <f>VLOOKUP(C17,Theory!B20:AN86,39,FALSE)</f>
        <v>0</v>
      </c>
      <c r="AV17" s="340">
        <f>VLOOKUP(C17,Theory!B20:AO86,40,FALSE)</f>
        <v>0</v>
      </c>
      <c r="AW17" s="340">
        <f>VLOOKUP(C17,Theory!B20:AP86,41,FALSE)</f>
        <v>0</v>
      </c>
      <c r="AX17" s="340">
        <f>VLOOKUP(C17,Theory!B20:AQ86,42,FALSE)</f>
        <v>0</v>
      </c>
      <c r="AY17" s="335">
        <f t="shared" si="12"/>
        <v>0</v>
      </c>
      <c r="AZ17" s="340">
        <f>VLOOKUP(C17,Theory!B20:AR86,43,FALSE)</f>
        <v>0</v>
      </c>
      <c r="BA17" s="340">
        <f>VLOOKUP(C17,Theory!B20:AS86,44,FALSE)</f>
        <v>0</v>
      </c>
      <c r="BB17" s="340">
        <f>VLOOKUP(C17,Theory!B20:AT86,45,FALSE)</f>
        <v>0</v>
      </c>
      <c r="BC17" s="340">
        <f>VLOOKUP(C17,Theory!B20:AU86,46,FALSE)</f>
        <v>0</v>
      </c>
      <c r="BD17" s="340">
        <f>VLOOKUP(C17,Theory!B20:AV86,47,FALSE)</f>
        <v>0</v>
      </c>
      <c r="BE17" s="340">
        <f>VLOOKUP(C17,Theory!B20:AW86,48,FALSE)</f>
        <v>0</v>
      </c>
      <c r="BF17" s="340">
        <f>VLOOKUP(C17,Theory!B20:AX86,49,FALSE)</f>
        <v>0</v>
      </c>
      <c r="BG17" s="340">
        <f>VLOOKUP(C17,Theory!B20:AY86,50,FALSE)</f>
        <v>0</v>
      </c>
      <c r="BH17" s="335">
        <f t="shared" si="13"/>
        <v>0</v>
      </c>
      <c r="BI17" s="340">
        <f>VLOOKUP(C17,Theory!B20:AZ86,51,FALSE)</f>
        <v>0</v>
      </c>
      <c r="BJ17" s="340">
        <f>VLOOKUP(C17,Theory!B20:BA86,52,FALSE)</f>
        <v>0</v>
      </c>
      <c r="BK17" s="340">
        <f>VLOOKUP(C17,Theory!B20:BB86,53,FALSE)</f>
        <v>0</v>
      </c>
      <c r="BL17" s="340">
        <f>VLOOKUP(C17,Theory!B20:BC86,54,FALSE)</f>
        <v>0</v>
      </c>
      <c r="BM17" s="340">
        <f>VLOOKUP(C17,Theory!B20:BD86,55,FALSE)</f>
        <v>0</v>
      </c>
      <c r="BN17" s="340">
        <f>VLOOKUP(C17,Theory!B20:BE86,56,FALSE)</f>
        <v>0</v>
      </c>
      <c r="BO17" s="340">
        <f>VLOOKUP(C17,Theory!B20:BF86,57,FALSE)</f>
        <v>0</v>
      </c>
      <c r="BP17" s="340">
        <f>VLOOKUP(C17,Theory!B20:BG86,58,FALSE)</f>
        <v>0</v>
      </c>
      <c r="BQ17" s="335">
        <f t="shared" si="14"/>
        <v>0</v>
      </c>
      <c r="BR17" s="340">
        <f>VLOOKUP(C17,Theory!B20:BH86,59,FALSE)</f>
        <v>0</v>
      </c>
      <c r="BS17" s="340">
        <f>VLOOKUP(C17,Theory!B20:BI86,60,FALSE)</f>
        <v>0</v>
      </c>
      <c r="BT17" s="340">
        <f>VLOOKUP(C17,Theory!B20:BJ86,61,FALSE)</f>
        <v>0</v>
      </c>
      <c r="BU17" s="340">
        <f>VLOOKUP(C17,Theory!B20:BK86,62,FALSE)</f>
        <v>0</v>
      </c>
      <c r="BV17" s="340">
        <f>VLOOKUP(C17,Theory!B20:BL86,63,FALSE)</f>
        <v>0</v>
      </c>
      <c r="BW17" s="340">
        <f>VLOOKUP(C17,Theory!B20:BM86,64,FALSE)</f>
        <v>0</v>
      </c>
      <c r="BX17" s="340">
        <f>VLOOKUP(C17,Theory!B20:BN86,65,FALSE)</f>
        <v>0</v>
      </c>
      <c r="BY17" s="340">
        <f>VLOOKUP(C17,Theory!B20:BO86,66,FALSE)</f>
        <v>0</v>
      </c>
      <c r="BZ17" s="335">
        <f t="shared" si="15"/>
        <v>0</v>
      </c>
      <c r="CA17" s="333">
        <f t="shared" si="1"/>
        <v>0</v>
      </c>
      <c r="CB17" s="340">
        <f>VLOOKUP(C17,Theory!B20:BP86,67,FALSE)</f>
        <v>5</v>
      </c>
      <c r="CC17" s="340">
        <f>VLOOKUP(C17,Theory!B20:BQ86,68,FALSE)</f>
        <v>0</v>
      </c>
      <c r="CD17" s="340">
        <f>VLOOKUP(C17,Theory!B20:BR86,69,FALSE)</f>
        <v>0</v>
      </c>
      <c r="CE17" s="340">
        <f>VLOOKUP(C17,Theory!B20:BS86,70,FALSE)</f>
        <v>0</v>
      </c>
      <c r="CF17" s="335">
        <f t="shared" si="16"/>
        <v>5</v>
      </c>
      <c r="CG17" s="341">
        <f>VLOOKUP(C17,Theory!B20:BT86,71,FALSE)</f>
        <v>8</v>
      </c>
      <c r="CH17" s="341">
        <f>VLOOKUP(C17,Theory!B20:BU86,72,FALSE)</f>
        <v>0</v>
      </c>
      <c r="CI17" s="341">
        <f>VLOOKUP(C17,Theory!B20:BV86,73,FALSE)</f>
        <v>0</v>
      </c>
      <c r="CJ17" s="341">
        <f>VLOOKUP(C17,Theory!B20:BW86,74,FALSE)</f>
        <v>0</v>
      </c>
      <c r="CK17" s="335">
        <f t="shared" si="17"/>
        <v>8</v>
      </c>
      <c r="CL17" s="340">
        <f>VLOOKUP(C17,Theory!B20:BX86,75,FALSE)</f>
        <v>9</v>
      </c>
      <c r="CM17" s="342">
        <f>VLOOKUP(C17,Theory!B20:BY86,76,FALSE)</f>
        <v>0</v>
      </c>
      <c r="CN17" s="342">
        <f>VLOOKUP(C17,Theory!B20:BZ86,77,FALSE)</f>
        <v>0</v>
      </c>
      <c r="CO17" s="342">
        <f>VLOOKUP(C17,Theory!B20:CA86,78,FALSE)</f>
        <v>0</v>
      </c>
      <c r="CP17" s="340">
        <f>VLOOKUP(C17,Theory!B20:CB86,79,FALSE)</f>
        <v>0</v>
      </c>
      <c r="CQ17" s="340">
        <f>VLOOKUP(C17,Theory!B20:CC86,80,FALSE)</f>
        <v>0</v>
      </c>
      <c r="CR17" s="340">
        <f>VLOOKUP(C17,Theory!B20:CD86,81,FALSE)</f>
        <v>0</v>
      </c>
      <c r="CS17" s="340">
        <f>VLOOKUP(C17,Theory!B20:CE86,82,FALSE)</f>
        <v>0</v>
      </c>
      <c r="CT17" s="335">
        <f t="shared" si="18"/>
        <v>9</v>
      </c>
      <c r="CU17" s="341">
        <f>VLOOKUP(C17,Theory!B20:CF86,83,FALSE)</f>
        <v>10</v>
      </c>
      <c r="CV17" s="342">
        <f>VLOOKUP(C17,Theory!B20:CG86,84,FALSE)</f>
        <v>0</v>
      </c>
      <c r="CW17" s="342">
        <f>VLOOKUP(C17,Theory!B20:CH86,85,FALSE)</f>
        <v>0</v>
      </c>
      <c r="CX17" s="342">
        <f>VLOOKUP(C17,Theory!B20:CI86,86,FALSE)</f>
        <v>0</v>
      </c>
      <c r="CY17" s="341">
        <f>VLOOKUP(C17,Theory!B20:CJ86,87,FALSE)</f>
        <v>0</v>
      </c>
      <c r="CZ17" s="341">
        <f>VLOOKUP(C17,Theory!B20:CK86,88,FALSE)</f>
        <v>0</v>
      </c>
      <c r="DA17" s="341">
        <f>VLOOKUP(C17,Theory!B20:CL86,89,FALSE)</f>
        <v>0</v>
      </c>
      <c r="DB17" s="341">
        <f>VLOOKUP(C17,Theory!B20:CM86,90,FALSE)</f>
        <v>0</v>
      </c>
      <c r="DC17" s="335">
        <f t="shared" si="19"/>
        <v>10</v>
      </c>
      <c r="DD17" s="340">
        <f>VLOOKUP(C17,Theory!B20:CN86,91,FALSE)</f>
        <v>8</v>
      </c>
      <c r="DE17" s="342">
        <f>VLOOKUP(C17,Theory!B20:CO86,92,FALSE)</f>
        <v>0</v>
      </c>
      <c r="DF17" s="342">
        <f>VLOOKUP(C17,Theory!B20:CP86,93,FALSE)</f>
        <v>0</v>
      </c>
      <c r="DG17" s="342">
        <f>VLOOKUP(C17,Theory!B20:CQ86,94,FALSE)</f>
        <v>0</v>
      </c>
      <c r="DH17" s="340">
        <f>VLOOKUP(C17,Theory!B20:CR86,95,FALSE)</f>
        <v>0</v>
      </c>
      <c r="DI17" s="340">
        <f>VLOOKUP(C17,Theory!B20:CS86,96,FALSE)</f>
        <v>0</v>
      </c>
      <c r="DJ17" s="340">
        <f>VLOOKUP(C17,Theory!B20:CT86,97,FALSE)</f>
        <v>0</v>
      </c>
      <c r="DK17" s="340">
        <f>VLOOKUP(C17,Theory!B20:CU86,98,FALSE)</f>
        <v>0</v>
      </c>
      <c r="DL17" s="335">
        <f t="shared" si="20"/>
        <v>8</v>
      </c>
      <c r="DM17" s="265">
        <f t="shared" si="2"/>
        <v>40</v>
      </c>
      <c r="DN17" s="362">
        <f t="shared" ref="DN17:DN80" si="40">AO17</f>
        <v>35</v>
      </c>
      <c r="DO17" s="362">
        <f t="shared" ref="DO17:DO80" si="41">CA17</f>
        <v>0</v>
      </c>
      <c r="DP17" s="362">
        <f t="shared" ref="DP17:DP80" si="42">DM17</f>
        <v>40</v>
      </c>
      <c r="DQ17" s="343">
        <f t="shared" ref="DQ17:DQ80" si="43">ROUND(30*DN17/50,0)</f>
        <v>21</v>
      </c>
      <c r="DR17" s="343">
        <f t="shared" ref="DR17:DR80" si="44">ROUND(30*DO17/50,0)</f>
        <v>0</v>
      </c>
      <c r="DS17" s="343">
        <f t="shared" ref="DS17:DS80" si="45">ROUND(30*DP17/50,0)</f>
        <v>24</v>
      </c>
      <c r="DT17" s="328">
        <f t="shared" si="36"/>
        <v>15</v>
      </c>
      <c r="DU17" s="326">
        <f>VLOOKUP(C17,Theory!B20:CV86,99,FALSE)</f>
        <v>10</v>
      </c>
      <c r="DV17" s="326">
        <f>VLOOKUP(C17,Theory!B20:CW86,100,FALSE)</f>
        <v>10</v>
      </c>
      <c r="DW17" s="331">
        <f t="shared" si="27"/>
        <v>20</v>
      </c>
      <c r="DX17" s="266">
        <f t="shared" si="3"/>
        <v>35</v>
      </c>
      <c r="DY17" s="363">
        <f t="shared" si="4"/>
        <v>21</v>
      </c>
      <c r="DZ17" s="344">
        <f>VLOOKUP(C17,Lab!B12:D81,3,FALSE)</f>
        <v>0</v>
      </c>
      <c r="EA17" s="345">
        <f>VLOOKUP(C17,Lab!B12:E81,4,FALSE)</f>
        <v>0</v>
      </c>
      <c r="EB17" s="345">
        <f>VLOOKUP(C17,Lab!B12:F81,5,FALSE)</f>
        <v>0</v>
      </c>
      <c r="EC17" s="329">
        <f t="shared" si="37"/>
        <v>0</v>
      </c>
      <c r="ED17" s="346">
        <f>VLOOKUP(C17,Lab!B12:G81,6,FALSE)</f>
        <v>0</v>
      </c>
      <c r="EE17" s="346">
        <f>VLOOKUP(C17,Lab!B12:H81,7,FALSE)</f>
        <v>0</v>
      </c>
      <c r="EF17" s="347">
        <f>VLOOKUP(C17,Lab!B12:I81,8,FALSE)</f>
        <v>0</v>
      </c>
      <c r="EG17" s="330">
        <f t="shared" si="38"/>
        <v>0</v>
      </c>
      <c r="EH17" s="390">
        <f t="shared" si="28"/>
        <v>0</v>
      </c>
      <c r="EI17" s="349">
        <f t="shared" si="29"/>
        <v>0</v>
      </c>
      <c r="EJ17" s="391">
        <f t="shared" si="5"/>
        <v>21</v>
      </c>
      <c r="EK17" s="258">
        <v>41</v>
      </c>
      <c r="EM17" s="350">
        <f>VLOOKUP(C17,Theory!B20:DL86,114,FALSE)</f>
        <v>0</v>
      </c>
      <c r="EN17" s="350">
        <f>VLOOKUP(C17,Theory!B20:DM86,115,FALSE)</f>
        <v>0</v>
      </c>
      <c r="EO17" s="350">
        <f>VLOOKUP(C17,Theory!B20:DN86,116,FALSE)</f>
        <v>0</v>
      </c>
      <c r="EP17" s="350">
        <f>VLOOKUP(C17,Theory!B20:DO86,117,FALSE)</f>
        <v>0</v>
      </c>
      <c r="EQ17" s="350">
        <f>VLOOKUP(C17,Theory!B20:DP86,118,FALSE)</f>
        <v>0</v>
      </c>
      <c r="ER17" s="351">
        <f>VLOOKUP(C17,Theory!B20:DQ86,119,FALSE)</f>
        <v>0</v>
      </c>
      <c r="ES17" s="327">
        <f>VLOOKUP(C17,Theory!B20:DR86,120,FALSE)</f>
        <v>0</v>
      </c>
      <c r="ET17" s="348">
        <f t="shared" si="39"/>
        <v>0</v>
      </c>
      <c r="EU17" s="352"/>
      <c r="EV17" s="352"/>
      <c r="EW17" s="352"/>
      <c r="EX17" s="352"/>
      <c r="EY17" s="352"/>
      <c r="EZ17" s="352"/>
      <c r="FA17" s="352"/>
      <c r="FB17" s="352"/>
      <c r="FC17" s="352"/>
      <c r="FD17" s="352"/>
    </row>
    <row r="18" spans="1:160" s="157" customFormat="1" ht="16.2" thickBot="1" x14ac:dyDescent="0.35">
      <c r="A18" s="325">
        <v>5</v>
      </c>
      <c r="B18" s="17" t="str">
        <f>Theory!C21</f>
        <v>ASHWIN SAI G</v>
      </c>
      <c r="C18" s="16" t="str">
        <f>Theory!B21</f>
        <v>1DS21AI007</v>
      </c>
      <c r="D18" s="334">
        <f>VLOOKUP(C18,Theory!B21:D89,3,FALSE)</f>
        <v>7</v>
      </c>
      <c r="E18" s="334">
        <f>VLOOKUP(C18,Theory!B21:E89,4,FALSE)</f>
        <v>0</v>
      </c>
      <c r="F18" s="334">
        <f>VLOOKUP(C18,Theory!B21:F89,5,FALSE)</f>
        <v>0</v>
      </c>
      <c r="G18" s="334">
        <f>VLOOKUP(C18,Theory!B21:G89,6,FALSE)</f>
        <v>0</v>
      </c>
      <c r="H18" s="335">
        <f t="shared" si="6"/>
        <v>7</v>
      </c>
      <c r="I18" s="338">
        <f>VLOOKUP(C18,Theory!B21:H89,7,FALSE)</f>
        <v>0</v>
      </c>
      <c r="J18" s="337">
        <f>VLOOKUP(C18,Theory!B21:I89,8,FALSE)</f>
        <v>0</v>
      </c>
      <c r="K18" s="337">
        <f>VLOOKUP(C18,Theory!B21:J89,9,FALSE)</f>
        <v>0</v>
      </c>
      <c r="L18" s="337">
        <f>VLOOKUP(C18,Theory!B21:K89,10,FALSE)</f>
        <v>0</v>
      </c>
      <c r="M18" s="335">
        <f t="shared" si="7"/>
        <v>0</v>
      </c>
      <c r="N18" s="336">
        <f>VLOOKUP(C18,Theory!B21:L89,11,FALSE)</f>
        <v>0</v>
      </c>
      <c r="O18" s="336">
        <f>VLOOKUP(C18,Theory!B21:M89,12,FALSE)</f>
        <v>0</v>
      </c>
      <c r="P18" s="336">
        <f>VLOOKUP(C18,Theory!B21:N89,13,FALSE)</f>
        <v>0</v>
      </c>
      <c r="Q18" s="336">
        <f>VLOOKUP(C18,Theory!B21:O89,14,FALSE)</f>
        <v>0</v>
      </c>
      <c r="R18" s="337">
        <f>VLOOKUP(C18,Theory!B21:P89,15,FALSE)</f>
        <v>5</v>
      </c>
      <c r="S18" s="337">
        <f>VLOOKUP(C18,Theory!B21:Q89,16,FALSE)</f>
        <v>0</v>
      </c>
      <c r="T18" s="337">
        <f>VLOOKUP(C18,Theory!B21:R89,17,FALSE)</f>
        <v>0</v>
      </c>
      <c r="U18" s="337">
        <f>VLOOKUP(C18,Theory!B21:S89,18,FALSE)</f>
        <v>0</v>
      </c>
      <c r="V18" s="335">
        <f t="shared" si="8"/>
        <v>5</v>
      </c>
      <c r="W18" s="334">
        <f>VLOOKUP(C18,Theory!B21:T89,19,FALSE)</f>
        <v>0</v>
      </c>
      <c r="X18" s="334">
        <f>VLOOKUP(C18,Theory!B21:U89,20,FALSE)</f>
        <v>0</v>
      </c>
      <c r="Y18" s="334">
        <f>VLOOKUP(C18,Theory!B21:V89,21,FALSE)</f>
        <v>0</v>
      </c>
      <c r="Z18" s="334">
        <f>VLOOKUP(C18,Theory!B21:W89,22,FALSE)</f>
        <v>0</v>
      </c>
      <c r="AA18" s="338">
        <f>VLOOKUP(C18,Theory!B21:X89,23,FALSE)</f>
        <v>4</v>
      </c>
      <c r="AB18" s="338">
        <f>VLOOKUP(C18,Theory!B21:Y89,24,FALSE)</f>
        <v>0</v>
      </c>
      <c r="AC18" s="338">
        <f>VLOOKUP(C18,Theory!B21:Z89,25,FALSE)</f>
        <v>0</v>
      </c>
      <c r="AD18" s="338">
        <f>VLOOKUP(C18,Theory!B21:AA89,26,FALSE)</f>
        <v>0</v>
      </c>
      <c r="AE18" s="335">
        <f t="shared" si="9"/>
        <v>4</v>
      </c>
      <c r="AF18" s="334">
        <f>VLOOKUP(C18,Theory!B21:AB89,27,FALSE)</f>
        <v>4</v>
      </c>
      <c r="AG18" s="334">
        <f>VLOOKUP(C18,Theory!B21:AC89,28,FALSE)</f>
        <v>0</v>
      </c>
      <c r="AH18" s="334">
        <f>VLOOKUP(C18,Theory!B21:AD89,29,FALSE)</f>
        <v>0</v>
      </c>
      <c r="AI18" s="334">
        <f>VLOOKUP(C18,Theory!B21:AE89,30,FALSE)</f>
        <v>0</v>
      </c>
      <c r="AJ18" s="339">
        <f>VLOOKUP(C18,Theory!B21:AF89,31,FALSE)</f>
        <v>0</v>
      </c>
      <c r="AK18" s="339">
        <f>VLOOKUP(C18,Theory!B21:AG89,32,FALSE)</f>
        <v>0</v>
      </c>
      <c r="AL18" s="339">
        <f>VLOOKUP(C18,Theory!B21:AH89,33,FALSE)</f>
        <v>0</v>
      </c>
      <c r="AM18" s="339">
        <f>VLOOKUP(C18,Theory!B21:AI89,34,FALSE)</f>
        <v>0</v>
      </c>
      <c r="AN18" s="335">
        <f t="shared" si="10"/>
        <v>4</v>
      </c>
      <c r="AO18" s="333">
        <f t="shared" si="0"/>
        <v>20</v>
      </c>
      <c r="AP18" s="340">
        <f>VLOOKUP(C18,Theory!B21:AJ89,35,FALSE)</f>
        <v>0</v>
      </c>
      <c r="AQ18" s="340">
        <f>VLOOKUP(C18,Theory!B21:AK89,36,FALSE)</f>
        <v>0</v>
      </c>
      <c r="AR18" s="340">
        <f>VLOOKUP(C18,Theory!B21:AL89,37,FALSE)</f>
        <v>0</v>
      </c>
      <c r="AS18" s="340">
        <f>VLOOKUP(C18,Theory!B21:AM89,38,FALSE)</f>
        <v>0</v>
      </c>
      <c r="AT18" s="335">
        <f t="shared" si="11"/>
        <v>0</v>
      </c>
      <c r="AU18" s="340">
        <f>VLOOKUP(C18,Theory!B21:AN89,39,FALSE)</f>
        <v>2</v>
      </c>
      <c r="AV18" s="340">
        <f>VLOOKUP(C18,Theory!B21:AO89,40,FALSE)</f>
        <v>0</v>
      </c>
      <c r="AW18" s="340">
        <f>VLOOKUP(C18,Theory!B21:AP89,41,FALSE)</f>
        <v>0</v>
      </c>
      <c r="AX18" s="340">
        <f>VLOOKUP(C18,Theory!B21:AQ89,42,FALSE)</f>
        <v>0</v>
      </c>
      <c r="AY18" s="335">
        <f t="shared" si="12"/>
        <v>2</v>
      </c>
      <c r="AZ18" s="340">
        <f>VLOOKUP(C18,Theory!B21:AR89,43,FALSE)</f>
        <v>6</v>
      </c>
      <c r="BA18" s="340">
        <f>VLOOKUP(C18,Theory!B21:AS89,44,FALSE)</f>
        <v>0</v>
      </c>
      <c r="BB18" s="340">
        <f>VLOOKUP(C18,Theory!B21:AT89,45,FALSE)</f>
        <v>0</v>
      </c>
      <c r="BC18" s="340">
        <f>VLOOKUP(C18,Theory!B21:AU89,46,FALSE)</f>
        <v>0</v>
      </c>
      <c r="BD18" s="340">
        <f>VLOOKUP(C18,Theory!B21:AV89,47,FALSE)</f>
        <v>1</v>
      </c>
      <c r="BE18" s="340">
        <f>VLOOKUP(C18,Theory!B21:AW89,48,FALSE)</f>
        <v>0</v>
      </c>
      <c r="BF18" s="340">
        <f>VLOOKUP(C18,Theory!B21:AX89,49,FALSE)</f>
        <v>0</v>
      </c>
      <c r="BG18" s="340">
        <f>VLOOKUP(C18,Theory!B21:AY89,50,FALSE)</f>
        <v>0</v>
      </c>
      <c r="BH18" s="335">
        <f t="shared" si="13"/>
        <v>6</v>
      </c>
      <c r="BI18" s="340">
        <f>VLOOKUP(C18,Theory!B21:AZ89,51,FALSE)</f>
        <v>2</v>
      </c>
      <c r="BJ18" s="340">
        <f>VLOOKUP(C18,Theory!B21:BA89,52,FALSE)</f>
        <v>0</v>
      </c>
      <c r="BK18" s="340">
        <f>VLOOKUP(C18,Theory!B21:BB89,53,FALSE)</f>
        <v>0</v>
      </c>
      <c r="BL18" s="340">
        <f>VLOOKUP(C18,Theory!B21:BC89,54,FALSE)</f>
        <v>0</v>
      </c>
      <c r="BM18" s="340">
        <f>VLOOKUP(C18,Theory!B21:BD89,55,FALSE)</f>
        <v>0</v>
      </c>
      <c r="BN18" s="340">
        <f>VLOOKUP(C18,Theory!B21:BE89,56,FALSE)</f>
        <v>0</v>
      </c>
      <c r="BO18" s="340">
        <f>VLOOKUP(C18,Theory!B21:BF89,57,FALSE)</f>
        <v>0</v>
      </c>
      <c r="BP18" s="340">
        <f>VLOOKUP(C18,Theory!B21:BG89,58,FALSE)</f>
        <v>0</v>
      </c>
      <c r="BQ18" s="335">
        <f t="shared" si="14"/>
        <v>2</v>
      </c>
      <c r="BR18" s="340">
        <f>VLOOKUP(C18,Theory!B21:BH89,59,FALSE)</f>
        <v>0</v>
      </c>
      <c r="BS18" s="340">
        <f>VLOOKUP(C18,Theory!B21:BI89,60,FALSE)</f>
        <v>0</v>
      </c>
      <c r="BT18" s="340">
        <f>VLOOKUP(C18,Theory!B21:BJ89,61,FALSE)</f>
        <v>0</v>
      </c>
      <c r="BU18" s="340">
        <f>VLOOKUP(C18,Theory!B21:BK89,62,FALSE)</f>
        <v>0</v>
      </c>
      <c r="BV18" s="340">
        <f>VLOOKUP(C18,Theory!B21:BL89,63,FALSE)</f>
        <v>5</v>
      </c>
      <c r="BW18" s="340">
        <f>VLOOKUP(C18,Theory!B21:BM89,64,FALSE)</f>
        <v>0</v>
      </c>
      <c r="BX18" s="340">
        <f>VLOOKUP(C18,Theory!B21:BN89,65,FALSE)</f>
        <v>0</v>
      </c>
      <c r="BY18" s="340">
        <f>VLOOKUP(C18,Theory!B21:BO89,66,FALSE)</f>
        <v>0</v>
      </c>
      <c r="BZ18" s="335">
        <f t="shared" si="15"/>
        <v>5</v>
      </c>
      <c r="CA18" s="333">
        <f t="shared" si="1"/>
        <v>15</v>
      </c>
      <c r="CB18" s="340">
        <f>VLOOKUP(C18,Theory!B21:BP89,67,FALSE)</f>
        <v>6</v>
      </c>
      <c r="CC18" s="340">
        <f>VLOOKUP(C18,Theory!B21:BQ89,68,FALSE)</f>
        <v>0</v>
      </c>
      <c r="CD18" s="340">
        <f>VLOOKUP(C18,Theory!B21:BR89,69,FALSE)</f>
        <v>0</v>
      </c>
      <c r="CE18" s="340">
        <f>VLOOKUP(C18,Theory!B21:BS89,70,FALSE)</f>
        <v>0</v>
      </c>
      <c r="CF18" s="335">
        <f t="shared" si="16"/>
        <v>6</v>
      </c>
      <c r="CG18" s="341">
        <f>VLOOKUP(C18,Theory!B21:BT89,71,FALSE)</f>
        <v>1</v>
      </c>
      <c r="CH18" s="341">
        <f>VLOOKUP(C18,Theory!B21:BU89,72,FALSE)</f>
        <v>0</v>
      </c>
      <c r="CI18" s="341">
        <f>VLOOKUP(C18,Theory!B21:BV89,73,FALSE)</f>
        <v>0</v>
      </c>
      <c r="CJ18" s="341">
        <f>VLOOKUP(C18,Theory!B21:BW89,74,FALSE)</f>
        <v>0</v>
      </c>
      <c r="CK18" s="335">
        <f t="shared" si="17"/>
        <v>1</v>
      </c>
      <c r="CL18" s="340">
        <f>VLOOKUP(C18,Theory!B21:BX89,75,FALSE)</f>
        <v>6</v>
      </c>
      <c r="CM18" s="342">
        <f>VLOOKUP(C18,Theory!B21:BY89,76,FALSE)</f>
        <v>0</v>
      </c>
      <c r="CN18" s="342">
        <f>VLOOKUP(C18,Theory!B21:BZ89,77,FALSE)</f>
        <v>0</v>
      </c>
      <c r="CO18" s="342">
        <f>VLOOKUP(C18,Theory!B21:CA89,78,FALSE)</f>
        <v>0</v>
      </c>
      <c r="CP18" s="340">
        <f>VLOOKUP(C18,Theory!B21:CB89,79,FALSE)</f>
        <v>7</v>
      </c>
      <c r="CQ18" s="340">
        <f>VLOOKUP(C18,Theory!B21:CC89,80,FALSE)</f>
        <v>0</v>
      </c>
      <c r="CR18" s="340">
        <f>VLOOKUP(C18,Theory!B21:CD89,81,FALSE)</f>
        <v>0</v>
      </c>
      <c r="CS18" s="340">
        <f>VLOOKUP(C18,Theory!B21:CE89,82,FALSE)</f>
        <v>0</v>
      </c>
      <c r="CT18" s="335">
        <f t="shared" si="18"/>
        <v>7</v>
      </c>
      <c r="CU18" s="341">
        <f>VLOOKUP(C18,Theory!B21:CF89,83,FALSE)</f>
        <v>0</v>
      </c>
      <c r="CV18" s="342">
        <f>VLOOKUP(C18,Theory!B21:CG89,84,FALSE)</f>
        <v>0</v>
      </c>
      <c r="CW18" s="342">
        <f>VLOOKUP(C18,Theory!B21:CH89,85,FALSE)</f>
        <v>0</v>
      </c>
      <c r="CX18" s="342">
        <f>VLOOKUP(C18,Theory!B21:CI89,86,FALSE)</f>
        <v>0</v>
      </c>
      <c r="CY18" s="341">
        <f>VLOOKUP(C18,Theory!B21:CJ89,87,FALSE)</f>
        <v>0</v>
      </c>
      <c r="CZ18" s="341">
        <f>VLOOKUP(C18,Theory!B21:CK89,88,FALSE)</f>
        <v>0</v>
      </c>
      <c r="DA18" s="341">
        <f>VLOOKUP(C18,Theory!B21:CL89,89,FALSE)</f>
        <v>0</v>
      </c>
      <c r="DB18" s="341">
        <f>VLOOKUP(C18,Theory!B21:CM89,90,FALSE)</f>
        <v>0</v>
      </c>
      <c r="DC18" s="335">
        <f t="shared" si="19"/>
        <v>0</v>
      </c>
      <c r="DD18" s="340">
        <f>VLOOKUP(C18,Theory!B21:CN89,91,FALSE)</f>
        <v>0</v>
      </c>
      <c r="DE18" s="342">
        <f>VLOOKUP(C18,Theory!B21:CO89,92,FALSE)</f>
        <v>0</v>
      </c>
      <c r="DF18" s="342">
        <f>VLOOKUP(C18,Theory!B21:CP89,93,FALSE)</f>
        <v>0</v>
      </c>
      <c r="DG18" s="342">
        <f>VLOOKUP(C18,Theory!B21:CQ89,94,FALSE)</f>
        <v>0</v>
      </c>
      <c r="DH18" s="340">
        <f>VLOOKUP(C18,Theory!B21:CR89,95,FALSE)</f>
        <v>6</v>
      </c>
      <c r="DI18" s="340">
        <f>VLOOKUP(C18,Theory!B21:CS89,96,FALSE)</f>
        <v>0</v>
      </c>
      <c r="DJ18" s="340">
        <f>VLOOKUP(C18,Theory!B21:CT89,97,FALSE)</f>
        <v>0</v>
      </c>
      <c r="DK18" s="340">
        <f>VLOOKUP(C18,Theory!B21:CU89,98,FALSE)</f>
        <v>0</v>
      </c>
      <c r="DL18" s="335">
        <f t="shared" si="20"/>
        <v>6</v>
      </c>
      <c r="DM18" s="265">
        <f t="shared" si="2"/>
        <v>20</v>
      </c>
      <c r="DN18" s="362">
        <f t="shared" si="40"/>
        <v>20</v>
      </c>
      <c r="DO18" s="362">
        <f t="shared" si="41"/>
        <v>15</v>
      </c>
      <c r="DP18" s="362">
        <f t="shared" si="42"/>
        <v>20</v>
      </c>
      <c r="DQ18" s="343">
        <f t="shared" si="43"/>
        <v>12</v>
      </c>
      <c r="DR18" s="343">
        <f t="shared" si="44"/>
        <v>9</v>
      </c>
      <c r="DS18" s="343">
        <f t="shared" si="45"/>
        <v>12</v>
      </c>
      <c r="DT18" s="328">
        <f t="shared" si="36"/>
        <v>11</v>
      </c>
      <c r="DU18" s="326">
        <f>VLOOKUP(C18,Theory!B21:CV89,99,FALSE)</f>
        <v>10</v>
      </c>
      <c r="DV18" s="326">
        <f>VLOOKUP(C18,Theory!B21:CW89,100,FALSE)</f>
        <v>10</v>
      </c>
      <c r="DW18" s="331">
        <f t="shared" si="27"/>
        <v>20</v>
      </c>
      <c r="DX18" s="266">
        <f t="shared" si="3"/>
        <v>31</v>
      </c>
      <c r="DY18" s="363">
        <f t="shared" si="4"/>
        <v>19</v>
      </c>
      <c r="DZ18" s="344">
        <f>VLOOKUP(C18,Lab!B13:D82,3,FALSE)</f>
        <v>0</v>
      </c>
      <c r="EA18" s="345">
        <f>VLOOKUP(C18,Lab!B13:E82,4,FALSE)</f>
        <v>0</v>
      </c>
      <c r="EB18" s="345">
        <f>VLOOKUP(C18,Lab!B13:F82,5,FALSE)</f>
        <v>0</v>
      </c>
      <c r="EC18" s="329">
        <f t="shared" si="37"/>
        <v>0</v>
      </c>
      <c r="ED18" s="346">
        <f>VLOOKUP(C18,Lab!B13:G82,6,FALSE)</f>
        <v>0</v>
      </c>
      <c r="EE18" s="346">
        <f>VLOOKUP(C18,Lab!B13:H82,7,FALSE)</f>
        <v>0</v>
      </c>
      <c r="EF18" s="347">
        <f>VLOOKUP(C18,Lab!B13:I82,8,FALSE)</f>
        <v>0</v>
      </c>
      <c r="EG18" s="330">
        <f t="shared" si="38"/>
        <v>0</v>
      </c>
      <c r="EH18" s="390">
        <f t="shared" si="28"/>
        <v>0</v>
      </c>
      <c r="EI18" s="349">
        <f t="shared" si="29"/>
        <v>0</v>
      </c>
      <c r="EJ18" s="391">
        <f t="shared" si="5"/>
        <v>19</v>
      </c>
      <c r="EK18" s="258">
        <v>21</v>
      </c>
      <c r="EL18" s="320"/>
      <c r="EM18" s="350">
        <f>VLOOKUP(C18,Theory!B21:DL89,114,FALSE)</f>
        <v>0</v>
      </c>
      <c r="EN18" s="350">
        <f>VLOOKUP(C18,Theory!B21:DM89,115,FALSE)</f>
        <v>0</v>
      </c>
      <c r="EO18" s="350">
        <f>VLOOKUP(C18,Theory!B21:DN89,116,FALSE)</f>
        <v>0</v>
      </c>
      <c r="EP18" s="350">
        <f>VLOOKUP(C18,Theory!B21:DO87,117,FALSE)</f>
        <v>0</v>
      </c>
      <c r="EQ18" s="350">
        <f>VLOOKUP(C18,Theory!B21:DP87,118,FALSE)</f>
        <v>0</v>
      </c>
      <c r="ER18" s="351">
        <f>VLOOKUP(C18,Theory!B21:DQ87,119,FALSE)</f>
        <v>0</v>
      </c>
      <c r="ES18" s="327">
        <f>VLOOKUP(C18,Theory!B21:DR87,120,FALSE)</f>
        <v>0</v>
      </c>
      <c r="ET18" s="348">
        <f t="shared" si="39"/>
        <v>0</v>
      </c>
      <c r="EU18" s="352"/>
      <c r="EV18" s="352"/>
      <c r="EW18" s="352"/>
      <c r="EX18" s="352"/>
      <c r="EY18" s="352"/>
      <c r="EZ18" s="352"/>
      <c r="FA18" s="352"/>
      <c r="FB18" s="352"/>
      <c r="FC18" s="352"/>
      <c r="FD18" s="352"/>
    </row>
    <row r="19" spans="1:160" ht="16.2" thickBot="1" x14ac:dyDescent="0.35">
      <c r="A19" s="64">
        <v>6</v>
      </c>
      <c r="B19" s="17" t="str">
        <f>Theory!C22</f>
        <v>BHARGAVI K</v>
      </c>
      <c r="C19" s="16" t="str">
        <f>Theory!B22</f>
        <v>1DS21AI009</v>
      </c>
      <c r="D19" s="334">
        <f>VLOOKUP(C19,Theory!B22:D90,3,FALSE)</f>
        <v>8</v>
      </c>
      <c r="E19" s="334">
        <f>VLOOKUP(C19,Theory!B22:E90,4,FALSE)</f>
        <v>0</v>
      </c>
      <c r="F19" s="334">
        <f>VLOOKUP(C19,Theory!B22:F90,5,FALSE)</f>
        <v>0</v>
      </c>
      <c r="G19" s="334">
        <f>VLOOKUP(C19,Theory!B22:G90,6,FALSE)</f>
        <v>0</v>
      </c>
      <c r="H19" s="335">
        <f t="shared" si="6"/>
        <v>8</v>
      </c>
      <c r="I19" s="338">
        <f>VLOOKUP(C19,Theory!B22:H90,7,FALSE)</f>
        <v>6</v>
      </c>
      <c r="J19" s="337">
        <f>VLOOKUP(C19,Theory!B22:I90,8,FALSE)</f>
        <v>0</v>
      </c>
      <c r="K19" s="337">
        <f>VLOOKUP(C19,Theory!B22:J90,9,FALSE)</f>
        <v>0</v>
      </c>
      <c r="L19" s="337">
        <f>VLOOKUP(C19,Theory!B22:K90,10,FALSE)</f>
        <v>0</v>
      </c>
      <c r="M19" s="335">
        <f t="shared" si="7"/>
        <v>6</v>
      </c>
      <c r="N19" s="336">
        <f>VLOOKUP(C19,Theory!B22:L90,11,FALSE)</f>
        <v>10</v>
      </c>
      <c r="O19" s="336">
        <f>VLOOKUP(C19,Theory!B22:M90,12,FALSE)</f>
        <v>0</v>
      </c>
      <c r="P19" s="336">
        <f>VLOOKUP(C19,Theory!B22:N90,13,FALSE)</f>
        <v>0</v>
      </c>
      <c r="Q19" s="336">
        <f>VLOOKUP(C19,Theory!B22:O90,14,FALSE)</f>
        <v>0</v>
      </c>
      <c r="R19" s="337">
        <f>VLOOKUP(C19,Theory!B22:P90,15,FALSE)</f>
        <v>0</v>
      </c>
      <c r="S19" s="337">
        <f>VLOOKUP(C19,Theory!B22:Q90,16,FALSE)</f>
        <v>0</v>
      </c>
      <c r="T19" s="337">
        <f>VLOOKUP(C19,Theory!B22:R90,17,FALSE)</f>
        <v>0</v>
      </c>
      <c r="U19" s="337">
        <f>VLOOKUP(C19,Theory!B22:S90,18,FALSE)</f>
        <v>0</v>
      </c>
      <c r="V19" s="335">
        <f t="shared" si="8"/>
        <v>10</v>
      </c>
      <c r="W19" s="334">
        <f>VLOOKUP(C19,Theory!B22:T90,19,FALSE)</f>
        <v>0</v>
      </c>
      <c r="X19" s="334">
        <f>VLOOKUP(C19,Theory!B22:U90,20,FALSE)</f>
        <v>0</v>
      </c>
      <c r="Y19" s="334">
        <f>VLOOKUP(C19,Theory!B22:V90,21,FALSE)</f>
        <v>0</v>
      </c>
      <c r="Z19" s="334">
        <f>VLOOKUP(C19,Theory!B22:W90,22,FALSE)</f>
        <v>0</v>
      </c>
      <c r="AA19" s="338">
        <f>VLOOKUP(C19,Theory!B22:X90,23,FALSE)</f>
        <v>9</v>
      </c>
      <c r="AB19" s="338">
        <f>VLOOKUP(C19,Theory!B22:Y90,24,FALSE)</f>
        <v>0</v>
      </c>
      <c r="AC19" s="338">
        <f>VLOOKUP(C19,Theory!B22:Z90,25,FALSE)</f>
        <v>0</v>
      </c>
      <c r="AD19" s="338">
        <f>VLOOKUP(C19,Theory!B22:AA90,26,FALSE)</f>
        <v>0</v>
      </c>
      <c r="AE19" s="335">
        <f t="shared" si="9"/>
        <v>9</v>
      </c>
      <c r="AF19" s="334">
        <f>VLOOKUP(C19,Theory!B22:AB90,27,FALSE)</f>
        <v>0</v>
      </c>
      <c r="AG19" s="334">
        <f>VLOOKUP(C19,Theory!B22:AC90,28,FALSE)</f>
        <v>0</v>
      </c>
      <c r="AH19" s="334">
        <f>VLOOKUP(C19,Theory!B22:AD90,29,FALSE)</f>
        <v>0</v>
      </c>
      <c r="AI19" s="334">
        <f>VLOOKUP(C19,Theory!B22:AE90,30,FALSE)</f>
        <v>0</v>
      </c>
      <c r="AJ19" s="339">
        <f>VLOOKUP(C19,Theory!B22:AF90,31,FALSE)</f>
        <v>9</v>
      </c>
      <c r="AK19" s="339">
        <f>VLOOKUP(C19,Theory!B22:AG90,32,FALSE)</f>
        <v>0</v>
      </c>
      <c r="AL19" s="339">
        <f>VLOOKUP(C19,Theory!B22:AH90,33,FALSE)</f>
        <v>0</v>
      </c>
      <c r="AM19" s="339">
        <f>VLOOKUP(C19,Theory!B22:AI90,34,FALSE)</f>
        <v>0</v>
      </c>
      <c r="AN19" s="335">
        <f t="shared" si="10"/>
        <v>9</v>
      </c>
      <c r="AO19" s="333">
        <f t="shared" si="0"/>
        <v>42</v>
      </c>
      <c r="AP19" s="340">
        <f>VLOOKUP(C19,Theory!B22:AJ90,35,FALSE)</f>
        <v>10</v>
      </c>
      <c r="AQ19" s="340">
        <f>VLOOKUP(C19,Theory!B22:AK90,36,FALSE)</f>
        <v>0</v>
      </c>
      <c r="AR19" s="340">
        <f>VLOOKUP(C19,Theory!B22:AL90,37,FALSE)</f>
        <v>0</v>
      </c>
      <c r="AS19" s="340">
        <f>VLOOKUP(C19,Theory!B22:AM90,38,FALSE)</f>
        <v>0</v>
      </c>
      <c r="AT19" s="335">
        <f t="shared" si="11"/>
        <v>10</v>
      </c>
      <c r="AU19" s="340">
        <f>VLOOKUP(C19,Theory!B22:AN90,39,FALSE)</f>
        <v>9</v>
      </c>
      <c r="AV19" s="340">
        <f>VLOOKUP(C19,Theory!B22:AO90,40,FALSE)</f>
        <v>0</v>
      </c>
      <c r="AW19" s="340">
        <f>VLOOKUP(C19,Theory!B22:AP90,41,FALSE)</f>
        <v>0</v>
      </c>
      <c r="AX19" s="340">
        <f>VLOOKUP(C19,Theory!B22:AQ90,42,FALSE)</f>
        <v>0</v>
      </c>
      <c r="AY19" s="335">
        <f t="shared" si="12"/>
        <v>9</v>
      </c>
      <c r="AZ19" s="340">
        <f>VLOOKUP(C19,Theory!B22:AR90,43,FALSE)</f>
        <v>9</v>
      </c>
      <c r="BA19" s="340">
        <f>VLOOKUP(C19,Theory!B22:AS90,44,FALSE)</f>
        <v>0</v>
      </c>
      <c r="BB19" s="340">
        <f>VLOOKUP(C19,Theory!B22:AT90,45,FALSE)</f>
        <v>0</v>
      </c>
      <c r="BC19" s="340">
        <f>VLOOKUP(C19,Theory!B22:AU90,46,FALSE)</f>
        <v>0</v>
      </c>
      <c r="BD19" s="340">
        <f>VLOOKUP(C19,Theory!B22:AV90,47,FALSE)</f>
        <v>0</v>
      </c>
      <c r="BE19" s="340">
        <f>VLOOKUP(C19,Theory!B22:AW90,48,FALSE)</f>
        <v>0</v>
      </c>
      <c r="BF19" s="340">
        <f>VLOOKUP(C19,Theory!B22:AX90,49,FALSE)</f>
        <v>0</v>
      </c>
      <c r="BG19" s="340">
        <f>VLOOKUP(C19,Theory!B22:AY90,50,FALSE)</f>
        <v>0</v>
      </c>
      <c r="BH19" s="335">
        <f t="shared" si="13"/>
        <v>9</v>
      </c>
      <c r="BI19" s="340">
        <f>VLOOKUP(C19,Theory!B22:AZ90,51,FALSE)</f>
        <v>7</v>
      </c>
      <c r="BJ19" s="340">
        <f>VLOOKUP(C19,Theory!B22:BA90,52,FALSE)</f>
        <v>0</v>
      </c>
      <c r="BK19" s="340">
        <f>VLOOKUP(C19,Theory!B22:BB90,53,FALSE)</f>
        <v>0</v>
      </c>
      <c r="BL19" s="340">
        <f>VLOOKUP(C19,Theory!B22:BC90,54,FALSE)</f>
        <v>0</v>
      </c>
      <c r="BM19" s="340">
        <f>VLOOKUP(C19,Theory!B22:BD90,55,FALSE)</f>
        <v>0</v>
      </c>
      <c r="BN19" s="340">
        <f>VLOOKUP(C19,Theory!B22:BE90,56,FALSE)</f>
        <v>0</v>
      </c>
      <c r="BO19" s="340">
        <f>VLOOKUP(C19,Theory!B22:BF90,57,FALSE)</f>
        <v>0</v>
      </c>
      <c r="BP19" s="340">
        <f>VLOOKUP(C19,Theory!B22:BG90,58,FALSE)</f>
        <v>0</v>
      </c>
      <c r="BQ19" s="335">
        <f t="shared" si="14"/>
        <v>7</v>
      </c>
      <c r="BR19" s="340">
        <f>VLOOKUP(C19,Theory!B22:BH90,59,FALSE)</f>
        <v>8</v>
      </c>
      <c r="BS19" s="340">
        <f>VLOOKUP(C19,Theory!B22:BI90,60,FALSE)</f>
        <v>0</v>
      </c>
      <c r="BT19" s="340">
        <f>VLOOKUP(C19,Theory!B22:BJ90,61,FALSE)</f>
        <v>0</v>
      </c>
      <c r="BU19" s="340">
        <f>VLOOKUP(C19,Theory!B22:BK90,62,FALSE)</f>
        <v>0</v>
      </c>
      <c r="BV19" s="340">
        <f>VLOOKUP(C19,Theory!B22:BL90,63,FALSE)</f>
        <v>0</v>
      </c>
      <c r="BW19" s="340">
        <f>VLOOKUP(C19,Theory!B22:BM90,64,FALSE)</f>
        <v>0</v>
      </c>
      <c r="BX19" s="340">
        <f>VLOOKUP(C19,Theory!B22:BN90,65,FALSE)</f>
        <v>0</v>
      </c>
      <c r="BY19" s="340">
        <f>VLOOKUP(C19,Theory!B22:BO90,66,FALSE)</f>
        <v>0</v>
      </c>
      <c r="BZ19" s="335">
        <f t="shared" si="15"/>
        <v>8</v>
      </c>
      <c r="CA19" s="333">
        <f t="shared" si="1"/>
        <v>43</v>
      </c>
      <c r="CB19" s="340">
        <f>VLOOKUP(C19,Theory!B22:BP90,67,FALSE)</f>
        <v>9</v>
      </c>
      <c r="CC19" s="340">
        <f>VLOOKUP(C19,Theory!B22:BQ90,68,FALSE)</f>
        <v>0</v>
      </c>
      <c r="CD19" s="340">
        <f>VLOOKUP(C19,Theory!B22:BR90,69,FALSE)</f>
        <v>0</v>
      </c>
      <c r="CE19" s="340">
        <f>VLOOKUP(C19,Theory!B22:BS90,70,FALSE)</f>
        <v>0</v>
      </c>
      <c r="CF19" s="335">
        <f t="shared" si="16"/>
        <v>9</v>
      </c>
      <c r="CG19" s="341">
        <f>VLOOKUP(C19,Theory!B22:BT90,71,FALSE)</f>
        <v>7</v>
      </c>
      <c r="CH19" s="341">
        <f>VLOOKUP(C19,Theory!B22:BU90,72,FALSE)</f>
        <v>0</v>
      </c>
      <c r="CI19" s="341">
        <f>VLOOKUP(C19,Theory!B22:BV90,73,FALSE)</f>
        <v>0</v>
      </c>
      <c r="CJ19" s="341">
        <f>VLOOKUP(C19,Theory!B22:BW90,74,FALSE)</f>
        <v>0</v>
      </c>
      <c r="CK19" s="335">
        <f t="shared" si="17"/>
        <v>7</v>
      </c>
      <c r="CL19" s="340">
        <f>VLOOKUP(C19,Theory!B22:BX90,75,FALSE)</f>
        <v>0</v>
      </c>
      <c r="CM19" s="342">
        <f>VLOOKUP(C19,Theory!B22:BY90,76,FALSE)</f>
        <v>0</v>
      </c>
      <c r="CN19" s="342">
        <f>VLOOKUP(C19,Theory!B22:BZ90,77,FALSE)</f>
        <v>0</v>
      </c>
      <c r="CO19" s="342">
        <f>VLOOKUP(C19,Theory!B22:CA90,78,FALSE)</f>
        <v>0</v>
      </c>
      <c r="CP19" s="340">
        <f>VLOOKUP(C19,Theory!B22:CB90,79,FALSE)</f>
        <v>10</v>
      </c>
      <c r="CQ19" s="340">
        <f>VLOOKUP(C19,Theory!B22:CC90,80,FALSE)</f>
        <v>0</v>
      </c>
      <c r="CR19" s="340">
        <f>VLOOKUP(C19,Theory!B22:CD90,81,FALSE)</f>
        <v>0</v>
      </c>
      <c r="CS19" s="340">
        <f>VLOOKUP(C19,Theory!B22:CE90,82,FALSE)</f>
        <v>0</v>
      </c>
      <c r="CT19" s="335">
        <f t="shared" si="18"/>
        <v>10</v>
      </c>
      <c r="CU19" s="341">
        <f>VLOOKUP(C19,Theory!B22:CF90,83,FALSE)</f>
        <v>10</v>
      </c>
      <c r="CV19" s="342">
        <f>VLOOKUP(C19,Theory!B22:CG90,84,FALSE)</f>
        <v>0</v>
      </c>
      <c r="CW19" s="342">
        <f>VLOOKUP(C19,Theory!B22:CH90,85,FALSE)</f>
        <v>0</v>
      </c>
      <c r="CX19" s="342">
        <f>VLOOKUP(C19,Theory!B22:CI90,86,FALSE)</f>
        <v>0</v>
      </c>
      <c r="CY19" s="341">
        <f>VLOOKUP(C19,Theory!B22:CJ90,87,FALSE)</f>
        <v>0</v>
      </c>
      <c r="CZ19" s="341">
        <f>VLOOKUP(C19,Theory!B22:CK90,88,FALSE)</f>
        <v>0</v>
      </c>
      <c r="DA19" s="341">
        <f>VLOOKUP(C19,Theory!B22:CL90,89,FALSE)</f>
        <v>0</v>
      </c>
      <c r="DB19" s="341">
        <f>VLOOKUP(C19,Theory!B22:CM90,90,FALSE)</f>
        <v>0</v>
      </c>
      <c r="DC19" s="335">
        <f t="shared" si="19"/>
        <v>10</v>
      </c>
      <c r="DD19" s="340">
        <f>VLOOKUP(C19,Theory!B22:CN90,91,FALSE)</f>
        <v>9</v>
      </c>
      <c r="DE19" s="342">
        <f>VLOOKUP(C19,Theory!B22:CO90,92,FALSE)</f>
        <v>0</v>
      </c>
      <c r="DF19" s="342">
        <f>VLOOKUP(C19,Theory!B22:CP90,93,FALSE)</f>
        <v>0</v>
      </c>
      <c r="DG19" s="342">
        <f>VLOOKUP(C19,Theory!B22:CQ90,94,FALSE)</f>
        <v>0</v>
      </c>
      <c r="DH19" s="340">
        <f>VLOOKUP(C19,Theory!B22:CR90,95,FALSE)</f>
        <v>0</v>
      </c>
      <c r="DI19" s="340">
        <f>VLOOKUP(C19,Theory!B22:CS90,96,FALSE)</f>
        <v>0</v>
      </c>
      <c r="DJ19" s="340">
        <f>VLOOKUP(C19,Theory!B22:CT90,97,FALSE)</f>
        <v>0</v>
      </c>
      <c r="DK19" s="340">
        <f>VLOOKUP(C19,Theory!B22:CU90,98,FALSE)</f>
        <v>0</v>
      </c>
      <c r="DL19" s="335">
        <f t="shared" si="20"/>
        <v>9</v>
      </c>
      <c r="DM19" s="265">
        <f t="shared" si="2"/>
        <v>45</v>
      </c>
      <c r="DN19" s="362">
        <f t="shared" si="40"/>
        <v>42</v>
      </c>
      <c r="DO19" s="362">
        <f t="shared" si="41"/>
        <v>43</v>
      </c>
      <c r="DP19" s="362">
        <f t="shared" si="42"/>
        <v>45</v>
      </c>
      <c r="DQ19" s="343">
        <f t="shared" si="43"/>
        <v>25</v>
      </c>
      <c r="DR19" s="343">
        <f t="shared" si="44"/>
        <v>26</v>
      </c>
      <c r="DS19" s="343">
        <f t="shared" si="45"/>
        <v>27</v>
      </c>
      <c r="DT19" s="328">
        <f t="shared" si="36"/>
        <v>26</v>
      </c>
      <c r="DU19" s="326">
        <f>VLOOKUP(C19,Theory!B22:CV90,99,FALSE)</f>
        <v>10</v>
      </c>
      <c r="DV19" s="326">
        <f>VLOOKUP(C19,Theory!B22:CW90,100,FALSE)</f>
        <v>10</v>
      </c>
      <c r="DW19" s="331">
        <f t="shared" si="27"/>
        <v>20</v>
      </c>
      <c r="DX19" s="266">
        <f t="shared" si="3"/>
        <v>46</v>
      </c>
      <c r="DY19" s="363">
        <f t="shared" si="4"/>
        <v>28</v>
      </c>
      <c r="DZ19" s="344">
        <f>VLOOKUP(C19,Lab!B14:D83,3,FALSE)</f>
        <v>0</v>
      </c>
      <c r="EA19" s="345">
        <f>VLOOKUP(C19,Lab!B14:E83,4,FALSE)</f>
        <v>0</v>
      </c>
      <c r="EB19" s="345">
        <f>VLOOKUP(C19,Lab!B14:F83,5,FALSE)</f>
        <v>0</v>
      </c>
      <c r="EC19" s="329">
        <f t="shared" si="37"/>
        <v>0</v>
      </c>
      <c r="ED19" s="346">
        <f>VLOOKUP(C19,Lab!B14:G83,6,FALSE)</f>
        <v>0</v>
      </c>
      <c r="EE19" s="346">
        <f>VLOOKUP(C19,Lab!B14:H83,7,FALSE)</f>
        <v>0</v>
      </c>
      <c r="EF19" s="347">
        <f>VLOOKUP(C19,Lab!B14:I83,8,FALSE)</f>
        <v>0</v>
      </c>
      <c r="EG19" s="330">
        <f t="shared" si="38"/>
        <v>0</v>
      </c>
      <c r="EH19" s="390">
        <f t="shared" si="28"/>
        <v>0</v>
      </c>
      <c r="EI19" s="349">
        <f t="shared" si="29"/>
        <v>0</v>
      </c>
      <c r="EJ19" s="391">
        <f t="shared" si="5"/>
        <v>28</v>
      </c>
      <c r="EK19" s="258">
        <v>43</v>
      </c>
      <c r="EM19" s="350">
        <f>VLOOKUP(C19,Theory!B22:DL90,114,FALSE)</f>
        <v>0</v>
      </c>
      <c r="EN19" s="350">
        <f>VLOOKUP(C19,Theory!B22:DM90,115,FALSE)</f>
        <v>0</v>
      </c>
      <c r="EO19" s="350">
        <f>VLOOKUP(C19,Theory!B22:DN90,116,FALSE)</f>
        <v>0</v>
      </c>
      <c r="EP19" s="350">
        <f>VLOOKUP(C19,Theory!B22:DO88,117,FALSE)</f>
        <v>0</v>
      </c>
      <c r="EQ19" s="350">
        <f>VLOOKUP(C19,Theory!B22:DP88,118,FALSE)</f>
        <v>0</v>
      </c>
      <c r="ER19" s="351">
        <f>VLOOKUP(C19,Theory!B22:DQ88,119,FALSE)</f>
        <v>0</v>
      </c>
      <c r="ES19" s="327">
        <f>VLOOKUP(C19,Theory!B22:DR88,120,FALSE)</f>
        <v>0</v>
      </c>
      <c r="ET19" s="348">
        <f t="shared" si="39"/>
        <v>0</v>
      </c>
      <c r="EU19" s="352"/>
      <c r="EV19" s="352"/>
      <c r="EW19" s="352"/>
      <c r="EX19" s="352"/>
      <c r="EY19" s="352"/>
      <c r="EZ19" s="352"/>
      <c r="FA19" s="352"/>
      <c r="FB19" s="352"/>
      <c r="FC19" s="352"/>
      <c r="FD19" s="352"/>
    </row>
    <row r="20" spans="1:160" ht="16.2" thickBot="1" x14ac:dyDescent="0.35">
      <c r="A20" s="64">
        <v>7</v>
      </c>
      <c r="B20" s="17" t="str">
        <f>Theory!C23</f>
        <v>DARSHAN R</v>
      </c>
      <c r="C20" s="16" t="str">
        <f>Theory!B23</f>
        <v>1DS21AI014</v>
      </c>
      <c r="D20" s="334">
        <f>VLOOKUP(C20,Theory!B23:D91,3,FALSE)</f>
        <v>8</v>
      </c>
      <c r="E20" s="334">
        <f>VLOOKUP(C20,Theory!B23:E91,4,FALSE)</f>
        <v>0</v>
      </c>
      <c r="F20" s="334">
        <f>VLOOKUP(C20,Theory!B23:F91,5,FALSE)</f>
        <v>0</v>
      </c>
      <c r="G20" s="334">
        <f>VLOOKUP(C20,Theory!B23:G91,6,FALSE)</f>
        <v>0</v>
      </c>
      <c r="H20" s="335">
        <f t="shared" si="6"/>
        <v>8</v>
      </c>
      <c r="I20" s="338">
        <f>VLOOKUP(C20,Theory!B23:H91,7,FALSE)</f>
        <v>7</v>
      </c>
      <c r="J20" s="337">
        <f>VLOOKUP(C20,Theory!B23:I91,8,FALSE)</f>
        <v>0</v>
      </c>
      <c r="K20" s="337">
        <f>VLOOKUP(C20,Theory!B23:J91,9,FALSE)</f>
        <v>0</v>
      </c>
      <c r="L20" s="337">
        <f>VLOOKUP(C20,Theory!B23:K91,10,FALSE)</f>
        <v>0</v>
      </c>
      <c r="M20" s="335">
        <f t="shared" si="7"/>
        <v>7</v>
      </c>
      <c r="N20" s="336">
        <f>VLOOKUP(C20,Theory!B23:L91,11,FALSE)</f>
        <v>8</v>
      </c>
      <c r="O20" s="336">
        <f>VLOOKUP(C20,Theory!B23:M91,12,FALSE)</f>
        <v>0</v>
      </c>
      <c r="P20" s="336">
        <f>VLOOKUP(C20,Theory!B23:N91,13,FALSE)</f>
        <v>0</v>
      </c>
      <c r="Q20" s="336">
        <f>VLOOKUP(C20,Theory!B23:O91,14,FALSE)</f>
        <v>0</v>
      </c>
      <c r="R20" s="337">
        <f>VLOOKUP(C20,Theory!B23:P91,15,FALSE)</f>
        <v>0</v>
      </c>
      <c r="S20" s="337">
        <f>VLOOKUP(C20,Theory!B23:Q91,16,FALSE)</f>
        <v>0</v>
      </c>
      <c r="T20" s="337">
        <f>VLOOKUP(C20,Theory!B23:R91,17,FALSE)</f>
        <v>0</v>
      </c>
      <c r="U20" s="337">
        <f>VLOOKUP(C20,Theory!B23:S91,18,FALSE)</f>
        <v>0</v>
      </c>
      <c r="V20" s="335">
        <f t="shared" si="8"/>
        <v>8</v>
      </c>
      <c r="W20" s="334">
        <f>VLOOKUP(C20,Theory!B23:T91,19,FALSE)</f>
        <v>6</v>
      </c>
      <c r="X20" s="334">
        <f>VLOOKUP(C20,Theory!B23:U91,20,FALSE)</f>
        <v>0</v>
      </c>
      <c r="Y20" s="334">
        <f>VLOOKUP(C20,Theory!B23:V91,21,FALSE)</f>
        <v>0</v>
      </c>
      <c r="Z20" s="334">
        <f>VLOOKUP(C20,Theory!B23:W91,22,FALSE)</f>
        <v>0</v>
      </c>
      <c r="AA20" s="338">
        <f>VLOOKUP(C20,Theory!B23:X91,23,FALSE)</f>
        <v>0</v>
      </c>
      <c r="AB20" s="338">
        <f>VLOOKUP(C20,Theory!B23:Y91,24,FALSE)</f>
        <v>0</v>
      </c>
      <c r="AC20" s="338">
        <f>VLOOKUP(C20,Theory!B23:Z91,25,FALSE)</f>
        <v>0</v>
      </c>
      <c r="AD20" s="338">
        <f>VLOOKUP(C20,Theory!B23:AA91,26,FALSE)</f>
        <v>0</v>
      </c>
      <c r="AE20" s="335">
        <f t="shared" si="9"/>
        <v>6</v>
      </c>
      <c r="AF20" s="334">
        <f>VLOOKUP(C20,Theory!B23:AB91,27,FALSE)</f>
        <v>0</v>
      </c>
      <c r="AG20" s="334">
        <f>VLOOKUP(C20,Theory!B23:AC91,28,FALSE)</f>
        <v>0</v>
      </c>
      <c r="AH20" s="334">
        <f>VLOOKUP(C20,Theory!B23:AD91,29,FALSE)</f>
        <v>0</v>
      </c>
      <c r="AI20" s="334">
        <f>VLOOKUP(C20,Theory!B23:AE91,30,FALSE)</f>
        <v>0</v>
      </c>
      <c r="AJ20" s="339">
        <f>VLOOKUP(C20,Theory!B23:AF91,31,FALSE)</f>
        <v>0</v>
      </c>
      <c r="AK20" s="339">
        <f>VLOOKUP(C20,Theory!B23:AG91,32,FALSE)</f>
        <v>0</v>
      </c>
      <c r="AL20" s="339">
        <f>VLOOKUP(C20,Theory!B23:AH91,33,FALSE)</f>
        <v>0</v>
      </c>
      <c r="AM20" s="339">
        <f>VLOOKUP(C20,Theory!B23:AI91,34,FALSE)</f>
        <v>0</v>
      </c>
      <c r="AN20" s="335">
        <f t="shared" si="10"/>
        <v>0</v>
      </c>
      <c r="AO20" s="333">
        <f t="shared" si="0"/>
        <v>29</v>
      </c>
      <c r="AP20" s="340">
        <f>VLOOKUP(C20,Theory!B23:AJ91,35,FALSE)</f>
        <v>5</v>
      </c>
      <c r="AQ20" s="340">
        <f>VLOOKUP(C20,Theory!B23:AK91,36,FALSE)</f>
        <v>0</v>
      </c>
      <c r="AR20" s="340">
        <f>VLOOKUP(C20,Theory!B23:AL91,37,FALSE)</f>
        <v>0</v>
      </c>
      <c r="AS20" s="340">
        <f>VLOOKUP(C20,Theory!B23:AM91,38,FALSE)</f>
        <v>0</v>
      </c>
      <c r="AT20" s="335">
        <f t="shared" si="11"/>
        <v>5</v>
      </c>
      <c r="AU20" s="340">
        <f>VLOOKUP(C20,Theory!B23:AN91,39,FALSE)</f>
        <v>6</v>
      </c>
      <c r="AV20" s="340">
        <f>VLOOKUP(C20,Theory!B23:AO91,40,FALSE)</f>
        <v>0</v>
      </c>
      <c r="AW20" s="340">
        <f>VLOOKUP(C20,Theory!B23:AP91,41,FALSE)</f>
        <v>0</v>
      </c>
      <c r="AX20" s="340">
        <f>VLOOKUP(C20,Theory!B23:AQ91,42,FALSE)</f>
        <v>0</v>
      </c>
      <c r="AY20" s="335">
        <f t="shared" si="12"/>
        <v>6</v>
      </c>
      <c r="AZ20" s="340">
        <f>VLOOKUP(C20,Theory!B23:AR91,43,FALSE)</f>
        <v>9</v>
      </c>
      <c r="BA20" s="340">
        <f>VLOOKUP(C20,Theory!B23:AS91,44,FALSE)</f>
        <v>0</v>
      </c>
      <c r="BB20" s="340">
        <f>VLOOKUP(C20,Theory!B23:AT91,45,FALSE)</f>
        <v>0</v>
      </c>
      <c r="BC20" s="340">
        <f>VLOOKUP(C20,Theory!B23:AU91,46,FALSE)</f>
        <v>0</v>
      </c>
      <c r="BD20" s="340">
        <f>VLOOKUP(C20,Theory!B23:AV91,47,FALSE)</f>
        <v>0</v>
      </c>
      <c r="BE20" s="340">
        <f>VLOOKUP(C20,Theory!B23:AW91,48,FALSE)</f>
        <v>0</v>
      </c>
      <c r="BF20" s="340">
        <f>VLOOKUP(C20,Theory!B23:AX91,49,FALSE)</f>
        <v>0</v>
      </c>
      <c r="BG20" s="340">
        <f>VLOOKUP(C20,Theory!B23:AY91,50,FALSE)</f>
        <v>0</v>
      </c>
      <c r="BH20" s="335">
        <f t="shared" si="13"/>
        <v>9</v>
      </c>
      <c r="BI20" s="340">
        <f>VLOOKUP(C20,Theory!B23:AZ91,51,FALSE)</f>
        <v>0</v>
      </c>
      <c r="BJ20" s="340">
        <f>VLOOKUP(C20,Theory!B23:BA91,52,FALSE)</f>
        <v>0</v>
      </c>
      <c r="BK20" s="340">
        <f>VLOOKUP(C20,Theory!B23:BB91,53,FALSE)</f>
        <v>0</v>
      </c>
      <c r="BL20" s="340">
        <f>VLOOKUP(C20,Theory!B23:BC91,54,FALSE)</f>
        <v>0</v>
      </c>
      <c r="BM20" s="340">
        <f>VLOOKUP(C20,Theory!B23:BD91,55,FALSE)</f>
        <v>5</v>
      </c>
      <c r="BN20" s="340">
        <f>VLOOKUP(C20,Theory!B23:BE91,56,FALSE)</f>
        <v>0</v>
      </c>
      <c r="BO20" s="340">
        <f>VLOOKUP(C20,Theory!B23:BF91,57,FALSE)</f>
        <v>0</v>
      </c>
      <c r="BP20" s="340">
        <f>VLOOKUP(C20,Theory!B23:BG91,58,FALSE)</f>
        <v>0</v>
      </c>
      <c r="BQ20" s="335">
        <f t="shared" si="14"/>
        <v>5</v>
      </c>
      <c r="BR20" s="340">
        <f>VLOOKUP(C20,Theory!B23:BH91,59,FALSE)</f>
        <v>0</v>
      </c>
      <c r="BS20" s="340">
        <f>VLOOKUP(C20,Theory!B23:BI91,60,FALSE)</f>
        <v>0</v>
      </c>
      <c r="BT20" s="340">
        <f>VLOOKUP(C20,Theory!B23:BJ91,61,FALSE)</f>
        <v>0</v>
      </c>
      <c r="BU20" s="340">
        <f>VLOOKUP(C20,Theory!B23:BK91,62,FALSE)</f>
        <v>0</v>
      </c>
      <c r="BV20" s="340">
        <f>VLOOKUP(C20,Theory!B23:BL91,63,FALSE)</f>
        <v>8</v>
      </c>
      <c r="BW20" s="340">
        <f>VLOOKUP(C20,Theory!B23:BM91,64,FALSE)</f>
        <v>0</v>
      </c>
      <c r="BX20" s="340">
        <f>VLOOKUP(C20,Theory!B23:BN91,65,FALSE)</f>
        <v>0</v>
      </c>
      <c r="BY20" s="340">
        <f>VLOOKUP(C20,Theory!B23:BO91,66,FALSE)</f>
        <v>0</v>
      </c>
      <c r="BZ20" s="335">
        <f t="shared" si="15"/>
        <v>8</v>
      </c>
      <c r="CA20" s="333">
        <f t="shared" si="1"/>
        <v>33</v>
      </c>
      <c r="CB20" s="340">
        <f>VLOOKUP(C20,Theory!B23:BP91,67,FALSE)</f>
        <v>9</v>
      </c>
      <c r="CC20" s="340">
        <f>VLOOKUP(C20,Theory!B23:BQ91,68,FALSE)</f>
        <v>0</v>
      </c>
      <c r="CD20" s="340">
        <f>VLOOKUP(C20,Theory!B23:BR91,69,FALSE)</f>
        <v>0</v>
      </c>
      <c r="CE20" s="340">
        <f>VLOOKUP(C20,Theory!B23:BS91,70,FALSE)</f>
        <v>0</v>
      </c>
      <c r="CF20" s="335">
        <f t="shared" si="16"/>
        <v>9</v>
      </c>
      <c r="CG20" s="341">
        <f>VLOOKUP(C20,Theory!B23:BT91,71,FALSE)</f>
        <v>7</v>
      </c>
      <c r="CH20" s="341">
        <f>VLOOKUP(C20,Theory!B23:BU91,72,FALSE)</f>
        <v>0</v>
      </c>
      <c r="CI20" s="341">
        <f>VLOOKUP(C20,Theory!B23:BV91,73,FALSE)</f>
        <v>0</v>
      </c>
      <c r="CJ20" s="341">
        <f>VLOOKUP(C20,Theory!B23:BW91,74,FALSE)</f>
        <v>0</v>
      </c>
      <c r="CK20" s="335">
        <f t="shared" si="17"/>
        <v>7</v>
      </c>
      <c r="CL20" s="340">
        <f>VLOOKUP(C20,Theory!B23:BX91,75,FALSE)</f>
        <v>9</v>
      </c>
      <c r="CM20" s="342">
        <f>VLOOKUP(C20,Theory!B23:BY91,76,FALSE)</f>
        <v>0</v>
      </c>
      <c r="CN20" s="342">
        <f>VLOOKUP(C20,Theory!B23:BZ91,77,FALSE)</f>
        <v>0</v>
      </c>
      <c r="CO20" s="342">
        <f>VLOOKUP(C20,Theory!B23:CA91,78,FALSE)</f>
        <v>0</v>
      </c>
      <c r="CP20" s="340">
        <f>VLOOKUP(C20,Theory!B23:CB91,79,FALSE)</f>
        <v>0</v>
      </c>
      <c r="CQ20" s="340">
        <f>VLOOKUP(C20,Theory!B23:CC91,80,FALSE)</f>
        <v>0</v>
      </c>
      <c r="CR20" s="340">
        <f>VLOOKUP(C20,Theory!B23:CD91,81,FALSE)</f>
        <v>0</v>
      </c>
      <c r="CS20" s="340">
        <f>VLOOKUP(C20,Theory!B23:CE91,82,FALSE)</f>
        <v>0</v>
      </c>
      <c r="CT20" s="335">
        <f t="shared" si="18"/>
        <v>9</v>
      </c>
      <c r="CU20" s="341">
        <f>VLOOKUP(C20,Theory!B23:CF91,83,FALSE)</f>
        <v>0</v>
      </c>
      <c r="CV20" s="342">
        <f>VLOOKUP(C20,Theory!B23:CG91,84,FALSE)</f>
        <v>0</v>
      </c>
      <c r="CW20" s="342">
        <f>VLOOKUP(C20,Theory!B23:CH91,85,FALSE)</f>
        <v>0</v>
      </c>
      <c r="CX20" s="342">
        <f>VLOOKUP(C20,Theory!B23:CI91,86,FALSE)</f>
        <v>0</v>
      </c>
      <c r="CY20" s="341">
        <f>VLOOKUP(C20,Theory!B23:CJ91,87,FALSE)</f>
        <v>8</v>
      </c>
      <c r="CZ20" s="341">
        <f>VLOOKUP(C20,Theory!B23:CK91,88,FALSE)</f>
        <v>0</v>
      </c>
      <c r="DA20" s="341">
        <f>VLOOKUP(C20,Theory!B23:CL91,89,FALSE)</f>
        <v>0</v>
      </c>
      <c r="DB20" s="341">
        <f>VLOOKUP(C20,Theory!B23:CM91,90,FALSE)</f>
        <v>0</v>
      </c>
      <c r="DC20" s="335">
        <f t="shared" si="19"/>
        <v>8</v>
      </c>
      <c r="DD20" s="340">
        <f>VLOOKUP(C20,Theory!B23:CN91,91,FALSE)</f>
        <v>0</v>
      </c>
      <c r="DE20" s="342">
        <f>VLOOKUP(C20,Theory!B23:CO91,92,FALSE)</f>
        <v>0</v>
      </c>
      <c r="DF20" s="342">
        <f>VLOOKUP(C20,Theory!B23:CP91,93,FALSE)</f>
        <v>0</v>
      </c>
      <c r="DG20" s="342">
        <f>VLOOKUP(C20,Theory!B23:CQ91,94,FALSE)</f>
        <v>0</v>
      </c>
      <c r="DH20" s="340">
        <f>VLOOKUP(C20,Theory!B23:CR91,95,FALSE)</f>
        <v>9</v>
      </c>
      <c r="DI20" s="340">
        <f>VLOOKUP(C20,Theory!B23:CS91,96,FALSE)</f>
        <v>0</v>
      </c>
      <c r="DJ20" s="340">
        <f>VLOOKUP(C20,Theory!B23:CT91,97,FALSE)</f>
        <v>0</v>
      </c>
      <c r="DK20" s="340">
        <f>VLOOKUP(C20,Theory!B23:CU91,98,FALSE)</f>
        <v>0</v>
      </c>
      <c r="DL20" s="335">
        <f t="shared" si="20"/>
        <v>9</v>
      </c>
      <c r="DM20" s="265">
        <f t="shared" si="2"/>
        <v>42</v>
      </c>
      <c r="DN20" s="362">
        <f t="shared" si="40"/>
        <v>29</v>
      </c>
      <c r="DO20" s="362">
        <f t="shared" si="41"/>
        <v>33</v>
      </c>
      <c r="DP20" s="362">
        <f t="shared" si="42"/>
        <v>42</v>
      </c>
      <c r="DQ20" s="343">
        <f t="shared" si="43"/>
        <v>17</v>
      </c>
      <c r="DR20" s="343">
        <f t="shared" si="44"/>
        <v>20</v>
      </c>
      <c r="DS20" s="343">
        <f t="shared" si="45"/>
        <v>25</v>
      </c>
      <c r="DT20" s="328">
        <f t="shared" si="36"/>
        <v>21</v>
      </c>
      <c r="DU20" s="326">
        <f>VLOOKUP(C20,Theory!B23:CV91,99,FALSE)</f>
        <v>10</v>
      </c>
      <c r="DV20" s="326">
        <f>VLOOKUP(C20,Theory!B23:CW91,100,FALSE)</f>
        <v>10</v>
      </c>
      <c r="DW20" s="331">
        <f t="shared" si="27"/>
        <v>20</v>
      </c>
      <c r="DX20" s="266">
        <f t="shared" si="3"/>
        <v>41</v>
      </c>
      <c r="DY20" s="363">
        <f t="shared" si="4"/>
        <v>25</v>
      </c>
      <c r="DZ20" s="344">
        <f>VLOOKUP(C20,Lab!B15:D84,3,FALSE)</f>
        <v>0</v>
      </c>
      <c r="EA20" s="345">
        <f>VLOOKUP(C20,Lab!B15:E84,4,FALSE)</f>
        <v>0</v>
      </c>
      <c r="EB20" s="345">
        <f>VLOOKUP(C20,Lab!B15:F84,5,FALSE)</f>
        <v>0</v>
      </c>
      <c r="EC20" s="329">
        <f t="shared" si="37"/>
        <v>0</v>
      </c>
      <c r="ED20" s="346">
        <f>VLOOKUP(C20,Lab!B15:G84,6,FALSE)</f>
        <v>0</v>
      </c>
      <c r="EE20" s="346">
        <f>VLOOKUP(C20,Lab!B15:H84,7,FALSE)</f>
        <v>0</v>
      </c>
      <c r="EF20" s="347">
        <f>VLOOKUP(C20,Lab!B15:I84,8,FALSE)</f>
        <v>0</v>
      </c>
      <c r="EG20" s="330">
        <f t="shared" si="38"/>
        <v>0</v>
      </c>
      <c r="EH20" s="390">
        <f t="shared" si="28"/>
        <v>0</v>
      </c>
      <c r="EI20" s="349">
        <f t="shared" si="29"/>
        <v>0</v>
      </c>
      <c r="EJ20" s="391">
        <f t="shared" si="5"/>
        <v>25</v>
      </c>
      <c r="EK20" s="258">
        <v>35</v>
      </c>
      <c r="EM20" s="350">
        <f>VLOOKUP(C20,Theory!B23:DL91,114,FALSE)</f>
        <v>0</v>
      </c>
      <c r="EN20" s="350">
        <f>VLOOKUP(C20,Theory!B23:DM91,115,FALSE)</f>
        <v>0</v>
      </c>
      <c r="EO20" s="350">
        <f>VLOOKUP(C20,Theory!B23:DN91,116,FALSE)</f>
        <v>0</v>
      </c>
      <c r="EP20" s="350">
        <f>VLOOKUP(C20,Theory!B23:DO89,117,FALSE)</f>
        <v>0</v>
      </c>
      <c r="EQ20" s="350">
        <f>VLOOKUP(C20,Theory!B23:DP89,118,FALSE)</f>
        <v>0</v>
      </c>
      <c r="ER20" s="351">
        <f>VLOOKUP(C20,Theory!B23:DQ89,119,FALSE)</f>
        <v>0</v>
      </c>
      <c r="ES20" s="327">
        <f>VLOOKUP(C20,Theory!B23:DR89,120,FALSE)</f>
        <v>0</v>
      </c>
      <c r="ET20" s="348">
        <f t="shared" si="39"/>
        <v>0</v>
      </c>
      <c r="EU20" s="352"/>
      <c r="EV20" s="352"/>
      <c r="EW20" s="352"/>
      <c r="EX20" s="352"/>
      <c r="EY20" s="352"/>
      <c r="EZ20" s="352"/>
      <c r="FA20" s="352"/>
      <c r="FB20" s="352"/>
      <c r="FC20" s="352"/>
      <c r="FD20" s="352"/>
    </row>
    <row r="21" spans="1:160" ht="16.2" thickBot="1" x14ac:dyDescent="0.35">
      <c r="A21" s="64">
        <v>8</v>
      </c>
      <c r="B21" s="17" t="str">
        <f>Theory!C24</f>
        <v>FATIMA ANEES MULLA</v>
      </c>
      <c r="C21" s="16" t="str">
        <f>Theory!B24</f>
        <v>1DS21AI017</v>
      </c>
      <c r="D21" s="334">
        <f>VLOOKUP(C21,Theory!B24:D92,3,FALSE)</f>
        <v>6</v>
      </c>
      <c r="E21" s="334">
        <f>VLOOKUP(C21,Theory!B24:E92,4,FALSE)</f>
        <v>0</v>
      </c>
      <c r="F21" s="334">
        <f>VLOOKUP(C21,Theory!B24:F92,5,FALSE)</f>
        <v>0</v>
      </c>
      <c r="G21" s="334">
        <f>VLOOKUP(C21,Theory!B24:G92,6,FALSE)</f>
        <v>0</v>
      </c>
      <c r="H21" s="335">
        <f t="shared" si="6"/>
        <v>6</v>
      </c>
      <c r="I21" s="338">
        <f>VLOOKUP(C21,Theory!B24:H92,7,FALSE)</f>
        <v>7</v>
      </c>
      <c r="J21" s="337">
        <f>VLOOKUP(C21,Theory!B24:I92,8,FALSE)</f>
        <v>0</v>
      </c>
      <c r="K21" s="337">
        <f>VLOOKUP(C21,Theory!B24:J92,9,FALSE)</f>
        <v>0</v>
      </c>
      <c r="L21" s="337">
        <f>VLOOKUP(C21,Theory!B24:K92,10,FALSE)</f>
        <v>0</v>
      </c>
      <c r="M21" s="335">
        <f t="shared" si="7"/>
        <v>7</v>
      </c>
      <c r="N21" s="336">
        <f>VLOOKUP(C21,Theory!B24:L92,11,FALSE)</f>
        <v>9</v>
      </c>
      <c r="O21" s="336">
        <f>VLOOKUP(C21,Theory!B24:M92,12,FALSE)</f>
        <v>0</v>
      </c>
      <c r="P21" s="336">
        <f>VLOOKUP(C21,Theory!B24:N92,13,FALSE)</f>
        <v>0</v>
      </c>
      <c r="Q21" s="336">
        <f>VLOOKUP(C21,Theory!B24:O92,14,FALSE)</f>
        <v>0</v>
      </c>
      <c r="R21" s="337">
        <f>VLOOKUP(C21,Theory!B24:P92,15,FALSE)</f>
        <v>0</v>
      </c>
      <c r="S21" s="337">
        <f>VLOOKUP(C21,Theory!B24:Q92,16,FALSE)</f>
        <v>0</v>
      </c>
      <c r="T21" s="337">
        <f>VLOOKUP(C21,Theory!B24:R92,17,FALSE)</f>
        <v>0</v>
      </c>
      <c r="U21" s="337">
        <f>VLOOKUP(C21,Theory!B24:S92,18,FALSE)</f>
        <v>0</v>
      </c>
      <c r="V21" s="335">
        <f t="shared" si="8"/>
        <v>9</v>
      </c>
      <c r="W21" s="334">
        <f>VLOOKUP(C21,Theory!B24:T92,19,FALSE)</f>
        <v>0</v>
      </c>
      <c r="X21" s="334">
        <f>VLOOKUP(C21,Theory!B24:U92,20,FALSE)</f>
        <v>0</v>
      </c>
      <c r="Y21" s="334">
        <f>VLOOKUP(C21,Theory!B24:V92,21,FALSE)</f>
        <v>0</v>
      </c>
      <c r="Z21" s="334">
        <f>VLOOKUP(C21,Theory!B24:W92,22,FALSE)</f>
        <v>0</v>
      </c>
      <c r="AA21" s="338">
        <f>VLOOKUP(C21,Theory!B24:X92,23,FALSE)</f>
        <v>9</v>
      </c>
      <c r="AB21" s="338">
        <f>VLOOKUP(C21,Theory!B24:Y92,24,FALSE)</f>
        <v>0</v>
      </c>
      <c r="AC21" s="338">
        <f>VLOOKUP(C21,Theory!B24:Z92,25,FALSE)</f>
        <v>0</v>
      </c>
      <c r="AD21" s="338">
        <f>VLOOKUP(C21,Theory!B24:AA92,26,FALSE)</f>
        <v>0</v>
      </c>
      <c r="AE21" s="335">
        <f t="shared" si="9"/>
        <v>9</v>
      </c>
      <c r="AF21" s="334">
        <f>VLOOKUP(C21,Theory!B24:AB92,27,FALSE)</f>
        <v>0</v>
      </c>
      <c r="AG21" s="334">
        <f>VLOOKUP(C21,Theory!B24:AC92,28,FALSE)</f>
        <v>0</v>
      </c>
      <c r="AH21" s="334">
        <f>VLOOKUP(C21,Theory!B24:AD92,29,FALSE)</f>
        <v>0</v>
      </c>
      <c r="AI21" s="334">
        <f>VLOOKUP(C21,Theory!B24:AE92,30,FALSE)</f>
        <v>0</v>
      </c>
      <c r="AJ21" s="339">
        <f>VLOOKUP(C21,Theory!B24:AF92,31,FALSE)</f>
        <v>8</v>
      </c>
      <c r="AK21" s="339">
        <f>VLOOKUP(C21,Theory!B24:AG92,32,FALSE)</f>
        <v>0</v>
      </c>
      <c r="AL21" s="339">
        <f>VLOOKUP(C21,Theory!B24:AH92,33,FALSE)</f>
        <v>0</v>
      </c>
      <c r="AM21" s="339">
        <f>VLOOKUP(C21,Theory!B24:AI92,34,FALSE)</f>
        <v>0</v>
      </c>
      <c r="AN21" s="335">
        <f t="shared" si="10"/>
        <v>8</v>
      </c>
      <c r="AO21" s="333">
        <f t="shared" si="0"/>
        <v>39</v>
      </c>
      <c r="AP21" s="340">
        <f>VLOOKUP(C21,Theory!B24:AJ92,35,FALSE)</f>
        <v>7</v>
      </c>
      <c r="AQ21" s="340">
        <f>VLOOKUP(C21,Theory!B24:AK92,36,FALSE)</f>
        <v>0</v>
      </c>
      <c r="AR21" s="340">
        <f>VLOOKUP(C21,Theory!B24:AL92,37,FALSE)</f>
        <v>0</v>
      </c>
      <c r="AS21" s="340">
        <f>VLOOKUP(C21,Theory!B24:AM92,38,FALSE)</f>
        <v>0</v>
      </c>
      <c r="AT21" s="335">
        <f t="shared" si="11"/>
        <v>7</v>
      </c>
      <c r="AU21" s="340">
        <f>VLOOKUP(C21,Theory!B24:AN92,39,FALSE)</f>
        <v>8</v>
      </c>
      <c r="AV21" s="340">
        <f>VLOOKUP(C21,Theory!B24:AO92,40,FALSE)</f>
        <v>0</v>
      </c>
      <c r="AW21" s="340">
        <f>VLOOKUP(C21,Theory!B24:AP92,41,FALSE)</f>
        <v>0</v>
      </c>
      <c r="AX21" s="340">
        <f>VLOOKUP(C21,Theory!B24:AQ92,42,FALSE)</f>
        <v>0</v>
      </c>
      <c r="AY21" s="335">
        <f t="shared" si="12"/>
        <v>8</v>
      </c>
      <c r="AZ21" s="340">
        <f>VLOOKUP(C21,Theory!B24:AR92,43,FALSE)</f>
        <v>9</v>
      </c>
      <c r="BA21" s="340">
        <f>VLOOKUP(C21,Theory!B24:AS92,44,FALSE)</f>
        <v>0</v>
      </c>
      <c r="BB21" s="340">
        <f>VLOOKUP(C21,Theory!B24:AT92,45,FALSE)</f>
        <v>0</v>
      </c>
      <c r="BC21" s="340">
        <f>VLOOKUP(C21,Theory!B24:AU92,46,FALSE)</f>
        <v>0</v>
      </c>
      <c r="BD21" s="340">
        <f>VLOOKUP(C21,Theory!B24:AV92,47,FALSE)</f>
        <v>0</v>
      </c>
      <c r="BE21" s="340">
        <f>VLOOKUP(C21,Theory!B24:AW92,48,FALSE)</f>
        <v>0</v>
      </c>
      <c r="BF21" s="340">
        <f>VLOOKUP(C21,Theory!B24:AX92,49,FALSE)</f>
        <v>0</v>
      </c>
      <c r="BG21" s="340">
        <f>VLOOKUP(C21,Theory!B24:AY92,50,FALSE)</f>
        <v>0</v>
      </c>
      <c r="BH21" s="335">
        <f t="shared" si="13"/>
        <v>9</v>
      </c>
      <c r="BI21" s="340">
        <f>VLOOKUP(C21,Theory!B24:AZ92,51,FALSE)</f>
        <v>7</v>
      </c>
      <c r="BJ21" s="340">
        <f>VLOOKUP(C21,Theory!B24:BA92,52,FALSE)</f>
        <v>0</v>
      </c>
      <c r="BK21" s="340">
        <f>VLOOKUP(C21,Theory!B24:BB92,53,FALSE)</f>
        <v>0</v>
      </c>
      <c r="BL21" s="340">
        <f>VLOOKUP(C21,Theory!B24:BC92,54,FALSE)</f>
        <v>0</v>
      </c>
      <c r="BM21" s="340">
        <f>VLOOKUP(C21,Theory!B24:BD92,55,FALSE)</f>
        <v>0</v>
      </c>
      <c r="BN21" s="340">
        <f>VLOOKUP(C21,Theory!B24:BE92,56,FALSE)</f>
        <v>0</v>
      </c>
      <c r="BO21" s="340">
        <f>VLOOKUP(C21,Theory!B24:BF92,57,FALSE)</f>
        <v>0</v>
      </c>
      <c r="BP21" s="340">
        <f>VLOOKUP(C21,Theory!B24:BG92,58,FALSE)</f>
        <v>0</v>
      </c>
      <c r="BQ21" s="335">
        <f t="shared" si="14"/>
        <v>7</v>
      </c>
      <c r="BR21" s="340">
        <f>VLOOKUP(C21,Theory!B24:BH92,59,FALSE)</f>
        <v>9</v>
      </c>
      <c r="BS21" s="340">
        <f>VLOOKUP(C21,Theory!B24:BI92,60,FALSE)</f>
        <v>0</v>
      </c>
      <c r="BT21" s="340">
        <f>VLOOKUP(C21,Theory!B24:BJ92,61,FALSE)</f>
        <v>0</v>
      </c>
      <c r="BU21" s="340">
        <f>VLOOKUP(C21,Theory!B24:BK92,62,FALSE)</f>
        <v>0</v>
      </c>
      <c r="BV21" s="340">
        <f>VLOOKUP(C21,Theory!B24:BL92,63,FALSE)</f>
        <v>0</v>
      </c>
      <c r="BW21" s="340">
        <f>VLOOKUP(C21,Theory!B24:BM92,64,FALSE)</f>
        <v>0</v>
      </c>
      <c r="BX21" s="340">
        <f>VLOOKUP(C21,Theory!B24:BN92,65,FALSE)</f>
        <v>0</v>
      </c>
      <c r="BY21" s="340">
        <f>VLOOKUP(C21,Theory!B24:BO92,66,FALSE)</f>
        <v>0</v>
      </c>
      <c r="BZ21" s="335">
        <f t="shared" si="15"/>
        <v>9</v>
      </c>
      <c r="CA21" s="333">
        <f t="shared" si="1"/>
        <v>40</v>
      </c>
      <c r="CB21" s="340">
        <f>VLOOKUP(C21,Theory!B24:BP92,67,FALSE)</f>
        <v>9</v>
      </c>
      <c r="CC21" s="340">
        <f>VLOOKUP(C21,Theory!B24:BQ92,68,FALSE)</f>
        <v>0</v>
      </c>
      <c r="CD21" s="340">
        <f>VLOOKUP(C21,Theory!B24:BR92,69,FALSE)</f>
        <v>0</v>
      </c>
      <c r="CE21" s="340">
        <f>VLOOKUP(C21,Theory!B24:BS92,70,FALSE)</f>
        <v>0</v>
      </c>
      <c r="CF21" s="335">
        <f t="shared" si="16"/>
        <v>9</v>
      </c>
      <c r="CG21" s="341">
        <f>VLOOKUP(C21,Theory!B24:BT92,71,FALSE)</f>
        <v>8</v>
      </c>
      <c r="CH21" s="341">
        <f>VLOOKUP(C21,Theory!B24:BU92,72,FALSE)</f>
        <v>0</v>
      </c>
      <c r="CI21" s="341">
        <f>VLOOKUP(C21,Theory!B24:BV92,73,FALSE)</f>
        <v>0</v>
      </c>
      <c r="CJ21" s="341">
        <f>VLOOKUP(C21,Theory!B24:BW92,74,FALSE)</f>
        <v>0</v>
      </c>
      <c r="CK21" s="335">
        <f t="shared" si="17"/>
        <v>8</v>
      </c>
      <c r="CL21" s="340">
        <f>VLOOKUP(C21,Theory!B24:BX92,75,FALSE)</f>
        <v>0</v>
      </c>
      <c r="CM21" s="342">
        <f>VLOOKUP(C21,Theory!B24:BY92,76,FALSE)</f>
        <v>0</v>
      </c>
      <c r="CN21" s="342">
        <f>VLOOKUP(C21,Theory!B24:BZ92,77,FALSE)</f>
        <v>0</v>
      </c>
      <c r="CO21" s="342">
        <f>VLOOKUP(C21,Theory!B24:CA92,78,FALSE)</f>
        <v>0</v>
      </c>
      <c r="CP21" s="340">
        <f>VLOOKUP(C21,Theory!B24:CB92,79,FALSE)</f>
        <v>9</v>
      </c>
      <c r="CQ21" s="340">
        <f>VLOOKUP(C21,Theory!B24:CC92,80,FALSE)</f>
        <v>0</v>
      </c>
      <c r="CR21" s="340">
        <f>VLOOKUP(C21,Theory!B24:CD92,81,FALSE)</f>
        <v>0</v>
      </c>
      <c r="CS21" s="340">
        <f>VLOOKUP(C21,Theory!B24:CE92,82,FALSE)</f>
        <v>0</v>
      </c>
      <c r="CT21" s="335">
        <f t="shared" si="18"/>
        <v>9</v>
      </c>
      <c r="CU21" s="341">
        <f>VLOOKUP(C21,Theory!B24:CF92,83,FALSE)</f>
        <v>9</v>
      </c>
      <c r="CV21" s="342">
        <f>VLOOKUP(C21,Theory!B24:CG92,84,FALSE)</f>
        <v>0</v>
      </c>
      <c r="CW21" s="342">
        <f>VLOOKUP(C21,Theory!B24:CH92,85,FALSE)</f>
        <v>0</v>
      </c>
      <c r="CX21" s="342">
        <f>VLOOKUP(C21,Theory!B24:CI92,86,FALSE)</f>
        <v>0</v>
      </c>
      <c r="CY21" s="341">
        <f>VLOOKUP(C21,Theory!B24:CJ92,87,FALSE)</f>
        <v>0</v>
      </c>
      <c r="CZ21" s="341">
        <f>VLOOKUP(C21,Theory!B24:CK92,88,FALSE)</f>
        <v>0</v>
      </c>
      <c r="DA21" s="341">
        <f>VLOOKUP(C21,Theory!B24:CL92,89,FALSE)</f>
        <v>0</v>
      </c>
      <c r="DB21" s="341">
        <f>VLOOKUP(C21,Theory!B24:CM92,90,FALSE)</f>
        <v>0</v>
      </c>
      <c r="DC21" s="335">
        <f t="shared" si="19"/>
        <v>9</v>
      </c>
      <c r="DD21" s="340">
        <f>VLOOKUP(C21,Theory!B24:CN92,91,FALSE)</f>
        <v>0</v>
      </c>
      <c r="DE21" s="342">
        <f>VLOOKUP(C21,Theory!B24:CO92,92,FALSE)</f>
        <v>0</v>
      </c>
      <c r="DF21" s="342">
        <f>VLOOKUP(C21,Theory!B24:CP92,93,FALSE)</f>
        <v>0</v>
      </c>
      <c r="DG21" s="342">
        <f>VLOOKUP(C21,Theory!B24:CQ92,94,FALSE)</f>
        <v>0</v>
      </c>
      <c r="DH21" s="340">
        <f>VLOOKUP(C21,Theory!B24:CR92,95,FALSE)</f>
        <v>10</v>
      </c>
      <c r="DI21" s="340">
        <f>VLOOKUP(C21,Theory!B24:CS92,96,FALSE)</f>
        <v>0</v>
      </c>
      <c r="DJ21" s="340">
        <f>VLOOKUP(C21,Theory!B24:CT92,97,FALSE)</f>
        <v>0</v>
      </c>
      <c r="DK21" s="340">
        <f>VLOOKUP(C21,Theory!B24:CU92,98,FALSE)</f>
        <v>0</v>
      </c>
      <c r="DL21" s="335">
        <f t="shared" si="20"/>
        <v>10</v>
      </c>
      <c r="DM21" s="265">
        <f t="shared" si="2"/>
        <v>45</v>
      </c>
      <c r="DN21" s="362">
        <f t="shared" si="40"/>
        <v>39</v>
      </c>
      <c r="DO21" s="362">
        <f t="shared" si="41"/>
        <v>40</v>
      </c>
      <c r="DP21" s="362">
        <f t="shared" si="42"/>
        <v>45</v>
      </c>
      <c r="DQ21" s="343">
        <f t="shared" si="43"/>
        <v>23</v>
      </c>
      <c r="DR21" s="343">
        <f t="shared" si="44"/>
        <v>24</v>
      </c>
      <c r="DS21" s="343">
        <f t="shared" si="45"/>
        <v>27</v>
      </c>
      <c r="DT21" s="328">
        <f t="shared" si="36"/>
        <v>25</v>
      </c>
      <c r="DU21" s="326">
        <f>VLOOKUP(C21,Theory!B24:CV92,99,FALSE)</f>
        <v>10</v>
      </c>
      <c r="DV21" s="326">
        <f>VLOOKUP(C21,Theory!B24:CW92,100,FALSE)</f>
        <v>10</v>
      </c>
      <c r="DW21" s="331">
        <f t="shared" si="27"/>
        <v>20</v>
      </c>
      <c r="DX21" s="266">
        <f t="shared" si="3"/>
        <v>45</v>
      </c>
      <c r="DY21" s="363">
        <f t="shared" si="4"/>
        <v>27</v>
      </c>
      <c r="DZ21" s="344">
        <f>VLOOKUP(C21,Lab!B16:D85,3,FALSE)</f>
        <v>0</v>
      </c>
      <c r="EA21" s="345">
        <f>VLOOKUP(C21,Lab!B16:E85,4,FALSE)</f>
        <v>0</v>
      </c>
      <c r="EB21" s="345">
        <f>VLOOKUP(C21,Lab!B16:F85,5,FALSE)</f>
        <v>0</v>
      </c>
      <c r="EC21" s="329">
        <f t="shared" si="37"/>
        <v>0</v>
      </c>
      <c r="ED21" s="346">
        <f>VLOOKUP(C21,Lab!B16:G85,6,FALSE)</f>
        <v>0</v>
      </c>
      <c r="EE21" s="346">
        <f>VLOOKUP(C21,Lab!B16:H85,7,FALSE)</f>
        <v>0</v>
      </c>
      <c r="EF21" s="347">
        <f>VLOOKUP(C21,Lab!B16:I85,8,FALSE)</f>
        <v>0</v>
      </c>
      <c r="EG21" s="330">
        <f t="shared" si="38"/>
        <v>0</v>
      </c>
      <c r="EH21" s="390">
        <f t="shared" si="28"/>
        <v>0</v>
      </c>
      <c r="EI21" s="349">
        <f t="shared" si="29"/>
        <v>0</v>
      </c>
      <c r="EJ21" s="391">
        <f t="shared" si="5"/>
        <v>27</v>
      </c>
      <c r="EK21" s="258">
        <v>45</v>
      </c>
      <c r="EM21" s="350">
        <f>VLOOKUP(C21,Theory!B24:DL92,114,FALSE)</f>
        <v>0</v>
      </c>
      <c r="EN21" s="350">
        <f>VLOOKUP(C21,Theory!B24:DM92,115,FALSE)</f>
        <v>0</v>
      </c>
      <c r="EO21" s="350">
        <f>VLOOKUP(C21,Theory!B24:DN92,116,FALSE)</f>
        <v>0</v>
      </c>
      <c r="EP21" s="350">
        <f>VLOOKUP(C21,Theory!B24:DO90,117,FALSE)</f>
        <v>0</v>
      </c>
      <c r="EQ21" s="350">
        <f>VLOOKUP(C21,Theory!B24:DP90,118,FALSE)</f>
        <v>0</v>
      </c>
      <c r="ER21" s="351">
        <f>VLOOKUP(C21,Theory!B24:DQ90,119,FALSE)</f>
        <v>0</v>
      </c>
      <c r="ES21" s="327">
        <f>VLOOKUP(C21,Theory!B24:DR90,120,FALSE)</f>
        <v>0</v>
      </c>
      <c r="ET21" s="348">
        <f t="shared" si="39"/>
        <v>0</v>
      </c>
      <c r="EU21" s="352"/>
      <c r="EV21" s="352"/>
      <c r="EW21" s="352"/>
      <c r="EX21" s="352"/>
      <c r="EY21" s="352"/>
      <c r="EZ21" s="352"/>
      <c r="FA21" s="352"/>
      <c r="FB21" s="352"/>
      <c r="FC21" s="352"/>
      <c r="FD21" s="352"/>
    </row>
    <row r="22" spans="1:160" ht="16.2" thickBot="1" x14ac:dyDescent="0.35">
      <c r="A22" s="64">
        <v>9</v>
      </c>
      <c r="B22" s="17" t="str">
        <f>Theory!C25</f>
        <v>HARIKRISHNA M</v>
      </c>
      <c r="C22" s="16" t="str">
        <f>Theory!B25</f>
        <v>1DS21AI019</v>
      </c>
      <c r="D22" s="334">
        <f>VLOOKUP(C22,Theory!B25:D93,3,FALSE)</f>
        <v>5</v>
      </c>
      <c r="E22" s="334">
        <f>VLOOKUP(C22,Theory!B25:E93,4,FALSE)</f>
        <v>0</v>
      </c>
      <c r="F22" s="334">
        <f>VLOOKUP(C22,Theory!B25:F93,5,FALSE)</f>
        <v>0</v>
      </c>
      <c r="G22" s="334">
        <f>VLOOKUP(C22,Theory!B25:G93,6,FALSE)</f>
        <v>0</v>
      </c>
      <c r="H22" s="335">
        <f t="shared" si="6"/>
        <v>5</v>
      </c>
      <c r="I22" s="338">
        <f>VLOOKUP(C22,Theory!B25:H93,7,FALSE)</f>
        <v>5</v>
      </c>
      <c r="J22" s="337">
        <f>VLOOKUP(C22,Theory!B25:I93,8,FALSE)</f>
        <v>0</v>
      </c>
      <c r="K22" s="337">
        <f>VLOOKUP(C22,Theory!B25:J93,9,FALSE)</f>
        <v>0</v>
      </c>
      <c r="L22" s="337">
        <f>VLOOKUP(C22,Theory!B25:K93,10,FALSE)</f>
        <v>0</v>
      </c>
      <c r="M22" s="335">
        <f t="shared" si="7"/>
        <v>5</v>
      </c>
      <c r="N22" s="336">
        <f>VLOOKUP(C22,Theory!B25:L93,11,FALSE)</f>
        <v>5</v>
      </c>
      <c r="O22" s="336">
        <f>VLOOKUP(C22,Theory!B25:M93,12,FALSE)</f>
        <v>0</v>
      </c>
      <c r="P22" s="336">
        <f>VLOOKUP(C22,Theory!B25:N93,13,FALSE)</f>
        <v>0</v>
      </c>
      <c r="Q22" s="336">
        <f>VLOOKUP(C22,Theory!B25:O93,14,FALSE)</f>
        <v>0</v>
      </c>
      <c r="R22" s="337">
        <f>VLOOKUP(C22,Theory!B25:P93,15,FALSE)</f>
        <v>0</v>
      </c>
      <c r="S22" s="337">
        <f>VLOOKUP(C22,Theory!B25:Q93,16,FALSE)</f>
        <v>0</v>
      </c>
      <c r="T22" s="337">
        <f>VLOOKUP(C22,Theory!B25:R93,17,FALSE)</f>
        <v>0</v>
      </c>
      <c r="U22" s="337">
        <f>VLOOKUP(C22,Theory!B25:S93,18,FALSE)</f>
        <v>0</v>
      </c>
      <c r="V22" s="335">
        <f t="shared" si="8"/>
        <v>5</v>
      </c>
      <c r="W22" s="334">
        <f>VLOOKUP(C22,Theory!B25:T93,19,FALSE)</f>
        <v>4</v>
      </c>
      <c r="X22" s="334">
        <f>VLOOKUP(C22,Theory!B25:U93,20,FALSE)</f>
        <v>0</v>
      </c>
      <c r="Y22" s="334">
        <f>VLOOKUP(C22,Theory!B25:V93,21,FALSE)</f>
        <v>0</v>
      </c>
      <c r="Z22" s="334">
        <f>VLOOKUP(C22,Theory!B25:W93,22,FALSE)</f>
        <v>0</v>
      </c>
      <c r="AA22" s="338">
        <f>VLOOKUP(C22,Theory!B25:X93,23,FALSE)</f>
        <v>0</v>
      </c>
      <c r="AB22" s="338">
        <f>VLOOKUP(C22,Theory!B25:Y93,24,FALSE)</f>
        <v>0</v>
      </c>
      <c r="AC22" s="338">
        <f>VLOOKUP(C22,Theory!B25:Z93,25,FALSE)</f>
        <v>0</v>
      </c>
      <c r="AD22" s="338">
        <f>VLOOKUP(C22,Theory!B25:AA93,26,FALSE)</f>
        <v>0</v>
      </c>
      <c r="AE22" s="335">
        <f t="shared" si="9"/>
        <v>4</v>
      </c>
      <c r="AF22" s="334">
        <f>VLOOKUP(C22,Theory!B25:AB93,27,FALSE)</f>
        <v>4</v>
      </c>
      <c r="AG22" s="334">
        <f>VLOOKUP(C22,Theory!B25:AC93,28,FALSE)</f>
        <v>0</v>
      </c>
      <c r="AH22" s="334">
        <f>VLOOKUP(C22,Theory!B25:AD93,29,FALSE)</f>
        <v>0</v>
      </c>
      <c r="AI22" s="334">
        <f>VLOOKUP(C22,Theory!B25:AE93,30,FALSE)</f>
        <v>0</v>
      </c>
      <c r="AJ22" s="339">
        <f>VLOOKUP(C22,Theory!B25:AF93,31,FALSE)</f>
        <v>0</v>
      </c>
      <c r="AK22" s="339">
        <f>VLOOKUP(C22,Theory!B25:AG93,32,FALSE)</f>
        <v>0</v>
      </c>
      <c r="AL22" s="339">
        <f>VLOOKUP(C22,Theory!B25:AH93,33,FALSE)</f>
        <v>0</v>
      </c>
      <c r="AM22" s="339">
        <f>VLOOKUP(C22,Theory!B25:AI93,34,FALSE)</f>
        <v>0</v>
      </c>
      <c r="AN22" s="335">
        <f t="shared" si="10"/>
        <v>4</v>
      </c>
      <c r="AO22" s="333">
        <f t="shared" si="0"/>
        <v>23</v>
      </c>
      <c r="AP22" s="340">
        <f>VLOOKUP(C22,Theory!B25:AJ93,35,FALSE)</f>
        <v>3</v>
      </c>
      <c r="AQ22" s="340">
        <f>VLOOKUP(C22,Theory!B25:AK93,36,FALSE)</f>
        <v>0</v>
      </c>
      <c r="AR22" s="340">
        <f>VLOOKUP(C22,Theory!B25:AL93,37,FALSE)</f>
        <v>0</v>
      </c>
      <c r="AS22" s="340">
        <f>VLOOKUP(C22,Theory!B25:AM93,38,FALSE)</f>
        <v>0</v>
      </c>
      <c r="AT22" s="335">
        <f t="shared" si="11"/>
        <v>3</v>
      </c>
      <c r="AU22" s="340">
        <f>VLOOKUP(C22,Theory!B25:AN93,39,FALSE)</f>
        <v>4</v>
      </c>
      <c r="AV22" s="340">
        <f>VLOOKUP(C22,Theory!B25:AO93,40,FALSE)</f>
        <v>0</v>
      </c>
      <c r="AW22" s="340">
        <f>VLOOKUP(C22,Theory!B25:AP93,41,FALSE)</f>
        <v>0</v>
      </c>
      <c r="AX22" s="340">
        <f>VLOOKUP(C22,Theory!B25:AQ93,42,FALSE)</f>
        <v>0</v>
      </c>
      <c r="AY22" s="335">
        <f t="shared" si="12"/>
        <v>4</v>
      </c>
      <c r="AZ22" s="340">
        <f>VLOOKUP(C22,Theory!B25:AR93,43,FALSE)</f>
        <v>7</v>
      </c>
      <c r="BA22" s="340">
        <f>VLOOKUP(C22,Theory!B25:AS93,44,FALSE)</f>
        <v>0</v>
      </c>
      <c r="BB22" s="340">
        <f>VLOOKUP(C22,Theory!B25:AT93,45,FALSE)</f>
        <v>0</v>
      </c>
      <c r="BC22" s="340">
        <f>VLOOKUP(C22,Theory!B25:AU93,46,FALSE)</f>
        <v>0</v>
      </c>
      <c r="BD22" s="340">
        <f>VLOOKUP(C22,Theory!B25:AV93,47,FALSE)</f>
        <v>0</v>
      </c>
      <c r="BE22" s="340">
        <f>VLOOKUP(C22,Theory!B25:AW93,48,FALSE)</f>
        <v>0</v>
      </c>
      <c r="BF22" s="340">
        <f>VLOOKUP(C22,Theory!B25:AX93,49,FALSE)</f>
        <v>0</v>
      </c>
      <c r="BG22" s="340">
        <f>VLOOKUP(C22,Theory!B25:AY93,50,FALSE)</f>
        <v>0</v>
      </c>
      <c r="BH22" s="335">
        <f t="shared" si="13"/>
        <v>7</v>
      </c>
      <c r="BI22" s="340">
        <f>VLOOKUP(C22,Theory!B25:AZ93,51,FALSE)</f>
        <v>0</v>
      </c>
      <c r="BJ22" s="340">
        <f>VLOOKUP(C22,Theory!B25:BA93,52,FALSE)</f>
        <v>0</v>
      </c>
      <c r="BK22" s="340">
        <f>VLOOKUP(C22,Theory!B25:BB93,53,FALSE)</f>
        <v>0</v>
      </c>
      <c r="BL22" s="340">
        <f>VLOOKUP(C22,Theory!B25:BC93,54,FALSE)</f>
        <v>0</v>
      </c>
      <c r="BM22" s="340">
        <f>VLOOKUP(C22,Theory!B25:BD93,55,FALSE)</f>
        <v>5</v>
      </c>
      <c r="BN22" s="340">
        <f>VLOOKUP(C22,Theory!B25:BE93,56,FALSE)</f>
        <v>0</v>
      </c>
      <c r="BO22" s="340">
        <f>VLOOKUP(C22,Theory!B25:BF93,57,FALSE)</f>
        <v>0</v>
      </c>
      <c r="BP22" s="340">
        <f>VLOOKUP(C22,Theory!B25:BG93,58,FALSE)</f>
        <v>0</v>
      </c>
      <c r="BQ22" s="335">
        <f t="shared" si="14"/>
        <v>5</v>
      </c>
      <c r="BR22" s="340">
        <f>VLOOKUP(C22,Theory!B25:BH93,59,FALSE)</f>
        <v>0</v>
      </c>
      <c r="BS22" s="340">
        <f>VLOOKUP(C22,Theory!B25:BI93,60,FALSE)</f>
        <v>0</v>
      </c>
      <c r="BT22" s="340">
        <f>VLOOKUP(C22,Theory!B25:BJ93,61,FALSE)</f>
        <v>0</v>
      </c>
      <c r="BU22" s="340">
        <f>VLOOKUP(C22,Theory!B25:BK93,62,FALSE)</f>
        <v>0</v>
      </c>
      <c r="BV22" s="340">
        <f>VLOOKUP(C22,Theory!B25:BL93,63,FALSE)</f>
        <v>5</v>
      </c>
      <c r="BW22" s="340">
        <f>VLOOKUP(C22,Theory!B25:BM93,64,FALSE)</f>
        <v>0</v>
      </c>
      <c r="BX22" s="340">
        <f>VLOOKUP(C22,Theory!B25:BN93,65,FALSE)</f>
        <v>0</v>
      </c>
      <c r="BY22" s="340">
        <f>VLOOKUP(C22,Theory!B25:BO93,66,FALSE)</f>
        <v>0</v>
      </c>
      <c r="BZ22" s="335">
        <f t="shared" si="15"/>
        <v>5</v>
      </c>
      <c r="CA22" s="333">
        <f t="shared" si="1"/>
        <v>24</v>
      </c>
      <c r="CB22" s="340">
        <f>VLOOKUP(C22,Theory!B25:BP93,67,FALSE)</f>
        <v>7</v>
      </c>
      <c r="CC22" s="340">
        <f>VLOOKUP(C22,Theory!B25:BQ93,68,FALSE)</f>
        <v>0</v>
      </c>
      <c r="CD22" s="340">
        <f>VLOOKUP(C22,Theory!B25:BR93,69,FALSE)</f>
        <v>0</v>
      </c>
      <c r="CE22" s="340">
        <f>VLOOKUP(C22,Theory!B25:BS93,70,FALSE)</f>
        <v>0</v>
      </c>
      <c r="CF22" s="335">
        <f t="shared" si="16"/>
        <v>7</v>
      </c>
      <c r="CG22" s="341">
        <f>VLOOKUP(C22,Theory!B25:BT93,71,FALSE)</f>
        <v>6</v>
      </c>
      <c r="CH22" s="341">
        <f>VLOOKUP(C22,Theory!B25:BU93,72,FALSE)</f>
        <v>0</v>
      </c>
      <c r="CI22" s="341">
        <f>VLOOKUP(C22,Theory!B25:BV93,73,FALSE)</f>
        <v>0</v>
      </c>
      <c r="CJ22" s="341">
        <f>VLOOKUP(C22,Theory!B25:BW93,74,FALSE)</f>
        <v>0</v>
      </c>
      <c r="CK22" s="335">
        <f t="shared" si="17"/>
        <v>6</v>
      </c>
      <c r="CL22" s="340">
        <f>VLOOKUP(C22,Theory!B25:BX93,75,FALSE)</f>
        <v>7</v>
      </c>
      <c r="CM22" s="342">
        <f>VLOOKUP(C22,Theory!B25:BY93,76,FALSE)</f>
        <v>0</v>
      </c>
      <c r="CN22" s="342">
        <f>VLOOKUP(C22,Theory!B25:BZ93,77,FALSE)</f>
        <v>0</v>
      </c>
      <c r="CO22" s="342">
        <f>VLOOKUP(C22,Theory!B25:CA93,78,FALSE)</f>
        <v>0</v>
      </c>
      <c r="CP22" s="340">
        <f>VLOOKUP(C22,Theory!B25:CB93,79,FALSE)</f>
        <v>0</v>
      </c>
      <c r="CQ22" s="340">
        <f>VLOOKUP(C22,Theory!B25:CC93,80,FALSE)</f>
        <v>0</v>
      </c>
      <c r="CR22" s="340">
        <f>VLOOKUP(C22,Theory!B25:CD93,81,FALSE)</f>
        <v>0</v>
      </c>
      <c r="CS22" s="340">
        <f>VLOOKUP(C22,Theory!B25:CE93,82,FALSE)</f>
        <v>0</v>
      </c>
      <c r="CT22" s="335">
        <f t="shared" si="18"/>
        <v>7</v>
      </c>
      <c r="CU22" s="341">
        <f>VLOOKUP(C22,Theory!B25:CF93,83,FALSE)</f>
        <v>0</v>
      </c>
      <c r="CV22" s="342">
        <f>VLOOKUP(C22,Theory!B25:CG93,84,FALSE)</f>
        <v>0</v>
      </c>
      <c r="CW22" s="342">
        <f>VLOOKUP(C22,Theory!B25:CH93,85,FALSE)</f>
        <v>0</v>
      </c>
      <c r="CX22" s="342">
        <f>VLOOKUP(C22,Theory!B25:CI93,86,FALSE)</f>
        <v>0</v>
      </c>
      <c r="CY22" s="341">
        <f>VLOOKUP(C22,Theory!B25:CJ93,87,FALSE)</f>
        <v>6</v>
      </c>
      <c r="CZ22" s="341">
        <f>VLOOKUP(C22,Theory!B25:CK93,88,FALSE)</f>
        <v>0</v>
      </c>
      <c r="DA22" s="341">
        <f>VLOOKUP(C22,Theory!B25:CL93,89,FALSE)</f>
        <v>0</v>
      </c>
      <c r="DB22" s="341">
        <f>VLOOKUP(C22,Theory!B25:CM93,90,FALSE)</f>
        <v>0</v>
      </c>
      <c r="DC22" s="335">
        <f t="shared" si="19"/>
        <v>6</v>
      </c>
      <c r="DD22" s="340">
        <f>VLOOKUP(C22,Theory!B25:CN93,91,FALSE)</f>
        <v>5</v>
      </c>
      <c r="DE22" s="342">
        <f>VLOOKUP(C22,Theory!B25:CO93,92,FALSE)</f>
        <v>0</v>
      </c>
      <c r="DF22" s="342">
        <f>VLOOKUP(C22,Theory!B25:CP93,93,FALSE)</f>
        <v>0</v>
      </c>
      <c r="DG22" s="342">
        <f>VLOOKUP(C22,Theory!B25:CQ93,94,FALSE)</f>
        <v>0</v>
      </c>
      <c r="DH22" s="340">
        <f>VLOOKUP(C22,Theory!B25:CR93,95,FALSE)</f>
        <v>0</v>
      </c>
      <c r="DI22" s="340">
        <f>VLOOKUP(C22,Theory!B25:CS93,96,FALSE)</f>
        <v>0</v>
      </c>
      <c r="DJ22" s="340">
        <f>VLOOKUP(C22,Theory!B25:CT93,97,FALSE)</f>
        <v>0</v>
      </c>
      <c r="DK22" s="340">
        <f>VLOOKUP(C22,Theory!B25:CU93,98,FALSE)</f>
        <v>0</v>
      </c>
      <c r="DL22" s="335">
        <f t="shared" si="20"/>
        <v>5</v>
      </c>
      <c r="DM22" s="265">
        <f t="shared" si="2"/>
        <v>31</v>
      </c>
      <c r="DN22" s="362">
        <f t="shared" si="40"/>
        <v>23</v>
      </c>
      <c r="DO22" s="362">
        <f t="shared" si="41"/>
        <v>24</v>
      </c>
      <c r="DP22" s="362">
        <f t="shared" si="42"/>
        <v>31</v>
      </c>
      <c r="DQ22" s="343">
        <f t="shared" si="43"/>
        <v>14</v>
      </c>
      <c r="DR22" s="343">
        <f t="shared" si="44"/>
        <v>14</v>
      </c>
      <c r="DS22" s="343">
        <f t="shared" si="45"/>
        <v>19</v>
      </c>
      <c r="DT22" s="328">
        <f t="shared" si="36"/>
        <v>16</v>
      </c>
      <c r="DU22" s="326">
        <f>VLOOKUP(C22,Theory!B25:CV93,99,FALSE)</f>
        <v>10</v>
      </c>
      <c r="DV22" s="326">
        <f>VLOOKUP(C22,Theory!B25:CW93,100,FALSE)</f>
        <v>10</v>
      </c>
      <c r="DW22" s="331">
        <f t="shared" si="27"/>
        <v>20</v>
      </c>
      <c r="DX22" s="266">
        <f t="shared" si="3"/>
        <v>36</v>
      </c>
      <c r="DY22" s="363">
        <f t="shared" si="4"/>
        <v>22</v>
      </c>
      <c r="DZ22" s="344">
        <f>VLOOKUP(C22,Lab!B17:D86,3,FALSE)</f>
        <v>0</v>
      </c>
      <c r="EA22" s="345">
        <f>VLOOKUP(C22,Lab!B17:E86,4,FALSE)</f>
        <v>0</v>
      </c>
      <c r="EB22" s="345">
        <f>VLOOKUP(C22,Lab!B17:F86,5,FALSE)</f>
        <v>0</v>
      </c>
      <c r="EC22" s="329">
        <f t="shared" si="37"/>
        <v>0</v>
      </c>
      <c r="ED22" s="346">
        <f>VLOOKUP(C22,Lab!B17:G86,6,FALSE)</f>
        <v>0</v>
      </c>
      <c r="EE22" s="346">
        <f>VLOOKUP(C22,Lab!B17:H86,7,FALSE)</f>
        <v>0</v>
      </c>
      <c r="EF22" s="347">
        <f>VLOOKUP(C22,Lab!B17:I86,8,FALSE)</f>
        <v>0</v>
      </c>
      <c r="EG22" s="330">
        <f t="shared" si="38"/>
        <v>0</v>
      </c>
      <c r="EH22" s="390">
        <f t="shared" si="28"/>
        <v>0</v>
      </c>
      <c r="EI22" s="349">
        <f t="shared" si="29"/>
        <v>0</v>
      </c>
      <c r="EJ22" s="391">
        <f t="shared" si="5"/>
        <v>22</v>
      </c>
      <c r="EK22" s="258">
        <v>33</v>
      </c>
      <c r="EM22" s="350">
        <f>VLOOKUP(C22,Theory!B25:DL93,114,FALSE)</f>
        <v>0</v>
      </c>
      <c r="EN22" s="350">
        <f>VLOOKUP(C22,Theory!B25:DM93,115,FALSE)</f>
        <v>0</v>
      </c>
      <c r="EO22" s="350">
        <f>VLOOKUP(C22,Theory!B25:DN93,116,FALSE)</f>
        <v>0</v>
      </c>
      <c r="EP22" s="350">
        <f>VLOOKUP(C22,Theory!B25:DO91,117,FALSE)</f>
        <v>0</v>
      </c>
      <c r="EQ22" s="350">
        <f>VLOOKUP(C22,Theory!B25:DP91,118,FALSE)</f>
        <v>0</v>
      </c>
      <c r="ER22" s="351">
        <f>VLOOKUP(C22,Theory!B25:DQ91,119,FALSE)</f>
        <v>0</v>
      </c>
      <c r="ES22" s="327">
        <f>VLOOKUP(C22,Theory!B25:DR91,120,FALSE)</f>
        <v>0</v>
      </c>
      <c r="ET22" s="348">
        <f t="shared" si="39"/>
        <v>0</v>
      </c>
      <c r="EU22" s="352"/>
      <c r="EV22" s="352"/>
      <c r="EW22" s="352"/>
      <c r="EX22" s="352"/>
      <c r="EY22" s="352"/>
      <c r="EZ22" s="352"/>
      <c r="FA22" s="352"/>
      <c r="FB22" s="352"/>
      <c r="FC22" s="352"/>
      <c r="FD22" s="352"/>
    </row>
    <row r="23" spans="1:160" ht="16.2" thickBot="1" x14ac:dyDescent="0.35">
      <c r="A23" s="64">
        <v>10</v>
      </c>
      <c r="B23" s="17" t="str">
        <f>Theory!C26</f>
        <v>HARSHITHA B</v>
      </c>
      <c r="C23" s="16" t="str">
        <f>Theory!B26</f>
        <v>1DS21AI020</v>
      </c>
      <c r="D23" s="334">
        <f>VLOOKUP(C23,Theory!B26:D94,3,FALSE)</f>
        <v>0</v>
      </c>
      <c r="E23" s="334">
        <f>VLOOKUP(C23,Theory!B26:E94,4,FALSE)</f>
        <v>0</v>
      </c>
      <c r="F23" s="334">
        <f>VLOOKUP(C23,Theory!B26:F94,5,FALSE)</f>
        <v>0</v>
      </c>
      <c r="G23" s="334">
        <f>VLOOKUP(C23,Theory!B26:G94,6,FALSE)</f>
        <v>0</v>
      </c>
      <c r="H23" s="335">
        <f t="shared" si="6"/>
        <v>0</v>
      </c>
      <c r="I23" s="338">
        <f>VLOOKUP(C23,Theory!B26:H94,7,FALSE)</f>
        <v>0</v>
      </c>
      <c r="J23" s="337">
        <f>VLOOKUP(C23,Theory!B26:I94,8,FALSE)</f>
        <v>0</v>
      </c>
      <c r="K23" s="337">
        <f>VLOOKUP(C23,Theory!B26:J94,9,FALSE)</f>
        <v>0</v>
      </c>
      <c r="L23" s="337">
        <f>VLOOKUP(C23,Theory!B26:K94,10,FALSE)</f>
        <v>0</v>
      </c>
      <c r="M23" s="335">
        <f t="shared" si="7"/>
        <v>0</v>
      </c>
      <c r="N23" s="336">
        <f>VLOOKUP(C23,Theory!B26:L94,11,FALSE)</f>
        <v>0</v>
      </c>
      <c r="O23" s="336">
        <f>VLOOKUP(C23,Theory!B26:M94,12,FALSE)</f>
        <v>0</v>
      </c>
      <c r="P23" s="336">
        <f>VLOOKUP(C23,Theory!B26:N94,13,FALSE)</f>
        <v>0</v>
      </c>
      <c r="Q23" s="336">
        <f>VLOOKUP(C23,Theory!B26:O94,14,FALSE)</f>
        <v>0</v>
      </c>
      <c r="R23" s="337">
        <f>VLOOKUP(C23,Theory!B26:P94,15,FALSE)</f>
        <v>0</v>
      </c>
      <c r="S23" s="337">
        <f>VLOOKUP(C23,Theory!B26:Q94,16,FALSE)</f>
        <v>0</v>
      </c>
      <c r="T23" s="337">
        <f>VLOOKUP(C23,Theory!B26:R94,17,FALSE)</f>
        <v>0</v>
      </c>
      <c r="U23" s="337">
        <f>VLOOKUP(C23,Theory!B26:S94,18,FALSE)</f>
        <v>0</v>
      </c>
      <c r="V23" s="335">
        <f t="shared" si="8"/>
        <v>0</v>
      </c>
      <c r="W23" s="334">
        <f>VLOOKUP(C23,Theory!B26:T94,19,FALSE)</f>
        <v>0</v>
      </c>
      <c r="X23" s="334">
        <f>VLOOKUP(C23,Theory!B26:U94,20,FALSE)</f>
        <v>0</v>
      </c>
      <c r="Y23" s="334">
        <f>VLOOKUP(C23,Theory!B26:V94,21,FALSE)</f>
        <v>0</v>
      </c>
      <c r="Z23" s="334">
        <f>VLOOKUP(C23,Theory!B26:W94,22,FALSE)</f>
        <v>0</v>
      </c>
      <c r="AA23" s="338">
        <f>VLOOKUP(C23,Theory!B26:X94,23,FALSE)</f>
        <v>0</v>
      </c>
      <c r="AB23" s="338">
        <f>VLOOKUP(C23,Theory!B26:Y94,24,FALSE)</f>
        <v>0</v>
      </c>
      <c r="AC23" s="338">
        <f>VLOOKUP(C23,Theory!B26:Z94,25,FALSE)</f>
        <v>0</v>
      </c>
      <c r="AD23" s="338">
        <f>VLOOKUP(C23,Theory!B26:AA94,26,FALSE)</f>
        <v>0</v>
      </c>
      <c r="AE23" s="335">
        <f t="shared" si="9"/>
        <v>0</v>
      </c>
      <c r="AF23" s="334">
        <f>VLOOKUP(C23,Theory!B26:AB94,27,FALSE)</f>
        <v>0</v>
      </c>
      <c r="AG23" s="334">
        <f>VLOOKUP(C23,Theory!B26:AC94,28,FALSE)</f>
        <v>0</v>
      </c>
      <c r="AH23" s="334">
        <f>VLOOKUP(C23,Theory!B26:AD94,29,FALSE)</f>
        <v>0</v>
      </c>
      <c r="AI23" s="334">
        <f>VLOOKUP(C23,Theory!B26:AE94,30,FALSE)</f>
        <v>0</v>
      </c>
      <c r="AJ23" s="339">
        <f>VLOOKUP(C23,Theory!B26:AF94,31,FALSE)</f>
        <v>0</v>
      </c>
      <c r="AK23" s="339">
        <f>VLOOKUP(C23,Theory!B26:AG94,32,FALSE)</f>
        <v>0</v>
      </c>
      <c r="AL23" s="339">
        <f>VLOOKUP(C23,Theory!B26:AH94,33,FALSE)</f>
        <v>0</v>
      </c>
      <c r="AM23" s="339">
        <f>VLOOKUP(C23,Theory!B26:AI94,34,FALSE)</f>
        <v>0</v>
      </c>
      <c r="AN23" s="335">
        <f t="shared" si="10"/>
        <v>0</v>
      </c>
      <c r="AO23" s="333">
        <f t="shared" si="0"/>
        <v>0</v>
      </c>
      <c r="AP23" s="340">
        <f>VLOOKUP(C23,Theory!B26:AJ94,35,FALSE)</f>
        <v>0</v>
      </c>
      <c r="AQ23" s="340">
        <f>VLOOKUP(C23,Theory!B26:AK94,36,FALSE)</f>
        <v>0</v>
      </c>
      <c r="AR23" s="340">
        <f>VLOOKUP(C23,Theory!B26:AL94,37,FALSE)</f>
        <v>0</v>
      </c>
      <c r="AS23" s="340">
        <f>VLOOKUP(C23,Theory!B26:AM94,38,FALSE)</f>
        <v>0</v>
      </c>
      <c r="AT23" s="335">
        <f t="shared" si="11"/>
        <v>0</v>
      </c>
      <c r="AU23" s="340">
        <f>VLOOKUP(C23,Theory!B26:AN94,39,FALSE)</f>
        <v>7</v>
      </c>
      <c r="AV23" s="340">
        <f>VLOOKUP(C23,Theory!B26:AO94,40,FALSE)</f>
        <v>0</v>
      </c>
      <c r="AW23" s="340">
        <f>VLOOKUP(C23,Theory!B26:AP94,41,FALSE)</f>
        <v>0</v>
      </c>
      <c r="AX23" s="340">
        <f>VLOOKUP(C23,Theory!B26:AQ94,42,FALSE)</f>
        <v>0</v>
      </c>
      <c r="AY23" s="335">
        <f t="shared" si="12"/>
        <v>7</v>
      </c>
      <c r="AZ23" s="340">
        <f>VLOOKUP(C23,Theory!B26:AR94,43,FALSE)</f>
        <v>9</v>
      </c>
      <c r="BA23" s="340">
        <f>VLOOKUP(C23,Theory!B26:AS94,44,FALSE)</f>
        <v>0</v>
      </c>
      <c r="BB23" s="340">
        <f>VLOOKUP(C23,Theory!B26:AT94,45,FALSE)</f>
        <v>0</v>
      </c>
      <c r="BC23" s="340">
        <f>VLOOKUP(C23,Theory!B26:AU94,46,FALSE)</f>
        <v>0</v>
      </c>
      <c r="BD23" s="340">
        <f>VLOOKUP(C23,Theory!B26:AV94,47,FALSE)</f>
        <v>0</v>
      </c>
      <c r="BE23" s="340">
        <f>VLOOKUP(C23,Theory!B26:AW94,48,FALSE)</f>
        <v>0</v>
      </c>
      <c r="BF23" s="340">
        <f>VLOOKUP(C23,Theory!B26:AX94,49,FALSE)</f>
        <v>0</v>
      </c>
      <c r="BG23" s="340">
        <f>VLOOKUP(C23,Theory!B26:AY94,50,FALSE)</f>
        <v>0</v>
      </c>
      <c r="BH23" s="335">
        <f t="shared" si="13"/>
        <v>9</v>
      </c>
      <c r="BI23" s="340">
        <f>VLOOKUP(C23,Theory!B26:AZ94,51,FALSE)</f>
        <v>0</v>
      </c>
      <c r="BJ23" s="340">
        <f>VLOOKUP(C23,Theory!B26:BA94,52,FALSE)</f>
        <v>0</v>
      </c>
      <c r="BK23" s="340">
        <f>VLOOKUP(C23,Theory!B26:BB94,53,FALSE)</f>
        <v>0</v>
      </c>
      <c r="BL23" s="340">
        <f>VLOOKUP(C23,Theory!B26:BC94,54,FALSE)</f>
        <v>0</v>
      </c>
      <c r="BM23" s="340">
        <f>VLOOKUP(C23,Theory!B26:BD94,55,FALSE)</f>
        <v>7</v>
      </c>
      <c r="BN23" s="340">
        <f>VLOOKUP(C23,Theory!B26:BE94,56,FALSE)</f>
        <v>0</v>
      </c>
      <c r="BO23" s="340">
        <f>VLOOKUP(C23,Theory!B26:BF94,57,FALSE)</f>
        <v>0</v>
      </c>
      <c r="BP23" s="340">
        <f>VLOOKUP(C23,Theory!B26:BG94,58,FALSE)</f>
        <v>0</v>
      </c>
      <c r="BQ23" s="335">
        <f t="shared" si="14"/>
        <v>7</v>
      </c>
      <c r="BR23" s="340">
        <f>VLOOKUP(C23,Theory!B26:BH94,59,FALSE)</f>
        <v>8</v>
      </c>
      <c r="BS23" s="340">
        <f>VLOOKUP(C23,Theory!B26:BI94,60,FALSE)</f>
        <v>0</v>
      </c>
      <c r="BT23" s="340">
        <f>VLOOKUP(C23,Theory!B26:BJ94,61,FALSE)</f>
        <v>0</v>
      </c>
      <c r="BU23" s="340">
        <f>VLOOKUP(C23,Theory!B26:BK94,62,FALSE)</f>
        <v>0</v>
      </c>
      <c r="BV23" s="340">
        <f>VLOOKUP(C23,Theory!B26:BL94,63,FALSE)</f>
        <v>0</v>
      </c>
      <c r="BW23" s="340">
        <f>VLOOKUP(C23,Theory!B26:BM94,64,FALSE)</f>
        <v>0</v>
      </c>
      <c r="BX23" s="340">
        <f>VLOOKUP(C23,Theory!B26:BN94,65,FALSE)</f>
        <v>0</v>
      </c>
      <c r="BY23" s="340">
        <f>VLOOKUP(C23,Theory!B26:BO94,66,FALSE)</f>
        <v>0</v>
      </c>
      <c r="BZ23" s="335">
        <f t="shared" si="15"/>
        <v>8</v>
      </c>
      <c r="CA23" s="333">
        <f t="shared" si="1"/>
        <v>31</v>
      </c>
      <c r="CB23" s="340">
        <f>VLOOKUP(C23,Theory!B26:BP94,67,FALSE)</f>
        <v>0</v>
      </c>
      <c r="CC23" s="340">
        <f>VLOOKUP(C23,Theory!B26:BQ94,68,FALSE)</f>
        <v>0</v>
      </c>
      <c r="CD23" s="340">
        <f>VLOOKUP(C23,Theory!B26:BR94,69,FALSE)</f>
        <v>0</v>
      </c>
      <c r="CE23" s="340">
        <f>VLOOKUP(C23,Theory!B26:BS94,70,FALSE)</f>
        <v>0</v>
      </c>
      <c r="CF23" s="335">
        <f t="shared" si="16"/>
        <v>0</v>
      </c>
      <c r="CG23" s="341">
        <f>VLOOKUP(C23,Theory!B26:BT94,71,FALSE)</f>
        <v>3</v>
      </c>
      <c r="CH23" s="341">
        <f>VLOOKUP(C23,Theory!B26:BU94,72,FALSE)</f>
        <v>0</v>
      </c>
      <c r="CI23" s="341">
        <f>VLOOKUP(C23,Theory!B26:BV94,73,FALSE)</f>
        <v>0</v>
      </c>
      <c r="CJ23" s="341">
        <f>VLOOKUP(C23,Theory!B26:BW94,74,FALSE)</f>
        <v>0</v>
      </c>
      <c r="CK23" s="335">
        <f t="shared" si="17"/>
        <v>3</v>
      </c>
      <c r="CL23" s="340">
        <f>VLOOKUP(C23,Theory!B26:BX94,75,FALSE)</f>
        <v>8</v>
      </c>
      <c r="CM23" s="342">
        <f>VLOOKUP(C23,Theory!B26:BY94,76,FALSE)</f>
        <v>0</v>
      </c>
      <c r="CN23" s="342">
        <f>VLOOKUP(C23,Theory!B26:BZ94,77,FALSE)</f>
        <v>0</v>
      </c>
      <c r="CO23" s="342">
        <f>VLOOKUP(C23,Theory!B26:CA94,78,FALSE)</f>
        <v>0</v>
      </c>
      <c r="CP23" s="340">
        <f>VLOOKUP(C23,Theory!B26:CB94,79,FALSE)</f>
        <v>0</v>
      </c>
      <c r="CQ23" s="340">
        <f>VLOOKUP(C23,Theory!B26:CC94,80,FALSE)</f>
        <v>0</v>
      </c>
      <c r="CR23" s="340">
        <f>VLOOKUP(C23,Theory!B26:CD94,81,FALSE)</f>
        <v>0</v>
      </c>
      <c r="CS23" s="340">
        <f>VLOOKUP(C23,Theory!B26:CE94,82,FALSE)</f>
        <v>0</v>
      </c>
      <c r="CT23" s="335">
        <f t="shared" si="18"/>
        <v>8</v>
      </c>
      <c r="CU23" s="341">
        <f>VLOOKUP(C23,Theory!B26:CF94,83,FALSE)</f>
        <v>8</v>
      </c>
      <c r="CV23" s="342">
        <f>VLOOKUP(C23,Theory!B26:CG94,84,FALSE)</f>
        <v>0</v>
      </c>
      <c r="CW23" s="342">
        <f>VLOOKUP(C23,Theory!B26:CH94,85,FALSE)</f>
        <v>0</v>
      </c>
      <c r="CX23" s="342">
        <f>VLOOKUP(C23,Theory!B26:CI94,86,FALSE)</f>
        <v>0</v>
      </c>
      <c r="CY23" s="341">
        <f>VLOOKUP(C23,Theory!B26:CJ94,87,FALSE)</f>
        <v>0</v>
      </c>
      <c r="CZ23" s="341">
        <f>VLOOKUP(C23,Theory!B26:CK94,88,FALSE)</f>
        <v>0</v>
      </c>
      <c r="DA23" s="341">
        <f>VLOOKUP(C23,Theory!B26:CL94,89,FALSE)</f>
        <v>0</v>
      </c>
      <c r="DB23" s="341">
        <f>VLOOKUP(C23,Theory!B26:CM94,90,FALSE)</f>
        <v>0</v>
      </c>
      <c r="DC23" s="335">
        <f t="shared" si="19"/>
        <v>8</v>
      </c>
      <c r="DD23" s="340">
        <f>VLOOKUP(C23,Theory!B26:CN94,91,FALSE)</f>
        <v>7</v>
      </c>
      <c r="DE23" s="342">
        <f>VLOOKUP(C23,Theory!B26:CO94,92,FALSE)</f>
        <v>0</v>
      </c>
      <c r="DF23" s="342">
        <f>VLOOKUP(C23,Theory!B26:CP94,93,FALSE)</f>
        <v>0</v>
      </c>
      <c r="DG23" s="342">
        <f>VLOOKUP(C23,Theory!B26:CQ94,94,FALSE)</f>
        <v>0</v>
      </c>
      <c r="DH23" s="340">
        <f>VLOOKUP(C23,Theory!B26:CR94,95,FALSE)</f>
        <v>0</v>
      </c>
      <c r="DI23" s="340">
        <f>VLOOKUP(C23,Theory!B26:CS94,96,FALSE)</f>
        <v>0</v>
      </c>
      <c r="DJ23" s="340">
        <f>VLOOKUP(C23,Theory!B26:CT94,97,FALSE)</f>
        <v>0</v>
      </c>
      <c r="DK23" s="340">
        <f>VLOOKUP(C23,Theory!B26:CU94,98,FALSE)</f>
        <v>0</v>
      </c>
      <c r="DL23" s="335">
        <f t="shared" si="20"/>
        <v>7</v>
      </c>
      <c r="DM23" s="265">
        <f t="shared" si="2"/>
        <v>26</v>
      </c>
      <c r="DN23" s="362">
        <f t="shared" si="40"/>
        <v>0</v>
      </c>
      <c r="DO23" s="362">
        <f t="shared" si="41"/>
        <v>31</v>
      </c>
      <c r="DP23" s="362">
        <f t="shared" si="42"/>
        <v>26</v>
      </c>
      <c r="DQ23" s="343">
        <f t="shared" si="43"/>
        <v>0</v>
      </c>
      <c r="DR23" s="343">
        <f t="shared" si="44"/>
        <v>19</v>
      </c>
      <c r="DS23" s="343">
        <f t="shared" si="45"/>
        <v>16</v>
      </c>
      <c r="DT23" s="328">
        <f t="shared" si="36"/>
        <v>12</v>
      </c>
      <c r="DU23" s="326">
        <f>VLOOKUP(C23,Theory!B26:CV94,99,FALSE)</f>
        <v>10</v>
      </c>
      <c r="DV23" s="326">
        <f>VLOOKUP(C23,Theory!B26:CW94,100,FALSE)</f>
        <v>10</v>
      </c>
      <c r="DW23" s="331">
        <f t="shared" si="27"/>
        <v>20</v>
      </c>
      <c r="DX23" s="266">
        <f t="shared" si="3"/>
        <v>32</v>
      </c>
      <c r="DY23" s="363">
        <f t="shared" si="4"/>
        <v>19</v>
      </c>
      <c r="DZ23" s="344">
        <f>VLOOKUP(C23,Lab!B18:D87,3,FALSE)</f>
        <v>0</v>
      </c>
      <c r="EA23" s="345">
        <f>VLOOKUP(C23,Lab!B18:E87,4,FALSE)</f>
        <v>0</v>
      </c>
      <c r="EB23" s="345">
        <f>VLOOKUP(C23,Lab!B18:F87,5,FALSE)</f>
        <v>0</v>
      </c>
      <c r="EC23" s="329">
        <f t="shared" si="37"/>
        <v>0</v>
      </c>
      <c r="ED23" s="346">
        <f>VLOOKUP(C23,Lab!B18:G87,6,FALSE)</f>
        <v>0</v>
      </c>
      <c r="EE23" s="346">
        <f>VLOOKUP(C23,Lab!B18:H87,7,FALSE)</f>
        <v>0</v>
      </c>
      <c r="EF23" s="347">
        <f>VLOOKUP(C23,Lab!B18:I87,8,FALSE)</f>
        <v>0</v>
      </c>
      <c r="EG23" s="330">
        <f t="shared" si="38"/>
        <v>0</v>
      </c>
      <c r="EH23" s="390">
        <f t="shared" si="28"/>
        <v>0</v>
      </c>
      <c r="EI23" s="349">
        <f t="shared" si="29"/>
        <v>0</v>
      </c>
      <c r="EJ23" s="391">
        <f t="shared" si="5"/>
        <v>19</v>
      </c>
      <c r="EK23" s="258">
        <v>33</v>
      </c>
      <c r="EM23" s="350">
        <f>VLOOKUP(C23,Theory!B26:DL94,114,FALSE)</f>
        <v>0</v>
      </c>
      <c r="EN23" s="350">
        <f>VLOOKUP(C23,Theory!B26:DM94,115,FALSE)</f>
        <v>0</v>
      </c>
      <c r="EO23" s="350">
        <f>VLOOKUP(C23,Theory!B26:DN94,116,FALSE)</f>
        <v>0</v>
      </c>
      <c r="EP23" s="350">
        <f>VLOOKUP(C23,Theory!B26:DO92,117,FALSE)</f>
        <v>0</v>
      </c>
      <c r="EQ23" s="350">
        <f>VLOOKUP(C23,Theory!B26:DP92,118,FALSE)</f>
        <v>0</v>
      </c>
      <c r="ER23" s="351">
        <f>VLOOKUP(C23,Theory!B26:DQ92,119,FALSE)</f>
        <v>0</v>
      </c>
      <c r="ES23" s="327">
        <f>VLOOKUP(C23,Theory!B26:DR92,120,FALSE)</f>
        <v>0</v>
      </c>
      <c r="ET23" s="348">
        <f t="shared" si="39"/>
        <v>0</v>
      </c>
      <c r="EU23" s="352"/>
      <c r="EV23" s="352"/>
      <c r="EW23" s="352"/>
      <c r="EX23" s="352"/>
      <c r="EY23" s="352"/>
      <c r="EZ23" s="352"/>
      <c r="FA23" s="352"/>
      <c r="FB23" s="352"/>
      <c r="FC23" s="352"/>
      <c r="FD23" s="352"/>
    </row>
    <row r="24" spans="1:160" ht="16.2" thickBot="1" x14ac:dyDescent="0.35">
      <c r="A24" s="64">
        <v>11</v>
      </c>
      <c r="B24" s="17" t="str">
        <f>Theory!C27</f>
        <v>HARSHITHA S</v>
      </c>
      <c r="C24" s="16" t="str">
        <f>Theory!B27</f>
        <v>1DS21AI021</v>
      </c>
      <c r="D24" s="334">
        <f>VLOOKUP(C24,Theory!B27:D95,3,FALSE)</f>
        <v>8</v>
      </c>
      <c r="E24" s="334">
        <f>VLOOKUP(C24,Theory!B27:E95,4,FALSE)</f>
        <v>0</v>
      </c>
      <c r="F24" s="334">
        <f>VLOOKUP(C24,Theory!B27:F95,5,FALSE)</f>
        <v>0</v>
      </c>
      <c r="G24" s="334">
        <f>VLOOKUP(C24,Theory!B27:G95,6,FALSE)</f>
        <v>0</v>
      </c>
      <c r="H24" s="335">
        <f t="shared" si="6"/>
        <v>8</v>
      </c>
      <c r="I24" s="338">
        <f>VLOOKUP(C24,Theory!B27:H95,7,FALSE)</f>
        <v>9</v>
      </c>
      <c r="J24" s="337">
        <f>VLOOKUP(C24,Theory!B27:I95,8,FALSE)</f>
        <v>0</v>
      </c>
      <c r="K24" s="337">
        <f>VLOOKUP(C24,Theory!B27:J95,9,FALSE)</f>
        <v>0</v>
      </c>
      <c r="L24" s="337">
        <f>VLOOKUP(C24,Theory!B27:K95,10,FALSE)</f>
        <v>0</v>
      </c>
      <c r="M24" s="335">
        <f t="shared" si="7"/>
        <v>9</v>
      </c>
      <c r="N24" s="336">
        <f>VLOOKUP(C24,Theory!B27:L95,11,FALSE)</f>
        <v>8</v>
      </c>
      <c r="O24" s="336">
        <f>VLOOKUP(C24,Theory!B27:M95,12,FALSE)</f>
        <v>0</v>
      </c>
      <c r="P24" s="336">
        <f>VLOOKUP(C24,Theory!B27:N95,13,FALSE)</f>
        <v>0</v>
      </c>
      <c r="Q24" s="336">
        <f>VLOOKUP(C24,Theory!B27:O95,14,FALSE)</f>
        <v>0</v>
      </c>
      <c r="R24" s="337">
        <f>VLOOKUP(C24,Theory!B27:P95,15,FALSE)</f>
        <v>0</v>
      </c>
      <c r="S24" s="337">
        <f>VLOOKUP(C24,Theory!B27:Q95,16,FALSE)</f>
        <v>0</v>
      </c>
      <c r="T24" s="337">
        <f>VLOOKUP(C24,Theory!B27:R95,17,FALSE)</f>
        <v>0</v>
      </c>
      <c r="U24" s="337">
        <f>VLOOKUP(C24,Theory!B27:S95,18,FALSE)</f>
        <v>0</v>
      </c>
      <c r="V24" s="335">
        <f t="shared" si="8"/>
        <v>8</v>
      </c>
      <c r="W24" s="334">
        <f>VLOOKUP(C24,Theory!B27:T95,19,FALSE)</f>
        <v>7</v>
      </c>
      <c r="X24" s="334">
        <f>VLOOKUP(C24,Theory!B27:U95,20,FALSE)</f>
        <v>0</v>
      </c>
      <c r="Y24" s="334">
        <f>VLOOKUP(C24,Theory!B27:V95,21,FALSE)</f>
        <v>0</v>
      </c>
      <c r="Z24" s="334">
        <f>VLOOKUP(C24,Theory!B27:W95,22,FALSE)</f>
        <v>0</v>
      </c>
      <c r="AA24" s="338">
        <f>VLOOKUP(C24,Theory!B27:X95,23,FALSE)</f>
        <v>0</v>
      </c>
      <c r="AB24" s="338">
        <f>VLOOKUP(C24,Theory!B27:Y95,24,FALSE)</f>
        <v>0</v>
      </c>
      <c r="AC24" s="338">
        <f>VLOOKUP(C24,Theory!B27:Z95,25,FALSE)</f>
        <v>0</v>
      </c>
      <c r="AD24" s="338">
        <f>VLOOKUP(C24,Theory!B27:AA95,26,FALSE)</f>
        <v>0</v>
      </c>
      <c r="AE24" s="335">
        <f t="shared" si="9"/>
        <v>7</v>
      </c>
      <c r="AF24" s="334">
        <f>VLOOKUP(C24,Theory!B27:AB95,27,FALSE)</f>
        <v>9</v>
      </c>
      <c r="AG24" s="334">
        <f>VLOOKUP(C24,Theory!B27:AC95,28,FALSE)</f>
        <v>0</v>
      </c>
      <c r="AH24" s="334">
        <f>VLOOKUP(C24,Theory!B27:AD95,29,FALSE)</f>
        <v>0</v>
      </c>
      <c r="AI24" s="334">
        <f>VLOOKUP(C24,Theory!B27:AE95,30,FALSE)</f>
        <v>0</v>
      </c>
      <c r="AJ24" s="339">
        <f>VLOOKUP(C24,Theory!B27:AF95,31,FALSE)</f>
        <v>0</v>
      </c>
      <c r="AK24" s="339">
        <f>VLOOKUP(C24,Theory!B27:AG95,32,FALSE)</f>
        <v>0</v>
      </c>
      <c r="AL24" s="339">
        <f>VLOOKUP(C24,Theory!B27:AH95,33,FALSE)</f>
        <v>0</v>
      </c>
      <c r="AM24" s="339">
        <f>VLOOKUP(C24,Theory!B27:AI95,34,FALSE)</f>
        <v>0</v>
      </c>
      <c r="AN24" s="335">
        <f t="shared" si="10"/>
        <v>9</v>
      </c>
      <c r="AO24" s="333">
        <f t="shared" si="0"/>
        <v>41</v>
      </c>
      <c r="AP24" s="340">
        <f>VLOOKUP(C24,Theory!B27:AJ95,35,FALSE)</f>
        <v>0</v>
      </c>
      <c r="AQ24" s="340">
        <f>VLOOKUP(C24,Theory!B27:AK95,36,FALSE)</f>
        <v>0</v>
      </c>
      <c r="AR24" s="340">
        <f>VLOOKUP(C24,Theory!B27:AL95,37,FALSE)</f>
        <v>0</v>
      </c>
      <c r="AS24" s="340">
        <f>VLOOKUP(C24,Theory!B27:AM95,38,FALSE)</f>
        <v>0</v>
      </c>
      <c r="AT24" s="335">
        <f t="shared" si="11"/>
        <v>0</v>
      </c>
      <c r="AU24" s="340">
        <f>VLOOKUP(C24,Theory!B27:AN95,39,FALSE)</f>
        <v>9</v>
      </c>
      <c r="AV24" s="340">
        <f>VLOOKUP(C24,Theory!B27:AO95,40,FALSE)</f>
        <v>0</v>
      </c>
      <c r="AW24" s="340">
        <f>VLOOKUP(C24,Theory!B27:AP95,41,FALSE)</f>
        <v>0</v>
      </c>
      <c r="AX24" s="340">
        <f>VLOOKUP(C24,Theory!B27:AQ95,42,FALSE)</f>
        <v>0</v>
      </c>
      <c r="AY24" s="335">
        <f t="shared" si="12"/>
        <v>9</v>
      </c>
      <c r="AZ24" s="340">
        <f>VLOOKUP(C24,Theory!B27:AR95,43,FALSE)</f>
        <v>10</v>
      </c>
      <c r="BA24" s="340">
        <f>VLOOKUP(C24,Theory!B27:AS95,44,FALSE)</f>
        <v>0</v>
      </c>
      <c r="BB24" s="340">
        <f>VLOOKUP(C24,Theory!B27:AT95,45,FALSE)</f>
        <v>0</v>
      </c>
      <c r="BC24" s="340">
        <f>VLOOKUP(C24,Theory!B27:AU95,46,FALSE)</f>
        <v>0</v>
      </c>
      <c r="BD24" s="340">
        <f>VLOOKUP(C24,Theory!B27:AV95,47,FALSE)</f>
        <v>0</v>
      </c>
      <c r="BE24" s="340">
        <f>VLOOKUP(C24,Theory!B27:AW95,48,FALSE)</f>
        <v>0</v>
      </c>
      <c r="BF24" s="340">
        <f>VLOOKUP(C24,Theory!B27:AX95,49,FALSE)</f>
        <v>0</v>
      </c>
      <c r="BG24" s="340">
        <f>VLOOKUP(C24,Theory!B27:AY95,50,FALSE)</f>
        <v>0</v>
      </c>
      <c r="BH24" s="335">
        <f t="shared" si="13"/>
        <v>10</v>
      </c>
      <c r="BI24" s="340">
        <f>VLOOKUP(C24,Theory!B27:AZ95,51,FALSE)</f>
        <v>8</v>
      </c>
      <c r="BJ24" s="340">
        <f>VLOOKUP(C24,Theory!B27:BA95,52,FALSE)</f>
        <v>0</v>
      </c>
      <c r="BK24" s="340">
        <f>VLOOKUP(C24,Theory!B27:BB95,53,FALSE)</f>
        <v>0</v>
      </c>
      <c r="BL24" s="340">
        <f>VLOOKUP(C24,Theory!B27:BC95,54,FALSE)</f>
        <v>0</v>
      </c>
      <c r="BM24" s="340">
        <f>VLOOKUP(C24,Theory!B27:BD95,55,FALSE)</f>
        <v>0</v>
      </c>
      <c r="BN24" s="340">
        <f>VLOOKUP(C24,Theory!B27:BE95,56,FALSE)</f>
        <v>0</v>
      </c>
      <c r="BO24" s="340">
        <f>VLOOKUP(C24,Theory!B27:BF95,57,FALSE)</f>
        <v>0</v>
      </c>
      <c r="BP24" s="340">
        <f>VLOOKUP(C24,Theory!B27:BG95,58,FALSE)</f>
        <v>0</v>
      </c>
      <c r="BQ24" s="335">
        <f t="shared" si="14"/>
        <v>8</v>
      </c>
      <c r="BR24" s="340">
        <f>VLOOKUP(C24,Theory!B27:BH95,59,FALSE)</f>
        <v>9</v>
      </c>
      <c r="BS24" s="340">
        <f>VLOOKUP(C24,Theory!B27:BI95,60,FALSE)</f>
        <v>0</v>
      </c>
      <c r="BT24" s="340">
        <f>VLOOKUP(C24,Theory!B27:BJ95,61,FALSE)</f>
        <v>0</v>
      </c>
      <c r="BU24" s="340">
        <f>VLOOKUP(C24,Theory!B27:BK95,62,FALSE)</f>
        <v>0</v>
      </c>
      <c r="BV24" s="340">
        <f>VLOOKUP(C24,Theory!B27:BL95,63,FALSE)</f>
        <v>0</v>
      </c>
      <c r="BW24" s="340">
        <f>VLOOKUP(C24,Theory!B27:BM95,64,FALSE)</f>
        <v>0</v>
      </c>
      <c r="BX24" s="340">
        <f>VLOOKUP(C24,Theory!B27:BN95,65,FALSE)</f>
        <v>0</v>
      </c>
      <c r="BY24" s="340">
        <f>VLOOKUP(C24,Theory!B27:BO95,66,FALSE)</f>
        <v>0</v>
      </c>
      <c r="BZ24" s="335">
        <f t="shared" si="15"/>
        <v>9</v>
      </c>
      <c r="CA24" s="333">
        <f t="shared" si="1"/>
        <v>36</v>
      </c>
      <c r="CB24" s="340">
        <f>VLOOKUP(C24,Theory!B27:BP95,67,FALSE)</f>
        <v>9</v>
      </c>
      <c r="CC24" s="340">
        <f>VLOOKUP(C24,Theory!B27:BQ95,68,FALSE)</f>
        <v>0</v>
      </c>
      <c r="CD24" s="340">
        <f>VLOOKUP(C24,Theory!B27:BR95,69,FALSE)</f>
        <v>0</v>
      </c>
      <c r="CE24" s="340">
        <f>VLOOKUP(C24,Theory!B27:BS95,70,FALSE)</f>
        <v>0</v>
      </c>
      <c r="CF24" s="335">
        <f t="shared" si="16"/>
        <v>9</v>
      </c>
      <c r="CG24" s="341">
        <f>VLOOKUP(C24,Theory!B27:BT95,71,FALSE)</f>
        <v>8</v>
      </c>
      <c r="CH24" s="341">
        <f>VLOOKUP(C24,Theory!B27:BU95,72,FALSE)</f>
        <v>0</v>
      </c>
      <c r="CI24" s="341">
        <f>VLOOKUP(C24,Theory!B27:BV95,73,FALSE)</f>
        <v>0</v>
      </c>
      <c r="CJ24" s="341">
        <f>VLOOKUP(C24,Theory!B27:BW95,74,FALSE)</f>
        <v>0</v>
      </c>
      <c r="CK24" s="335">
        <f t="shared" si="17"/>
        <v>8</v>
      </c>
      <c r="CL24" s="340">
        <f>VLOOKUP(C24,Theory!B27:BX95,75,FALSE)</f>
        <v>0</v>
      </c>
      <c r="CM24" s="342">
        <f>VLOOKUP(C24,Theory!B27:BY95,76,FALSE)</f>
        <v>0</v>
      </c>
      <c r="CN24" s="342">
        <f>VLOOKUP(C24,Theory!B27:BZ95,77,FALSE)</f>
        <v>0</v>
      </c>
      <c r="CO24" s="342">
        <f>VLOOKUP(C24,Theory!B27:CA95,78,FALSE)</f>
        <v>0</v>
      </c>
      <c r="CP24" s="340">
        <f>VLOOKUP(C24,Theory!B27:CB95,79,FALSE)</f>
        <v>8</v>
      </c>
      <c r="CQ24" s="340">
        <f>VLOOKUP(C24,Theory!B27:CC95,80,FALSE)</f>
        <v>0</v>
      </c>
      <c r="CR24" s="340">
        <f>VLOOKUP(C24,Theory!B27:CD95,81,FALSE)</f>
        <v>0</v>
      </c>
      <c r="CS24" s="340">
        <f>VLOOKUP(C24,Theory!B27:CE95,82,FALSE)</f>
        <v>0</v>
      </c>
      <c r="CT24" s="335">
        <f t="shared" si="18"/>
        <v>8</v>
      </c>
      <c r="CU24" s="341">
        <f>VLOOKUP(C24,Theory!B27:CF95,83,FALSE)</f>
        <v>10</v>
      </c>
      <c r="CV24" s="342">
        <f>VLOOKUP(C24,Theory!B27:CG95,84,FALSE)</f>
        <v>0</v>
      </c>
      <c r="CW24" s="342">
        <f>VLOOKUP(C24,Theory!B27:CH95,85,FALSE)</f>
        <v>0</v>
      </c>
      <c r="CX24" s="342">
        <f>VLOOKUP(C24,Theory!B27:CI95,86,FALSE)</f>
        <v>0</v>
      </c>
      <c r="CY24" s="341">
        <f>VLOOKUP(C24,Theory!B27:CJ95,87,FALSE)</f>
        <v>0</v>
      </c>
      <c r="CZ24" s="341">
        <f>VLOOKUP(C24,Theory!B27:CK95,88,FALSE)</f>
        <v>0</v>
      </c>
      <c r="DA24" s="341">
        <f>VLOOKUP(C24,Theory!B27:CL95,89,FALSE)</f>
        <v>0</v>
      </c>
      <c r="DB24" s="341">
        <f>VLOOKUP(C24,Theory!B27:CM95,90,FALSE)</f>
        <v>0</v>
      </c>
      <c r="DC24" s="335">
        <f t="shared" si="19"/>
        <v>10</v>
      </c>
      <c r="DD24" s="340">
        <f>VLOOKUP(C24,Theory!B27:CN95,91,FALSE)</f>
        <v>0</v>
      </c>
      <c r="DE24" s="342">
        <f>VLOOKUP(C24,Theory!B27:CO95,92,FALSE)</f>
        <v>0</v>
      </c>
      <c r="DF24" s="342">
        <f>VLOOKUP(C24,Theory!B27:CP95,93,FALSE)</f>
        <v>0</v>
      </c>
      <c r="DG24" s="342">
        <f>VLOOKUP(C24,Theory!B27:CQ95,94,FALSE)</f>
        <v>0</v>
      </c>
      <c r="DH24" s="340">
        <f>VLOOKUP(C24,Theory!B27:CR95,95,FALSE)</f>
        <v>9</v>
      </c>
      <c r="DI24" s="340">
        <f>VLOOKUP(C24,Theory!B27:CS95,96,FALSE)</f>
        <v>0</v>
      </c>
      <c r="DJ24" s="340">
        <f>VLOOKUP(C24,Theory!B27:CT95,97,FALSE)</f>
        <v>0</v>
      </c>
      <c r="DK24" s="340">
        <f>VLOOKUP(C24,Theory!B27:CU95,98,FALSE)</f>
        <v>0</v>
      </c>
      <c r="DL24" s="335">
        <f t="shared" si="20"/>
        <v>9</v>
      </c>
      <c r="DM24" s="265">
        <f t="shared" si="2"/>
        <v>44</v>
      </c>
      <c r="DN24" s="362">
        <f t="shared" si="40"/>
        <v>41</v>
      </c>
      <c r="DO24" s="362">
        <f t="shared" si="41"/>
        <v>36</v>
      </c>
      <c r="DP24" s="362">
        <f t="shared" si="42"/>
        <v>44</v>
      </c>
      <c r="DQ24" s="343">
        <f t="shared" si="43"/>
        <v>25</v>
      </c>
      <c r="DR24" s="343">
        <f t="shared" si="44"/>
        <v>22</v>
      </c>
      <c r="DS24" s="343">
        <f t="shared" si="45"/>
        <v>26</v>
      </c>
      <c r="DT24" s="328">
        <f t="shared" si="36"/>
        <v>24</v>
      </c>
      <c r="DU24" s="326">
        <f>VLOOKUP(C24,Theory!B27:CV95,99,FALSE)</f>
        <v>10</v>
      </c>
      <c r="DV24" s="326">
        <f>VLOOKUP(C24,Theory!B27:CW95,100,FALSE)</f>
        <v>10</v>
      </c>
      <c r="DW24" s="331">
        <f t="shared" si="27"/>
        <v>20</v>
      </c>
      <c r="DX24" s="266">
        <f t="shared" si="3"/>
        <v>44</v>
      </c>
      <c r="DY24" s="363">
        <f t="shared" si="4"/>
        <v>26</v>
      </c>
      <c r="DZ24" s="344">
        <f>VLOOKUP(C24,Lab!B19:D88,3,FALSE)</f>
        <v>0</v>
      </c>
      <c r="EA24" s="345">
        <f>VLOOKUP(C24,Lab!B19:E88,4,FALSE)</f>
        <v>0</v>
      </c>
      <c r="EB24" s="345">
        <f>VLOOKUP(C24,Lab!B19:F88,5,FALSE)</f>
        <v>0</v>
      </c>
      <c r="EC24" s="329">
        <f t="shared" si="37"/>
        <v>0</v>
      </c>
      <c r="ED24" s="346">
        <f>VLOOKUP(C24,Lab!B19:G88,6,FALSE)</f>
        <v>0</v>
      </c>
      <c r="EE24" s="346">
        <f>VLOOKUP(C24,Lab!B19:H88,7,FALSE)</f>
        <v>0</v>
      </c>
      <c r="EF24" s="347">
        <f>VLOOKUP(C24,Lab!B19:I88,8,FALSE)</f>
        <v>0</v>
      </c>
      <c r="EG24" s="330">
        <f t="shared" si="38"/>
        <v>0</v>
      </c>
      <c r="EH24" s="390">
        <f t="shared" si="28"/>
        <v>0</v>
      </c>
      <c r="EI24" s="349">
        <f t="shared" si="29"/>
        <v>0</v>
      </c>
      <c r="EJ24" s="391">
        <f t="shared" si="5"/>
        <v>26</v>
      </c>
      <c r="EK24" s="258">
        <v>41</v>
      </c>
      <c r="EM24" s="350">
        <f>VLOOKUP(C24,Theory!B27:DL95,114,FALSE)</f>
        <v>0</v>
      </c>
      <c r="EN24" s="350">
        <f>VLOOKUP(C24,Theory!B27:DM95,115,FALSE)</f>
        <v>0</v>
      </c>
      <c r="EO24" s="350">
        <f>VLOOKUP(C24,Theory!B27:DN95,116,FALSE)</f>
        <v>0</v>
      </c>
      <c r="EP24" s="350">
        <f>VLOOKUP(C24,Theory!B27:DO93,117,FALSE)</f>
        <v>0</v>
      </c>
      <c r="EQ24" s="350">
        <f>VLOOKUP(C24,Theory!B27:DP93,118,FALSE)</f>
        <v>0</v>
      </c>
      <c r="ER24" s="351">
        <f>VLOOKUP(C24,Theory!B27:DQ93,119,FALSE)</f>
        <v>0</v>
      </c>
      <c r="ES24" s="327">
        <f>VLOOKUP(C24,Theory!B27:DR93,120,FALSE)</f>
        <v>0</v>
      </c>
      <c r="ET24" s="348">
        <f t="shared" si="39"/>
        <v>0</v>
      </c>
      <c r="EU24" s="352"/>
      <c r="EV24" s="352"/>
      <c r="EW24" s="352"/>
      <c r="EX24" s="352"/>
      <c r="EY24" s="352"/>
      <c r="EZ24" s="352"/>
      <c r="FA24" s="352"/>
      <c r="FB24" s="352"/>
      <c r="FC24" s="352"/>
      <c r="FD24" s="352"/>
    </row>
    <row r="25" spans="1:160" ht="16.2" thickBot="1" x14ac:dyDescent="0.35">
      <c r="A25" s="64">
        <v>12</v>
      </c>
      <c r="B25" s="17" t="str">
        <f>Theory!C28</f>
        <v>HITHA N</v>
      </c>
      <c r="C25" s="16" t="str">
        <f>Theory!B28</f>
        <v>1DS21AI023</v>
      </c>
      <c r="D25" s="334">
        <f>VLOOKUP(C25,Theory!B28:D96,3,FALSE)</f>
        <v>8</v>
      </c>
      <c r="E25" s="334">
        <f>VLOOKUP(C25,Theory!B28:E96,4,FALSE)</f>
        <v>0</v>
      </c>
      <c r="F25" s="334">
        <f>VLOOKUP(C25,Theory!B28:F96,5,FALSE)</f>
        <v>0</v>
      </c>
      <c r="G25" s="334">
        <f>VLOOKUP(C25,Theory!B28:G96,6,FALSE)</f>
        <v>0</v>
      </c>
      <c r="H25" s="335">
        <f t="shared" si="6"/>
        <v>8</v>
      </c>
      <c r="I25" s="338">
        <f>VLOOKUP(C25,Theory!B28:H96,7,FALSE)</f>
        <v>8</v>
      </c>
      <c r="J25" s="337">
        <f>VLOOKUP(C25,Theory!B28:I96,8,FALSE)</f>
        <v>0</v>
      </c>
      <c r="K25" s="337">
        <f>VLOOKUP(C25,Theory!B28:J96,9,FALSE)</f>
        <v>0</v>
      </c>
      <c r="L25" s="337">
        <f>VLOOKUP(C25,Theory!B28:K96,10,FALSE)</f>
        <v>0</v>
      </c>
      <c r="M25" s="335">
        <f t="shared" si="7"/>
        <v>8</v>
      </c>
      <c r="N25" s="336">
        <f>VLOOKUP(C25,Theory!B28:L96,11,FALSE)</f>
        <v>10</v>
      </c>
      <c r="O25" s="336">
        <f>VLOOKUP(C25,Theory!B28:M96,12,FALSE)</f>
        <v>0</v>
      </c>
      <c r="P25" s="336">
        <f>VLOOKUP(C25,Theory!B28:N96,13,FALSE)</f>
        <v>0</v>
      </c>
      <c r="Q25" s="336">
        <f>VLOOKUP(C25,Theory!B28:O96,14,FALSE)</f>
        <v>0</v>
      </c>
      <c r="R25" s="337">
        <f>VLOOKUP(C25,Theory!B28:P96,15,FALSE)</f>
        <v>0</v>
      </c>
      <c r="S25" s="337">
        <f>VLOOKUP(C25,Theory!B28:Q96,16,FALSE)</f>
        <v>0</v>
      </c>
      <c r="T25" s="337">
        <f>VLOOKUP(C25,Theory!B28:R96,17,FALSE)</f>
        <v>0</v>
      </c>
      <c r="U25" s="337">
        <f>VLOOKUP(C25,Theory!B28:S96,18,FALSE)</f>
        <v>0</v>
      </c>
      <c r="V25" s="335">
        <f t="shared" si="8"/>
        <v>10</v>
      </c>
      <c r="W25" s="334">
        <f>VLOOKUP(C25,Theory!B28:T96,19,FALSE)</f>
        <v>8</v>
      </c>
      <c r="X25" s="334">
        <f>VLOOKUP(C25,Theory!B28:U96,20,FALSE)</f>
        <v>0</v>
      </c>
      <c r="Y25" s="334">
        <f>VLOOKUP(C25,Theory!B28:V96,21,FALSE)</f>
        <v>0</v>
      </c>
      <c r="Z25" s="334">
        <f>VLOOKUP(C25,Theory!B28:W96,22,FALSE)</f>
        <v>0</v>
      </c>
      <c r="AA25" s="338">
        <f>VLOOKUP(C25,Theory!B28:X96,23,FALSE)</f>
        <v>0</v>
      </c>
      <c r="AB25" s="338">
        <f>VLOOKUP(C25,Theory!B28:Y96,24,FALSE)</f>
        <v>0</v>
      </c>
      <c r="AC25" s="338">
        <f>VLOOKUP(C25,Theory!B28:Z96,25,FALSE)</f>
        <v>0</v>
      </c>
      <c r="AD25" s="338">
        <f>VLOOKUP(C25,Theory!B28:AA96,26,FALSE)</f>
        <v>0</v>
      </c>
      <c r="AE25" s="335">
        <f t="shared" si="9"/>
        <v>8</v>
      </c>
      <c r="AF25" s="334">
        <f>VLOOKUP(C25,Theory!B28:AB96,27,FALSE)</f>
        <v>10</v>
      </c>
      <c r="AG25" s="334">
        <f>VLOOKUP(C25,Theory!B28:AC96,28,FALSE)</f>
        <v>0</v>
      </c>
      <c r="AH25" s="334">
        <f>VLOOKUP(C25,Theory!B28:AD96,29,FALSE)</f>
        <v>0</v>
      </c>
      <c r="AI25" s="334">
        <f>VLOOKUP(C25,Theory!B28:AE96,30,FALSE)</f>
        <v>0</v>
      </c>
      <c r="AJ25" s="339">
        <f>VLOOKUP(C25,Theory!B28:AF96,31,FALSE)</f>
        <v>0</v>
      </c>
      <c r="AK25" s="339">
        <f>VLOOKUP(C25,Theory!B28:AG96,32,FALSE)</f>
        <v>0</v>
      </c>
      <c r="AL25" s="339">
        <f>VLOOKUP(C25,Theory!B28:AH96,33,FALSE)</f>
        <v>0</v>
      </c>
      <c r="AM25" s="339">
        <f>VLOOKUP(C25,Theory!B28:AI96,34,FALSE)</f>
        <v>0</v>
      </c>
      <c r="AN25" s="335">
        <f t="shared" si="10"/>
        <v>10</v>
      </c>
      <c r="AO25" s="333">
        <f t="shared" si="0"/>
        <v>44</v>
      </c>
      <c r="AP25" s="340">
        <f>VLOOKUP(C25,Theory!B28:AJ96,35,FALSE)</f>
        <v>9</v>
      </c>
      <c r="AQ25" s="340">
        <f>VLOOKUP(C25,Theory!B28:AK96,36,FALSE)</f>
        <v>0</v>
      </c>
      <c r="AR25" s="340">
        <f>VLOOKUP(C25,Theory!B28:AL96,37,FALSE)</f>
        <v>0</v>
      </c>
      <c r="AS25" s="340">
        <f>VLOOKUP(C25,Theory!B28:AM96,38,FALSE)</f>
        <v>0</v>
      </c>
      <c r="AT25" s="335">
        <f t="shared" si="11"/>
        <v>9</v>
      </c>
      <c r="AU25" s="340">
        <f>VLOOKUP(C25,Theory!B28:AN96,39,FALSE)</f>
        <v>9</v>
      </c>
      <c r="AV25" s="340">
        <f>VLOOKUP(C25,Theory!B28:AO96,40,FALSE)</f>
        <v>0</v>
      </c>
      <c r="AW25" s="340">
        <f>VLOOKUP(C25,Theory!B28:AP96,41,FALSE)</f>
        <v>0</v>
      </c>
      <c r="AX25" s="340">
        <f>VLOOKUP(C25,Theory!B28:AQ96,42,FALSE)</f>
        <v>0</v>
      </c>
      <c r="AY25" s="335">
        <f t="shared" si="12"/>
        <v>9</v>
      </c>
      <c r="AZ25" s="340">
        <f>VLOOKUP(C25,Theory!B28:AR96,43,FALSE)</f>
        <v>10</v>
      </c>
      <c r="BA25" s="340">
        <f>VLOOKUP(C25,Theory!B28:AS96,44,FALSE)</f>
        <v>0</v>
      </c>
      <c r="BB25" s="340">
        <f>VLOOKUP(C25,Theory!B28:AT96,45,FALSE)</f>
        <v>0</v>
      </c>
      <c r="BC25" s="340">
        <f>VLOOKUP(C25,Theory!B28:AU96,46,FALSE)</f>
        <v>0</v>
      </c>
      <c r="BD25" s="340">
        <f>VLOOKUP(C25,Theory!B28:AV96,47,FALSE)</f>
        <v>0</v>
      </c>
      <c r="BE25" s="340">
        <f>VLOOKUP(C25,Theory!B28:AW96,48,FALSE)</f>
        <v>0</v>
      </c>
      <c r="BF25" s="340">
        <f>VLOOKUP(C25,Theory!B28:AX96,49,FALSE)</f>
        <v>0</v>
      </c>
      <c r="BG25" s="340">
        <f>VLOOKUP(C25,Theory!B28:AY96,50,FALSE)</f>
        <v>0</v>
      </c>
      <c r="BH25" s="335">
        <f t="shared" si="13"/>
        <v>10</v>
      </c>
      <c r="BI25" s="340">
        <f>VLOOKUP(C25,Theory!B28:AZ96,51,FALSE)</f>
        <v>8</v>
      </c>
      <c r="BJ25" s="340">
        <f>VLOOKUP(C25,Theory!B28:BA96,52,FALSE)</f>
        <v>0</v>
      </c>
      <c r="BK25" s="340">
        <f>VLOOKUP(C25,Theory!B28:BB96,53,FALSE)</f>
        <v>0</v>
      </c>
      <c r="BL25" s="340">
        <f>VLOOKUP(C25,Theory!B28:BC96,54,FALSE)</f>
        <v>0</v>
      </c>
      <c r="BM25" s="340">
        <f>VLOOKUP(C25,Theory!B28:BD96,55,FALSE)</f>
        <v>0</v>
      </c>
      <c r="BN25" s="340">
        <f>VLOOKUP(C25,Theory!B28:BE96,56,FALSE)</f>
        <v>0</v>
      </c>
      <c r="BO25" s="340">
        <f>VLOOKUP(C25,Theory!B28:BF96,57,FALSE)</f>
        <v>0</v>
      </c>
      <c r="BP25" s="340">
        <f>VLOOKUP(C25,Theory!B28:BG96,58,FALSE)</f>
        <v>0</v>
      </c>
      <c r="BQ25" s="335">
        <f t="shared" si="14"/>
        <v>8</v>
      </c>
      <c r="BR25" s="340">
        <f>VLOOKUP(C25,Theory!B28:BH96,59,FALSE)</f>
        <v>10</v>
      </c>
      <c r="BS25" s="340">
        <f>VLOOKUP(C25,Theory!B28:BI96,60,FALSE)</f>
        <v>0</v>
      </c>
      <c r="BT25" s="340">
        <f>VLOOKUP(C25,Theory!B28:BJ96,61,FALSE)</f>
        <v>0</v>
      </c>
      <c r="BU25" s="340">
        <f>VLOOKUP(C25,Theory!B28:BK96,62,FALSE)</f>
        <v>0</v>
      </c>
      <c r="BV25" s="340">
        <f>VLOOKUP(C25,Theory!B28:BL96,63,FALSE)</f>
        <v>0</v>
      </c>
      <c r="BW25" s="340">
        <f>VLOOKUP(C25,Theory!B28:BM96,64,FALSE)</f>
        <v>0</v>
      </c>
      <c r="BX25" s="340">
        <f>VLOOKUP(C25,Theory!B28:BN96,65,FALSE)</f>
        <v>0</v>
      </c>
      <c r="BY25" s="340">
        <f>VLOOKUP(C25,Theory!B28:BO96,66,FALSE)</f>
        <v>0</v>
      </c>
      <c r="BZ25" s="335">
        <f t="shared" si="15"/>
        <v>10</v>
      </c>
      <c r="CA25" s="333">
        <f t="shared" si="1"/>
        <v>46</v>
      </c>
      <c r="CB25" s="340">
        <f>VLOOKUP(C25,Theory!B28:BP96,67,FALSE)</f>
        <v>10</v>
      </c>
      <c r="CC25" s="340">
        <f>VLOOKUP(C25,Theory!B28:BQ96,68,FALSE)</f>
        <v>0</v>
      </c>
      <c r="CD25" s="340">
        <f>VLOOKUP(C25,Theory!B28:BR96,69,FALSE)</f>
        <v>0</v>
      </c>
      <c r="CE25" s="340">
        <f>VLOOKUP(C25,Theory!B28:BS96,70,FALSE)</f>
        <v>0</v>
      </c>
      <c r="CF25" s="335">
        <f t="shared" si="16"/>
        <v>10</v>
      </c>
      <c r="CG25" s="341">
        <f>VLOOKUP(C25,Theory!B28:BT96,71,FALSE)</f>
        <v>10</v>
      </c>
      <c r="CH25" s="341">
        <f>VLOOKUP(C25,Theory!B28:BU96,72,FALSE)</f>
        <v>0</v>
      </c>
      <c r="CI25" s="341">
        <f>VLOOKUP(C25,Theory!B28:BV96,73,FALSE)</f>
        <v>0</v>
      </c>
      <c r="CJ25" s="341">
        <f>VLOOKUP(C25,Theory!B28:BW96,74,FALSE)</f>
        <v>0</v>
      </c>
      <c r="CK25" s="335">
        <f t="shared" si="17"/>
        <v>10</v>
      </c>
      <c r="CL25" s="340">
        <f>VLOOKUP(C25,Theory!B28:BX96,75,FALSE)</f>
        <v>0</v>
      </c>
      <c r="CM25" s="342">
        <f>VLOOKUP(C25,Theory!B28:BY96,76,FALSE)</f>
        <v>0</v>
      </c>
      <c r="CN25" s="342">
        <f>VLOOKUP(C25,Theory!B28:BZ96,77,FALSE)</f>
        <v>0</v>
      </c>
      <c r="CO25" s="342">
        <f>VLOOKUP(C25,Theory!B28:CA96,78,FALSE)</f>
        <v>0</v>
      </c>
      <c r="CP25" s="340">
        <f>VLOOKUP(C25,Theory!B28:CB96,79,FALSE)</f>
        <v>10</v>
      </c>
      <c r="CQ25" s="340">
        <f>VLOOKUP(C25,Theory!B28:CC96,80,FALSE)</f>
        <v>0</v>
      </c>
      <c r="CR25" s="340">
        <f>VLOOKUP(C25,Theory!B28:CD96,81,FALSE)</f>
        <v>0</v>
      </c>
      <c r="CS25" s="340">
        <f>VLOOKUP(C25,Theory!B28:CE96,82,FALSE)</f>
        <v>0</v>
      </c>
      <c r="CT25" s="335">
        <f t="shared" si="18"/>
        <v>10</v>
      </c>
      <c r="CU25" s="341">
        <f>VLOOKUP(C25,Theory!B28:CF96,83,FALSE)</f>
        <v>10</v>
      </c>
      <c r="CV25" s="342">
        <f>VLOOKUP(C25,Theory!B28:CG96,84,FALSE)</f>
        <v>0</v>
      </c>
      <c r="CW25" s="342">
        <f>VLOOKUP(C25,Theory!B28:CH96,85,FALSE)</f>
        <v>0</v>
      </c>
      <c r="CX25" s="342">
        <f>VLOOKUP(C25,Theory!B28:CI96,86,FALSE)</f>
        <v>0</v>
      </c>
      <c r="CY25" s="341">
        <f>VLOOKUP(C25,Theory!B28:CJ96,87,FALSE)</f>
        <v>0</v>
      </c>
      <c r="CZ25" s="341">
        <f>VLOOKUP(C25,Theory!B28:CK96,88,FALSE)</f>
        <v>0</v>
      </c>
      <c r="DA25" s="341">
        <f>VLOOKUP(C25,Theory!B28:CL96,89,FALSE)</f>
        <v>0</v>
      </c>
      <c r="DB25" s="341">
        <f>VLOOKUP(C25,Theory!B28:CM96,90,FALSE)</f>
        <v>0</v>
      </c>
      <c r="DC25" s="335">
        <f t="shared" si="19"/>
        <v>10</v>
      </c>
      <c r="DD25" s="340">
        <f>VLOOKUP(C25,Theory!B28:CN96,91,FALSE)</f>
        <v>0</v>
      </c>
      <c r="DE25" s="342">
        <f>VLOOKUP(C25,Theory!B28:CO96,92,FALSE)</f>
        <v>0</v>
      </c>
      <c r="DF25" s="342">
        <f>VLOOKUP(C25,Theory!B28:CP96,93,FALSE)</f>
        <v>0</v>
      </c>
      <c r="DG25" s="342">
        <f>VLOOKUP(C25,Theory!B28:CQ96,94,FALSE)</f>
        <v>0</v>
      </c>
      <c r="DH25" s="340">
        <f>VLOOKUP(C25,Theory!B28:CR96,95,FALSE)</f>
        <v>10</v>
      </c>
      <c r="DI25" s="340">
        <f>VLOOKUP(C25,Theory!B28:CS96,96,FALSE)</f>
        <v>0</v>
      </c>
      <c r="DJ25" s="340">
        <f>VLOOKUP(C25,Theory!B28:CT96,97,FALSE)</f>
        <v>0</v>
      </c>
      <c r="DK25" s="340">
        <f>VLOOKUP(C25,Theory!B28:CU96,98,FALSE)</f>
        <v>0</v>
      </c>
      <c r="DL25" s="335">
        <f t="shared" si="20"/>
        <v>10</v>
      </c>
      <c r="DM25" s="265">
        <f t="shared" si="2"/>
        <v>50</v>
      </c>
      <c r="DN25" s="362">
        <f t="shared" si="40"/>
        <v>44</v>
      </c>
      <c r="DO25" s="362">
        <f t="shared" si="41"/>
        <v>46</v>
      </c>
      <c r="DP25" s="362">
        <f t="shared" si="42"/>
        <v>50</v>
      </c>
      <c r="DQ25" s="343">
        <f t="shared" si="43"/>
        <v>26</v>
      </c>
      <c r="DR25" s="343">
        <f t="shared" si="44"/>
        <v>28</v>
      </c>
      <c r="DS25" s="343">
        <f t="shared" si="45"/>
        <v>30</v>
      </c>
      <c r="DT25" s="328">
        <f t="shared" si="36"/>
        <v>28</v>
      </c>
      <c r="DU25" s="326">
        <f>VLOOKUP(C25,Theory!B28:CV96,99,FALSE)</f>
        <v>10</v>
      </c>
      <c r="DV25" s="326">
        <f>VLOOKUP(C25,Theory!B28:CW96,100,FALSE)</f>
        <v>10</v>
      </c>
      <c r="DW25" s="331">
        <f t="shared" si="27"/>
        <v>20</v>
      </c>
      <c r="DX25" s="266">
        <f t="shared" si="3"/>
        <v>48</v>
      </c>
      <c r="DY25" s="363">
        <f t="shared" si="4"/>
        <v>29</v>
      </c>
      <c r="DZ25" s="344">
        <f>VLOOKUP(C25,Lab!B20:D89,3,FALSE)</f>
        <v>0</v>
      </c>
      <c r="EA25" s="345">
        <f>VLOOKUP(C25,Lab!B20:E89,4,FALSE)</f>
        <v>0</v>
      </c>
      <c r="EB25" s="345">
        <f>VLOOKUP(C25,Lab!B20:F89,5,FALSE)</f>
        <v>0</v>
      </c>
      <c r="EC25" s="329">
        <f t="shared" si="37"/>
        <v>0</v>
      </c>
      <c r="ED25" s="346">
        <f>VLOOKUP(C25,Lab!B20:G89,6,FALSE)</f>
        <v>0</v>
      </c>
      <c r="EE25" s="346">
        <f>VLOOKUP(C25,Lab!B20:H89,7,FALSE)</f>
        <v>0</v>
      </c>
      <c r="EF25" s="347">
        <f>VLOOKUP(C25,Lab!B20:I89,8,FALSE)</f>
        <v>0</v>
      </c>
      <c r="EG25" s="330">
        <f t="shared" si="38"/>
        <v>0</v>
      </c>
      <c r="EH25" s="390">
        <f t="shared" si="28"/>
        <v>0</v>
      </c>
      <c r="EI25" s="349">
        <f t="shared" si="29"/>
        <v>0</v>
      </c>
      <c r="EJ25" s="391">
        <f t="shared" si="5"/>
        <v>29</v>
      </c>
      <c r="EK25" s="258">
        <v>45</v>
      </c>
      <c r="EM25" s="350">
        <f>VLOOKUP(C25,Theory!B28:DL96,114,FALSE)</f>
        <v>0</v>
      </c>
      <c r="EN25" s="350">
        <f>VLOOKUP(C25,Theory!B28:DM96,115,FALSE)</f>
        <v>0</v>
      </c>
      <c r="EO25" s="350">
        <f>VLOOKUP(C25,Theory!B28:DN96,116,FALSE)</f>
        <v>0</v>
      </c>
      <c r="EP25" s="350">
        <f>VLOOKUP(C25,Theory!B28:DO94,117,FALSE)</f>
        <v>0</v>
      </c>
      <c r="EQ25" s="350">
        <f>VLOOKUP(C25,Theory!B28:DP94,118,FALSE)</f>
        <v>0</v>
      </c>
      <c r="ER25" s="351">
        <f>VLOOKUP(C25,Theory!B28:DQ94,119,FALSE)</f>
        <v>0</v>
      </c>
      <c r="ES25" s="327">
        <f>VLOOKUP(C25,Theory!B28:DR94,120,FALSE)</f>
        <v>0</v>
      </c>
      <c r="ET25" s="348">
        <f t="shared" si="39"/>
        <v>0</v>
      </c>
      <c r="EU25" s="352"/>
      <c r="EV25" s="352"/>
      <c r="EW25" s="352"/>
      <c r="EX25" s="352"/>
      <c r="EY25" s="352"/>
      <c r="EZ25" s="352"/>
      <c r="FA25" s="352"/>
      <c r="FB25" s="352"/>
      <c r="FC25" s="352"/>
      <c r="FD25" s="352"/>
    </row>
    <row r="26" spans="1:160" ht="16.2" thickBot="1" x14ac:dyDescent="0.35">
      <c r="A26" s="64">
        <v>13</v>
      </c>
      <c r="B26" s="17" t="str">
        <f>Theory!C29</f>
        <v>KAASHIF MERAJ</v>
      </c>
      <c r="C26" s="16" t="str">
        <f>Theory!B29</f>
        <v>1DS21AI026</v>
      </c>
      <c r="D26" s="334">
        <f>VLOOKUP(C26,Theory!B29:D97,3,FALSE)</f>
        <v>2</v>
      </c>
      <c r="E26" s="334">
        <f>VLOOKUP(C26,Theory!B29:E97,4,FALSE)</f>
        <v>0</v>
      </c>
      <c r="F26" s="334">
        <f>VLOOKUP(C26,Theory!B29:F97,5,FALSE)</f>
        <v>0</v>
      </c>
      <c r="G26" s="334">
        <f>VLOOKUP(C26,Theory!B29:G97,6,FALSE)</f>
        <v>0</v>
      </c>
      <c r="H26" s="335">
        <f t="shared" si="6"/>
        <v>2</v>
      </c>
      <c r="I26" s="338">
        <f>VLOOKUP(C26,Theory!B29:H97,7,FALSE)</f>
        <v>2</v>
      </c>
      <c r="J26" s="337">
        <f>VLOOKUP(C26,Theory!B29:I97,8,FALSE)</f>
        <v>0</v>
      </c>
      <c r="K26" s="337">
        <f>VLOOKUP(C26,Theory!B29:J97,9,FALSE)</f>
        <v>0</v>
      </c>
      <c r="L26" s="337">
        <f>VLOOKUP(C26,Theory!B29:K97,10,FALSE)</f>
        <v>0</v>
      </c>
      <c r="M26" s="335">
        <f t="shared" si="7"/>
        <v>2</v>
      </c>
      <c r="N26" s="336">
        <f>VLOOKUP(C26,Theory!B29:L97,11,FALSE)</f>
        <v>0</v>
      </c>
      <c r="O26" s="336">
        <f>VLOOKUP(C26,Theory!B29:M97,12,FALSE)</f>
        <v>0</v>
      </c>
      <c r="P26" s="336">
        <f>VLOOKUP(C26,Theory!B29:N97,13,FALSE)</f>
        <v>0</v>
      </c>
      <c r="Q26" s="336">
        <f>VLOOKUP(C26,Theory!B29:O97,14,FALSE)</f>
        <v>0</v>
      </c>
      <c r="R26" s="337">
        <f>VLOOKUP(C26,Theory!B29:P97,15,FALSE)</f>
        <v>3</v>
      </c>
      <c r="S26" s="337">
        <f>VLOOKUP(C26,Theory!B29:Q97,16,FALSE)</f>
        <v>0</v>
      </c>
      <c r="T26" s="337">
        <f>VLOOKUP(C26,Theory!B29:R97,17,FALSE)</f>
        <v>0</v>
      </c>
      <c r="U26" s="337">
        <f>VLOOKUP(C26,Theory!B29:S97,18,FALSE)</f>
        <v>0</v>
      </c>
      <c r="V26" s="335">
        <f t="shared" si="8"/>
        <v>3</v>
      </c>
      <c r="W26" s="334">
        <f>VLOOKUP(C26,Theory!B29:T97,19,FALSE)</f>
        <v>0</v>
      </c>
      <c r="X26" s="334">
        <f>VLOOKUP(C26,Theory!B29:U97,20,FALSE)</f>
        <v>0</v>
      </c>
      <c r="Y26" s="334">
        <f>VLOOKUP(C26,Theory!B29:V97,21,FALSE)</f>
        <v>0</v>
      </c>
      <c r="Z26" s="334">
        <f>VLOOKUP(C26,Theory!B29:W97,22,FALSE)</f>
        <v>0</v>
      </c>
      <c r="AA26" s="338">
        <f>VLOOKUP(C26,Theory!B29:X97,23,FALSE)</f>
        <v>4</v>
      </c>
      <c r="AB26" s="338">
        <f>VLOOKUP(C26,Theory!B29:Y97,24,FALSE)</f>
        <v>0</v>
      </c>
      <c r="AC26" s="338">
        <f>VLOOKUP(C26,Theory!B29:Z97,25,FALSE)</f>
        <v>0</v>
      </c>
      <c r="AD26" s="338">
        <f>VLOOKUP(C26,Theory!B29:AA97,26,FALSE)</f>
        <v>0</v>
      </c>
      <c r="AE26" s="335">
        <f t="shared" si="9"/>
        <v>4</v>
      </c>
      <c r="AF26" s="334">
        <f>VLOOKUP(C26,Theory!B29:AB97,27,FALSE)</f>
        <v>0</v>
      </c>
      <c r="AG26" s="334">
        <f>VLOOKUP(C26,Theory!B29:AC97,28,FALSE)</f>
        <v>0</v>
      </c>
      <c r="AH26" s="334">
        <f>VLOOKUP(C26,Theory!B29:AD97,29,FALSE)</f>
        <v>0</v>
      </c>
      <c r="AI26" s="334">
        <f>VLOOKUP(C26,Theory!B29:AE97,30,FALSE)</f>
        <v>0</v>
      </c>
      <c r="AJ26" s="339">
        <f>VLOOKUP(C26,Theory!B29:AF97,31,FALSE)</f>
        <v>4</v>
      </c>
      <c r="AK26" s="339">
        <f>VLOOKUP(C26,Theory!B29:AG97,32,FALSE)</f>
        <v>0</v>
      </c>
      <c r="AL26" s="339">
        <f>VLOOKUP(C26,Theory!B29:AH97,33,FALSE)</f>
        <v>0</v>
      </c>
      <c r="AM26" s="339">
        <f>VLOOKUP(C26,Theory!B29:AI97,34,FALSE)</f>
        <v>0</v>
      </c>
      <c r="AN26" s="335">
        <f t="shared" si="10"/>
        <v>4</v>
      </c>
      <c r="AO26" s="333">
        <f t="shared" si="0"/>
        <v>15</v>
      </c>
      <c r="AP26" s="340">
        <f>VLOOKUP(C26,Theory!B29:AJ97,35,FALSE)</f>
        <v>7</v>
      </c>
      <c r="AQ26" s="340">
        <f>VLOOKUP(C26,Theory!B29:AK97,36,FALSE)</f>
        <v>0</v>
      </c>
      <c r="AR26" s="340">
        <f>VLOOKUP(C26,Theory!B29:AL97,37,FALSE)</f>
        <v>0</v>
      </c>
      <c r="AS26" s="340">
        <f>VLOOKUP(C26,Theory!B29:AM97,38,FALSE)</f>
        <v>0</v>
      </c>
      <c r="AT26" s="335">
        <f t="shared" si="11"/>
        <v>7</v>
      </c>
      <c r="AU26" s="340">
        <f>VLOOKUP(C26,Theory!B29:AN97,39,FALSE)</f>
        <v>6</v>
      </c>
      <c r="AV26" s="340">
        <f>VLOOKUP(C26,Theory!B29:AO97,40,FALSE)</f>
        <v>0</v>
      </c>
      <c r="AW26" s="340">
        <f>VLOOKUP(C26,Theory!B29:AP97,41,FALSE)</f>
        <v>0</v>
      </c>
      <c r="AX26" s="340">
        <f>VLOOKUP(C26,Theory!B29:AQ97,42,FALSE)</f>
        <v>0</v>
      </c>
      <c r="AY26" s="335">
        <f t="shared" si="12"/>
        <v>6</v>
      </c>
      <c r="AZ26" s="340">
        <f>VLOOKUP(C26,Theory!B29:AR97,43,FALSE)</f>
        <v>9</v>
      </c>
      <c r="BA26" s="340">
        <f>VLOOKUP(C26,Theory!B29:AS97,44,FALSE)</f>
        <v>0</v>
      </c>
      <c r="BB26" s="340">
        <f>VLOOKUP(C26,Theory!B29:AT97,45,FALSE)</f>
        <v>0</v>
      </c>
      <c r="BC26" s="340">
        <f>VLOOKUP(C26,Theory!B29:AU97,46,FALSE)</f>
        <v>0</v>
      </c>
      <c r="BD26" s="340">
        <f>VLOOKUP(C26,Theory!B29:AV97,47,FALSE)</f>
        <v>0</v>
      </c>
      <c r="BE26" s="340">
        <f>VLOOKUP(C26,Theory!B29:AW97,48,FALSE)</f>
        <v>0</v>
      </c>
      <c r="BF26" s="340">
        <f>VLOOKUP(C26,Theory!B29:AX97,49,FALSE)</f>
        <v>0</v>
      </c>
      <c r="BG26" s="340">
        <f>VLOOKUP(C26,Theory!B29:AY97,50,FALSE)</f>
        <v>0</v>
      </c>
      <c r="BH26" s="335">
        <f t="shared" si="13"/>
        <v>9</v>
      </c>
      <c r="BI26" s="340">
        <f>VLOOKUP(C26,Theory!B29:AZ97,51,FALSE)</f>
        <v>0</v>
      </c>
      <c r="BJ26" s="340">
        <f>VLOOKUP(C26,Theory!B29:BA97,52,FALSE)</f>
        <v>0</v>
      </c>
      <c r="BK26" s="340">
        <f>VLOOKUP(C26,Theory!B29:BB97,53,FALSE)</f>
        <v>0</v>
      </c>
      <c r="BL26" s="340">
        <f>VLOOKUP(C26,Theory!B29:BC97,54,FALSE)</f>
        <v>0</v>
      </c>
      <c r="BM26" s="340">
        <f>VLOOKUP(C26,Theory!B29:BD97,55,FALSE)</f>
        <v>0</v>
      </c>
      <c r="BN26" s="340">
        <f>VLOOKUP(C26,Theory!B29:BE97,56,FALSE)</f>
        <v>0</v>
      </c>
      <c r="BO26" s="340">
        <f>VLOOKUP(C26,Theory!B29:BF97,57,FALSE)</f>
        <v>0</v>
      </c>
      <c r="BP26" s="340">
        <f>VLOOKUP(C26,Theory!B29:BG97,58,FALSE)</f>
        <v>0</v>
      </c>
      <c r="BQ26" s="335">
        <f t="shared" si="14"/>
        <v>0</v>
      </c>
      <c r="BR26" s="340">
        <f>VLOOKUP(C26,Theory!B29:BH97,59,FALSE)</f>
        <v>0</v>
      </c>
      <c r="BS26" s="340">
        <f>VLOOKUP(C26,Theory!B29:BI97,60,FALSE)</f>
        <v>0</v>
      </c>
      <c r="BT26" s="340">
        <f>VLOOKUP(C26,Theory!B29:BJ97,61,FALSE)</f>
        <v>0</v>
      </c>
      <c r="BU26" s="340">
        <f>VLOOKUP(C26,Theory!B29:BK97,62,FALSE)</f>
        <v>0</v>
      </c>
      <c r="BV26" s="340">
        <f>VLOOKUP(C26,Theory!B29:BL97,63,FALSE)</f>
        <v>5</v>
      </c>
      <c r="BW26" s="340">
        <f>VLOOKUP(C26,Theory!B29:BM97,64,FALSE)</f>
        <v>0</v>
      </c>
      <c r="BX26" s="340">
        <f>VLOOKUP(C26,Theory!B29:BN97,65,FALSE)</f>
        <v>0</v>
      </c>
      <c r="BY26" s="340">
        <f>VLOOKUP(C26,Theory!B29:BO97,66,FALSE)</f>
        <v>0</v>
      </c>
      <c r="BZ26" s="335">
        <f t="shared" si="15"/>
        <v>5</v>
      </c>
      <c r="CA26" s="333">
        <f t="shared" si="1"/>
        <v>27</v>
      </c>
      <c r="CB26" s="340">
        <f>VLOOKUP(C26,Theory!B29:BP97,67,FALSE)</f>
        <v>2</v>
      </c>
      <c r="CC26" s="340">
        <f>VLOOKUP(C26,Theory!B29:BQ97,68,FALSE)</f>
        <v>0</v>
      </c>
      <c r="CD26" s="340">
        <f>VLOOKUP(C26,Theory!B29:BR97,69,FALSE)</f>
        <v>0</v>
      </c>
      <c r="CE26" s="340">
        <f>VLOOKUP(C26,Theory!B29:BS97,70,FALSE)</f>
        <v>0</v>
      </c>
      <c r="CF26" s="335">
        <f t="shared" si="16"/>
        <v>2</v>
      </c>
      <c r="CG26" s="341">
        <f>VLOOKUP(C26,Theory!B29:BT97,71,FALSE)</f>
        <v>8</v>
      </c>
      <c r="CH26" s="341">
        <f>VLOOKUP(C26,Theory!B29:BU97,72,FALSE)</f>
        <v>0</v>
      </c>
      <c r="CI26" s="341">
        <f>VLOOKUP(C26,Theory!B29:BV97,73,FALSE)</f>
        <v>0</v>
      </c>
      <c r="CJ26" s="341">
        <f>VLOOKUP(C26,Theory!B29:BW97,74,FALSE)</f>
        <v>0</v>
      </c>
      <c r="CK26" s="335">
        <f t="shared" si="17"/>
        <v>8</v>
      </c>
      <c r="CL26" s="340">
        <f>VLOOKUP(C26,Theory!B29:BX97,75,FALSE)</f>
        <v>7</v>
      </c>
      <c r="CM26" s="342">
        <f>VLOOKUP(C26,Theory!B29:BY97,76,FALSE)</f>
        <v>0</v>
      </c>
      <c r="CN26" s="342">
        <f>VLOOKUP(C26,Theory!B29:BZ97,77,FALSE)</f>
        <v>0</v>
      </c>
      <c r="CO26" s="342">
        <f>VLOOKUP(C26,Theory!B29:CA97,78,FALSE)</f>
        <v>0</v>
      </c>
      <c r="CP26" s="340">
        <f>VLOOKUP(C26,Theory!B29:CB97,79,FALSE)</f>
        <v>0</v>
      </c>
      <c r="CQ26" s="340">
        <f>VLOOKUP(C26,Theory!B29:CC97,80,FALSE)</f>
        <v>0</v>
      </c>
      <c r="CR26" s="340">
        <f>VLOOKUP(C26,Theory!B29:CD97,81,FALSE)</f>
        <v>0</v>
      </c>
      <c r="CS26" s="340">
        <f>VLOOKUP(C26,Theory!B29:CE97,82,FALSE)</f>
        <v>0</v>
      </c>
      <c r="CT26" s="335">
        <f t="shared" si="18"/>
        <v>7</v>
      </c>
      <c r="CU26" s="341">
        <f>VLOOKUP(C26,Theory!B29:CF97,83,FALSE)</f>
        <v>0</v>
      </c>
      <c r="CV26" s="342">
        <f>VLOOKUP(C26,Theory!B29:CG97,84,FALSE)</f>
        <v>0</v>
      </c>
      <c r="CW26" s="342">
        <f>VLOOKUP(C26,Theory!B29:CH97,85,FALSE)</f>
        <v>0</v>
      </c>
      <c r="CX26" s="342">
        <f>VLOOKUP(C26,Theory!B29:CI97,86,FALSE)</f>
        <v>0</v>
      </c>
      <c r="CY26" s="341">
        <f>VLOOKUP(C26,Theory!B29:CJ97,87,FALSE)</f>
        <v>7</v>
      </c>
      <c r="CZ26" s="341">
        <f>VLOOKUP(C26,Theory!B29:CK97,88,FALSE)</f>
        <v>0</v>
      </c>
      <c r="DA26" s="341">
        <f>VLOOKUP(C26,Theory!B29:CL97,89,FALSE)</f>
        <v>0</v>
      </c>
      <c r="DB26" s="341">
        <f>VLOOKUP(C26,Theory!B29:CM97,90,FALSE)</f>
        <v>0</v>
      </c>
      <c r="DC26" s="335">
        <f t="shared" si="19"/>
        <v>7</v>
      </c>
      <c r="DD26" s="340">
        <f>VLOOKUP(C26,Theory!B29:CN97,91,FALSE)</f>
        <v>7</v>
      </c>
      <c r="DE26" s="342">
        <f>VLOOKUP(C26,Theory!B29:CO97,92,FALSE)</f>
        <v>0</v>
      </c>
      <c r="DF26" s="342">
        <f>VLOOKUP(C26,Theory!B29:CP97,93,FALSE)</f>
        <v>0</v>
      </c>
      <c r="DG26" s="342">
        <f>VLOOKUP(C26,Theory!B29:CQ97,94,FALSE)</f>
        <v>0</v>
      </c>
      <c r="DH26" s="340">
        <f>VLOOKUP(C26,Theory!B29:CR97,95,FALSE)</f>
        <v>0</v>
      </c>
      <c r="DI26" s="340">
        <f>VLOOKUP(C26,Theory!B29:CS97,96,FALSE)</f>
        <v>0</v>
      </c>
      <c r="DJ26" s="340">
        <f>VLOOKUP(C26,Theory!B29:CT97,97,FALSE)</f>
        <v>0</v>
      </c>
      <c r="DK26" s="340">
        <f>VLOOKUP(C26,Theory!B29:CU97,98,FALSE)</f>
        <v>0</v>
      </c>
      <c r="DL26" s="335">
        <f t="shared" si="20"/>
        <v>7</v>
      </c>
      <c r="DM26" s="265">
        <f t="shared" si="2"/>
        <v>31</v>
      </c>
      <c r="DN26" s="362">
        <f t="shared" si="40"/>
        <v>15</v>
      </c>
      <c r="DO26" s="362">
        <f t="shared" si="41"/>
        <v>27</v>
      </c>
      <c r="DP26" s="362">
        <f t="shared" si="42"/>
        <v>31</v>
      </c>
      <c r="DQ26" s="343">
        <f t="shared" si="43"/>
        <v>9</v>
      </c>
      <c r="DR26" s="343">
        <f t="shared" si="44"/>
        <v>16</v>
      </c>
      <c r="DS26" s="343">
        <f t="shared" si="45"/>
        <v>19</v>
      </c>
      <c r="DT26" s="328">
        <f t="shared" si="36"/>
        <v>15</v>
      </c>
      <c r="DU26" s="326">
        <f>VLOOKUP(C26,Theory!B29:CV97,99,FALSE)</f>
        <v>10</v>
      </c>
      <c r="DV26" s="326">
        <f>VLOOKUP(C26,Theory!B29:CW97,100,FALSE)</f>
        <v>10</v>
      </c>
      <c r="DW26" s="331">
        <f t="shared" si="27"/>
        <v>20</v>
      </c>
      <c r="DX26" s="266">
        <f t="shared" si="3"/>
        <v>35</v>
      </c>
      <c r="DY26" s="363">
        <f t="shared" si="4"/>
        <v>21</v>
      </c>
      <c r="DZ26" s="344">
        <f>VLOOKUP(C26,Lab!B21:D90,3,FALSE)</f>
        <v>0</v>
      </c>
      <c r="EA26" s="345">
        <f>VLOOKUP(C26,Lab!B21:E90,4,FALSE)</f>
        <v>0</v>
      </c>
      <c r="EB26" s="345">
        <f>VLOOKUP(C26,Lab!B21:F90,5,FALSE)</f>
        <v>0</v>
      </c>
      <c r="EC26" s="329">
        <f t="shared" si="37"/>
        <v>0</v>
      </c>
      <c r="ED26" s="346">
        <f>VLOOKUP(C26,Lab!B21:G90,6,FALSE)</f>
        <v>0</v>
      </c>
      <c r="EE26" s="346">
        <f>VLOOKUP(C26,Lab!B21:H90,7,FALSE)</f>
        <v>0</v>
      </c>
      <c r="EF26" s="347">
        <f>VLOOKUP(C26,Lab!B21:I90,8,FALSE)</f>
        <v>0</v>
      </c>
      <c r="EG26" s="330">
        <f t="shared" si="38"/>
        <v>0</v>
      </c>
      <c r="EH26" s="390">
        <f t="shared" si="28"/>
        <v>0</v>
      </c>
      <c r="EI26" s="349">
        <f t="shared" si="29"/>
        <v>0</v>
      </c>
      <c r="EJ26" s="391">
        <f t="shared" si="5"/>
        <v>21</v>
      </c>
      <c r="EK26" s="258">
        <v>27</v>
      </c>
      <c r="EM26" s="350">
        <f>VLOOKUP(C26,Theory!B29:DL97,114,FALSE)</f>
        <v>0</v>
      </c>
      <c r="EN26" s="350">
        <f>VLOOKUP(C26,Theory!B29:DM97,115,FALSE)</f>
        <v>0</v>
      </c>
      <c r="EO26" s="350">
        <f>VLOOKUP(C26,Theory!B29:DN97,116,FALSE)</f>
        <v>0</v>
      </c>
      <c r="EP26" s="350">
        <f>VLOOKUP(C26,Theory!B29:DO95,117,FALSE)</f>
        <v>0</v>
      </c>
      <c r="EQ26" s="350">
        <f>VLOOKUP(C26,Theory!B29:DP95,118,FALSE)</f>
        <v>0</v>
      </c>
      <c r="ER26" s="351">
        <f>VLOOKUP(C26,Theory!B29:DQ95,119,FALSE)</f>
        <v>0</v>
      </c>
      <c r="ES26" s="327">
        <f>VLOOKUP(C26,Theory!B29:DR95,120,FALSE)</f>
        <v>0</v>
      </c>
      <c r="ET26" s="348">
        <f t="shared" si="39"/>
        <v>0</v>
      </c>
      <c r="EU26" s="352"/>
      <c r="EV26" s="352"/>
      <c r="EW26" s="352"/>
      <c r="EX26" s="352"/>
      <c r="EY26" s="352"/>
      <c r="EZ26" s="352"/>
      <c r="FA26" s="352"/>
      <c r="FB26" s="352"/>
      <c r="FC26" s="352"/>
      <c r="FD26" s="352"/>
    </row>
    <row r="27" spans="1:160" ht="29.4" thickBot="1" x14ac:dyDescent="0.35">
      <c r="A27" s="64">
        <v>14</v>
      </c>
      <c r="B27" s="17" t="str">
        <f>Theory!C30</f>
        <v>KOTIREDDY CHARAN SIMHA REDDY</v>
      </c>
      <c r="C27" s="16" t="str">
        <f>Theory!B30</f>
        <v>1DS21AI027</v>
      </c>
      <c r="D27" s="334">
        <f>VLOOKUP(C27,Theory!B30:D98,3,FALSE)</f>
        <v>5</v>
      </c>
      <c r="E27" s="334">
        <f>VLOOKUP(C27,Theory!B30:E98,4,FALSE)</f>
        <v>0</v>
      </c>
      <c r="F27" s="334">
        <f>VLOOKUP(C27,Theory!B30:F98,5,FALSE)</f>
        <v>0</v>
      </c>
      <c r="G27" s="334">
        <f>VLOOKUP(C27,Theory!B30:G98,6,FALSE)</f>
        <v>0</v>
      </c>
      <c r="H27" s="335">
        <f t="shared" si="6"/>
        <v>5</v>
      </c>
      <c r="I27" s="338">
        <f>VLOOKUP(C27,Theory!B30:H98,7,FALSE)</f>
        <v>6</v>
      </c>
      <c r="J27" s="337">
        <f>VLOOKUP(C27,Theory!B30:I98,8,FALSE)</f>
        <v>0</v>
      </c>
      <c r="K27" s="337">
        <f>VLOOKUP(C27,Theory!B30:J98,9,FALSE)</f>
        <v>0</v>
      </c>
      <c r="L27" s="337">
        <f>VLOOKUP(C27,Theory!B30:K98,10,FALSE)</f>
        <v>0</v>
      </c>
      <c r="M27" s="335">
        <f t="shared" si="7"/>
        <v>6</v>
      </c>
      <c r="N27" s="336">
        <f>VLOOKUP(C27,Theory!B30:L98,11,FALSE)</f>
        <v>7</v>
      </c>
      <c r="O27" s="336">
        <f>VLOOKUP(C27,Theory!B30:M98,12,FALSE)</f>
        <v>0</v>
      </c>
      <c r="P27" s="336">
        <f>VLOOKUP(C27,Theory!B30:N98,13,FALSE)</f>
        <v>0</v>
      </c>
      <c r="Q27" s="336">
        <f>VLOOKUP(C27,Theory!B30:O98,14,FALSE)</f>
        <v>0</v>
      </c>
      <c r="R27" s="337">
        <f>VLOOKUP(C27,Theory!B30:P98,15,FALSE)</f>
        <v>0</v>
      </c>
      <c r="S27" s="337">
        <f>VLOOKUP(C27,Theory!B30:Q98,16,FALSE)</f>
        <v>0</v>
      </c>
      <c r="T27" s="337">
        <f>VLOOKUP(C27,Theory!B30:R98,17,FALSE)</f>
        <v>0</v>
      </c>
      <c r="U27" s="337">
        <f>VLOOKUP(C27,Theory!B30:S98,18,FALSE)</f>
        <v>0</v>
      </c>
      <c r="V27" s="335">
        <f t="shared" si="8"/>
        <v>7</v>
      </c>
      <c r="W27" s="334">
        <f>VLOOKUP(C27,Theory!B30:T98,19,FALSE)</f>
        <v>5</v>
      </c>
      <c r="X27" s="334">
        <f>VLOOKUP(C27,Theory!B30:U98,20,FALSE)</f>
        <v>0</v>
      </c>
      <c r="Y27" s="334">
        <f>VLOOKUP(C27,Theory!B30:V98,21,FALSE)</f>
        <v>0</v>
      </c>
      <c r="Z27" s="334">
        <f>VLOOKUP(C27,Theory!B30:W98,22,FALSE)</f>
        <v>0</v>
      </c>
      <c r="AA27" s="338">
        <f>VLOOKUP(C27,Theory!B30:X98,23,FALSE)</f>
        <v>0</v>
      </c>
      <c r="AB27" s="338">
        <f>VLOOKUP(C27,Theory!B30:Y98,24,FALSE)</f>
        <v>0</v>
      </c>
      <c r="AC27" s="338">
        <f>VLOOKUP(C27,Theory!B30:Z98,25,FALSE)</f>
        <v>0</v>
      </c>
      <c r="AD27" s="338">
        <f>VLOOKUP(C27,Theory!B30:AA98,26,FALSE)</f>
        <v>0</v>
      </c>
      <c r="AE27" s="335">
        <f t="shared" si="9"/>
        <v>5</v>
      </c>
      <c r="AF27" s="334">
        <f>VLOOKUP(C27,Theory!B30:AB98,27,FALSE)</f>
        <v>7</v>
      </c>
      <c r="AG27" s="334">
        <f>VLOOKUP(C27,Theory!B30:AC98,28,FALSE)</f>
        <v>0</v>
      </c>
      <c r="AH27" s="334">
        <f>VLOOKUP(C27,Theory!B30:AD98,29,FALSE)</f>
        <v>0</v>
      </c>
      <c r="AI27" s="334">
        <f>VLOOKUP(C27,Theory!B30:AE98,30,FALSE)</f>
        <v>0</v>
      </c>
      <c r="AJ27" s="339">
        <f>VLOOKUP(C27,Theory!B30:AF98,31,FALSE)</f>
        <v>0</v>
      </c>
      <c r="AK27" s="339">
        <f>VLOOKUP(C27,Theory!B30:AG98,32,FALSE)</f>
        <v>0</v>
      </c>
      <c r="AL27" s="339">
        <f>VLOOKUP(C27,Theory!B30:AH98,33,FALSE)</f>
        <v>0</v>
      </c>
      <c r="AM27" s="339">
        <f>VLOOKUP(C27,Theory!B30:AI98,34,FALSE)</f>
        <v>0</v>
      </c>
      <c r="AN27" s="335">
        <f t="shared" si="10"/>
        <v>7</v>
      </c>
      <c r="AO27" s="333">
        <f t="shared" si="0"/>
        <v>30</v>
      </c>
      <c r="AP27" s="340">
        <f>VLOOKUP(C27,Theory!B30:AJ98,35,FALSE)</f>
        <v>6</v>
      </c>
      <c r="AQ27" s="340">
        <f>VLOOKUP(C27,Theory!B30:AK98,36,FALSE)</f>
        <v>0</v>
      </c>
      <c r="AR27" s="340">
        <f>VLOOKUP(C27,Theory!B30:AL98,37,FALSE)</f>
        <v>0</v>
      </c>
      <c r="AS27" s="340">
        <f>VLOOKUP(C27,Theory!B30:AM98,38,FALSE)</f>
        <v>0</v>
      </c>
      <c r="AT27" s="335">
        <f t="shared" si="11"/>
        <v>6</v>
      </c>
      <c r="AU27" s="340">
        <f>VLOOKUP(C27,Theory!B30:AN98,39,FALSE)</f>
        <v>5</v>
      </c>
      <c r="AV27" s="340">
        <f>VLOOKUP(C27,Theory!B30:AO98,40,FALSE)</f>
        <v>0</v>
      </c>
      <c r="AW27" s="340">
        <f>VLOOKUP(C27,Theory!B30:AP98,41,FALSE)</f>
        <v>0</v>
      </c>
      <c r="AX27" s="340">
        <f>VLOOKUP(C27,Theory!B30:AQ98,42,FALSE)</f>
        <v>0</v>
      </c>
      <c r="AY27" s="335">
        <f t="shared" si="12"/>
        <v>5</v>
      </c>
      <c r="AZ27" s="340">
        <f>VLOOKUP(C27,Theory!B30:AR98,43,FALSE)</f>
        <v>8</v>
      </c>
      <c r="BA27" s="340">
        <f>VLOOKUP(C27,Theory!B30:AS98,44,FALSE)</f>
        <v>0</v>
      </c>
      <c r="BB27" s="340">
        <f>VLOOKUP(C27,Theory!B30:AT98,45,FALSE)</f>
        <v>0</v>
      </c>
      <c r="BC27" s="340">
        <f>VLOOKUP(C27,Theory!B30:AU98,46,FALSE)</f>
        <v>0</v>
      </c>
      <c r="BD27" s="340">
        <f>VLOOKUP(C27,Theory!B30:AV98,47,FALSE)</f>
        <v>0</v>
      </c>
      <c r="BE27" s="340">
        <f>VLOOKUP(C27,Theory!B30:AW98,48,FALSE)</f>
        <v>0</v>
      </c>
      <c r="BF27" s="340">
        <f>VLOOKUP(C27,Theory!B30:AX98,49,FALSE)</f>
        <v>0</v>
      </c>
      <c r="BG27" s="340">
        <f>VLOOKUP(C27,Theory!B30:AY98,50,FALSE)</f>
        <v>0</v>
      </c>
      <c r="BH27" s="335">
        <f t="shared" si="13"/>
        <v>8</v>
      </c>
      <c r="BI27" s="340">
        <f>VLOOKUP(C27,Theory!B30:AZ98,51,FALSE)</f>
        <v>0</v>
      </c>
      <c r="BJ27" s="340">
        <f>VLOOKUP(C27,Theory!B30:BA98,52,FALSE)</f>
        <v>0</v>
      </c>
      <c r="BK27" s="340">
        <f>VLOOKUP(C27,Theory!B30:BB98,53,FALSE)</f>
        <v>0</v>
      </c>
      <c r="BL27" s="340">
        <f>VLOOKUP(C27,Theory!B30:BC98,54,FALSE)</f>
        <v>0</v>
      </c>
      <c r="BM27" s="340">
        <f>VLOOKUP(C27,Theory!B30:BD98,55,FALSE)</f>
        <v>5</v>
      </c>
      <c r="BN27" s="340">
        <f>VLOOKUP(C27,Theory!B30:BE98,56,FALSE)</f>
        <v>0</v>
      </c>
      <c r="BO27" s="340">
        <f>VLOOKUP(C27,Theory!B30:BF98,57,FALSE)</f>
        <v>0</v>
      </c>
      <c r="BP27" s="340">
        <f>VLOOKUP(C27,Theory!B30:BG98,58,FALSE)</f>
        <v>0</v>
      </c>
      <c r="BQ27" s="335">
        <f t="shared" si="14"/>
        <v>5</v>
      </c>
      <c r="BR27" s="340">
        <f>VLOOKUP(C27,Theory!B30:BH98,59,FALSE)</f>
        <v>0</v>
      </c>
      <c r="BS27" s="340">
        <f>VLOOKUP(C27,Theory!B30:BI98,60,FALSE)</f>
        <v>0</v>
      </c>
      <c r="BT27" s="340">
        <f>VLOOKUP(C27,Theory!B30:BJ98,61,FALSE)</f>
        <v>0</v>
      </c>
      <c r="BU27" s="340">
        <f>VLOOKUP(C27,Theory!B30:BK98,62,FALSE)</f>
        <v>0</v>
      </c>
      <c r="BV27" s="340">
        <f>VLOOKUP(C27,Theory!B30:BL98,63,FALSE)</f>
        <v>6</v>
      </c>
      <c r="BW27" s="340">
        <f>VLOOKUP(C27,Theory!B30:BM98,64,FALSE)</f>
        <v>0</v>
      </c>
      <c r="BX27" s="340">
        <f>VLOOKUP(C27,Theory!B30:BN98,65,FALSE)</f>
        <v>0</v>
      </c>
      <c r="BY27" s="340">
        <f>VLOOKUP(C27,Theory!B30:BO98,66,FALSE)</f>
        <v>0</v>
      </c>
      <c r="BZ27" s="335">
        <f t="shared" si="15"/>
        <v>6</v>
      </c>
      <c r="CA27" s="333">
        <f t="shared" si="1"/>
        <v>30</v>
      </c>
      <c r="CB27" s="340">
        <f>VLOOKUP(C27,Theory!B30:BP98,67,FALSE)</f>
        <v>5</v>
      </c>
      <c r="CC27" s="340">
        <f>VLOOKUP(C27,Theory!B30:BQ98,68,FALSE)</f>
        <v>0</v>
      </c>
      <c r="CD27" s="340">
        <f>VLOOKUP(C27,Theory!B30:BR98,69,FALSE)</f>
        <v>0</v>
      </c>
      <c r="CE27" s="340">
        <f>VLOOKUP(C27,Theory!B30:BS98,70,FALSE)</f>
        <v>0</v>
      </c>
      <c r="CF27" s="335">
        <f t="shared" si="16"/>
        <v>5</v>
      </c>
      <c r="CG27" s="341">
        <f>VLOOKUP(C27,Theory!B30:BT98,71,FALSE)</f>
        <v>7</v>
      </c>
      <c r="CH27" s="341">
        <f>VLOOKUP(C27,Theory!B30:BU98,72,FALSE)</f>
        <v>0</v>
      </c>
      <c r="CI27" s="341">
        <f>VLOOKUP(C27,Theory!B30:BV98,73,FALSE)</f>
        <v>0</v>
      </c>
      <c r="CJ27" s="341">
        <f>VLOOKUP(C27,Theory!B30:BW98,74,FALSE)</f>
        <v>0</v>
      </c>
      <c r="CK27" s="335">
        <f t="shared" si="17"/>
        <v>7</v>
      </c>
      <c r="CL27" s="340">
        <f>VLOOKUP(C27,Theory!B30:BX98,75,FALSE)</f>
        <v>0</v>
      </c>
      <c r="CM27" s="342">
        <f>VLOOKUP(C27,Theory!B30:BY98,76,FALSE)</f>
        <v>0</v>
      </c>
      <c r="CN27" s="342">
        <f>VLOOKUP(C27,Theory!B30:BZ98,77,FALSE)</f>
        <v>0</v>
      </c>
      <c r="CO27" s="342">
        <f>VLOOKUP(C27,Theory!B30:CA98,78,FALSE)</f>
        <v>0</v>
      </c>
      <c r="CP27" s="340">
        <f>VLOOKUP(C27,Theory!B30:CB98,79,FALSE)</f>
        <v>7</v>
      </c>
      <c r="CQ27" s="340">
        <f>VLOOKUP(C27,Theory!B30:CC98,80,FALSE)</f>
        <v>0</v>
      </c>
      <c r="CR27" s="340">
        <f>VLOOKUP(C27,Theory!B30:CD98,81,FALSE)</f>
        <v>0</v>
      </c>
      <c r="CS27" s="340">
        <f>VLOOKUP(C27,Theory!B30:CE98,82,FALSE)</f>
        <v>0</v>
      </c>
      <c r="CT27" s="335">
        <f t="shared" si="18"/>
        <v>7</v>
      </c>
      <c r="CU27" s="341">
        <f>VLOOKUP(C27,Theory!B30:CF98,83,FALSE)</f>
        <v>6</v>
      </c>
      <c r="CV27" s="342">
        <f>VLOOKUP(C27,Theory!B30:CG98,84,FALSE)</f>
        <v>0</v>
      </c>
      <c r="CW27" s="342">
        <f>VLOOKUP(C27,Theory!B30:CH98,85,FALSE)</f>
        <v>0</v>
      </c>
      <c r="CX27" s="342">
        <f>VLOOKUP(C27,Theory!B30:CI98,86,FALSE)</f>
        <v>0</v>
      </c>
      <c r="CY27" s="341">
        <f>VLOOKUP(C27,Theory!B30:CJ98,87,FALSE)</f>
        <v>0</v>
      </c>
      <c r="CZ27" s="341">
        <f>VLOOKUP(C27,Theory!B30:CK98,88,FALSE)</f>
        <v>0</v>
      </c>
      <c r="DA27" s="341">
        <f>VLOOKUP(C27,Theory!B30:CL98,89,FALSE)</f>
        <v>0</v>
      </c>
      <c r="DB27" s="341">
        <f>VLOOKUP(C27,Theory!B30:CM98,90,FALSE)</f>
        <v>0</v>
      </c>
      <c r="DC27" s="335">
        <f t="shared" si="19"/>
        <v>6</v>
      </c>
      <c r="DD27" s="340">
        <f>VLOOKUP(C27,Theory!B30:CN98,91,FALSE)</f>
        <v>0</v>
      </c>
      <c r="DE27" s="342">
        <f>VLOOKUP(C27,Theory!B30:CO98,92,FALSE)</f>
        <v>0</v>
      </c>
      <c r="DF27" s="342">
        <f>VLOOKUP(C27,Theory!B30:CP98,93,FALSE)</f>
        <v>0</v>
      </c>
      <c r="DG27" s="342">
        <f>VLOOKUP(C27,Theory!B30:CQ98,94,FALSE)</f>
        <v>0</v>
      </c>
      <c r="DH27" s="340">
        <f>VLOOKUP(C27,Theory!B30:CR98,95,FALSE)</f>
        <v>6</v>
      </c>
      <c r="DI27" s="340">
        <f>VLOOKUP(C27,Theory!B30:CS98,96,FALSE)</f>
        <v>0</v>
      </c>
      <c r="DJ27" s="340">
        <f>VLOOKUP(C27,Theory!B30:CT98,97,FALSE)</f>
        <v>0</v>
      </c>
      <c r="DK27" s="340">
        <f>VLOOKUP(C27,Theory!B30:CU98,98,FALSE)</f>
        <v>0</v>
      </c>
      <c r="DL27" s="335">
        <f t="shared" si="20"/>
        <v>6</v>
      </c>
      <c r="DM27" s="265">
        <f t="shared" si="2"/>
        <v>31</v>
      </c>
      <c r="DN27" s="362">
        <f t="shared" si="40"/>
        <v>30</v>
      </c>
      <c r="DO27" s="362">
        <f t="shared" si="41"/>
        <v>30</v>
      </c>
      <c r="DP27" s="362">
        <f t="shared" si="42"/>
        <v>31</v>
      </c>
      <c r="DQ27" s="343">
        <f t="shared" si="43"/>
        <v>18</v>
      </c>
      <c r="DR27" s="343">
        <f t="shared" si="44"/>
        <v>18</v>
      </c>
      <c r="DS27" s="343">
        <f t="shared" si="45"/>
        <v>19</v>
      </c>
      <c r="DT27" s="328">
        <f t="shared" si="36"/>
        <v>18</v>
      </c>
      <c r="DU27" s="326">
        <f>VLOOKUP(C27,Theory!B30:CV98,99,FALSE)</f>
        <v>10</v>
      </c>
      <c r="DV27" s="326">
        <f>VLOOKUP(C27,Theory!B30:CW98,100,FALSE)</f>
        <v>10</v>
      </c>
      <c r="DW27" s="331">
        <f t="shared" si="27"/>
        <v>20</v>
      </c>
      <c r="DX27" s="266">
        <f t="shared" si="3"/>
        <v>38</v>
      </c>
      <c r="DY27" s="363">
        <f t="shared" si="4"/>
        <v>23</v>
      </c>
      <c r="DZ27" s="344">
        <f>VLOOKUP(C27,Lab!B22:D91,3,FALSE)</f>
        <v>0</v>
      </c>
      <c r="EA27" s="345">
        <f>VLOOKUP(C27,Lab!B22:E91,4,FALSE)</f>
        <v>0</v>
      </c>
      <c r="EB27" s="345">
        <f>VLOOKUP(C27,Lab!B22:F91,5,FALSE)</f>
        <v>0</v>
      </c>
      <c r="EC27" s="329">
        <f t="shared" si="37"/>
        <v>0</v>
      </c>
      <c r="ED27" s="346">
        <f>VLOOKUP(C27,Lab!B22:G91,6,FALSE)</f>
        <v>0</v>
      </c>
      <c r="EE27" s="346">
        <f>VLOOKUP(C27,Lab!B22:H91,7,FALSE)</f>
        <v>0</v>
      </c>
      <c r="EF27" s="347">
        <f>VLOOKUP(C27,Lab!B22:I91,8,FALSE)</f>
        <v>0</v>
      </c>
      <c r="EG27" s="330">
        <f t="shared" si="38"/>
        <v>0</v>
      </c>
      <c r="EH27" s="390">
        <f t="shared" si="28"/>
        <v>0</v>
      </c>
      <c r="EI27" s="349">
        <f t="shared" si="29"/>
        <v>0</v>
      </c>
      <c r="EJ27" s="391">
        <f t="shared" si="5"/>
        <v>23</v>
      </c>
      <c r="EK27" s="258">
        <v>32</v>
      </c>
      <c r="EM27" s="350">
        <f>VLOOKUP(C27,Theory!B30:DL98,114,FALSE)</f>
        <v>0</v>
      </c>
      <c r="EN27" s="350">
        <f>VLOOKUP(C27,Theory!B30:DM98,115,FALSE)</f>
        <v>0</v>
      </c>
      <c r="EO27" s="350">
        <f>VLOOKUP(C27,Theory!B30:DN98,116,FALSE)</f>
        <v>0</v>
      </c>
      <c r="EP27" s="350">
        <f>VLOOKUP(C27,Theory!B30:DO96,117,FALSE)</f>
        <v>0</v>
      </c>
      <c r="EQ27" s="350">
        <f>VLOOKUP(C27,Theory!B30:DP96,118,FALSE)</f>
        <v>0</v>
      </c>
      <c r="ER27" s="351">
        <f>VLOOKUP(C27,Theory!B30:DQ96,119,FALSE)</f>
        <v>0</v>
      </c>
      <c r="ES27" s="327">
        <f>VLOOKUP(C27,Theory!B30:DR96,120,FALSE)</f>
        <v>0</v>
      </c>
      <c r="ET27" s="348">
        <f t="shared" si="39"/>
        <v>0</v>
      </c>
      <c r="EU27" s="352"/>
      <c r="EV27" s="352"/>
      <c r="EW27" s="352"/>
      <c r="EX27" s="352"/>
      <c r="EY27" s="352"/>
      <c r="EZ27" s="352"/>
      <c r="FA27" s="352"/>
      <c r="FB27" s="352"/>
      <c r="FC27" s="352"/>
      <c r="FD27" s="352"/>
    </row>
    <row r="28" spans="1:160" ht="16.2" thickBot="1" x14ac:dyDescent="0.35">
      <c r="A28" s="64">
        <v>15</v>
      </c>
      <c r="B28" s="17" t="str">
        <f>Theory!C31</f>
        <v>KRUTIKA R SINNUR</v>
      </c>
      <c r="C28" s="16" t="str">
        <f>Theory!B31</f>
        <v>1DS21AI028</v>
      </c>
      <c r="D28" s="334">
        <f>VLOOKUP(C28,Theory!B31:D99,3,FALSE)</f>
        <v>8</v>
      </c>
      <c r="E28" s="334">
        <f>VLOOKUP(C28,Theory!B31:E99,4,FALSE)</f>
        <v>0</v>
      </c>
      <c r="F28" s="334">
        <f>VLOOKUP(C28,Theory!B31:F99,5,FALSE)</f>
        <v>0</v>
      </c>
      <c r="G28" s="334">
        <f>VLOOKUP(C28,Theory!B31:G99,6,FALSE)</f>
        <v>0</v>
      </c>
      <c r="H28" s="335">
        <f t="shared" si="6"/>
        <v>8</v>
      </c>
      <c r="I28" s="338">
        <f>VLOOKUP(C28,Theory!B31:H99,7,FALSE)</f>
        <v>7</v>
      </c>
      <c r="J28" s="337">
        <f>VLOOKUP(C28,Theory!B31:I99,8,FALSE)</f>
        <v>0</v>
      </c>
      <c r="K28" s="337">
        <f>VLOOKUP(C28,Theory!B31:J99,9,FALSE)</f>
        <v>0</v>
      </c>
      <c r="L28" s="337">
        <f>VLOOKUP(C28,Theory!B31:K99,10,FALSE)</f>
        <v>0</v>
      </c>
      <c r="M28" s="335">
        <f t="shared" si="7"/>
        <v>7</v>
      </c>
      <c r="N28" s="336">
        <f>VLOOKUP(C28,Theory!B31:L99,11,FALSE)</f>
        <v>10</v>
      </c>
      <c r="O28" s="336">
        <f>VLOOKUP(C28,Theory!B31:M99,12,FALSE)</f>
        <v>0</v>
      </c>
      <c r="P28" s="336">
        <f>VLOOKUP(C28,Theory!B31:N99,13,FALSE)</f>
        <v>0</v>
      </c>
      <c r="Q28" s="336">
        <f>VLOOKUP(C28,Theory!B31:O99,14,FALSE)</f>
        <v>0</v>
      </c>
      <c r="R28" s="337">
        <f>VLOOKUP(C28,Theory!B31:P99,15,FALSE)</f>
        <v>0</v>
      </c>
      <c r="S28" s="337">
        <f>VLOOKUP(C28,Theory!B31:Q99,16,FALSE)</f>
        <v>0</v>
      </c>
      <c r="T28" s="337">
        <f>VLOOKUP(C28,Theory!B31:R99,17,FALSE)</f>
        <v>0</v>
      </c>
      <c r="U28" s="337">
        <f>VLOOKUP(C28,Theory!B31:S99,18,FALSE)</f>
        <v>0</v>
      </c>
      <c r="V28" s="335">
        <f t="shared" si="8"/>
        <v>10</v>
      </c>
      <c r="W28" s="334">
        <f>VLOOKUP(C28,Theory!B31:T99,19,FALSE)</f>
        <v>10</v>
      </c>
      <c r="X28" s="334">
        <f>VLOOKUP(C28,Theory!B31:U99,20,FALSE)</f>
        <v>0</v>
      </c>
      <c r="Y28" s="334">
        <f>VLOOKUP(C28,Theory!B31:V99,21,FALSE)</f>
        <v>0</v>
      </c>
      <c r="Z28" s="334">
        <f>VLOOKUP(C28,Theory!B31:W99,22,FALSE)</f>
        <v>0</v>
      </c>
      <c r="AA28" s="338">
        <f>VLOOKUP(C28,Theory!B31:X99,23,FALSE)</f>
        <v>0</v>
      </c>
      <c r="AB28" s="338">
        <f>VLOOKUP(C28,Theory!B31:Y99,24,FALSE)</f>
        <v>0</v>
      </c>
      <c r="AC28" s="338">
        <f>VLOOKUP(C28,Theory!B31:Z99,25,FALSE)</f>
        <v>0</v>
      </c>
      <c r="AD28" s="338">
        <f>VLOOKUP(C28,Theory!B31:AA99,26,FALSE)</f>
        <v>0</v>
      </c>
      <c r="AE28" s="335">
        <f t="shared" si="9"/>
        <v>10</v>
      </c>
      <c r="AF28" s="334">
        <f>VLOOKUP(C28,Theory!B31:AB99,27,FALSE)</f>
        <v>9</v>
      </c>
      <c r="AG28" s="334">
        <f>VLOOKUP(C28,Theory!B31:AC99,28,FALSE)</f>
        <v>0</v>
      </c>
      <c r="AH28" s="334">
        <f>VLOOKUP(C28,Theory!B31:AD99,29,FALSE)</f>
        <v>0</v>
      </c>
      <c r="AI28" s="334">
        <f>VLOOKUP(C28,Theory!B31:AE99,30,FALSE)</f>
        <v>0</v>
      </c>
      <c r="AJ28" s="339">
        <f>VLOOKUP(C28,Theory!B31:AF99,31,FALSE)</f>
        <v>0</v>
      </c>
      <c r="AK28" s="339">
        <f>VLOOKUP(C28,Theory!B31:AG99,32,FALSE)</f>
        <v>0</v>
      </c>
      <c r="AL28" s="339">
        <f>VLOOKUP(C28,Theory!B31:AH99,33,FALSE)</f>
        <v>0</v>
      </c>
      <c r="AM28" s="339">
        <f>VLOOKUP(C28,Theory!B31:AI99,34,FALSE)</f>
        <v>0</v>
      </c>
      <c r="AN28" s="335">
        <f t="shared" si="10"/>
        <v>9</v>
      </c>
      <c r="AO28" s="333">
        <f t="shared" si="0"/>
        <v>44</v>
      </c>
      <c r="AP28" s="340">
        <f>VLOOKUP(C28,Theory!B31:AJ99,35,FALSE)</f>
        <v>10</v>
      </c>
      <c r="AQ28" s="340">
        <f>VLOOKUP(C28,Theory!B31:AK99,36,FALSE)</f>
        <v>0</v>
      </c>
      <c r="AR28" s="340">
        <f>VLOOKUP(C28,Theory!B31:AL99,37,FALSE)</f>
        <v>0</v>
      </c>
      <c r="AS28" s="340">
        <f>VLOOKUP(C28,Theory!B31:AM99,38,FALSE)</f>
        <v>0</v>
      </c>
      <c r="AT28" s="335">
        <f t="shared" si="11"/>
        <v>10</v>
      </c>
      <c r="AU28" s="340">
        <f>VLOOKUP(C28,Theory!B31:AN99,39,FALSE)</f>
        <v>10</v>
      </c>
      <c r="AV28" s="340">
        <f>VLOOKUP(C28,Theory!B31:AO99,40,FALSE)</f>
        <v>0</v>
      </c>
      <c r="AW28" s="340">
        <f>VLOOKUP(C28,Theory!B31:AP99,41,FALSE)</f>
        <v>0</v>
      </c>
      <c r="AX28" s="340">
        <f>VLOOKUP(C28,Theory!B31:AQ99,42,FALSE)</f>
        <v>0</v>
      </c>
      <c r="AY28" s="335">
        <f t="shared" si="12"/>
        <v>10</v>
      </c>
      <c r="AZ28" s="340">
        <f>VLOOKUP(C28,Theory!B31:AR99,43,FALSE)</f>
        <v>10</v>
      </c>
      <c r="BA28" s="340">
        <f>VLOOKUP(C28,Theory!B31:AS99,44,FALSE)</f>
        <v>0</v>
      </c>
      <c r="BB28" s="340">
        <f>VLOOKUP(C28,Theory!B31:AT99,45,FALSE)</f>
        <v>0</v>
      </c>
      <c r="BC28" s="340">
        <f>VLOOKUP(C28,Theory!B31:AU99,46,FALSE)</f>
        <v>0</v>
      </c>
      <c r="BD28" s="340">
        <f>VLOOKUP(C28,Theory!B31:AV99,47,FALSE)</f>
        <v>0</v>
      </c>
      <c r="BE28" s="340">
        <f>VLOOKUP(C28,Theory!B31:AW99,48,FALSE)</f>
        <v>0</v>
      </c>
      <c r="BF28" s="340">
        <f>VLOOKUP(C28,Theory!B31:AX99,49,FALSE)</f>
        <v>0</v>
      </c>
      <c r="BG28" s="340">
        <f>VLOOKUP(C28,Theory!B31:AY99,50,FALSE)</f>
        <v>0</v>
      </c>
      <c r="BH28" s="335">
        <f t="shared" si="13"/>
        <v>10</v>
      </c>
      <c r="BI28" s="340">
        <f>VLOOKUP(C28,Theory!B31:AZ99,51,FALSE)</f>
        <v>8</v>
      </c>
      <c r="BJ28" s="340">
        <f>VLOOKUP(C28,Theory!B31:BA99,52,FALSE)</f>
        <v>0</v>
      </c>
      <c r="BK28" s="340">
        <f>VLOOKUP(C28,Theory!B31:BB99,53,FALSE)</f>
        <v>0</v>
      </c>
      <c r="BL28" s="340">
        <f>VLOOKUP(C28,Theory!B31:BC99,54,FALSE)</f>
        <v>0</v>
      </c>
      <c r="BM28" s="340">
        <f>VLOOKUP(C28,Theory!B31:BD99,55,FALSE)</f>
        <v>0</v>
      </c>
      <c r="BN28" s="340">
        <f>VLOOKUP(C28,Theory!B31:BE99,56,FALSE)</f>
        <v>0</v>
      </c>
      <c r="BO28" s="340">
        <f>VLOOKUP(C28,Theory!B31:BF99,57,FALSE)</f>
        <v>0</v>
      </c>
      <c r="BP28" s="340">
        <f>VLOOKUP(C28,Theory!B31:BG99,58,FALSE)</f>
        <v>0</v>
      </c>
      <c r="BQ28" s="335">
        <f t="shared" si="14"/>
        <v>8</v>
      </c>
      <c r="BR28" s="340">
        <f>VLOOKUP(C28,Theory!B31:BH99,59,FALSE)</f>
        <v>10</v>
      </c>
      <c r="BS28" s="340">
        <f>VLOOKUP(C28,Theory!B31:BI99,60,FALSE)</f>
        <v>0</v>
      </c>
      <c r="BT28" s="340">
        <f>VLOOKUP(C28,Theory!B31:BJ99,61,FALSE)</f>
        <v>0</v>
      </c>
      <c r="BU28" s="340">
        <f>VLOOKUP(C28,Theory!B31:BK99,62,FALSE)</f>
        <v>0</v>
      </c>
      <c r="BV28" s="340">
        <f>VLOOKUP(C28,Theory!B31:BL99,63,FALSE)</f>
        <v>0</v>
      </c>
      <c r="BW28" s="340">
        <f>VLOOKUP(C28,Theory!B31:BM99,64,FALSE)</f>
        <v>0</v>
      </c>
      <c r="BX28" s="340">
        <f>VLOOKUP(C28,Theory!B31:BN99,65,FALSE)</f>
        <v>0</v>
      </c>
      <c r="BY28" s="340">
        <f>VLOOKUP(C28,Theory!B31:BO99,66,FALSE)</f>
        <v>0</v>
      </c>
      <c r="BZ28" s="335">
        <f t="shared" si="15"/>
        <v>10</v>
      </c>
      <c r="CA28" s="333">
        <f t="shared" si="1"/>
        <v>48</v>
      </c>
      <c r="CB28" s="340">
        <f>VLOOKUP(C28,Theory!B31:BP99,67,FALSE)</f>
        <v>9</v>
      </c>
      <c r="CC28" s="340">
        <f>VLOOKUP(C28,Theory!B31:BQ99,68,FALSE)</f>
        <v>0</v>
      </c>
      <c r="CD28" s="340">
        <f>VLOOKUP(C28,Theory!B31:BR99,69,FALSE)</f>
        <v>0</v>
      </c>
      <c r="CE28" s="340">
        <f>VLOOKUP(C28,Theory!B31:BS99,70,FALSE)</f>
        <v>0</v>
      </c>
      <c r="CF28" s="335">
        <f t="shared" si="16"/>
        <v>9</v>
      </c>
      <c r="CG28" s="341">
        <f>VLOOKUP(C28,Theory!B31:BT99,71,FALSE)</f>
        <v>9</v>
      </c>
      <c r="CH28" s="341">
        <f>VLOOKUP(C28,Theory!B31:BU99,72,FALSE)</f>
        <v>0</v>
      </c>
      <c r="CI28" s="341">
        <f>VLOOKUP(C28,Theory!B31:BV99,73,FALSE)</f>
        <v>0</v>
      </c>
      <c r="CJ28" s="341">
        <f>VLOOKUP(C28,Theory!B31:BW99,74,FALSE)</f>
        <v>0</v>
      </c>
      <c r="CK28" s="335">
        <f t="shared" si="17"/>
        <v>9</v>
      </c>
      <c r="CL28" s="340">
        <f>VLOOKUP(C28,Theory!B31:BX99,75,FALSE)</f>
        <v>10</v>
      </c>
      <c r="CM28" s="342">
        <f>VLOOKUP(C28,Theory!B31:BY99,76,FALSE)</f>
        <v>0</v>
      </c>
      <c r="CN28" s="342">
        <f>VLOOKUP(C28,Theory!B31:BZ99,77,FALSE)</f>
        <v>0</v>
      </c>
      <c r="CO28" s="342">
        <f>VLOOKUP(C28,Theory!B31:CA99,78,FALSE)</f>
        <v>0</v>
      </c>
      <c r="CP28" s="340">
        <f>VLOOKUP(C28,Theory!B31:CB99,79,FALSE)</f>
        <v>0</v>
      </c>
      <c r="CQ28" s="340">
        <f>VLOOKUP(C28,Theory!B31:CC99,80,FALSE)</f>
        <v>0</v>
      </c>
      <c r="CR28" s="340">
        <f>VLOOKUP(C28,Theory!B31:CD99,81,FALSE)</f>
        <v>0</v>
      </c>
      <c r="CS28" s="340">
        <f>VLOOKUP(C28,Theory!B31:CE99,82,FALSE)</f>
        <v>0</v>
      </c>
      <c r="CT28" s="335">
        <f t="shared" si="18"/>
        <v>10</v>
      </c>
      <c r="CU28" s="341">
        <f>VLOOKUP(C28,Theory!B31:CF99,83,FALSE)</f>
        <v>10</v>
      </c>
      <c r="CV28" s="342">
        <f>VLOOKUP(C28,Theory!B31:CG99,84,FALSE)</f>
        <v>0</v>
      </c>
      <c r="CW28" s="342">
        <f>VLOOKUP(C28,Theory!B31:CH99,85,FALSE)</f>
        <v>0</v>
      </c>
      <c r="CX28" s="342">
        <f>VLOOKUP(C28,Theory!B31:CI99,86,FALSE)</f>
        <v>0</v>
      </c>
      <c r="CY28" s="341">
        <f>VLOOKUP(C28,Theory!B31:CJ99,87,FALSE)</f>
        <v>0</v>
      </c>
      <c r="CZ28" s="341">
        <f>VLOOKUP(C28,Theory!B31:CK99,88,FALSE)</f>
        <v>0</v>
      </c>
      <c r="DA28" s="341">
        <f>VLOOKUP(C28,Theory!B31:CL99,89,FALSE)</f>
        <v>0</v>
      </c>
      <c r="DB28" s="341">
        <f>VLOOKUP(C28,Theory!B31:CM99,90,FALSE)</f>
        <v>0</v>
      </c>
      <c r="DC28" s="335">
        <f t="shared" si="19"/>
        <v>10</v>
      </c>
      <c r="DD28" s="340">
        <f>VLOOKUP(C28,Theory!B31:CN99,91,FALSE)</f>
        <v>0</v>
      </c>
      <c r="DE28" s="342">
        <f>VLOOKUP(C28,Theory!B31:CO99,92,FALSE)</f>
        <v>0</v>
      </c>
      <c r="DF28" s="342">
        <f>VLOOKUP(C28,Theory!B31:CP99,93,FALSE)</f>
        <v>0</v>
      </c>
      <c r="DG28" s="342">
        <f>VLOOKUP(C28,Theory!B31:CQ99,94,FALSE)</f>
        <v>0</v>
      </c>
      <c r="DH28" s="340">
        <f>VLOOKUP(C28,Theory!B31:CR99,95,FALSE)</f>
        <v>9</v>
      </c>
      <c r="DI28" s="340">
        <f>VLOOKUP(C28,Theory!B31:CS99,96,FALSE)</f>
        <v>0</v>
      </c>
      <c r="DJ28" s="340">
        <f>VLOOKUP(C28,Theory!B31:CT99,97,FALSE)</f>
        <v>0</v>
      </c>
      <c r="DK28" s="340">
        <f>VLOOKUP(C28,Theory!B31:CU99,98,FALSE)</f>
        <v>0</v>
      </c>
      <c r="DL28" s="335">
        <f t="shared" si="20"/>
        <v>9</v>
      </c>
      <c r="DM28" s="265">
        <f t="shared" si="2"/>
        <v>47</v>
      </c>
      <c r="DN28" s="362">
        <f t="shared" si="40"/>
        <v>44</v>
      </c>
      <c r="DO28" s="362">
        <f t="shared" si="41"/>
        <v>48</v>
      </c>
      <c r="DP28" s="362">
        <f t="shared" si="42"/>
        <v>47</v>
      </c>
      <c r="DQ28" s="343">
        <f t="shared" si="43"/>
        <v>26</v>
      </c>
      <c r="DR28" s="343">
        <f t="shared" si="44"/>
        <v>29</v>
      </c>
      <c r="DS28" s="343">
        <f t="shared" si="45"/>
        <v>28</v>
      </c>
      <c r="DT28" s="328">
        <f t="shared" si="36"/>
        <v>28</v>
      </c>
      <c r="DU28" s="326">
        <f>VLOOKUP(C28,Theory!B31:CV99,99,FALSE)</f>
        <v>10</v>
      </c>
      <c r="DV28" s="326">
        <f>VLOOKUP(C28,Theory!B31:CW99,100,FALSE)</f>
        <v>10</v>
      </c>
      <c r="DW28" s="331">
        <f t="shared" si="27"/>
        <v>20</v>
      </c>
      <c r="DX28" s="266">
        <f t="shared" si="3"/>
        <v>48</v>
      </c>
      <c r="DY28" s="363">
        <f t="shared" si="4"/>
        <v>29</v>
      </c>
      <c r="DZ28" s="344">
        <f>VLOOKUP(C28,Lab!B23:D92,3,FALSE)</f>
        <v>0</v>
      </c>
      <c r="EA28" s="345">
        <f>VLOOKUP(C28,Lab!B23:E92,4,FALSE)</f>
        <v>0</v>
      </c>
      <c r="EB28" s="345">
        <f>VLOOKUP(C28,Lab!B23:F92,5,FALSE)</f>
        <v>0</v>
      </c>
      <c r="EC28" s="329">
        <f t="shared" si="37"/>
        <v>0</v>
      </c>
      <c r="ED28" s="346">
        <f>VLOOKUP(C28,Lab!B23:G92,6,FALSE)</f>
        <v>0</v>
      </c>
      <c r="EE28" s="346">
        <f>VLOOKUP(C28,Lab!B23:H92,7,FALSE)</f>
        <v>0</v>
      </c>
      <c r="EF28" s="347">
        <f>VLOOKUP(C28,Lab!B23:I92,8,FALSE)</f>
        <v>0</v>
      </c>
      <c r="EG28" s="330">
        <f t="shared" si="38"/>
        <v>0</v>
      </c>
      <c r="EH28" s="390">
        <f t="shared" si="28"/>
        <v>0</v>
      </c>
      <c r="EI28" s="349">
        <f t="shared" si="29"/>
        <v>0</v>
      </c>
      <c r="EJ28" s="391">
        <f t="shared" si="5"/>
        <v>29</v>
      </c>
      <c r="EK28" s="258">
        <v>38</v>
      </c>
      <c r="EM28" s="350">
        <f>VLOOKUP(C28,Theory!B31:DL99,114,FALSE)</f>
        <v>0</v>
      </c>
      <c r="EN28" s="350">
        <f>VLOOKUP(C28,Theory!B31:DM99,115,FALSE)</f>
        <v>0</v>
      </c>
      <c r="EO28" s="350">
        <f>VLOOKUP(C28,Theory!B31:DN99,116,FALSE)</f>
        <v>0</v>
      </c>
      <c r="EP28" s="350">
        <f>VLOOKUP(C28,Theory!B31:DO97,117,FALSE)</f>
        <v>0</v>
      </c>
      <c r="EQ28" s="350">
        <f>VLOOKUP(C28,Theory!B31:DP97,118,FALSE)</f>
        <v>0</v>
      </c>
      <c r="ER28" s="351">
        <f>VLOOKUP(C28,Theory!B31:DQ97,119,FALSE)</f>
        <v>0</v>
      </c>
      <c r="ES28" s="327">
        <f>VLOOKUP(C28,Theory!B31:DR97,120,FALSE)</f>
        <v>0</v>
      </c>
      <c r="ET28" s="348">
        <f t="shared" si="39"/>
        <v>0</v>
      </c>
      <c r="EU28" s="352"/>
      <c r="EV28" s="352"/>
      <c r="EW28" s="352"/>
      <c r="EX28" s="352"/>
      <c r="EY28" s="352"/>
      <c r="EZ28" s="352"/>
      <c r="FA28" s="352"/>
      <c r="FB28" s="352"/>
      <c r="FC28" s="352"/>
      <c r="FD28" s="352"/>
    </row>
    <row r="29" spans="1:160" ht="16.2" thickBot="1" x14ac:dyDescent="0.35">
      <c r="A29" s="64">
        <v>16</v>
      </c>
      <c r="B29" s="17" t="str">
        <f>Theory!C32</f>
        <v>MANAS KALRA</v>
      </c>
      <c r="C29" s="16" t="str">
        <f>Theory!B32</f>
        <v>1DS21AI030</v>
      </c>
      <c r="D29" s="334">
        <f>VLOOKUP(C29,Theory!B32:D100,3,FALSE)</f>
        <v>10</v>
      </c>
      <c r="E29" s="334">
        <f>VLOOKUP(C29,Theory!B32:E100,4,FALSE)</f>
        <v>0</v>
      </c>
      <c r="F29" s="334">
        <f>VLOOKUP(C29,Theory!B32:F100,5,FALSE)</f>
        <v>0</v>
      </c>
      <c r="G29" s="334">
        <f>VLOOKUP(C29,Theory!B32:G100,6,FALSE)</f>
        <v>0</v>
      </c>
      <c r="H29" s="335">
        <f t="shared" si="6"/>
        <v>10</v>
      </c>
      <c r="I29" s="338">
        <f>VLOOKUP(C29,Theory!B32:H100,7,FALSE)</f>
        <v>7</v>
      </c>
      <c r="J29" s="337">
        <f>VLOOKUP(C29,Theory!B32:I100,8,FALSE)</f>
        <v>0</v>
      </c>
      <c r="K29" s="337">
        <f>VLOOKUP(C29,Theory!B32:J100,9,FALSE)</f>
        <v>0</v>
      </c>
      <c r="L29" s="337">
        <f>VLOOKUP(C29,Theory!B32:K100,10,FALSE)</f>
        <v>0</v>
      </c>
      <c r="M29" s="335">
        <f t="shared" si="7"/>
        <v>7</v>
      </c>
      <c r="N29" s="336">
        <f>VLOOKUP(C29,Theory!B32:L100,11,FALSE)</f>
        <v>5</v>
      </c>
      <c r="O29" s="336">
        <f>VLOOKUP(C29,Theory!B32:M100,12,FALSE)</f>
        <v>0</v>
      </c>
      <c r="P29" s="336">
        <f>VLOOKUP(C29,Theory!B32:N100,13,FALSE)</f>
        <v>0</v>
      </c>
      <c r="Q29" s="336">
        <f>VLOOKUP(C29,Theory!B32:O100,14,FALSE)</f>
        <v>0</v>
      </c>
      <c r="R29" s="337">
        <f>VLOOKUP(C29,Theory!B32:P100,15,FALSE)</f>
        <v>0</v>
      </c>
      <c r="S29" s="337">
        <f>VLOOKUP(C29,Theory!B32:Q100,16,FALSE)</f>
        <v>0</v>
      </c>
      <c r="T29" s="337">
        <f>VLOOKUP(C29,Theory!B32:R100,17,FALSE)</f>
        <v>0</v>
      </c>
      <c r="U29" s="337">
        <f>VLOOKUP(C29,Theory!B32:S100,18,FALSE)</f>
        <v>0</v>
      </c>
      <c r="V29" s="335">
        <f t="shared" si="8"/>
        <v>5</v>
      </c>
      <c r="W29" s="334">
        <f>VLOOKUP(C29,Theory!B32:T100,19,FALSE)</f>
        <v>5</v>
      </c>
      <c r="X29" s="334">
        <f>VLOOKUP(C29,Theory!B32:U100,20,FALSE)</f>
        <v>0</v>
      </c>
      <c r="Y29" s="334">
        <f>VLOOKUP(C29,Theory!B32:V100,21,FALSE)</f>
        <v>0</v>
      </c>
      <c r="Z29" s="334">
        <f>VLOOKUP(C29,Theory!B32:W100,22,FALSE)</f>
        <v>0</v>
      </c>
      <c r="AA29" s="338">
        <f>VLOOKUP(C29,Theory!B32:X100,23,FALSE)</f>
        <v>0</v>
      </c>
      <c r="AB29" s="338">
        <f>VLOOKUP(C29,Theory!B32:Y100,24,FALSE)</f>
        <v>0</v>
      </c>
      <c r="AC29" s="338">
        <f>VLOOKUP(C29,Theory!B32:Z100,25,FALSE)</f>
        <v>0</v>
      </c>
      <c r="AD29" s="338">
        <f>VLOOKUP(C29,Theory!B32:AA100,26,FALSE)</f>
        <v>0</v>
      </c>
      <c r="AE29" s="335">
        <f t="shared" si="9"/>
        <v>5</v>
      </c>
      <c r="AF29" s="334">
        <f>VLOOKUP(C29,Theory!B32:AB100,27,FALSE)</f>
        <v>8</v>
      </c>
      <c r="AG29" s="334">
        <f>VLOOKUP(C29,Theory!B32:AC100,28,FALSE)</f>
        <v>0</v>
      </c>
      <c r="AH29" s="334">
        <f>VLOOKUP(C29,Theory!B32:AD100,29,FALSE)</f>
        <v>0</v>
      </c>
      <c r="AI29" s="334">
        <f>VLOOKUP(C29,Theory!B32:AE100,30,FALSE)</f>
        <v>0</v>
      </c>
      <c r="AJ29" s="339">
        <f>VLOOKUP(C29,Theory!B32:AF100,31,FALSE)</f>
        <v>0</v>
      </c>
      <c r="AK29" s="339">
        <f>VLOOKUP(C29,Theory!B32:AG100,32,FALSE)</f>
        <v>0</v>
      </c>
      <c r="AL29" s="339">
        <f>VLOOKUP(C29,Theory!B32:AH100,33,FALSE)</f>
        <v>0</v>
      </c>
      <c r="AM29" s="339">
        <f>VLOOKUP(C29,Theory!B32:AI100,34,FALSE)</f>
        <v>0</v>
      </c>
      <c r="AN29" s="335">
        <f t="shared" si="10"/>
        <v>8</v>
      </c>
      <c r="AO29" s="333">
        <f t="shared" si="0"/>
        <v>35</v>
      </c>
      <c r="AP29" s="340">
        <f>VLOOKUP(C29,Theory!B32:AJ100,35,FALSE)</f>
        <v>7</v>
      </c>
      <c r="AQ29" s="340">
        <f>VLOOKUP(C29,Theory!B32:AK100,36,FALSE)</f>
        <v>0</v>
      </c>
      <c r="AR29" s="340">
        <f>VLOOKUP(C29,Theory!B32:AL100,37,FALSE)</f>
        <v>0</v>
      </c>
      <c r="AS29" s="340">
        <f>VLOOKUP(C29,Theory!B32:AM100,38,FALSE)</f>
        <v>0</v>
      </c>
      <c r="AT29" s="335">
        <f t="shared" si="11"/>
        <v>7</v>
      </c>
      <c r="AU29" s="340">
        <f>VLOOKUP(C29,Theory!B32:AN100,39,FALSE)</f>
        <v>7</v>
      </c>
      <c r="AV29" s="340">
        <f>VLOOKUP(C29,Theory!B32:AO100,40,FALSE)</f>
        <v>0</v>
      </c>
      <c r="AW29" s="340">
        <f>VLOOKUP(C29,Theory!B32:AP100,41,FALSE)</f>
        <v>0</v>
      </c>
      <c r="AX29" s="340">
        <f>VLOOKUP(C29,Theory!B32:AQ100,42,FALSE)</f>
        <v>0</v>
      </c>
      <c r="AY29" s="335">
        <f t="shared" si="12"/>
        <v>7</v>
      </c>
      <c r="AZ29" s="340">
        <f>VLOOKUP(C29,Theory!B32:AR100,43,FALSE)</f>
        <v>8</v>
      </c>
      <c r="BA29" s="340">
        <f>VLOOKUP(C29,Theory!B32:AS100,44,FALSE)</f>
        <v>0</v>
      </c>
      <c r="BB29" s="340">
        <f>VLOOKUP(C29,Theory!B32:AT100,45,FALSE)</f>
        <v>0</v>
      </c>
      <c r="BC29" s="340">
        <f>VLOOKUP(C29,Theory!B32:AU100,46,FALSE)</f>
        <v>0</v>
      </c>
      <c r="BD29" s="340">
        <f>VLOOKUP(C29,Theory!B32:AV100,47,FALSE)</f>
        <v>0</v>
      </c>
      <c r="BE29" s="340">
        <f>VLOOKUP(C29,Theory!B32:AW100,48,FALSE)</f>
        <v>0</v>
      </c>
      <c r="BF29" s="340">
        <f>VLOOKUP(C29,Theory!B32:AX100,49,FALSE)</f>
        <v>0</v>
      </c>
      <c r="BG29" s="340">
        <f>VLOOKUP(C29,Theory!B32:AY100,50,FALSE)</f>
        <v>0</v>
      </c>
      <c r="BH29" s="335">
        <f t="shared" si="13"/>
        <v>8</v>
      </c>
      <c r="BI29" s="340">
        <f>VLOOKUP(C29,Theory!B32:AZ100,51,FALSE)</f>
        <v>7</v>
      </c>
      <c r="BJ29" s="340">
        <f>VLOOKUP(C29,Theory!B32:BA100,52,FALSE)</f>
        <v>0</v>
      </c>
      <c r="BK29" s="340">
        <f>VLOOKUP(C29,Theory!B32:BB100,53,FALSE)</f>
        <v>0</v>
      </c>
      <c r="BL29" s="340">
        <f>VLOOKUP(C29,Theory!B32:BC100,54,FALSE)</f>
        <v>0</v>
      </c>
      <c r="BM29" s="340">
        <f>VLOOKUP(C29,Theory!B32:BD100,55,FALSE)</f>
        <v>8</v>
      </c>
      <c r="BN29" s="340">
        <f>VLOOKUP(C29,Theory!B32:BE100,56,FALSE)</f>
        <v>0</v>
      </c>
      <c r="BO29" s="340">
        <f>VLOOKUP(C29,Theory!B32:BF100,57,FALSE)</f>
        <v>0</v>
      </c>
      <c r="BP29" s="340">
        <f>VLOOKUP(C29,Theory!B32:BG100,58,FALSE)</f>
        <v>0</v>
      </c>
      <c r="BQ29" s="335">
        <f t="shared" si="14"/>
        <v>8</v>
      </c>
      <c r="BR29" s="340">
        <f>VLOOKUP(C29,Theory!B32:BH100,59,FALSE)</f>
        <v>0</v>
      </c>
      <c r="BS29" s="340">
        <f>VLOOKUP(C29,Theory!B32:BI100,60,FALSE)</f>
        <v>0</v>
      </c>
      <c r="BT29" s="340">
        <f>VLOOKUP(C29,Theory!B32:BJ100,61,FALSE)</f>
        <v>0</v>
      </c>
      <c r="BU29" s="340">
        <f>VLOOKUP(C29,Theory!B32:BK100,62,FALSE)</f>
        <v>0</v>
      </c>
      <c r="BV29" s="340">
        <f>VLOOKUP(C29,Theory!B32:BL100,63,FALSE)</f>
        <v>0</v>
      </c>
      <c r="BW29" s="340">
        <f>VLOOKUP(C29,Theory!B32:BM100,64,FALSE)</f>
        <v>0</v>
      </c>
      <c r="BX29" s="340">
        <f>VLOOKUP(C29,Theory!B32:BN100,65,FALSE)</f>
        <v>0</v>
      </c>
      <c r="BY29" s="340">
        <f>VLOOKUP(C29,Theory!B32:BO100,66,FALSE)</f>
        <v>0</v>
      </c>
      <c r="BZ29" s="335">
        <f t="shared" si="15"/>
        <v>0</v>
      </c>
      <c r="CA29" s="333">
        <f t="shared" si="1"/>
        <v>30</v>
      </c>
      <c r="CB29" s="340">
        <f>VLOOKUP(C29,Theory!B32:BP100,67,FALSE)</f>
        <v>8</v>
      </c>
      <c r="CC29" s="340">
        <f>VLOOKUP(C29,Theory!B32:BQ100,68,FALSE)</f>
        <v>0</v>
      </c>
      <c r="CD29" s="340">
        <f>VLOOKUP(C29,Theory!B32:BR100,69,FALSE)</f>
        <v>0</v>
      </c>
      <c r="CE29" s="340">
        <f>VLOOKUP(C29,Theory!B32:BS100,70,FALSE)</f>
        <v>0</v>
      </c>
      <c r="CF29" s="335">
        <f t="shared" si="16"/>
        <v>8</v>
      </c>
      <c r="CG29" s="341">
        <f>VLOOKUP(C29,Theory!B32:BT100,71,FALSE)</f>
        <v>8</v>
      </c>
      <c r="CH29" s="341">
        <f>VLOOKUP(C29,Theory!B32:BU100,72,FALSE)</f>
        <v>0</v>
      </c>
      <c r="CI29" s="341">
        <f>VLOOKUP(C29,Theory!B32:BV100,73,FALSE)</f>
        <v>0</v>
      </c>
      <c r="CJ29" s="341">
        <f>VLOOKUP(C29,Theory!B32:BW100,74,FALSE)</f>
        <v>0</v>
      </c>
      <c r="CK29" s="335">
        <f t="shared" si="17"/>
        <v>8</v>
      </c>
      <c r="CL29" s="340">
        <f>VLOOKUP(C29,Theory!B32:BX100,75,FALSE)</f>
        <v>9</v>
      </c>
      <c r="CM29" s="342">
        <f>VLOOKUP(C29,Theory!B32:BY100,76,FALSE)</f>
        <v>0</v>
      </c>
      <c r="CN29" s="342">
        <f>VLOOKUP(C29,Theory!B32:BZ100,77,FALSE)</f>
        <v>0</v>
      </c>
      <c r="CO29" s="342">
        <f>VLOOKUP(C29,Theory!B32:CA100,78,FALSE)</f>
        <v>0</v>
      </c>
      <c r="CP29" s="340">
        <f>VLOOKUP(C29,Theory!B32:CB100,79,FALSE)</f>
        <v>0</v>
      </c>
      <c r="CQ29" s="340">
        <f>VLOOKUP(C29,Theory!B32:CC100,80,FALSE)</f>
        <v>0</v>
      </c>
      <c r="CR29" s="340">
        <f>VLOOKUP(C29,Theory!B32:CD100,81,FALSE)</f>
        <v>0</v>
      </c>
      <c r="CS29" s="340">
        <f>VLOOKUP(C29,Theory!B32:CE100,82,FALSE)</f>
        <v>0</v>
      </c>
      <c r="CT29" s="335">
        <f t="shared" si="18"/>
        <v>9</v>
      </c>
      <c r="CU29" s="341">
        <f>VLOOKUP(C29,Theory!B32:CF100,83,FALSE)</f>
        <v>0</v>
      </c>
      <c r="CV29" s="342">
        <f>VLOOKUP(C29,Theory!B32:CG100,84,FALSE)</f>
        <v>0</v>
      </c>
      <c r="CW29" s="342">
        <f>VLOOKUP(C29,Theory!B32:CH100,85,FALSE)</f>
        <v>0</v>
      </c>
      <c r="CX29" s="342">
        <f>VLOOKUP(C29,Theory!B32:CI100,86,FALSE)</f>
        <v>0</v>
      </c>
      <c r="CY29" s="341">
        <f>VLOOKUP(C29,Theory!B32:CJ100,87,FALSE)</f>
        <v>9</v>
      </c>
      <c r="CZ29" s="341">
        <f>VLOOKUP(C29,Theory!B32:CK100,88,FALSE)</f>
        <v>0</v>
      </c>
      <c r="DA29" s="341">
        <f>VLOOKUP(C29,Theory!B32:CL100,89,FALSE)</f>
        <v>0</v>
      </c>
      <c r="DB29" s="341">
        <f>VLOOKUP(C29,Theory!B32:CM100,90,FALSE)</f>
        <v>0</v>
      </c>
      <c r="DC29" s="335">
        <f t="shared" si="19"/>
        <v>9</v>
      </c>
      <c r="DD29" s="340">
        <f>VLOOKUP(C29,Theory!B32:CN100,91,FALSE)</f>
        <v>0</v>
      </c>
      <c r="DE29" s="342">
        <f>VLOOKUP(C29,Theory!B32:CO100,92,FALSE)</f>
        <v>0</v>
      </c>
      <c r="DF29" s="342">
        <f>VLOOKUP(C29,Theory!B32:CP100,93,FALSE)</f>
        <v>0</v>
      </c>
      <c r="DG29" s="342">
        <f>VLOOKUP(C29,Theory!B32:CQ100,94,FALSE)</f>
        <v>0</v>
      </c>
      <c r="DH29" s="340">
        <f>VLOOKUP(C29,Theory!B32:CR100,95,FALSE)</f>
        <v>8</v>
      </c>
      <c r="DI29" s="340">
        <f>VLOOKUP(C29,Theory!B32:CS100,96,FALSE)</f>
        <v>0</v>
      </c>
      <c r="DJ29" s="340">
        <f>VLOOKUP(C29,Theory!B32:CT100,97,FALSE)</f>
        <v>0</v>
      </c>
      <c r="DK29" s="340">
        <f>VLOOKUP(C29,Theory!B32:CU100,98,FALSE)</f>
        <v>0</v>
      </c>
      <c r="DL29" s="335">
        <f t="shared" si="20"/>
        <v>8</v>
      </c>
      <c r="DM29" s="265">
        <f t="shared" si="2"/>
        <v>42</v>
      </c>
      <c r="DN29" s="362">
        <f t="shared" si="40"/>
        <v>35</v>
      </c>
      <c r="DO29" s="362">
        <f t="shared" si="41"/>
        <v>30</v>
      </c>
      <c r="DP29" s="362">
        <f t="shared" si="42"/>
        <v>42</v>
      </c>
      <c r="DQ29" s="343">
        <f t="shared" si="43"/>
        <v>21</v>
      </c>
      <c r="DR29" s="343">
        <f t="shared" si="44"/>
        <v>18</v>
      </c>
      <c r="DS29" s="343">
        <f t="shared" si="45"/>
        <v>25</v>
      </c>
      <c r="DT29" s="328">
        <f t="shared" si="36"/>
        <v>21</v>
      </c>
      <c r="DU29" s="326">
        <f>VLOOKUP(C29,Theory!B32:CV100,99,FALSE)</f>
        <v>10</v>
      </c>
      <c r="DV29" s="326">
        <f>VLOOKUP(C29,Theory!B32:CW100,100,FALSE)</f>
        <v>10</v>
      </c>
      <c r="DW29" s="331">
        <f t="shared" si="27"/>
        <v>20</v>
      </c>
      <c r="DX29" s="266">
        <f t="shared" si="3"/>
        <v>41</v>
      </c>
      <c r="DY29" s="363">
        <f t="shared" si="4"/>
        <v>25</v>
      </c>
      <c r="DZ29" s="344">
        <f>VLOOKUP(C29,Lab!B24:D93,3,FALSE)</f>
        <v>0</v>
      </c>
      <c r="EA29" s="345">
        <f>VLOOKUP(C29,Lab!B24:E93,4,FALSE)</f>
        <v>0</v>
      </c>
      <c r="EB29" s="345">
        <f>VLOOKUP(C29,Lab!B24:F93,5,FALSE)</f>
        <v>0</v>
      </c>
      <c r="EC29" s="329">
        <f t="shared" si="37"/>
        <v>0</v>
      </c>
      <c r="ED29" s="346">
        <f>VLOOKUP(C29,Lab!B24:G93,6,FALSE)</f>
        <v>0</v>
      </c>
      <c r="EE29" s="346">
        <f>VLOOKUP(C29,Lab!B24:H93,7,FALSE)</f>
        <v>0</v>
      </c>
      <c r="EF29" s="347">
        <f>VLOOKUP(C29,Lab!B24:I93,8,FALSE)</f>
        <v>0</v>
      </c>
      <c r="EG29" s="330">
        <f t="shared" si="38"/>
        <v>0</v>
      </c>
      <c r="EH29" s="390">
        <f t="shared" si="28"/>
        <v>0</v>
      </c>
      <c r="EI29" s="349">
        <f t="shared" si="29"/>
        <v>0</v>
      </c>
      <c r="EJ29" s="391">
        <f t="shared" si="5"/>
        <v>25</v>
      </c>
      <c r="EK29" s="258">
        <v>41</v>
      </c>
      <c r="EM29" s="350">
        <f>VLOOKUP(C29,Theory!B32:DL100,114,FALSE)</f>
        <v>0</v>
      </c>
      <c r="EN29" s="350">
        <f>VLOOKUP(C29,Theory!B32:DM100,115,FALSE)</f>
        <v>0</v>
      </c>
      <c r="EO29" s="350">
        <f>VLOOKUP(C29,Theory!B32:DN100,116,FALSE)</f>
        <v>0</v>
      </c>
      <c r="EP29" s="350">
        <f>VLOOKUP(C29,Theory!B32:DO98,117,FALSE)</f>
        <v>0</v>
      </c>
      <c r="EQ29" s="350">
        <f>VLOOKUP(C29,Theory!B32:DP98,118,FALSE)</f>
        <v>0</v>
      </c>
      <c r="ER29" s="351">
        <f>VLOOKUP(C29,Theory!B32:DQ98,119,FALSE)</f>
        <v>0</v>
      </c>
      <c r="ES29" s="327">
        <f>VLOOKUP(C29,Theory!B32:DR98,120,FALSE)</f>
        <v>0</v>
      </c>
      <c r="ET29" s="348">
        <f t="shared" si="39"/>
        <v>0</v>
      </c>
      <c r="EU29" s="352"/>
      <c r="EV29" s="352"/>
      <c r="EW29" s="352"/>
      <c r="EX29" s="352"/>
      <c r="EY29" s="352"/>
      <c r="EZ29" s="352"/>
      <c r="FA29" s="352"/>
      <c r="FB29" s="352"/>
      <c r="FC29" s="352"/>
      <c r="FD29" s="352"/>
    </row>
    <row r="30" spans="1:160" ht="16.2" thickBot="1" x14ac:dyDescent="0.35">
      <c r="A30" s="64">
        <v>17</v>
      </c>
      <c r="B30" s="17" t="str">
        <f>Theory!C33</f>
        <v>MANASVINI T</v>
      </c>
      <c r="C30" s="16" t="str">
        <f>Theory!B33</f>
        <v>1DS21AI031</v>
      </c>
      <c r="D30" s="334">
        <f>VLOOKUP(C30,Theory!B33:D101,3,FALSE)</f>
        <v>7</v>
      </c>
      <c r="E30" s="334">
        <f>VLOOKUP(C30,Theory!B33:E101,4,FALSE)</f>
        <v>0</v>
      </c>
      <c r="F30" s="334">
        <f>VLOOKUP(C30,Theory!B33:F101,5,FALSE)</f>
        <v>0</v>
      </c>
      <c r="G30" s="334">
        <f>VLOOKUP(C30,Theory!B33:G101,6,FALSE)</f>
        <v>0</v>
      </c>
      <c r="H30" s="335">
        <f t="shared" si="6"/>
        <v>7</v>
      </c>
      <c r="I30" s="338">
        <f>VLOOKUP(C30,Theory!B33:H101,7,FALSE)</f>
        <v>8</v>
      </c>
      <c r="J30" s="337">
        <f>VLOOKUP(C30,Theory!B33:I101,8,FALSE)</f>
        <v>0</v>
      </c>
      <c r="K30" s="337">
        <f>VLOOKUP(C30,Theory!B33:J101,9,FALSE)</f>
        <v>0</v>
      </c>
      <c r="L30" s="337">
        <f>VLOOKUP(C30,Theory!B33:K101,10,FALSE)</f>
        <v>0</v>
      </c>
      <c r="M30" s="335">
        <f t="shared" si="7"/>
        <v>8</v>
      </c>
      <c r="N30" s="336">
        <f>VLOOKUP(C30,Theory!B33:L101,11,FALSE)</f>
        <v>4</v>
      </c>
      <c r="O30" s="336">
        <f>VLOOKUP(C30,Theory!B33:M101,12,FALSE)</f>
        <v>0</v>
      </c>
      <c r="P30" s="336">
        <f>VLOOKUP(C30,Theory!B33:N101,13,FALSE)</f>
        <v>0</v>
      </c>
      <c r="Q30" s="336">
        <f>VLOOKUP(C30,Theory!B33:O101,14,FALSE)</f>
        <v>0</v>
      </c>
      <c r="R30" s="337">
        <f>VLOOKUP(C30,Theory!B33:P101,15,FALSE)</f>
        <v>0</v>
      </c>
      <c r="S30" s="337">
        <f>VLOOKUP(C30,Theory!B33:Q101,16,FALSE)</f>
        <v>0</v>
      </c>
      <c r="T30" s="337">
        <f>VLOOKUP(C30,Theory!B33:R101,17,FALSE)</f>
        <v>0</v>
      </c>
      <c r="U30" s="337">
        <f>VLOOKUP(C30,Theory!B33:S101,18,FALSE)</f>
        <v>0</v>
      </c>
      <c r="V30" s="335">
        <f t="shared" si="8"/>
        <v>4</v>
      </c>
      <c r="W30" s="334">
        <f>VLOOKUP(C30,Theory!B33:T101,19,FALSE)</f>
        <v>0</v>
      </c>
      <c r="X30" s="334">
        <f>VLOOKUP(C30,Theory!B33:U101,20,FALSE)</f>
        <v>0</v>
      </c>
      <c r="Y30" s="334">
        <f>VLOOKUP(C30,Theory!B33:V101,21,FALSE)</f>
        <v>0</v>
      </c>
      <c r="Z30" s="334">
        <f>VLOOKUP(C30,Theory!B33:W101,22,FALSE)</f>
        <v>0</v>
      </c>
      <c r="AA30" s="338">
        <f>VLOOKUP(C30,Theory!B33:X101,23,FALSE)</f>
        <v>7</v>
      </c>
      <c r="AB30" s="338">
        <f>VLOOKUP(C30,Theory!B33:Y101,24,FALSE)</f>
        <v>0</v>
      </c>
      <c r="AC30" s="338">
        <f>VLOOKUP(C30,Theory!B33:Z101,25,FALSE)</f>
        <v>0</v>
      </c>
      <c r="AD30" s="338">
        <f>VLOOKUP(C30,Theory!B33:AA101,26,FALSE)</f>
        <v>0</v>
      </c>
      <c r="AE30" s="335">
        <f t="shared" si="9"/>
        <v>7</v>
      </c>
      <c r="AF30" s="334">
        <f>VLOOKUP(C30,Theory!B33:AB101,27,FALSE)</f>
        <v>0</v>
      </c>
      <c r="AG30" s="334">
        <f>VLOOKUP(C30,Theory!B33:AC101,28,FALSE)</f>
        <v>0</v>
      </c>
      <c r="AH30" s="334">
        <f>VLOOKUP(C30,Theory!B33:AD101,29,FALSE)</f>
        <v>0</v>
      </c>
      <c r="AI30" s="334">
        <f>VLOOKUP(C30,Theory!B33:AE101,30,FALSE)</f>
        <v>0</v>
      </c>
      <c r="AJ30" s="339">
        <f>VLOOKUP(C30,Theory!B33:AF101,31,FALSE)</f>
        <v>8</v>
      </c>
      <c r="AK30" s="339">
        <f>VLOOKUP(C30,Theory!B33:AG101,32,FALSE)</f>
        <v>0</v>
      </c>
      <c r="AL30" s="339">
        <f>VLOOKUP(C30,Theory!B33:AH101,33,FALSE)</f>
        <v>0</v>
      </c>
      <c r="AM30" s="339">
        <f>VLOOKUP(C30,Theory!B33:AI101,34,FALSE)</f>
        <v>0</v>
      </c>
      <c r="AN30" s="335">
        <f t="shared" si="10"/>
        <v>8</v>
      </c>
      <c r="AO30" s="333">
        <f t="shared" si="0"/>
        <v>34</v>
      </c>
      <c r="AP30" s="340">
        <f>VLOOKUP(C30,Theory!B33:AJ101,35,FALSE)</f>
        <v>7</v>
      </c>
      <c r="AQ30" s="340">
        <f>VLOOKUP(C30,Theory!B33:AK101,36,FALSE)</f>
        <v>0</v>
      </c>
      <c r="AR30" s="340">
        <f>VLOOKUP(C30,Theory!B33:AL101,37,FALSE)</f>
        <v>0</v>
      </c>
      <c r="AS30" s="340">
        <f>VLOOKUP(C30,Theory!B33:AM101,38,FALSE)</f>
        <v>0</v>
      </c>
      <c r="AT30" s="335">
        <f t="shared" si="11"/>
        <v>7</v>
      </c>
      <c r="AU30" s="340">
        <f>VLOOKUP(C30,Theory!B33:AN101,39,FALSE)</f>
        <v>8</v>
      </c>
      <c r="AV30" s="340">
        <f>VLOOKUP(C30,Theory!B33:AO101,40,FALSE)</f>
        <v>0</v>
      </c>
      <c r="AW30" s="340">
        <f>VLOOKUP(C30,Theory!B33:AP101,41,FALSE)</f>
        <v>0</v>
      </c>
      <c r="AX30" s="340">
        <f>VLOOKUP(C30,Theory!B33:AQ101,42,FALSE)</f>
        <v>0</v>
      </c>
      <c r="AY30" s="335">
        <f t="shared" si="12"/>
        <v>8</v>
      </c>
      <c r="AZ30" s="340">
        <f>VLOOKUP(C30,Theory!B33:AR101,43,FALSE)</f>
        <v>9</v>
      </c>
      <c r="BA30" s="340">
        <f>VLOOKUP(C30,Theory!B33:AS101,44,FALSE)</f>
        <v>0</v>
      </c>
      <c r="BB30" s="340">
        <f>VLOOKUP(C30,Theory!B33:AT101,45,FALSE)</f>
        <v>0</v>
      </c>
      <c r="BC30" s="340">
        <f>VLOOKUP(C30,Theory!B33:AU101,46,FALSE)</f>
        <v>0</v>
      </c>
      <c r="BD30" s="340">
        <f>VLOOKUP(C30,Theory!B33:AV101,47,FALSE)</f>
        <v>0</v>
      </c>
      <c r="BE30" s="340">
        <f>VLOOKUP(C30,Theory!B33:AW101,48,FALSE)</f>
        <v>0</v>
      </c>
      <c r="BF30" s="340">
        <f>VLOOKUP(C30,Theory!B33:AX101,49,FALSE)</f>
        <v>0</v>
      </c>
      <c r="BG30" s="340">
        <f>VLOOKUP(C30,Theory!B33:AY101,50,FALSE)</f>
        <v>0</v>
      </c>
      <c r="BH30" s="335">
        <f t="shared" si="13"/>
        <v>9</v>
      </c>
      <c r="BI30" s="340">
        <f>VLOOKUP(C30,Theory!B33:AZ101,51,FALSE)</f>
        <v>8</v>
      </c>
      <c r="BJ30" s="340">
        <f>VLOOKUP(C30,Theory!B33:BA101,52,FALSE)</f>
        <v>0</v>
      </c>
      <c r="BK30" s="340">
        <f>VLOOKUP(C30,Theory!B33:BB101,53,FALSE)</f>
        <v>0</v>
      </c>
      <c r="BL30" s="340">
        <f>VLOOKUP(C30,Theory!B33:BC101,54,FALSE)</f>
        <v>0</v>
      </c>
      <c r="BM30" s="340">
        <f>VLOOKUP(C30,Theory!B33:BD101,55,FALSE)</f>
        <v>0</v>
      </c>
      <c r="BN30" s="340">
        <f>VLOOKUP(C30,Theory!B33:BE101,56,FALSE)</f>
        <v>0</v>
      </c>
      <c r="BO30" s="340">
        <f>VLOOKUP(C30,Theory!B33:BF101,57,FALSE)</f>
        <v>0</v>
      </c>
      <c r="BP30" s="340">
        <f>VLOOKUP(C30,Theory!B33:BG101,58,FALSE)</f>
        <v>0</v>
      </c>
      <c r="BQ30" s="335">
        <f t="shared" si="14"/>
        <v>8</v>
      </c>
      <c r="BR30" s="340">
        <f>VLOOKUP(C30,Theory!B33:BH101,59,FALSE)</f>
        <v>10</v>
      </c>
      <c r="BS30" s="340">
        <f>VLOOKUP(C30,Theory!B33:BI101,60,FALSE)</f>
        <v>0</v>
      </c>
      <c r="BT30" s="340">
        <f>VLOOKUP(C30,Theory!B33:BJ101,61,FALSE)</f>
        <v>0</v>
      </c>
      <c r="BU30" s="340">
        <f>VLOOKUP(C30,Theory!B33:BK101,62,FALSE)</f>
        <v>0</v>
      </c>
      <c r="BV30" s="340">
        <f>VLOOKUP(C30,Theory!B33:BL101,63,FALSE)</f>
        <v>0</v>
      </c>
      <c r="BW30" s="340">
        <f>VLOOKUP(C30,Theory!B33:BM101,64,FALSE)</f>
        <v>0</v>
      </c>
      <c r="BX30" s="340">
        <f>VLOOKUP(C30,Theory!B33:BN101,65,FALSE)</f>
        <v>0</v>
      </c>
      <c r="BY30" s="340">
        <f>VLOOKUP(C30,Theory!B33:BO101,66,FALSE)</f>
        <v>0</v>
      </c>
      <c r="BZ30" s="335">
        <f t="shared" si="15"/>
        <v>10</v>
      </c>
      <c r="CA30" s="333">
        <f t="shared" si="1"/>
        <v>42</v>
      </c>
      <c r="CB30" s="340">
        <f>VLOOKUP(C30,Theory!B33:BP101,67,FALSE)</f>
        <v>9</v>
      </c>
      <c r="CC30" s="340">
        <f>VLOOKUP(C30,Theory!B33:BQ101,68,FALSE)</f>
        <v>0</v>
      </c>
      <c r="CD30" s="340">
        <f>VLOOKUP(C30,Theory!B33:BR101,69,FALSE)</f>
        <v>0</v>
      </c>
      <c r="CE30" s="340">
        <f>VLOOKUP(C30,Theory!B33:BS101,70,FALSE)</f>
        <v>0</v>
      </c>
      <c r="CF30" s="335">
        <f t="shared" si="16"/>
        <v>9</v>
      </c>
      <c r="CG30" s="341">
        <f>VLOOKUP(C30,Theory!B33:BT101,71,FALSE)</f>
        <v>8</v>
      </c>
      <c r="CH30" s="341">
        <f>VLOOKUP(C30,Theory!B33:BU101,72,FALSE)</f>
        <v>0</v>
      </c>
      <c r="CI30" s="341">
        <f>VLOOKUP(C30,Theory!B33:BV101,73,FALSE)</f>
        <v>0</v>
      </c>
      <c r="CJ30" s="341">
        <f>VLOOKUP(C30,Theory!B33:BW101,74,FALSE)</f>
        <v>0</v>
      </c>
      <c r="CK30" s="335">
        <f t="shared" si="17"/>
        <v>8</v>
      </c>
      <c r="CL30" s="340">
        <f>VLOOKUP(C30,Theory!B33:BX101,75,FALSE)</f>
        <v>9</v>
      </c>
      <c r="CM30" s="342">
        <f>VLOOKUP(C30,Theory!B33:BY101,76,FALSE)</f>
        <v>0</v>
      </c>
      <c r="CN30" s="342">
        <f>VLOOKUP(C30,Theory!B33:BZ101,77,FALSE)</f>
        <v>0</v>
      </c>
      <c r="CO30" s="342">
        <f>VLOOKUP(C30,Theory!B33:CA101,78,FALSE)</f>
        <v>0</v>
      </c>
      <c r="CP30" s="340">
        <f>VLOOKUP(C30,Theory!B33:CB101,79,FALSE)</f>
        <v>0</v>
      </c>
      <c r="CQ30" s="340">
        <f>VLOOKUP(C30,Theory!B33:CC101,80,FALSE)</f>
        <v>0</v>
      </c>
      <c r="CR30" s="340">
        <f>VLOOKUP(C30,Theory!B33:CD101,81,FALSE)</f>
        <v>0</v>
      </c>
      <c r="CS30" s="340">
        <f>VLOOKUP(C30,Theory!B33:CE101,82,FALSE)</f>
        <v>0</v>
      </c>
      <c r="CT30" s="335">
        <f t="shared" si="18"/>
        <v>9</v>
      </c>
      <c r="CU30" s="341">
        <f>VLOOKUP(C30,Theory!B33:CF101,83,FALSE)</f>
        <v>10</v>
      </c>
      <c r="CV30" s="342">
        <f>VLOOKUP(C30,Theory!B33:CG101,84,FALSE)</f>
        <v>0</v>
      </c>
      <c r="CW30" s="342">
        <f>VLOOKUP(C30,Theory!B33:CH101,85,FALSE)</f>
        <v>0</v>
      </c>
      <c r="CX30" s="342">
        <f>VLOOKUP(C30,Theory!B33:CI101,86,FALSE)</f>
        <v>0</v>
      </c>
      <c r="CY30" s="341">
        <f>VLOOKUP(C30,Theory!B33:CJ101,87,FALSE)</f>
        <v>0</v>
      </c>
      <c r="CZ30" s="341">
        <f>VLOOKUP(C30,Theory!B33:CK101,88,FALSE)</f>
        <v>0</v>
      </c>
      <c r="DA30" s="341">
        <f>VLOOKUP(C30,Theory!B33:CL101,89,FALSE)</f>
        <v>0</v>
      </c>
      <c r="DB30" s="341">
        <f>VLOOKUP(C30,Theory!B33:CM101,90,FALSE)</f>
        <v>0</v>
      </c>
      <c r="DC30" s="335">
        <f t="shared" si="19"/>
        <v>10</v>
      </c>
      <c r="DD30" s="340">
        <f>VLOOKUP(C30,Theory!B33:CN101,91,FALSE)</f>
        <v>0</v>
      </c>
      <c r="DE30" s="342">
        <f>VLOOKUP(C30,Theory!B33:CO101,92,FALSE)</f>
        <v>0</v>
      </c>
      <c r="DF30" s="342">
        <f>VLOOKUP(C30,Theory!B33:CP101,93,FALSE)</f>
        <v>0</v>
      </c>
      <c r="DG30" s="342">
        <f>VLOOKUP(C30,Theory!B33:CQ101,94,FALSE)</f>
        <v>0</v>
      </c>
      <c r="DH30" s="340">
        <f>VLOOKUP(C30,Theory!B33:CR101,95,FALSE)</f>
        <v>8</v>
      </c>
      <c r="DI30" s="340">
        <f>VLOOKUP(C30,Theory!B33:CS101,96,FALSE)</f>
        <v>0</v>
      </c>
      <c r="DJ30" s="340">
        <f>VLOOKUP(C30,Theory!B33:CT101,97,FALSE)</f>
        <v>0</v>
      </c>
      <c r="DK30" s="340">
        <f>VLOOKUP(C30,Theory!B33:CU101,98,FALSE)</f>
        <v>0</v>
      </c>
      <c r="DL30" s="335">
        <f t="shared" si="20"/>
        <v>8</v>
      </c>
      <c r="DM30" s="265">
        <f t="shared" si="2"/>
        <v>44</v>
      </c>
      <c r="DN30" s="362">
        <f t="shared" si="40"/>
        <v>34</v>
      </c>
      <c r="DO30" s="362">
        <f t="shared" si="41"/>
        <v>42</v>
      </c>
      <c r="DP30" s="362">
        <f t="shared" si="42"/>
        <v>44</v>
      </c>
      <c r="DQ30" s="343">
        <f t="shared" si="43"/>
        <v>20</v>
      </c>
      <c r="DR30" s="343">
        <f t="shared" si="44"/>
        <v>25</v>
      </c>
      <c r="DS30" s="343">
        <f t="shared" si="45"/>
        <v>26</v>
      </c>
      <c r="DT30" s="328">
        <f t="shared" si="36"/>
        <v>24</v>
      </c>
      <c r="DU30" s="326">
        <f>VLOOKUP(C30,Theory!B33:CV101,99,FALSE)</f>
        <v>10</v>
      </c>
      <c r="DV30" s="326">
        <f>VLOOKUP(C30,Theory!B33:CW101,100,FALSE)</f>
        <v>10</v>
      </c>
      <c r="DW30" s="331">
        <f t="shared" si="27"/>
        <v>20</v>
      </c>
      <c r="DX30" s="266">
        <f t="shared" si="3"/>
        <v>44</v>
      </c>
      <c r="DY30" s="363">
        <f t="shared" si="4"/>
        <v>26</v>
      </c>
      <c r="DZ30" s="344">
        <f>VLOOKUP(C30,Lab!B25:D94,3,FALSE)</f>
        <v>0</v>
      </c>
      <c r="EA30" s="345">
        <f>VLOOKUP(C30,Lab!B25:E94,4,FALSE)</f>
        <v>0</v>
      </c>
      <c r="EB30" s="345">
        <f>VLOOKUP(C30,Lab!B25:F94,5,FALSE)</f>
        <v>0</v>
      </c>
      <c r="EC30" s="329">
        <f t="shared" si="37"/>
        <v>0</v>
      </c>
      <c r="ED30" s="346">
        <f>VLOOKUP(C30,Lab!B25:G94,6,FALSE)</f>
        <v>0</v>
      </c>
      <c r="EE30" s="346">
        <f>VLOOKUP(C30,Lab!B25:H94,7,FALSE)</f>
        <v>0</v>
      </c>
      <c r="EF30" s="347">
        <f>VLOOKUP(C30,Lab!B25:I94,8,FALSE)</f>
        <v>0</v>
      </c>
      <c r="EG30" s="330">
        <f t="shared" si="38"/>
        <v>0</v>
      </c>
      <c r="EH30" s="390">
        <f t="shared" si="28"/>
        <v>0</v>
      </c>
      <c r="EI30" s="349">
        <f t="shared" si="29"/>
        <v>0</v>
      </c>
      <c r="EJ30" s="391">
        <f t="shared" si="5"/>
        <v>26</v>
      </c>
      <c r="EK30" s="258">
        <v>38</v>
      </c>
      <c r="EM30" s="350">
        <f>VLOOKUP(C30,Theory!B33:DL101,114,FALSE)</f>
        <v>0</v>
      </c>
      <c r="EN30" s="350">
        <f>VLOOKUP(C30,Theory!B33:DM101,115,FALSE)</f>
        <v>0</v>
      </c>
      <c r="EO30" s="350">
        <f>VLOOKUP(C30,Theory!B33:DN101,116,FALSE)</f>
        <v>0</v>
      </c>
      <c r="EP30" s="350">
        <f>VLOOKUP(C30,Theory!B33:DO99,117,FALSE)</f>
        <v>0</v>
      </c>
      <c r="EQ30" s="350">
        <f>VLOOKUP(C30,Theory!B33:DP99,118,FALSE)</f>
        <v>0</v>
      </c>
      <c r="ER30" s="351">
        <f>VLOOKUP(C30,Theory!B33:DQ99,119,FALSE)</f>
        <v>0</v>
      </c>
      <c r="ES30" s="327">
        <f>VLOOKUP(C30,Theory!B33:DR99,120,FALSE)</f>
        <v>0</v>
      </c>
      <c r="ET30" s="348">
        <f t="shared" si="39"/>
        <v>0</v>
      </c>
      <c r="EU30" s="352"/>
      <c r="EV30" s="352"/>
      <c r="EW30" s="352"/>
      <c r="EX30" s="352"/>
      <c r="EY30" s="352"/>
      <c r="EZ30" s="352"/>
      <c r="FA30" s="352"/>
      <c r="FB30" s="352"/>
      <c r="FC30" s="352"/>
      <c r="FD30" s="352"/>
    </row>
    <row r="31" spans="1:160" ht="16.2" thickBot="1" x14ac:dyDescent="0.35">
      <c r="A31" s="64">
        <v>18</v>
      </c>
      <c r="B31" s="17" t="str">
        <f>Theory!C34</f>
        <v>MESHANK BANSAL</v>
      </c>
      <c r="C31" s="16" t="str">
        <f>Theory!B34</f>
        <v>1DS21AI032</v>
      </c>
      <c r="D31" s="334">
        <f>VLOOKUP(C31,Theory!B34:D102,3,FALSE)</f>
        <v>5</v>
      </c>
      <c r="E31" s="334">
        <f>VLOOKUP(C31,Theory!B34:E102,4,FALSE)</f>
        <v>0</v>
      </c>
      <c r="F31" s="334">
        <f>VLOOKUP(C31,Theory!B34:F102,5,FALSE)</f>
        <v>0</v>
      </c>
      <c r="G31" s="334">
        <f>VLOOKUP(C31,Theory!B34:G102,6,FALSE)</f>
        <v>0</v>
      </c>
      <c r="H31" s="335">
        <f t="shared" si="6"/>
        <v>5</v>
      </c>
      <c r="I31" s="338">
        <f>VLOOKUP(C31,Theory!B34:H102,7,FALSE)</f>
        <v>5</v>
      </c>
      <c r="J31" s="337">
        <f>VLOOKUP(C31,Theory!B34:I102,8,FALSE)</f>
        <v>0</v>
      </c>
      <c r="K31" s="337">
        <f>VLOOKUP(C31,Theory!B34:J102,9,FALSE)</f>
        <v>0</v>
      </c>
      <c r="L31" s="337">
        <f>VLOOKUP(C31,Theory!B34:K102,10,FALSE)</f>
        <v>0</v>
      </c>
      <c r="M31" s="335">
        <f t="shared" si="7"/>
        <v>5</v>
      </c>
      <c r="N31" s="336">
        <f>VLOOKUP(C31,Theory!B34:L102,11,FALSE)</f>
        <v>0</v>
      </c>
      <c r="O31" s="336">
        <f>VLOOKUP(C31,Theory!B34:M102,12,FALSE)</f>
        <v>0</v>
      </c>
      <c r="P31" s="336">
        <f>VLOOKUP(C31,Theory!B34:N102,13,FALSE)</f>
        <v>0</v>
      </c>
      <c r="Q31" s="336">
        <f>VLOOKUP(C31,Theory!B34:O102,14,FALSE)</f>
        <v>0</v>
      </c>
      <c r="R31" s="337">
        <f>VLOOKUP(C31,Theory!B34:P102,15,FALSE)</f>
        <v>7</v>
      </c>
      <c r="S31" s="337">
        <f>VLOOKUP(C31,Theory!B34:Q102,16,FALSE)</f>
        <v>0</v>
      </c>
      <c r="T31" s="337">
        <f>VLOOKUP(C31,Theory!B34:R102,17,FALSE)</f>
        <v>0</v>
      </c>
      <c r="U31" s="337">
        <f>VLOOKUP(C31,Theory!B34:S102,18,FALSE)</f>
        <v>0</v>
      </c>
      <c r="V31" s="335">
        <f t="shared" si="8"/>
        <v>7</v>
      </c>
      <c r="W31" s="334">
        <f>VLOOKUP(C31,Theory!B34:T102,19,FALSE)</f>
        <v>6</v>
      </c>
      <c r="X31" s="334">
        <f>VLOOKUP(C31,Theory!B34:U102,20,FALSE)</f>
        <v>0</v>
      </c>
      <c r="Y31" s="334">
        <f>VLOOKUP(C31,Theory!B34:V102,21,FALSE)</f>
        <v>0</v>
      </c>
      <c r="Z31" s="334">
        <f>VLOOKUP(C31,Theory!B34:W102,22,FALSE)</f>
        <v>0</v>
      </c>
      <c r="AA31" s="338">
        <f>VLOOKUP(C31,Theory!B34:X102,23,FALSE)</f>
        <v>0</v>
      </c>
      <c r="AB31" s="338">
        <f>VLOOKUP(C31,Theory!B34:Y102,24,FALSE)</f>
        <v>0</v>
      </c>
      <c r="AC31" s="338">
        <f>VLOOKUP(C31,Theory!B34:Z102,25,FALSE)</f>
        <v>0</v>
      </c>
      <c r="AD31" s="338">
        <f>VLOOKUP(C31,Theory!B34:AA102,26,FALSE)</f>
        <v>0</v>
      </c>
      <c r="AE31" s="335">
        <f t="shared" si="9"/>
        <v>6</v>
      </c>
      <c r="AF31" s="334">
        <f>VLOOKUP(C31,Theory!B34:AB102,27,FALSE)</f>
        <v>7</v>
      </c>
      <c r="AG31" s="334">
        <f>VLOOKUP(C31,Theory!B34:AC102,28,FALSE)</f>
        <v>0</v>
      </c>
      <c r="AH31" s="334">
        <f>VLOOKUP(C31,Theory!B34:AD102,29,FALSE)</f>
        <v>0</v>
      </c>
      <c r="AI31" s="334">
        <f>VLOOKUP(C31,Theory!B34:AE102,30,FALSE)</f>
        <v>0</v>
      </c>
      <c r="AJ31" s="339">
        <f>VLOOKUP(C31,Theory!B34:AF102,31,FALSE)</f>
        <v>0</v>
      </c>
      <c r="AK31" s="339">
        <f>VLOOKUP(C31,Theory!B34:AG102,32,FALSE)</f>
        <v>0</v>
      </c>
      <c r="AL31" s="339">
        <f>VLOOKUP(C31,Theory!B34:AH102,33,FALSE)</f>
        <v>0</v>
      </c>
      <c r="AM31" s="339">
        <f>VLOOKUP(C31,Theory!B34:AI102,34,FALSE)</f>
        <v>0</v>
      </c>
      <c r="AN31" s="335">
        <f t="shared" si="10"/>
        <v>7</v>
      </c>
      <c r="AO31" s="333">
        <f t="shared" si="0"/>
        <v>30</v>
      </c>
      <c r="AP31" s="340">
        <f>VLOOKUP(C31,Theory!B34:AJ102,35,FALSE)</f>
        <v>7</v>
      </c>
      <c r="AQ31" s="340">
        <f>VLOOKUP(C31,Theory!B34:AK102,36,FALSE)</f>
        <v>0</v>
      </c>
      <c r="AR31" s="340">
        <f>VLOOKUP(C31,Theory!B34:AL102,37,FALSE)</f>
        <v>0</v>
      </c>
      <c r="AS31" s="340">
        <f>VLOOKUP(C31,Theory!B34:AM102,38,FALSE)</f>
        <v>0</v>
      </c>
      <c r="AT31" s="335">
        <f t="shared" si="11"/>
        <v>7</v>
      </c>
      <c r="AU31" s="340">
        <f>VLOOKUP(C31,Theory!B34:AN102,39,FALSE)</f>
        <v>5</v>
      </c>
      <c r="AV31" s="340">
        <f>VLOOKUP(C31,Theory!B34:AO102,40,FALSE)</f>
        <v>0</v>
      </c>
      <c r="AW31" s="340">
        <f>VLOOKUP(C31,Theory!B34:AP102,41,FALSE)</f>
        <v>0</v>
      </c>
      <c r="AX31" s="340">
        <f>VLOOKUP(C31,Theory!B34:AQ102,42,FALSE)</f>
        <v>0</v>
      </c>
      <c r="AY31" s="335">
        <f t="shared" si="12"/>
        <v>5</v>
      </c>
      <c r="AZ31" s="340">
        <f>VLOOKUP(C31,Theory!B34:AR102,43,FALSE)</f>
        <v>8</v>
      </c>
      <c r="BA31" s="340">
        <f>VLOOKUP(C31,Theory!B34:AS102,44,FALSE)</f>
        <v>0</v>
      </c>
      <c r="BB31" s="340">
        <f>VLOOKUP(C31,Theory!B34:AT102,45,FALSE)</f>
        <v>0</v>
      </c>
      <c r="BC31" s="340">
        <f>VLOOKUP(C31,Theory!B34:AU102,46,FALSE)</f>
        <v>0</v>
      </c>
      <c r="BD31" s="340">
        <f>VLOOKUP(C31,Theory!B34:AV102,47,FALSE)</f>
        <v>0</v>
      </c>
      <c r="BE31" s="340">
        <f>VLOOKUP(C31,Theory!B34:AW102,48,FALSE)</f>
        <v>0</v>
      </c>
      <c r="BF31" s="340">
        <f>VLOOKUP(C31,Theory!B34:AX102,49,FALSE)</f>
        <v>0</v>
      </c>
      <c r="BG31" s="340">
        <f>VLOOKUP(C31,Theory!B34:AY102,50,FALSE)</f>
        <v>0</v>
      </c>
      <c r="BH31" s="335">
        <f t="shared" si="13"/>
        <v>8</v>
      </c>
      <c r="BI31" s="340">
        <f>VLOOKUP(C31,Theory!B34:AZ102,51,FALSE)</f>
        <v>0</v>
      </c>
      <c r="BJ31" s="340">
        <f>VLOOKUP(C31,Theory!B34:BA102,52,FALSE)</f>
        <v>0</v>
      </c>
      <c r="BK31" s="340">
        <f>VLOOKUP(C31,Theory!B34:BB102,53,FALSE)</f>
        <v>0</v>
      </c>
      <c r="BL31" s="340">
        <f>VLOOKUP(C31,Theory!B34:BC102,54,FALSE)</f>
        <v>0</v>
      </c>
      <c r="BM31" s="340">
        <f>VLOOKUP(C31,Theory!B34:BD102,55,FALSE)</f>
        <v>7</v>
      </c>
      <c r="BN31" s="340">
        <f>VLOOKUP(C31,Theory!B34:BE102,56,FALSE)</f>
        <v>0</v>
      </c>
      <c r="BO31" s="340">
        <f>VLOOKUP(C31,Theory!B34:BF102,57,FALSE)</f>
        <v>0</v>
      </c>
      <c r="BP31" s="340">
        <f>VLOOKUP(C31,Theory!B34:BG102,58,FALSE)</f>
        <v>0</v>
      </c>
      <c r="BQ31" s="335">
        <f t="shared" si="14"/>
        <v>7</v>
      </c>
      <c r="BR31" s="340">
        <f>VLOOKUP(C31,Theory!B34:BH102,59,FALSE)</f>
        <v>8</v>
      </c>
      <c r="BS31" s="340">
        <f>VLOOKUP(C31,Theory!B34:BI102,60,FALSE)</f>
        <v>0</v>
      </c>
      <c r="BT31" s="340">
        <f>VLOOKUP(C31,Theory!B34:BJ102,61,FALSE)</f>
        <v>0</v>
      </c>
      <c r="BU31" s="340">
        <f>VLOOKUP(C31,Theory!B34:BK102,62,FALSE)</f>
        <v>0</v>
      </c>
      <c r="BV31" s="340">
        <f>VLOOKUP(C31,Theory!B34:BL102,63,FALSE)</f>
        <v>0</v>
      </c>
      <c r="BW31" s="340">
        <f>VLOOKUP(C31,Theory!B34:BM102,64,FALSE)</f>
        <v>0</v>
      </c>
      <c r="BX31" s="340">
        <f>VLOOKUP(C31,Theory!B34:BN102,65,FALSE)</f>
        <v>0</v>
      </c>
      <c r="BY31" s="340">
        <f>VLOOKUP(C31,Theory!B34:BO102,66,FALSE)</f>
        <v>0</v>
      </c>
      <c r="BZ31" s="335">
        <f t="shared" si="15"/>
        <v>8</v>
      </c>
      <c r="CA31" s="333">
        <f t="shared" si="1"/>
        <v>35</v>
      </c>
      <c r="CB31" s="340">
        <f>VLOOKUP(C31,Theory!B34:BP102,67,FALSE)</f>
        <v>5</v>
      </c>
      <c r="CC31" s="340">
        <f>VLOOKUP(C31,Theory!B34:BQ102,68,FALSE)</f>
        <v>0</v>
      </c>
      <c r="CD31" s="340">
        <f>VLOOKUP(C31,Theory!B34:BR102,69,FALSE)</f>
        <v>0</v>
      </c>
      <c r="CE31" s="340">
        <f>VLOOKUP(C31,Theory!B34:BS102,70,FALSE)</f>
        <v>0</v>
      </c>
      <c r="CF31" s="335">
        <f t="shared" si="16"/>
        <v>5</v>
      </c>
      <c r="CG31" s="341">
        <f>VLOOKUP(C31,Theory!B34:BT102,71,FALSE)</f>
        <v>9</v>
      </c>
      <c r="CH31" s="341">
        <f>VLOOKUP(C31,Theory!B34:BU102,72,FALSE)</f>
        <v>0</v>
      </c>
      <c r="CI31" s="341">
        <f>VLOOKUP(C31,Theory!B34:BV102,73,FALSE)</f>
        <v>0</v>
      </c>
      <c r="CJ31" s="341">
        <f>VLOOKUP(C31,Theory!B34:BW102,74,FALSE)</f>
        <v>0</v>
      </c>
      <c r="CK31" s="335">
        <f t="shared" si="17"/>
        <v>9</v>
      </c>
      <c r="CL31" s="340">
        <f>VLOOKUP(C31,Theory!B34:BX102,75,FALSE)</f>
        <v>0</v>
      </c>
      <c r="CM31" s="342">
        <f>VLOOKUP(C31,Theory!B34:BY102,76,FALSE)</f>
        <v>0</v>
      </c>
      <c r="CN31" s="342">
        <f>VLOOKUP(C31,Theory!B34:BZ102,77,FALSE)</f>
        <v>0</v>
      </c>
      <c r="CO31" s="342">
        <f>VLOOKUP(C31,Theory!B34:CA102,78,FALSE)</f>
        <v>0</v>
      </c>
      <c r="CP31" s="340">
        <f>VLOOKUP(C31,Theory!B34:CB102,79,FALSE)</f>
        <v>8</v>
      </c>
      <c r="CQ31" s="340">
        <f>VLOOKUP(C31,Theory!B34:CC102,80,FALSE)</f>
        <v>0</v>
      </c>
      <c r="CR31" s="340">
        <f>VLOOKUP(C31,Theory!B34:CD102,81,FALSE)</f>
        <v>0</v>
      </c>
      <c r="CS31" s="340">
        <f>VLOOKUP(C31,Theory!B34:CE102,82,FALSE)</f>
        <v>0</v>
      </c>
      <c r="CT31" s="335">
        <f t="shared" si="18"/>
        <v>8</v>
      </c>
      <c r="CU31" s="341">
        <f>VLOOKUP(C31,Theory!B34:CF102,83,FALSE)</f>
        <v>0</v>
      </c>
      <c r="CV31" s="342">
        <f>VLOOKUP(C31,Theory!B34:CG102,84,FALSE)</f>
        <v>0</v>
      </c>
      <c r="CW31" s="342">
        <f>VLOOKUP(C31,Theory!B34:CH102,85,FALSE)</f>
        <v>0</v>
      </c>
      <c r="CX31" s="342">
        <f>VLOOKUP(C31,Theory!B34:CI102,86,FALSE)</f>
        <v>0</v>
      </c>
      <c r="CY31" s="341">
        <f>VLOOKUP(C31,Theory!B34:CJ102,87,FALSE)</f>
        <v>8</v>
      </c>
      <c r="CZ31" s="341">
        <f>VLOOKUP(C31,Theory!B34:CK102,88,FALSE)</f>
        <v>0</v>
      </c>
      <c r="DA31" s="341">
        <f>VLOOKUP(C31,Theory!B34:CL102,89,FALSE)</f>
        <v>0</v>
      </c>
      <c r="DB31" s="341">
        <f>VLOOKUP(C31,Theory!B34:CM102,90,FALSE)</f>
        <v>0</v>
      </c>
      <c r="DC31" s="335">
        <f t="shared" si="19"/>
        <v>8</v>
      </c>
      <c r="DD31" s="340">
        <f>VLOOKUP(C31,Theory!B34:CN102,91,FALSE)</f>
        <v>7</v>
      </c>
      <c r="DE31" s="342">
        <f>VLOOKUP(C31,Theory!B34:CO102,92,FALSE)</f>
        <v>0</v>
      </c>
      <c r="DF31" s="342">
        <f>VLOOKUP(C31,Theory!B34:CP102,93,FALSE)</f>
        <v>0</v>
      </c>
      <c r="DG31" s="342">
        <f>VLOOKUP(C31,Theory!B34:CQ102,94,FALSE)</f>
        <v>0</v>
      </c>
      <c r="DH31" s="340">
        <f>VLOOKUP(C31,Theory!B34:CR102,95,FALSE)</f>
        <v>0</v>
      </c>
      <c r="DI31" s="340">
        <f>VLOOKUP(C31,Theory!B34:CS102,96,FALSE)</f>
        <v>0</v>
      </c>
      <c r="DJ31" s="340">
        <f>VLOOKUP(C31,Theory!B34:CT102,97,FALSE)</f>
        <v>0</v>
      </c>
      <c r="DK31" s="340">
        <f>VLOOKUP(C31,Theory!B34:CU102,98,FALSE)</f>
        <v>0</v>
      </c>
      <c r="DL31" s="335">
        <f t="shared" si="20"/>
        <v>7</v>
      </c>
      <c r="DM31" s="265">
        <f t="shared" si="2"/>
        <v>37</v>
      </c>
      <c r="DN31" s="362">
        <f t="shared" si="40"/>
        <v>30</v>
      </c>
      <c r="DO31" s="362">
        <f t="shared" si="41"/>
        <v>35</v>
      </c>
      <c r="DP31" s="362">
        <f t="shared" si="42"/>
        <v>37</v>
      </c>
      <c r="DQ31" s="343">
        <f t="shared" si="43"/>
        <v>18</v>
      </c>
      <c r="DR31" s="343">
        <f t="shared" si="44"/>
        <v>21</v>
      </c>
      <c r="DS31" s="343">
        <f t="shared" si="45"/>
        <v>22</v>
      </c>
      <c r="DT31" s="328">
        <f t="shared" si="36"/>
        <v>20</v>
      </c>
      <c r="DU31" s="326">
        <f>VLOOKUP(C31,Theory!B34:CV102,99,FALSE)</f>
        <v>10</v>
      </c>
      <c r="DV31" s="326">
        <f>VLOOKUP(C31,Theory!B34:CW102,100,FALSE)</f>
        <v>10</v>
      </c>
      <c r="DW31" s="331">
        <f t="shared" si="27"/>
        <v>20</v>
      </c>
      <c r="DX31" s="266">
        <f t="shared" si="3"/>
        <v>40</v>
      </c>
      <c r="DY31" s="363">
        <f t="shared" si="4"/>
        <v>24</v>
      </c>
      <c r="DZ31" s="344">
        <f>VLOOKUP(C31,Lab!B26:D95,3,FALSE)</f>
        <v>0</v>
      </c>
      <c r="EA31" s="345">
        <f>VLOOKUP(C31,Lab!B26:E95,4,FALSE)</f>
        <v>0</v>
      </c>
      <c r="EB31" s="345">
        <f>VLOOKUP(C31,Lab!B26:F95,5,FALSE)</f>
        <v>0</v>
      </c>
      <c r="EC31" s="329">
        <f t="shared" si="37"/>
        <v>0</v>
      </c>
      <c r="ED31" s="346">
        <f>VLOOKUP(C31,Lab!B26:G95,6,FALSE)</f>
        <v>0</v>
      </c>
      <c r="EE31" s="346">
        <f>VLOOKUP(C31,Lab!B26:H95,7,FALSE)</f>
        <v>0</v>
      </c>
      <c r="EF31" s="347">
        <f>VLOOKUP(C31,Lab!B26:I95,8,FALSE)</f>
        <v>0</v>
      </c>
      <c r="EG31" s="330">
        <f t="shared" si="38"/>
        <v>0</v>
      </c>
      <c r="EH31" s="390">
        <f t="shared" si="28"/>
        <v>0</v>
      </c>
      <c r="EI31" s="349">
        <f t="shared" si="29"/>
        <v>0</v>
      </c>
      <c r="EJ31" s="391">
        <f t="shared" si="5"/>
        <v>24</v>
      </c>
      <c r="EK31" s="258">
        <v>30</v>
      </c>
      <c r="EM31" s="350">
        <f>VLOOKUP(C31,Theory!B34:DL102,114,FALSE)</f>
        <v>0</v>
      </c>
      <c r="EN31" s="350">
        <f>VLOOKUP(C31,Theory!B34:DM102,115,FALSE)</f>
        <v>0</v>
      </c>
      <c r="EO31" s="350">
        <f>VLOOKUP(C31,Theory!B34:DN102,116,FALSE)</f>
        <v>0</v>
      </c>
      <c r="EP31" s="350">
        <f>VLOOKUP(C31,Theory!B34:DO100,117,FALSE)</f>
        <v>0</v>
      </c>
      <c r="EQ31" s="350">
        <f>VLOOKUP(C31,Theory!B34:DP100,118,FALSE)</f>
        <v>0</v>
      </c>
      <c r="ER31" s="351">
        <f>VLOOKUP(C31,Theory!B34:DQ100,119,FALSE)</f>
        <v>0</v>
      </c>
      <c r="ES31" s="327">
        <f>VLOOKUP(C31,Theory!B34:DR100,120,FALSE)</f>
        <v>0</v>
      </c>
      <c r="ET31" s="348">
        <f t="shared" si="39"/>
        <v>0</v>
      </c>
      <c r="EU31" s="352"/>
      <c r="EV31" s="352"/>
      <c r="EW31" s="352"/>
      <c r="EX31" s="352"/>
      <c r="EY31" s="352"/>
      <c r="EZ31" s="352"/>
      <c r="FA31" s="352"/>
      <c r="FB31" s="352"/>
      <c r="FC31" s="352"/>
      <c r="FD31" s="352"/>
    </row>
    <row r="32" spans="1:160" ht="16.2" thickBot="1" x14ac:dyDescent="0.35">
      <c r="A32" s="64">
        <v>19</v>
      </c>
      <c r="B32" s="17" t="str">
        <f>Theory!C35</f>
        <v>MONICA K C</v>
      </c>
      <c r="C32" s="16" t="str">
        <f>Theory!B35</f>
        <v>1DS21AI034</v>
      </c>
      <c r="D32" s="334">
        <f>VLOOKUP(C32,Theory!B35:D103,3,FALSE)</f>
        <v>10</v>
      </c>
      <c r="E32" s="334">
        <f>VLOOKUP(C32,Theory!B35:E103,4,FALSE)</f>
        <v>0</v>
      </c>
      <c r="F32" s="334">
        <f>VLOOKUP(C32,Theory!B35:F103,5,FALSE)</f>
        <v>0</v>
      </c>
      <c r="G32" s="334">
        <f>VLOOKUP(C32,Theory!B35:G103,6,FALSE)</f>
        <v>0</v>
      </c>
      <c r="H32" s="335">
        <f t="shared" si="6"/>
        <v>10</v>
      </c>
      <c r="I32" s="338">
        <f>VLOOKUP(C32,Theory!B35:H103,7,FALSE)</f>
        <v>9</v>
      </c>
      <c r="J32" s="337">
        <f>VLOOKUP(C32,Theory!B35:I103,8,FALSE)</f>
        <v>0</v>
      </c>
      <c r="K32" s="337">
        <f>VLOOKUP(C32,Theory!B35:J103,9,FALSE)</f>
        <v>0</v>
      </c>
      <c r="L32" s="337">
        <f>VLOOKUP(C32,Theory!B35:K103,10,FALSE)</f>
        <v>0</v>
      </c>
      <c r="M32" s="335">
        <f t="shared" si="7"/>
        <v>9</v>
      </c>
      <c r="N32" s="336">
        <f>VLOOKUP(C32,Theory!B35:L103,11,FALSE)</f>
        <v>8</v>
      </c>
      <c r="O32" s="336">
        <f>VLOOKUP(C32,Theory!B35:M103,12,FALSE)</f>
        <v>0</v>
      </c>
      <c r="P32" s="336">
        <f>VLOOKUP(C32,Theory!B35:N103,13,FALSE)</f>
        <v>0</v>
      </c>
      <c r="Q32" s="336">
        <f>VLOOKUP(C32,Theory!B35:O103,14,FALSE)</f>
        <v>0</v>
      </c>
      <c r="R32" s="337">
        <f>VLOOKUP(C32,Theory!B35:P103,15,FALSE)</f>
        <v>0</v>
      </c>
      <c r="S32" s="337">
        <f>VLOOKUP(C32,Theory!B35:Q103,16,FALSE)</f>
        <v>0</v>
      </c>
      <c r="T32" s="337">
        <f>VLOOKUP(C32,Theory!B35:R103,17,FALSE)</f>
        <v>0</v>
      </c>
      <c r="U32" s="337">
        <f>VLOOKUP(C32,Theory!B35:S103,18,FALSE)</f>
        <v>0</v>
      </c>
      <c r="V32" s="335">
        <f t="shared" si="8"/>
        <v>8</v>
      </c>
      <c r="W32" s="334">
        <f>VLOOKUP(C32,Theory!B35:T103,19,FALSE)</f>
        <v>9</v>
      </c>
      <c r="X32" s="334">
        <f>VLOOKUP(C32,Theory!B35:U103,20,FALSE)</f>
        <v>0</v>
      </c>
      <c r="Y32" s="334">
        <f>VLOOKUP(C32,Theory!B35:V103,21,FALSE)</f>
        <v>0</v>
      </c>
      <c r="Z32" s="334">
        <f>VLOOKUP(C32,Theory!B35:W103,22,FALSE)</f>
        <v>0</v>
      </c>
      <c r="AA32" s="338">
        <f>VLOOKUP(C32,Theory!B35:X103,23,FALSE)</f>
        <v>0</v>
      </c>
      <c r="AB32" s="338">
        <f>VLOOKUP(C32,Theory!B35:Y103,24,FALSE)</f>
        <v>0</v>
      </c>
      <c r="AC32" s="338">
        <f>VLOOKUP(C32,Theory!B35:Z103,25,FALSE)</f>
        <v>0</v>
      </c>
      <c r="AD32" s="338">
        <f>VLOOKUP(C32,Theory!B35:AA103,26,FALSE)</f>
        <v>0</v>
      </c>
      <c r="AE32" s="335">
        <f t="shared" si="9"/>
        <v>9</v>
      </c>
      <c r="AF32" s="334">
        <f>VLOOKUP(C32,Theory!B35:AB103,27,FALSE)</f>
        <v>8</v>
      </c>
      <c r="AG32" s="334">
        <f>VLOOKUP(C32,Theory!B35:AC103,28,FALSE)</f>
        <v>0</v>
      </c>
      <c r="AH32" s="334">
        <f>VLOOKUP(C32,Theory!B35:AD103,29,FALSE)</f>
        <v>0</v>
      </c>
      <c r="AI32" s="334">
        <f>VLOOKUP(C32,Theory!B35:AE103,30,FALSE)</f>
        <v>0</v>
      </c>
      <c r="AJ32" s="339">
        <f>VLOOKUP(C32,Theory!B35:AF103,31,FALSE)</f>
        <v>0</v>
      </c>
      <c r="AK32" s="339">
        <f>VLOOKUP(C32,Theory!B35:AG103,32,FALSE)</f>
        <v>0</v>
      </c>
      <c r="AL32" s="339">
        <f>VLOOKUP(C32,Theory!B35:AH103,33,FALSE)</f>
        <v>0</v>
      </c>
      <c r="AM32" s="339">
        <f>VLOOKUP(C32,Theory!B35:AI103,34,FALSE)</f>
        <v>0</v>
      </c>
      <c r="AN32" s="335">
        <f t="shared" si="10"/>
        <v>8</v>
      </c>
      <c r="AO32" s="333">
        <f t="shared" si="0"/>
        <v>44</v>
      </c>
      <c r="AP32" s="340">
        <f>VLOOKUP(C32,Theory!B35:AJ103,35,FALSE)</f>
        <v>10</v>
      </c>
      <c r="AQ32" s="340">
        <f>VLOOKUP(C32,Theory!B35:AK103,36,FALSE)</f>
        <v>0</v>
      </c>
      <c r="AR32" s="340">
        <f>VLOOKUP(C32,Theory!B35:AL103,37,FALSE)</f>
        <v>0</v>
      </c>
      <c r="AS32" s="340">
        <f>VLOOKUP(C32,Theory!B35:AM103,38,FALSE)</f>
        <v>0</v>
      </c>
      <c r="AT32" s="335">
        <f t="shared" si="11"/>
        <v>10</v>
      </c>
      <c r="AU32" s="340">
        <f>VLOOKUP(C32,Theory!B35:AN103,39,FALSE)</f>
        <v>10</v>
      </c>
      <c r="AV32" s="340">
        <f>VLOOKUP(C32,Theory!B35:AO103,40,FALSE)</f>
        <v>0</v>
      </c>
      <c r="AW32" s="340">
        <f>VLOOKUP(C32,Theory!B35:AP103,41,FALSE)</f>
        <v>0</v>
      </c>
      <c r="AX32" s="340">
        <f>VLOOKUP(C32,Theory!B35:AQ103,42,FALSE)</f>
        <v>0</v>
      </c>
      <c r="AY32" s="335">
        <f t="shared" si="12"/>
        <v>10</v>
      </c>
      <c r="AZ32" s="340">
        <f>VLOOKUP(C32,Theory!B35:AR103,43,FALSE)</f>
        <v>0</v>
      </c>
      <c r="BA32" s="340">
        <f>VLOOKUP(C32,Theory!B35:AS103,44,FALSE)</f>
        <v>0</v>
      </c>
      <c r="BB32" s="340">
        <f>VLOOKUP(C32,Theory!B35:AT103,45,FALSE)</f>
        <v>0</v>
      </c>
      <c r="BC32" s="340">
        <f>VLOOKUP(C32,Theory!B35:AU103,46,FALSE)</f>
        <v>0</v>
      </c>
      <c r="BD32" s="340">
        <f>VLOOKUP(C32,Theory!B35:AV103,47,FALSE)</f>
        <v>9</v>
      </c>
      <c r="BE32" s="340">
        <f>VLOOKUP(C32,Theory!B35:AW103,48,FALSE)</f>
        <v>0</v>
      </c>
      <c r="BF32" s="340">
        <f>VLOOKUP(C32,Theory!B35:AX103,49,FALSE)</f>
        <v>0</v>
      </c>
      <c r="BG32" s="340">
        <f>VLOOKUP(C32,Theory!B35:AY103,50,FALSE)</f>
        <v>0</v>
      </c>
      <c r="BH32" s="335">
        <f t="shared" si="13"/>
        <v>9</v>
      </c>
      <c r="BI32" s="340">
        <f>VLOOKUP(C32,Theory!B35:AZ103,51,FALSE)</f>
        <v>8</v>
      </c>
      <c r="BJ32" s="340">
        <f>VLOOKUP(C32,Theory!B35:BA103,52,FALSE)</f>
        <v>0</v>
      </c>
      <c r="BK32" s="340">
        <f>VLOOKUP(C32,Theory!B35:BB103,53,FALSE)</f>
        <v>0</v>
      </c>
      <c r="BL32" s="340">
        <f>VLOOKUP(C32,Theory!B35:BC103,54,FALSE)</f>
        <v>0</v>
      </c>
      <c r="BM32" s="340">
        <f>VLOOKUP(C32,Theory!B35:BD103,55,FALSE)</f>
        <v>0</v>
      </c>
      <c r="BN32" s="340">
        <f>VLOOKUP(C32,Theory!B35:BE103,56,FALSE)</f>
        <v>0</v>
      </c>
      <c r="BO32" s="340">
        <f>VLOOKUP(C32,Theory!B35:BF103,57,FALSE)</f>
        <v>0</v>
      </c>
      <c r="BP32" s="340">
        <f>VLOOKUP(C32,Theory!B35:BG103,58,FALSE)</f>
        <v>0</v>
      </c>
      <c r="BQ32" s="335">
        <f t="shared" si="14"/>
        <v>8</v>
      </c>
      <c r="BR32" s="340">
        <f>VLOOKUP(C32,Theory!B35:BH103,59,FALSE)</f>
        <v>10</v>
      </c>
      <c r="BS32" s="340">
        <f>VLOOKUP(C32,Theory!B35:BI103,60,FALSE)</f>
        <v>0</v>
      </c>
      <c r="BT32" s="340">
        <f>VLOOKUP(C32,Theory!B35:BJ103,61,FALSE)</f>
        <v>0</v>
      </c>
      <c r="BU32" s="340">
        <f>VLOOKUP(C32,Theory!B35:BK103,62,FALSE)</f>
        <v>0</v>
      </c>
      <c r="BV32" s="340">
        <f>VLOOKUP(C32,Theory!B35:BL103,63,FALSE)</f>
        <v>0</v>
      </c>
      <c r="BW32" s="340">
        <f>VLOOKUP(C32,Theory!B35:BM103,64,FALSE)</f>
        <v>0</v>
      </c>
      <c r="BX32" s="340">
        <f>VLOOKUP(C32,Theory!B35:BN103,65,FALSE)</f>
        <v>0</v>
      </c>
      <c r="BY32" s="340">
        <f>VLOOKUP(C32,Theory!B35:BO103,66,FALSE)</f>
        <v>0</v>
      </c>
      <c r="BZ32" s="335">
        <f t="shared" si="15"/>
        <v>10</v>
      </c>
      <c r="CA32" s="333">
        <f t="shared" si="1"/>
        <v>47</v>
      </c>
      <c r="CB32" s="340">
        <f>VLOOKUP(C32,Theory!B35:BP103,67,FALSE)</f>
        <v>9</v>
      </c>
      <c r="CC32" s="340">
        <f>VLOOKUP(C32,Theory!B35:BQ103,68,FALSE)</f>
        <v>0</v>
      </c>
      <c r="CD32" s="340">
        <f>VLOOKUP(C32,Theory!B35:BR103,69,FALSE)</f>
        <v>0</v>
      </c>
      <c r="CE32" s="340">
        <f>VLOOKUP(C32,Theory!B35:BS103,70,FALSE)</f>
        <v>0</v>
      </c>
      <c r="CF32" s="335">
        <f t="shared" si="16"/>
        <v>9</v>
      </c>
      <c r="CG32" s="341">
        <f>VLOOKUP(C32,Theory!B35:BT103,71,FALSE)</f>
        <v>9</v>
      </c>
      <c r="CH32" s="341">
        <f>VLOOKUP(C32,Theory!B35:BU103,72,FALSE)</f>
        <v>0</v>
      </c>
      <c r="CI32" s="341">
        <f>VLOOKUP(C32,Theory!B35:BV103,73,FALSE)</f>
        <v>0</v>
      </c>
      <c r="CJ32" s="341">
        <f>VLOOKUP(C32,Theory!B35:BW103,74,FALSE)</f>
        <v>0</v>
      </c>
      <c r="CK32" s="335">
        <f t="shared" si="17"/>
        <v>9</v>
      </c>
      <c r="CL32" s="340">
        <f>VLOOKUP(C32,Theory!B35:BX103,75,FALSE)</f>
        <v>0</v>
      </c>
      <c r="CM32" s="342">
        <f>VLOOKUP(C32,Theory!B35:BY103,76,FALSE)</f>
        <v>0</v>
      </c>
      <c r="CN32" s="342">
        <f>VLOOKUP(C32,Theory!B35:BZ103,77,FALSE)</f>
        <v>0</v>
      </c>
      <c r="CO32" s="342">
        <f>VLOOKUP(C32,Theory!B35:CA103,78,FALSE)</f>
        <v>0</v>
      </c>
      <c r="CP32" s="340">
        <f>VLOOKUP(C32,Theory!B35:CB103,79,FALSE)</f>
        <v>9</v>
      </c>
      <c r="CQ32" s="340">
        <f>VLOOKUP(C32,Theory!B35:CC103,80,FALSE)</f>
        <v>0</v>
      </c>
      <c r="CR32" s="340">
        <f>VLOOKUP(C32,Theory!B35:CD103,81,FALSE)</f>
        <v>0</v>
      </c>
      <c r="CS32" s="340">
        <f>VLOOKUP(C32,Theory!B35:CE103,82,FALSE)</f>
        <v>0</v>
      </c>
      <c r="CT32" s="335">
        <f t="shared" si="18"/>
        <v>9</v>
      </c>
      <c r="CU32" s="341">
        <f>VLOOKUP(C32,Theory!B35:CF103,83,FALSE)</f>
        <v>0</v>
      </c>
      <c r="CV32" s="342">
        <f>VLOOKUP(C32,Theory!B35:CG103,84,FALSE)</f>
        <v>0</v>
      </c>
      <c r="CW32" s="342">
        <f>VLOOKUP(C32,Theory!B35:CH103,85,FALSE)</f>
        <v>0</v>
      </c>
      <c r="CX32" s="342">
        <f>VLOOKUP(C32,Theory!B35:CI103,86,FALSE)</f>
        <v>0</v>
      </c>
      <c r="CY32" s="341">
        <f>VLOOKUP(C32,Theory!B35:CJ103,87,FALSE)</f>
        <v>8</v>
      </c>
      <c r="CZ32" s="341">
        <f>VLOOKUP(C32,Theory!B35:CK103,88,FALSE)</f>
        <v>0</v>
      </c>
      <c r="DA32" s="341">
        <f>VLOOKUP(C32,Theory!B35:CL103,89,FALSE)</f>
        <v>0</v>
      </c>
      <c r="DB32" s="341">
        <f>VLOOKUP(C32,Theory!B35:CM103,90,FALSE)</f>
        <v>0</v>
      </c>
      <c r="DC32" s="335">
        <f t="shared" si="19"/>
        <v>8</v>
      </c>
      <c r="DD32" s="340">
        <f>VLOOKUP(C32,Theory!B35:CN103,91,FALSE)</f>
        <v>0</v>
      </c>
      <c r="DE32" s="342">
        <f>VLOOKUP(C32,Theory!B35:CO103,92,FALSE)</f>
        <v>0</v>
      </c>
      <c r="DF32" s="342">
        <f>VLOOKUP(C32,Theory!B35:CP103,93,FALSE)</f>
        <v>0</v>
      </c>
      <c r="DG32" s="342">
        <f>VLOOKUP(C32,Theory!B35:CQ103,94,FALSE)</f>
        <v>0</v>
      </c>
      <c r="DH32" s="340">
        <f>VLOOKUP(C32,Theory!B35:CR103,95,FALSE)</f>
        <v>9</v>
      </c>
      <c r="DI32" s="340">
        <f>VLOOKUP(C32,Theory!B35:CS103,96,FALSE)</f>
        <v>0</v>
      </c>
      <c r="DJ32" s="340">
        <f>VLOOKUP(C32,Theory!B35:CT103,97,FALSE)</f>
        <v>0</v>
      </c>
      <c r="DK32" s="340">
        <f>VLOOKUP(C32,Theory!B35:CU103,98,FALSE)</f>
        <v>0</v>
      </c>
      <c r="DL32" s="335">
        <f t="shared" si="20"/>
        <v>9</v>
      </c>
      <c r="DM32" s="265">
        <f t="shared" si="2"/>
        <v>44</v>
      </c>
      <c r="DN32" s="362">
        <f t="shared" si="40"/>
        <v>44</v>
      </c>
      <c r="DO32" s="362">
        <f t="shared" si="41"/>
        <v>47</v>
      </c>
      <c r="DP32" s="362">
        <f t="shared" si="42"/>
        <v>44</v>
      </c>
      <c r="DQ32" s="343">
        <f t="shared" si="43"/>
        <v>26</v>
      </c>
      <c r="DR32" s="343">
        <f t="shared" si="44"/>
        <v>28</v>
      </c>
      <c r="DS32" s="343">
        <f t="shared" si="45"/>
        <v>26</v>
      </c>
      <c r="DT32" s="328">
        <f t="shared" si="36"/>
        <v>27</v>
      </c>
      <c r="DU32" s="326">
        <f>VLOOKUP(C32,Theory!B35:CV103,99,FALSE)</f>
        <v>10</v>
      </c>
      <c r="DV32" s="326">
        <f>VLOOKUP(C32,Theory!B35:CW103,100,FALSE)</f>
        <v>10</v>
      </c>
      <c r="DW32" s="331">
        <f t="shared" si="27"/>
        <v>20</v>
      </c>
      <c r="DX32" s="266">
        <f t="shared" si="3"/>
        <v>47</v>
      </c>
      <c r="DY32" s="363">
        <f t="shared" si="4"/>
        <v>28</v>
      </c>
      <c r="DZ32" s="344">
        <f>VLOOKUP(C32,Lab!B27:D96,3,FALSE)</f>
        <v>0</v>
      </c>
      <c r="EA32" s="345">
        <f>VLOOKUP(C32,Lab!B27:E96,4,FALSE)</f>
        <v>0</v>
      </c>
      <c r="EB32" s="345">
        <f>VLOOKUP(C32,Lab!B27:F96,5,FALSE)</f>
        <v>0</v>
      </c>
      <c r="EC32" s="329">
        <f t="shared" si="37"/>
        <v>0</v>
      </c>
      <c r="ED32" s="346">
        <f>VLOOKUP(C32,Lab!B27:G96,6,FALSE)</f>
        <v>0</v>
      </c>
      <c r="EE32" s="346">
        <f>VLOOKUP(C32,Lab!B27:H96,7,FALSE)</f>
        <v>0</v>
      </c>
      <c r="EF32" s="347">
        <f>VLOOKUP(C32,Lab!B27:I96,8,FALSE)</f>
        <v>0</v>
      </c>
      <c r="EG32" s="330">
        <f t="shared" si="38"/>
        <v>0</v>
      </c>
      <c r="EH32" s="390">
        <f t="shared" si="28"/>
        <v>0</v>
      </c>
      <c r="EI32" s="349">
        <f t="shared" si="29"/>
        <v>0</v>
      </c>
      <c r="EJ32" s="391">
        <f t="shared" si="5"/>
        <v>28</v>
      </c>
      <c r="EK32" s="258">
        <v>43</v>
      </c>
      <c r="EM32" s="350">
        <f>VLOOKUP(C32,Theory!B35:DL103,114,FALSE)</f>
        <v>0</v>
      </c>
      <c r="EN32" s="350">
        <f>VLOOKUP(C32,Theory!B35:DM103,115,FALSE)</f>
        <v>0</v>
      </c>
      <c r="EO32" s="350">
        <f>VLOOKUP(C32,Theory!B35:DN103,116,FALSE)</f>
        <v>0</v>
      </c>
      <c r="EP32" s="350">
        <f>VLOOKUP(C32,Theory!B35:DO101,117,FALSE)</f>
        <v>0</v>
      </c>
      <c r="EQ32" s="350">
        <f>VLOOKUP(C32,Theory!B35:DP101,118,FALSE)</f>
        <v>0</v>
      </c>
      <c r="ER32" s="351">
        <f>VLOOKUP(C32,Theory!B35:DQ101,119,FALSE)</f>
        <v>0</v>
      </c>
      <c r="ES32" s="327">
        <f>VLOOKUP(C32,Theory!B35:DR101,120,FALSE)</f>
        <v>0</v>
      </c>
      <c r="ET32" s="348">
        <f t="shared" si="39"/>
        <v>0</v>
      </c>
      <c r="EU32" s="352"/>
      <c r="EV32" s="352"/>
      <c r="EW32" s="352"/>
      <c r="EX32" s="352"/>
      <c r="EY32" s="352"/>
      <c r="EZ32" s="352"/>
      <c r="FA32" s="352"/>
      <c r="FB32" s="352"/>
      <c r="FC32" s="352"/>
      <c r="FD32" s="352"/>
    </row>
    <row r="33" spans="1:160" ht="16.2" thickBot="1" x14ac:dyDescent="0.35">
      <c r="A33" s="64">
        <v>20</v>
      </c>
      <c r="B33" s="17" t="str">
        <f>Theory!C36</f>
        <v>NANDITHA K G</v>
      </c>
      <c r="C33" s="16" t="str">
        <f>Theory!B36</f>
        <v>1DS21AI035</v>
      </c>
      <c r="D33" s="334">
        <f>VLOOKUP(C33,Theory!B36:D104,3,FALSE)</f>
        <v>8</v>
      </c>
      <c r="E33" s="334">
        <f>VLOOKUP(C33,Theory!B36:E104,4,FALSE)</f>
        <v>0</v>
      </c>
      <c r="F33" s="334">
        <f>VLOOKUP(C33,Theory!B36:F104,5,FALSE)</f>
        <v>0</v>
      </c>
      <c r="G33" s="334">
        <f>VLOOKUP(C33,Theory!B36:G104,6,FALSE)</f>
        <v>0</v>
      </c>
      <c r="H33" s="335">
        <f t="shared" si="6"/>
        <v>8</v>
      </c>
      <c r="I33" s="338">
        <f>VLOOKUP(C33,Theory!B36:H104,7,FALSE)</f>
        <v>7</v>
      </c>
      <c r="J33" s="337">
        <f>VLOOKUP(C33,Theory!B36:I104,8,FALSE)</f>
        <v>0</v>
      </c>
      <c r="K33" s="337">
        <f>VLOOKUP(C33,Theory!B36:J104,9,FALSE)</f>
        <v>0</v>
      </c>
      <c r="L33" s="337">
        <f>VLOOKUP(C33,Theory!B36:K104,10,FALSE)</f>
        <v>0</v>
      </c>
      <c r="M33" s="335">
        <f t="shared" si="7"/>
        <v>7</v>
      </c>
      <c r="N33" s="336">
        <f>VLOOKUP(C33,Theory!B36:L104,11,FALSE)</f>
        <v>0</v>
      </c>
      <c r="O33" s="336">
        <f>VLOOKUP(C33,Theory!B36:M104,12,FALSE)</f>
        <v>0</v>
      </c>
      <c r="P33" s="336">
        <f>VLOOKUP(C33,Theory!B36:N104,13,FALSE)</f>
        <v>0</v>
      </c>
      <c r="Q33" s="336">
        <f>VLOOKUP(C33,Theory!B36:O104,14,FALSE)</f>
        <v>0</v>
      </c>
      <c r="R33" s="337">
        <f>VLOOKUP(C33,Theory!B36:P104,15,FALSE)</f>
        <v>6</v>
      </c>
      <c r="S33" s="337">
        <f>VLOOKUP(C33,Theory!B36:Q104,16,FALSE)</f>
        <v>0</v>
      </c>
      <c r="T33" s="337">
        <f>VLOOKUP(C33,Theory!B36:R104,17,FALSE)</f>
        <v>0</v>
      </c>
      <c r="U33" s="337">
        <f>VLOOKUP(C33,Theory!B36:S104,18,FALSE)</f>
        <v>0</v>
      </c>
      <c r="V33" s="335">
        <f t="shared" si="8"/>
        <v>6</v>
      </c>
      <c r="W33" s="334">
        <f>VLOOKUP(C33,Theory!B36:T104,19,FALSE)</f>
        <v>7</v>
      </c>
      <c r="X33" s="334">
        <f>VLOOKUP(C33,Theory!B36:U104,20,FALSE)</f>
        <v>0</v>
      </c>
      <c r="Y33" s="334">
        <f>VLOOKUP(C33,Theory!B36:V104,21,FALSE)</f>
        <v>0</v>
      </c>
      <c r="Z33" s="334">
        <f>VLOOKUP(C33,Theory!B36:W104,22,FALSE)</f>
        <v>0</v>
      </c>
      <c r="AA33" s="338">
        <f>VLOOKUP(C33,Theory!B36:X104,23,FALSE)</f>
        <v>0</v>
      </c>
      <c r="AB33" s="338">
        <f>VLOOKUP(C33,Theory!B36:Y104,24,FALSE)</f>
        <v>0</v>
      </c>
      <c r="AC33" s="338">
        <f>VLOOKUP(C33,Theory!B36:Z104,25,FALSE)</f>
        <v>0</v>
      </c>
      <c r="AD33" s="338">
        <f>VLOOKUP(C33,Theory!B36:AA104,26,FALSE)</f>
        <v>0</v>
      </c>
      <c r="AE33" s="335">
        <f t="shared" si="9"/>
        <v>7</v>
      </c>
      <c r="AF33" s="334">
        <f>VLOOKUP(C33,Theory!B36:AB104,27,FALSE)</f>
        <v>10</v>
      </c>
      <c r="AG33" s="334">
        <f>VLOOKUP(C33,Theory!B36:AC104,28,FALSE)</f>
        <v>0</v>
      </c>
      <c r="AH33" s="334">
        <f>VLOOKUP(C33,Theory!B36:AD104,29,FALSE)</f>
        <v>0</v>
      </c>
      <c r="AI33" s="334">
        <f>VLOOKUP(C33,Theory!B36:AE104,30,FALSE)</f>
        <v>0</v>
      </c>
      <c r="AJ33" s="339">
        <f>VLOOKUP(C33,Theory!B36:AF104,31,FALSE)</f>
        <v>0</v>
      </c>
      <c r="AK33" s="339">
        <f>VLOOKUP(C33,Theory!B36:AG104,32,FALSE)</f>
        <v>0</v>
      </c>
      <c r="AL33" s="339">
        <f>VLOOKUP(C33,Theory!B36:AH104,33,FALSE)</f>
        <v>0</v>
      </c>
      <c r="AM33" s="339">
        <f>VLOOKUP(C33,Theory!B36:AI104,34,FALSE)</f>
        <v>0</v>
      </c>
      <c r="AN33" s="335">
        <f t="shared" si="10"/>
        <v>10</v>
      </c>
      <c r="AO33" s="333">
        <f t="shared" si="0"/>
        <v>38</v>
      </c>
      <c r="AP33" s="340">
        <f>VLOOKUP(C33,Theory!B36:AJ104,35,FALSE)</f>
        <v>7</v>
      </c>
      <c r="AQ33" s="340">
        <f>VLOOKUP(C33,Theory!B36:AK104,36,FALSE)</f>
        <v>0</v>
      </c>
      <c r="AR33" s="340">
        <f>VLOOKUP(C33,Theory!B36:AL104,37,FALSE)</f>
        <v>0</v>
      </c>
      <c r="AS33" s="340">
        <f>VLOOKUP(C33,Theory!B36:AM104,38,FALSE)</f>
        <v>0</v>
      </c>
      <c r="AT33" s="335">
        <f t="shared" si="11"/>
        <v>7</v>
      </c>
      <c r="AU33" s="340">
        <f>VLOOKUP(C33,Theory!B36:AN104,39,FALSE)</f>
        <v>6</v>
      </c>
      <c r="AV33" s="340">
        <f>VLOOKUP(C33,Theory!B36:AO104,40,FALSE)</f>
        <v>0</v>
      </c>
      <c r="AW33" s="340">
        <f>VLOOKUP(C33,Theory!B36:AP104,41,FALSE)</f>
        <v>0</v>
      </c>
      <c r="AX33" s="340">
        <f>VLOOKUP(C33,Theory!B36:AQ104,42,FALSE)</f>
        <v>0</v>
      </c>
      <c r="AY33" s="335">
        <f t="shared" si="12"/>
        <v>6</v>
      </c>
      <c r="AZ33" s="340">
        <f>VLOOKUP(C33,Theory!B36:AR104,43,FALSE)</f>
        <v>9</v>
      </c>
      <c r="BA33" s="340">
        <f>VLOOKUP(C33,Theory!B36:AS104,44,FALSE)</f>
        <v>0</v>
      </c>
      <c r="BB33" s="340">
        <f>VLOOKUP(C33,Theory!B36:AT104,45,FALSE)</f>
        <v>0</v>
      </c>
      <c r="BC33" s="340">
        <f>VLOOKUP(C33,Theory!B36:AU104,46,FALSE)</f>
        <v>0</v>
      </c>
      <c r="BD33" s="340">
        <f>VLOOKUP(C33,Theory!B36:AV104,47,FALSE)</f>
        <v>0</v>
      </c>
      <c r="BE33" s="340">
        <f>VLOOKUP(C33,Theory!B36:AW104,48,FALSE)</f>
        <v>0</v>
      </c>
      <c r="BF33" s="340">
        <f>VLOOKUP(C33,Theory!B36:AX104,49,FALSE)</f>
        <v>0</v>
      </c>
      <c r="BG33" s="340">
        <f>VLOOKUP(C33,Theory!B36:AY104,50,FALSE)</f>
        <v>0</v>
      </c>
      <c r="BH33" s="335">
        <f t="shared" si="13"/>
        <v>9</v>
      </c>
      <c r="BI33" s="340">
        <f>VLOOKUP(C33,Theory!B36:AZ104,51,FALSE)</f>
        <v>8</v>
      </c>
      <c r="BJ33" s="340">
        <f>VLOOKUP(C33,Theory!B36:BA104,52,FALSE)</f>
        <v>0</v>
      </c>
      <c r="BK33" s="340">
        <f>VLOOKUP(C33,Theory!B36:BB104,53,FALSE)</f>
        <v>0</v>
      </c>
      <c r="BL33" s="340">
        <f>VLOOKUP(C33,Theory!B36:BC104,54,FALSE)</f>
        <v>0</v>
      </c>
      <c r="BM33" s="340">
        <f>VLOOKUP(C33,Theory!B36:BD104,55,FALSE)</f>
        <v>0</v>
      </c>
      <c r="BN33" s="340">
        <f>VLOOKUP(C33,Theory!B36:BE104,56,FALSE)</f>
        <v>0</v>
      </c>
      <c r="BO33" s="340">
        <f>VLOOKUP(C33,Theory!B36:BF104,57,FALSE)</f>
        <v>0</v>
      </c>
      <c r="BP33" s="340">
        <f>VLOOKUP(C33,Theory!B36:BG104,58,FALSE)</f>
        <v>0</v>
      </c>
      <c r="BQ33" s="335">
        <f t="shared" si="14"/>
        <v>8</v>
      </c>
      <c r="BR33" s="340">
        <f>VLOOKUP(C33,Theory!B36:BH104,59,FALSE)</f>
        <v>9</v>
      </c>
      <c r="BS33" s="340">
        <f>VLOOKUP(C33,Theory!B36:BI104,60,FALSE)</f>
        <v>0</v>
      </c>
      <c r="BT33" s="340">
        <f>VLOOKUP(C33,Theory!B36:BJ104,61,FALSE)</f>
        <v>0</v>
      </c>
      <c r="BU33" s="340">
        <f>VLOOKUP(C33,Theory!B36:BK104,62,FALSE)</f>
        <v>0</v>
      </c>
      <c r="BV33" s="340">
        <f>VLOOKUP(C33,Theory!B36:BL104,63,FALSE)</f>
        <v>0</v>
      </c>
      <c r="BW33" s="340">
        <f>VLOOKUP(C33,Theory!B36:BM104,64,FALSE)</f>
        <v>0</v>
      </c>
      <c r="BX33" s="340">
        <f>VLOOKUP(C33,Theory!B36:BN104,65,FALSE)</f>
        <v>0</v>
      </c>
      <c r="BY33" s="340">
        <f>VLOOKUP(C33,Theory!B36:BO104,66,FALSE)</f>
        <v>0</v>
      </c>
      <c r="BZ33" s="335">
        <f t="shared" si="15"/>
        <v>9</v>
      </c>
      <c r="CA33" s="333">
        <f t="shared" si="1"/>
        <v>39</v>
      </c>
      <c r="CB33" s="340">
        <f>VLOOKUP(C33,Theory!B36:BP104,67,FALSE)</f>
        <v>0</v>
      </c>
      <c r="CC33" s="340">
        <f>VLOOKUP(C33,Theory!B36:BQ104,68,FALSE)</f>
        <v>0</v>
      </c>
      <c r="CD33" s="340">
        <f>VLOOKUP(C33,Theory!B36:BR104,69,FALSE)</f>
        <v>0</v>
      </c>
      <c r="CE33" s="340">
        <f>VLOOKUP(C33,Theory!B36:BS104,70,FALSE)</f>
        <v>0</v>
      </c>
      <c r="CF33" s="335">
        <f t="shared" si="16"/>
        <v>0</v>
      </c>
      <c r="CG33" s="341">
        <f>VLOOKUP(C33,Theory!B36:BT104,71,FALSE)</f>
        <v>9</v>
      </c>
      <c r="CH33" s="341">
        <f>VLOOKUP(C33,Theory!B36:BU104,72,FALSE)</f>
        <v>0</v>
      </c>
      <c r="CI33" s="341">
        <f>VLOOKUP(C33,Theory!B36:BV104,73,FALSE)</f>
        <v>0</v>
      </c>
      <c r="CJ33" s="341">
        <f>VLOOKUP(C33,Theory!B36:BW104,74,FALSE)</f>
        <v>0</v>
      </c>
      <c r="CK33" s="335">
        <f t="shared" si="17"/>
        <v>9</v>
      </c>
      <c r="CL33" s="340">
        <f>VLOOKUP(C33,Theory!B36:BX104,75,FALSE)</f>
        <v>8</v>
      </c>
      <c r="CM33" s="342">
        <f>VLOOKUP(C33,Theory!B36:BY104,76,FALSE)</f>
        <v>0</v>
      </c>
      <c r="CN33" s="342">
        <f>VLOOKUP(C33,Theory!B36:BZ104,77,FALSE)</f>
        <v>0</v>
      </c>
      <c r="CO33" s="342">
        <f>VLOOKUP(C33,Theory!B36:CA104,78,FALSE)</f>
        <v>0</v>
      </c>
      <c r="CP33" s="340">
        <f>VLOOKUP(C33,Theory!B36:CB104,79,FALSE)</f>
        <v>0</v>
      </c>
      <c r="CQ33" s="340">
        <f>VLOOKUP(C33,Theory!B36:CC104,80,FALSE)</f>
        <v>0</v>
      </c>
      <c r="CR33" s="340">
        <f>VLOOKUP(C33,Theory!B36:CD104,81,FALSE)</f>
        <v>0</v>
      </c>
      <c r="CS33" s="340">
        <f>VLOOKUP(C33,Theory!B36:CE104,82,FALSE)</f>
        <v>0</v>
      </c>
      <c r="CT33" s="335">
        <f t="shared" si="18"/>
        <v>8</v>
      </c>
      <c r="CU33" s="341">
        <f>VLOOKUP(C33,Theory!B36:CF104,83,FALSE)</f>
        <v>10</v>
      </c>
      <c r="CV33" s="342">
        <f>VLOOKUP(C33,Theory!B36:CG104,84,FALSE)</f>
        <v>0</v>
      </c>
      <c r="CW33" s="342">
        <f>VLOOKUP(C33,Theory!B36:CH104,85,FALSE)</f>
        <v>0</v>
      </c>
      <c r="CX33" s="342">
        <f>VLOOKUP(C33,Theory!B36:CI104,86,FALSE)</f>
        <v>0</v>
      </c>
      <c r="CY33" s="341">
        <f>VLOOKUP(C33,Theory!B36:CJ104,87,FALSE)</f>
        <v>0</v>
      </c>
      <c r="CZ33" s="341">
        <f>VLOOKUP(C33,Theory!B36:CK104,88,FALSE)</f>
        <v>0</v>
      </c>
      <c r="DA33" s="341">
        <f>VLOOKUP(C33,Theory!B36:CL104,89,FALSE)</f>
        <v>0</v>
      </c>
      <c r="DB33" s="341">
        <f>VLOOKUP(C33,Theory!B36:CM104,90,FALSE)</f>
        <v>0</v>
      </c>
      <c r="DC33" s="335">
        <f t="shared" si="19"/>
        <v>10</v>
      </c>
      <c r="DD33" s="340">
        <f>VLOOKUP(C33,Theory!B36:CN104,91,FALSE)</f>
        <v>0</v>
      </c>
      <c r="DE33" s="342">
        <f>VLOOKUP(C33,Theory!B36:CO104,92,FALSE)</f>
        <v>0</v>
      </c>
      <c r="DF33" s="342">
        <f>VLOOKUP(C33,Theory!B36:CP104,93,FALSE)</f>
        <v>0</v>
      </c>
      <c r="DG33" s="342">
        <f>VLOOKUP(C33,Theory!B36:CQ104,94,FALSE)</f>
        <v>0</v>
      </c>
      <c r="DH33" s="340">
        <f>VLOOKUP(C33,Theory!B36:CR104,95,FALSE)</f>
        <v>9</v>
      </c>
      <c r="DI33" s="340">
        <f>VLOOKUP(C33,Theory!B36:CS104,96,FALSE)</f>
        <v>0</v>
      </c>
      <c r="DJ33" s="340">
        <f>VLOOKUP(C33,Theory!B36:CT104,97,FALSE)</f>
        <v>0</v>
      </c>
      <c r="DK33" s="340">
        <f>VLOOKUP(C33,Theory!B36:CU104,98,FALSE)</f>
        <v>0</v>
      </c>
      <c r="DL33" s="335">
        <f t="shared" si="20"/>
        <v>9</v>
      </c>
      <c r="DM33" s="265">
        <f t="shared" si="2"/>
        <v>36</v>
      </c>
      <c r="DN33" s="362">
        <f t="shared" si="40"/>
        <v>38</v>
      </c>
      <c r="DO33" s="362">
        <f t="shared" si="41"/>
        <v>39</v>
      </c>
      <c r="DP33" s="362">
        <f t="shared" si="42"/>
        <v>36</v>
      </c>
      <c r="DQ33" s="343">
        <f t="shared" si="43"/>
        <v>23</v>
      </c>
      <c r="DR33" s="343">
        <f t="shared" si="44"/>
        <v>23</v>
      </c>
      <c r="DS33" s="343">
        <f t="shared" si="45"/>
        <v>22</v>
      </c>
      <c r="DT33" s="328">
        <f t="shared" si="36"/>
        <v>23</v>
      </c>
      <c r="DU33" s="326">
        <f>VLOOKUP(C33,Theory!B36:CV104,99,FALSE)</f>
        <v>10</v>
      </c>
      <c r="DV33" s="326">
        <f>VLOOKUP(C33,Theory!B36:CW104,100,FALSE)</f>
        <v>10</v>
      </c>
      <c r="DW33" s="331">
        <f t="shared" si="27"/>
        <v>20</v>
      </c>
      <c r="DX33" s="266">
        <f t="shared" si="3"/>
        <v>43</v>
      </c>
      <c r="DY33" s="363">
        <f t="shared" si="4"/>
        <v>26</v>
      </c>
      <c r="DZ33" s="344">
        <f>VLOOKUP(C33,Lab!B28:D97,3,FALSE)</f>
        <v>0</v>
      </c>
      <c r="EA33" s="345">
        <f>VLOOKUP(C33,Lab!B28:E97,4,FALSE)</f>
        <v>0</v>
      </c>
      <c r="EB33" s="345">
        <f>VLOOKUP(C33,Lab!B28:F97,5,FALSE)</f>
        <v>0</v>
      </c>
      <c r="EC33" s="329">
        <f t="shared" si="37"/>
        <v>0</v>
      </c>
      <c r="ED33" s="346">
        <f>VLOOKUP(C33,Lab!B28:G97,6,FALSE)</f>
        <v>0</v>
      </c>
      <c r="EE33" s="346">
        <f>VLOOKUP(C33,Lab!B28:H97,7,FALSE)</f>
        <v>0</v>
      </c>
      <c r="EF33" s="347">
        <f>VLOOKUP(C33,Lab!B28:I97,8,FALSE)</f>
        <v>0</v>
      </c>
      <c r="EG33" s="330">
        <f t="shared" si="38"/>
        <v>0</v>
      </c>
      <c r="EH33" s="390">
        <f t="shared" si="28"/>
        <v>0</v>
      </c>
      <c r="EI33" s="349">
        <f t="shared" si="29"/>
        <v>0</v>
      </c>
      <c r="EJ33" s="391">
        <f t="shared" si="5"/>
        <v>26</v>
      </c>
      <c r="EK33" s="258">
        <v>42</v>
      </c>
      <c r="EM33" s="350">
        <f>VLOOKUP(C33,Theory!B36:DL104,114,FALSE)</f>
        <v>0</v>
      </c>
      <c r="EN33" s="350">
        <f>VLOOKUP(C33,Theory!B36:DM104,115,FALSE)</f>
        <v>0</v>
      </c>
      <c r="EO33" s="350">
        <f>VLOOKUP(C33,Theory!B36:DN104,116,FALSE)</f>
        <v>0</v>
      </c>
      <c r="EP33" s="350">
        <f>VLOOKUP(C33,Theory!B36:DO102,117,FALSE)</f>
        <v>0</v>
      </c>
      <c r="EQ33" s="350">
        <f>VLOOKUP(C33,Theory!B36:DP102,118,FALSE)</f>
        <v>0</v>
      </c>
      <c r="ER33" s="351">
        <f>VLOOKUP(C33,Theory!B36:DQ102,119,FALSE)</f>
        <v>0</v>
      </c>
      <c r="ES33" s="327">
        <f>VLOOKUP(C33,Theory!B36:DR102,120,FALSE)</f>
        <v>0</v>
      </c>
      <c r="ET33" s="348">
        <f t="shared" si="39"/>
        <v>0</v>
      </c>
      <c r="EU33" s="352"/>
      <c r="EV33" s="352"/>
      <c r="EW33" s="352"/>
      <c r="EX33" s="352"/>
      <c r="EY33" s="352"/>
      <c r="EZ33" s="352"/>
      <c r="FA33" s="352"/>
      <c r="FB33" s="352"/>
      <c r="FC33" s="352"/>
      <c r="FD33" s="352"/>
    </row>
    <row r="34" spans="1:160" ht="16.2" thickBot="1" x14ac:dyDescent="0.35">
      <c r="A34" s="64">
        <v>21</v>
      </c>
      <c r="B34" s="17" t="str">
        <f>Theory!C37</f>
        <v>PRAJWAL K</v>
      </c>
      <c r="C34" s="16" t="str">
        <f>Theory!B37</f>
        <v>1DS21AI038</v>
      </c>
      <c r="D34" s="334">
        <f>VLOOKUP(C34,Theory!B37:D105,3,FALSE)</f>
        <v>0</v>
      </c>
      <c r="E34" s="334">
        <f>VLOOKUP(C34,Theory!B37:E105,4,FALSE)</f>
        <v>0</v>
      </c>
      <c r="F34" s="334">
        <f>VLOOKUP(C34,Theory!B37:F105,5,FALSE)</f>
        <v>0</v>
      </c>
      <c r="G34" s="334">
        <f>VLOOKUP(C34,Theory!B37:G105,6,FALSE)</f>
        <v>0</v>
      </c>
      <c r="H34" s="335">
        <f t="shared" si="6"/>
        <v>0</v>
      </c>
      <c r="I34" s="338">
        <f>VLOOKUP(C34,Theory!B37:H105,7,FALSE)</f>
        <v>0</v>
      </c>
      <c r="J34" s="337">
        <f>VLOOKUP(C34,Theory!B37:I105,8,FALSE)</f>
        <v>0</v>
      </c>
      <c r="K34" s="337">
        <f>VLOOKUP(C34,Theory!B37:J105,9,FALSE)</f>
        <v>0</v>
      </c>
      <c r="L34" s="337">
        <f>VLOOKUP(C34,Theory!B37:K105,10,FALSE)</f>
        <v>0</v>
      </c>
      <c r="M34" s="335">
        <f t="shared" si="7"/>
        <v>0</v>
      </c>
      <c r="N34" s="336">
        <f>VLOOKUP(C34,Theory!B37:L105,11,FALSE)</f>
        <v>0</v>
      </c>
      <c r="O34" s="336">
        <f>VLOOKUP(C34,Theory!B37:M105,12,FALSE)</f>
        <v>0</v>
      </c>
      <c r="P34" s="336">
        <f>VLOOKUP(C34,Theory!B37:N105,13,FALSE)</f>
        <v>0</v>
      </c>
      <c r="Q34" s="336">
        <f>VLOOKUP(C34,Theory!B37:O105,14,FALSE)</f>
        <v>0</v>
      </c>
      <c r="R34" s="337">
        <f>VLOOKUP(C34,Theory!B37:P105,15,FALSE)</f>
        <v>0</v>
      </c>
      <c r="S34" s="337">
        <f>VLOOKUP(C34,Theory!B37:Q105,16,FALSE)</f>
        <v>0</v>
      </c>
      <c r="T34" s="337">
        <f>VLOOKUP(C34,Theory!B37:R105,17,FALSE)</f>
        <v>0</v>
      </c>
      <c r="U34" s="337">
        <f>VLOOKUP(C34,Theory!B37:S105,18,FALSE)</f>
        <v>0</v>
      </c>
      <c r="V34" s="335">
        <f t="shared" si="8"/>
        <v>0</v>
      </c>
      <c r="W34" s="334">
        <f>VLOOKUP(C34,Theory!B37:T105,19,FALSE)</f>
        <v>0</v>
      </c>
      <c r="X34" s="334">
        <f>VLOOKUP(C34,Theory!B37:U105,20,FALSE)</f>
        <v>0</v>
      </c>
      <c r="Y34" s="334">
        <f>VLOOKUP(C34,Theory!B37:V105,21,FALSE)</f>
        <v>0</v>
      </c>
      <c r="Z34" s="334">
        <f>VLOOKUP(C34,Theory!B37:W105,22,FALSE)</f>
        <v>0</v>
      </c>
      <c r="AA34" s="338">
        <f>VLOOKUP(C34,Theory!B37:X105,23,FALSE)</f>
        <v>0</v>
      </c>
      <c r="AB34" s="338">
        <f>VLOOKUP(C34,Theory!B37:Y105,24,FALSE)</f>
        <v>0</v>
      </c>
      <c r="AC34" s="338">
        <f>VLOOKUP(C34,Theory!B37:Z105,25,FALSE)</f>
        <v>0</v>
      </c>
      <c r="AD34" s="338">
        <f>VLOOKUP(C34,Theory!B37:AA105,26,FALSE)</f>
        <v>0</v>
      </c>
      <c r="AE34" s="335">
        <f t="shared" si="9"/>
        <v>0</v>
      </c>
      <c r="AF34" s="334">
        <f>VLOOKUP(C34,Theory!B37:AB105,27,FALSE)</f>
        <v>0</v>
      </c>
      <c r="AG34" s="334">
        <f>VLOOKUP(C34,Theory!B37:AC105,28,FALSE)</f>
        <v>0</v>
      </c>
      <c r="AH34" s="334">
        <f>VLOOKUP(C34,Theory!B37:AD105,29,FALSE)</f>
        <v>0</v>
      </c>
      <c r="AI34" s="334">
        <f>VLOOKUP(C34,Theory!B37:AE105,30,FALSE)</f>
        <v>0</v>
      </c>
      <c r="AJ34" s="339">
        <f>VLOOKUP(C34,Theory!B37:AF105,31,FALSE)</f>
        <v>0</v>
      </c>
      <c r="AK34" s="339">
        <f>VLOOKUP(C34,Theory!B37:AG105,32,FALSE)</f>
        <v>0</v>
      </c>
      <c r="AL34" s="339">
        <f>VLOOKUP(C34,Theory!B37:AH105,33,FALSE)</f>
        <v>0</v>
      </c>
      <c r="AM34" s="339">
        <f>VLOOKUP(C34,Theory!B37:AI105,34,FALSE)</f>
        <v>0</v>
      </c>
      <c r="AN34" s="335">
        <f t="shared" si="10"/>
        <v>0</v>
      </c>
      <c r="AO34" s="333">
        <f t="shared" si="0"/>
        <v>0</v>
      </c>
      <c r="AP34" s="340">
        <f>VLOOKUP(C34,Theory!B37:AJ105,35,FALSE)</f>
        <v>8</v>
      </c>
      <c r="AQ34" s="340">
        <f>VLOOKUP(C34,Theory!B37:AK105,36,FALSE)</f>
        <v>0</v>
      </c>
      <c r="AR34" s="340">
        <f>VLOOKUP(C34,Theory!B37:AL105,37,FALSE)</f>
        <v>0</v>
      </c>
      <c r="AS34" s="340">
        <f>VLOOKUP(C34,Theory!B37:AM105,38,FALSE)</f>
        <v>0</v>
      </c>
      <c r="AT34" s="335">
        <f t="shared" si="11"/>
        <v>8</v>
      </c>
      <c r="AU34" s="340">
        <f>VLOOKUP(C34,Theory!B37:AN105,39,FALSE)</f>
        <v>7</v>
      </c>
      <c r="AV34" s="340">
        <f>VLOOKUP(C34,Theory!B37:AO105,40,FALSE)</f>
        <v>0</v>
      </c>
      <c r="AW34" s="340">
        <f>VLOOKUP(C34,Theory!B37:AP105,41,FALSE)</f>
        <v>0</v>
      </c>
      <c r="AX34" s="340">
        <f>VLOOKUP(C34,Theory!B37:AQ105,42,FALSE)</f>
        <v>0</v>
      </c>
      <c r="AY34" s="335">
        <f t="shared" si="12"/>
        <v>7</v>
      </c>
      <c r="AZ34" s="340">
        <f>VLOOKUP(C34,Theory!B37:AR105,43,FALSE)</f>
        <v>9</v>
      </c>
      <c r="BA34" s="340">
        <f>VLOOKUP(C34,Theory!B37:AS105,44,FALSE)</f>
        <v>0</v>
      </c>
      <c r="BB34" s="340">
        <f>VLOOKUP(C34,Theory!B37:AT105,45,FALSE)</f>
        <v>0</v>
      </c>
      <c r="BC34" s="340">
        <f>VLOOKUP(C34,Theory!B37:AU105,46,FALSE)</f>
        <v>0</v>
      </c>
      <c r="BD34" s="340">
        <f>VLOOKUP(C34,Theory!B37:AV105,47,FALSE)</f>
        <v>0</v>
      </c>
      <c r="BE34" s="340">
        <f>VLOOKUP(C34,Theory!B37:AW105,48,FALSE)</f>
        <v>0</v>
      </c>
      <c r="BF34" s="340">
        <f>VLOOKUP(C34,Theory!B37:AX105,49,FALSE)</f>
        <v>0</v>
      </c>
      <c r="BG34" s="340">
        <f>VLOOKUP(C34,Theory!B37:AY105,50,FALSE)</f>
        <v>0</v>
      </c>
      <c r="BH34" s="335">
        <f t="shared" si="13"/>
        <v>9</v>
      </c>
      <c r="BI34" s="340">
        <f>VLOOKUP(C34,Theory!B37:AZ105,51,FALSE)</f>
        <v>8</v>
      </c>
      <c r="BJ34" s="340">
        <f>VLOOKUP(C34,Theory!B37:BA105,52,FALSE)</f>
        <v>0</v>
      </c>
      <c r="BK34" s="340">
        <f>VLOOKUP(C34,Theory!B37:BB105,53,FALSE)</f>
        <v>0</v>
      </c>
      <c r="BL34" s="340">
        <f>VLOOKUP(C34,Theory!B37:BC105,54,FALSE)</f>
        <v>0</v>
      </c>
      <c r="BM34" s="340">
        <f>VLOOKUP(C34,Theory!B37:BD105,55,FALSE)</f>
        <v>0</v>
      </c>
      <c r="BN34" s="340">
        <f>VLOOKUP(C34,Theory!B37:BE105,56,FALSE)</f>
        <v>0</v>
      </c>
      <c r="BO34" s="340">
        <f>VLOOKUP(C34,Theory!B37:BF105,57,FALSE)</f>
        <v>0</v>
      </c>
      <c r="BP34" s="340">
        <f>VLOOKUP(C34,Theory!B37:BG105,58,FALSE)</f>
        <v>0</v>
      </c>
      <c r="BQ34" s="335">
        <f t="shared" si="14"/>
        <v>8</v>
      </c>
      <c r="BR34" s="340">
        <f>VLOOKUP(C34,Theory!B37:BH105,59,FALSE)</f>
        <v>8</v>
      </c>
      <c r="BS34" s="340">
        <f>VLOOKUP(C34,Theory!B37:BI105,60,FALSE)</f>
        <v>0</v>
      </c>
      <c r="BT34" s="340">
        <f>VLOOKUP(C34,Theory!B37:BJ105,61,FALSE)</f>
        <v>0</v>
      </c>
      <c r="BU34" s="340">
        <f>VLOOKUP(C34,Theory!B37:BK105,62,FALSE)</f>
        <v>0</v>
      </c>
      <c r="BV34" s="340">
        <f>VLOOKUP(C34,Theory!B37:BL105,63,FALSE)</f>
        <v>0</v>
      </c>
      <c r="BW34" s="340">
        <f>VLOOKUP(C34,Theory!B37:BM105,64,FALSE)</f>
        <v>0</v>
      </c>
      <c r="BX34" s="340">
        <f>VLOOKUP(C34,Theory!B37:BN105,65,FALSE)</f>
        <v>0</v>
      </c>
      <c r="BY34" s="340">
        <f>VLOOKUP(C34,Theory!B37:BO105,66,FALSE)</f>
        <v>0</v>
      </c>
      <c r="BZ34" s="335">
        <f t="shared" si="15"/>
        <v>8</v>
      </c>
      <c r="CA34" s="333">
        <f t="shared" si="1"/>
        <v>40</v>
      </c>
      <c r="CB34" s="340">
        <f>VLOOKUP(C34,Theory!B37:BP105,67,FALSE)</f>
        <v>8</v>
      </c>
      <c r="CC34" s="340">
        <f>VLOOKUP(C34,Theory!B37:BQ105,68,FALSE)</f>
        <v>0</v>
      </c>
      <c r="CD34" s="340">
        <f>VLOOKUP(C34,Theory!B37:BR105,69,FALSE)</f>
        <v>0</v>
      </c>
      <c r="CE34" s="340">
        <f>VLOOKUP(C34,Theory!B37:BS105,70,FALSE)</f>
        <v>0</v>
      </c>
      <c r="CF34" s="335">
        <f t="shared" si="16"/>
        <v>8</v>
      </c>
      <c r="CG34" s="341">
        <f>VLOOKUP(C34,Theory!B37:BT105,71,FALSE)</f>
        <v>8</v>
      </c>
      <c r="CH34" s="341">
        <f>VLOOKUP(C34,Theory!B37:BU105,72,FALSE)</f>
        <v>0</v>
      </c>
      <c r="CI34" s="341">
        <f>VLOOKUP(C34,Theory!B37:BV105,73,FALSE)</f>
        <v>0</v>
      </c>
      <c r="CJ34" s="341">
        <f>VLOOKUP(C34,Theory!B37:BW105,74,FALSE)</f>
        <v>0</v>
      </c>
      <c r="CK34" s="335">
        <f t="shared" si="17"/>
        <v>8</v>
      </c>
      <c r="CL34" s="340">
        <f>VLOOKUP(C34,Theory!B37:BX105,75,FALSE)</f>
        <v>9</v>
      </c>
      <c r="CM34" s="342">
        <f>VLOOKUP(C34,Theory!B37:BY105,76,FALSE)</f>
        <v>0</v>
      </c>
      <c r="CN34" s="342">
        <f>VLOOKUP(C34,Theory!B37:BZ105,77,FALSE)</f>
        <v>0</v>
      </c>
      <c r="CO34" s="342">
        <f>VLOOKUP(C34,Theory!B37:CA105,78,FALSE)</f>
        <v>0</v>
      </c>
      <c r="CP34" s="340">
        <f>VLOOKUP(C34,Theory!B37:CB105,79,FALSE)</f>
        <v>0</v>
      </c>
      <c r="CQ34" s="340">
        <f>VLOOKUP(C34,Theory!B37:CC105,80,FALSE)</f>
        <v>0</v>
      </c>
      <c r="CR34" s="340">
        <f>VLOOKUP(C34,Theory!B37:CD105,81,FALSE)</f>
        <v>0</v>
      </c>
      <c r="CS34" s="340">
        <f>VLOOKUP(C34,Theory!B37:CE105,82,FALSE)</f>
        <v>0</v>
      </c>
      <c r="CT34" s="335">
        <f t="shared" si="18"/>
        <v>9</v>
      </c>
      <c r="CU34" s="341">
        <f>VLOOKUP(C34,Theory!B37:CF105,83,FALSE)</f>
        <v>0</v>
      </c>
      <c r="CV34" s="342">
        <f>VLOOKUP(C34,Theory!B37:CG105,84,FALSE)</f>
        <v>0</v>
      </c>
      <c r="CW34" s="342">
        <f>VLOOKUP(C34,Theory!B37:CH105,85,FALSE)</f>
        <v>0</v>
      </c>
      <c r="CX34" s="342">
        <f>VLOOKUP(C34,Theory!B37:CI105,86,FALSE)</f>
        <v>0</v>
      </c>
      <c r="CY34" s="341">
        <f>VLOOKUP(C34,Theory!B37:CJ105,87,FALSE)</f>
        <v>8</v>
      </c>
      <c r="CZ34" s="341">
        <f>VLOOKUP(C34,Theory!B37:CK105,88,FALSE)</f>
        <v>0</v>
      </c>
      <c r="DA34" s="341">
        <f>VLOOKUP(C34,Theory!B37:CL105,89,FALSE)</f>
        <v>0</v>
      </c>
      <c r="DB34" s="341">
        <f>VLOOKUP(C34,Theory!B37:CM105,90,FALSE)</f>
        <v>0</v>
      </c>
      <c r="DC34" s="335">
        <f t="shared" si="19"/>
        <v>8</v>
      </c>
      <c r="DD34" s="340">
        <f>VLOOKUP(C34,Theory!B37:CN105,91,FALSE)</f>
        <v>7</v>
      </c>
      <c r="DE34" s="342">
        <f>VLOOKUP(C34,Theory!B37:CO105,92,FALSE)</f>
        <v>0</v>
      </c>
      <c r="DF34" s="342">
        <f>VLOOKUP(C34,Theory!B37:CP105,93,FALSE)</f>
        <v>0</v>
      </c>
      <c r="DG34" s="342">
        <f>VLOOKUP(C34,Theory!B37:CQ105,94,FALSE)</f>
        <v>0</v>
      </c>
      <c r="DH34" s="340">
        <f>VLOOKUP(C34,Theory!B37:CR105,95,FALSE)</f>
        <v>0</v>
      </c>
      <c r="DI34" s="340">
        <f>VLOOKUP(C34,Theory!B37:CS105,96,FALSE)</f>
        <v>0</v>
      </c>
      <c r="DJ34" s="340">
        <f>VLOOKUP(C34,Theory!B37:CT105,97,FALSE)</f>
        <v>0</v>
      </c>
      <c r="DK34" s="340">
        <f>VLOOKUP(C34,Theory!B37:CU105,98,FALSE)</f>
        <v>0</v>
      </c>
      <c r="DL34" s="335">
        <f t="shared" si="20"/>
        <v>7</v>
      </c>
      <c r="DM34" s="265">
        <f t="shared" si="2"/>
        <v>40</v>
      </c>
      <c r="DN34" s="362">
        <f t="shared" si="40"/>
        <v>0</v>
      </c>
      <c r="DO34" s="362">
        <f t="shared" si="41"/>
        <v>40</v>
      </c>
      <c r="DP34" s="362">
        <f t="shared" si="42"/>
        <v>40</v>
      </c>
      <c r="DQ34" s="343">
        <f t="shared" si="43"/>
        <v>0</v>
      </c>
      <c r="DR34" s="343">
        <f t="shared" si="44"/>
        <v>24</v>
      </c>
      <c r="DS34" s="343">
        <f t="shared" si="45"/>
        <v>24</v>
      </c>
      <c r="DT34" s="328">
        <f t="shared" si="36"/>
        <v>16</v>
      </c>
      <c r="DU34" s="326">
        <f>VLOOKUP(C34,Theory!B37:CV105,99,FALSE)</f>
        <v>10</v>
      </c>
      <c r="DV34" s="326">
        <f>VLOOKUP(C34,Theory!B37:CW105,100,FALSE)</f>
        <v>10</v>
      </c>
      <c r="DW34" s="331">
        <f t="shared" si="27"/>
        <v>20</v>
      </c>
      <c r="DX34" s="266">
        <f t="shared" si="3"/>
        <v>36</v>
      </c>
      <c r="DY34" s="363">
        <f t="shared" si="4"/>
        <v>22</v>
      </c>
      <c r="DZ34" s="344">
        <f>VLOOKUP(C34,Lab!B29:D98,3,FALSE)</f>
        <v>0</v>
      </c>
      <c r="EA34" s="345">
        <f>VLOOKUP(C34,Lab!B29:E98,4,FALSE)</f>
        <v>0</v>
      </c>
      <c r="EB34" s="345">
        <f>VLOOKUP(C34,Lab!B29:F98,5,FALSE)</f>
        <v>0</v>
      </c>
      <c r="EC34" s="329">
        <f t="shared" si="37"/>
        <v>0</v>
      </c>
      <c r="ED34" s="346">
        <f>VLOOKUP(C34,Lab!B29:G98,6,FALSE)</f>
        <v>0</v>
      </c>
      <c r="EE34" s="346">
        <f>VLOOKUP(C34,Lab!B29:H98,7,FALSE)</f>
        <v>0</v>
      </c>
      <c r="EF34" s="347">
        <f>VLOOKUP(C34,Lab!B29:I98,8,FALSE)</f>
        <v>0</v>
      </c>
      <c r="EG34" s="330">
        <f t="shared" si="38"/>
        <v>0</v>
      </c>
      <c r="EH34" s="390">
        <f t="shared" si="28"/>
        <v>0</v>
      </c>
      <c r="EI34" s="349">
        <f t="shared" si="29"/>
        <v>0</v>
      </c>
      <c r="EJ34" s="391">
        <f t="shared" si="5"/>
        <v>22</v>
      </c>
      <c r="EK34" s="258">
        <v>40</v>
      </c>
      <c r="EM34" s="350">
        <f>VLOOKUP(C34,Theory!B37:DL105,114,FALSE)</f>
        <v>0</v>
      </c>
      <c r="EN34" s="350">
        <f>VLOOKUP(C34,Theory!B37:DM105,115,FALSE)</f>
        <v>0</v>
      </c>
      <c r="EO34" s="350">
        <f>VLOOKUP(C34,Theory!B37:DN105,116,FALSE)</f>
        <v>0</v>
      </c>
      <c r="EP34" s="350">
        <f>VLOOKUP(C34,Theory!B37:DO103,117,FALSE)</f>
        <v>0</v>
      </c>
      <c r="EQ34" s="350">
        <f>VLOOKUP(C34,Theory!B37:DP103,118,FALSE)</f>
        <v>0</v>
      </c>
      <c r="ER34" s="351">
        <f>VLOOKUP(C34,Theory!B37:DQ103,119,FALSE)</f>
        <v>0</v>
      </c>
      <c r="ES34" s="327">
        <f>VLOOKUP(C34,Theory!B37:DR103,120,FALSE)</f>
        <v>0</v>
      </c>
      <c r="ET34" s="348">
        <f t="shared" si="39"/>
        <v>0</v>
      </c>
      <c r="EU34" s="352"/>
      <c r="EV34" s="352"/>
      <c r="EW34" s="352"/>
      <c r="EX34" s="352"/>
      <c r="EY34" s="352"/>
      <c r="EZ34" s="352"/>
      <c r="FA34" s="352"/>
      <c r="FB34" s="352"/>
      <c r="FC34" s="352"/>
      <c r="FD34" s="352"/>
    </row>
    <row r="35" spans="1:160" ht="16.2" thickBot="1" x14ac:dyDescent="0.35">
      <c r="A35" s="64">
        <v>22</v>
      </c>
      <c r="B35" s="17" t="str">
        <f>Theory!C38</f>
        <v>PRAKRITI SINGH</v>
      </c>
      <c r="C35" s="16" t="str">
        <f>Theory!B38</f>
        <v>1DS21AI039</v>
      </c>
      <c r="D35" s="334">
        <f>VLOOKUP(C35,Theory!B38:D106,3,FALSE)</f>
        <v>7</v>
      </c>
      <c r="E35" s="334">
        <f>VLOOKUP(C35,Theory!B38:E106,4,FALSE)</f>
        <v>0</v>
      </c>
      <c r="F35" s="334">
        <f>VLOOKUP(C35,Theory!B38:F106,5,FALSE)</f>
        <v>0</v>
      </c>
      <c r="G35" s="334">
        <f>VLOOKUP(C35,Theory!B38:G106,6,FALSE)</f>
        <v>0</v>
      </c>
      <c r="H35" s="335">
        <f t="shared" si="6"/>
        <v>7</v>
      </c>
      <c r="I35" s="338">
        <f>VLOOKUP(C35,Theory!B38:H106,7,FALSE)</f>
        <v>5</v>
      </c>
      <c r="J35" s="337">
        <f>VLOOKUP(C35,Theory!B38:I106,8,FALSE)</f>
        <v>0</v>
      </c>
      <c r="K35" s="337">
        <f>VLOOKUP(C35,Theory!B38:J106,9,FALSE)</f>
        <v>0</v>
      </c>
      <c r="L35" s="337">
        <f>VLOOKUP(C35,Theory!B38:K106,10,FALSE)</f>
        <v>0</v>
      </c>
      <c r="M35" s="335">
        <f t="shared" si="7"/>
        <v>5</v>
      </c>
      <c r="N35" s="336">
        <f>VLOOKUP(C35,Theory!B38:L106,11,FALSE)</f>
        <v>6</v>
      </c>
      <c r="O35" s="336">
        <f>VLOOKUP(C35,Theory!B38:M106,12,FALSE)</f>
        <v>0</v>
      </c>
      <c r="P35" s="336">
        <f>VLOOKUP(C35,Theory!B38:N106,13,FALSE)</f>
        <v>0</v>
      </c>
      <c r="Q35" s="336">
        <f>VLOOKUP(C35,Theory!B38:O106,14,FALSE)</f>
        <v>0</v>
      </c>
      <c r="R35" s="337">
        <f>VLOOKUP(C35,Theory!B38:P106,15,FALSE)</f>
        <v>0</v>
      </c>
      <c r="S35" s="337">
        <f>VLOOKUP(C35,Theory!B38:Q106,16,FALSE)</f>
        <v>0</v>
      </c>
      <c r="T35" s="337">
        <f>VLOOKUP(C35,Theory!B38:R106,17,FALSE)</f>
        <v>0</v>
      </c>
      <c r="U35" s="337">
        <f>VLOOKUP(C35,Theory!B38:S106,18,FALSE)</f>
        <v>0</v>
      </c>
      <c r="V35" s="335">
        <f t="shared" si="8"/>
        <v>6</v>
      </c>
      <c r="W35" s="334">
        <f>VLOOKUP(C35,Theory!B38:T106,19,FALSE)</f>
        <v>7</v>
      </c>
      <c r="X35" s="334">
        <f>VLOOKUP(C35,Theory!B38:U106,20,FALSE)</f>
        <v>0</v>
      </c>
      <c r="Y35" s="334">
        <f>VLOOKUP(C35,Theory!B38:V106,21,FALSE)</f>
        <v>0</v>
      </c>
      <c r="Z35" s="334">
        <f>VLOOKUP(C35,Theory!B38:W106,22,FALSE)</f>
        <v>0</v>
      </c>
      <c r="AA35" s="338">
        <f>VLOOKUP(C35,Theory!B38:X106,23,FALSE)</f>
        <v>0</v>
      </c>
      <c r="AB35" s="338">
        <f>VLOOKUP(C35,Theory!B38:Y106,24,FALSE)</f>
        <v>0</v>
      </c>
      <c r="AC35" s="338">
        <f>VLOOKUP(C35,Theory!B38:Z106,25,FALSE)</f>
        <v>0</v>
      </c>
      <c r="AD35" s="338">
        <f>VLOOKUP(C35,Theory!B38:AA106,26,FALSE)</f>
        <v>0</v>
      </c>
      <c r="AE35" s="335">
        <f t="shared" si="9"/>
        <v>7</v>
      </c>
      <c r="AF35" s="334">
        <f>VLOOKUP(C35,Theory!B38:AB106,27,FALSE)</f>
        <v>6</v>
      </c>
      <c r="AG35" s="334">
        <f>VLOOKUP(C35,Theory!B38:AC106,28,FALSE)</f>
        <v>0</v>
      </c>
      <c r="AH35" s="334">
        <f>VLOOKUP(C35,Theory!B38:AD106,29,FALSE)</f>
        <v>0</v>
      </c>
      <c r="AI35" s="334">
        <f>VLOOKUP(C35,Theory!B38:AE106,30,FALSE)</f>
        <v>0</v>
      </c>
      <c r="AJ35" s="339">
        <f>VLOOKUP(C35,Theory!B38:AF106,31,FALSE)</f>
        <v>0</v>
      </c>
      <c r="AK35" s="339">
        <f>VLOOKUP(C35,Theory!B38:AG106,32,FALSE)</f>
        <v>0</v>
      </c>
      <c r="AL35" s="339">
        <f>VLOOKUP(C35,Theory!B38:AH106,33,FALSE)</f>
        <v>0</v>
      </c>
      <c r="AM35" s="339">
        <f>VLOOKUP(C35,Theory!B38:AI106,34,FALSE)</f>
        <v>0</v>
      </c>
      <c r="AN35" s="335">
        <f t="shared" si="10"/>
        <v>6</v>
      </c>
      <c r="AO35" s="333">
        <f t="shared" si="0"/>
        <v>31</v>
      </c>
      <c r="AP35" s="340">
        <f>VLOOKUP(C35,Theory!B38:AJ106,35,FALSE)</f>
        <v>6</v>
      </c>
      <c r="AQ35" s="340">
        <f>VLOOKUP(C35,Theory!B38:AK106,36,FALSE)</f>
        <v>0</v>
      </c>
      <c r="AR35" s="340">
        <f>VLOOKUP(C35,Theory!B38:AL106,37,FALSE)</f>
        <v>0</v>
      </c>
      <c r="AS35" s="340">
        <f>VLOOKUP(C35,Theory!B38:AM106,38,FALSE)</f>
        <v>0</v>
      </c>
      <c r="AT35" s="335">
        <f t="shared" si="11"/>
        <v>6</v>
      </c>
      <c r="AU35" s="340">
        <f>VLOOKUP(C35,Theory!B38:AN106,39,FALSE)</f>
        <v>6</v>
      </c>
      <c r="AV35" s="340">
        <f>VLOOKUP(C35,Theory!B38:AO106,40,FALSE)</f>
        <v>0</v>
      </c>
      <c r="AW35" s="340">
        <f>VLOOKUP(C35,Theory!B38:AP106,41,FALSE)</f>
        <v>0</v>
      </c>
      <c r="AX35" s="340">
        <f>VLOOKUP(C35,Theory!B38:AQ106,42,FALSE)</f>
        <v>0</v>
      </c>
      <c r="AY35" s="335">
        <f t="shared" si="12"/>
        <v>6</v>
      </c>
      <c r="AZ35" s="340">
        <f>VLOOKUP(C35,Theory!B38:AR106,43,FALSE)</f>
        <v>9</v>
      </c>
      <c r="BA35" s="340">
        <f>VLOOKUP(C35,Theory!B38:AS106,44,FALSE)</f>
        <v>0</v>
      </c>
      <c r="BB35" s="340">
        <f>VLOOKUP(C35,Theory!B38:AT106,45,FALSE)</f>
        <v>0</v>
      </c>
      <c r="BC35" s="340">
        <f>VLOOKUP(C35,Theory!B38:AU106,46,FALSE)</f>
        <v>0</v>
      </c>
      <c r="BD35" s="340">
        <f>VLOOKUP(C35,Theory!B38:AV106,47,FALSE)</f>
        <v>0</v>
      </c>
      <c r="BE35" s="340">
        <f>VLOOKUP(C35,Theory!B38:AW106,48,FALSE)</f>
        <v>0</v>
      </c>
      <c r="BF35" s="340">
        <f>VLOOKUP(C35,Theory!B38:AX106,49,FALSE)</f>
        <v>0</v>
      </c>
      <c r="BG35" s="340">
        <f>VLOOKUP(C35,Theory!B38:AY106,50,FALSE)</f>
        <v>0</v>
      </c>
      <c r="BH35" s="335">
        <f t="shared" si="13"/>
        <v>9</v>
      </c>
      <c r="BI35" s="340">
        <f>VLOOKUP(C35,Theory!B38:AZ106,51,FALSE)</f>
        <v>7</v>
      </c>
      <c r="BJ35" s="340">
        <f>VLOOKUP(C35,Theory!B38:BA106,52,FALSE)</f>
        <v>0</v>
      </c>
      <c r="BK35" s="340">
        <f>VLOOKUP(C35,Theory!B38:BB106,53,FALSE)</f>
        <v>0</v>
      </c>
      <c r="BL35" s="340">
        <f>VLOOKUP(C35,Theory!B38:BC106,54,FALSE)</f>
        <v>0</v>
      </c>
      <c r="BM35" s="340">
        <f>VLOOKUP(C35,Theory!B38:BD106,55,FALSE)</f>
        <v>0</v>
      </c>
      <c r="BN35" s="340">
        <f>VLOOKUP(C35,Theory!B38:BE106,56,FALSE)</f>
        <v>0</v>
      </c>
      <c r="BO35" s="340">
        <f>VLOOKUP(C35,Theory!B38:BF106,57,FALSE)</f>
        <v>0</v>
      </c>
      <c r="BP35" s="340">
        <f>VLOOKUP(C35,Theory!B38:BG106,58,FALSE)</f>
        <v>0</v>
      </c>
      <c r="BQ35" s="335">
        <f t="shared" si="14"/>
        <v>7</v>
      </c>
      <c r="BR35" s="340">
        <f>VLOOKUP(C35,Theory!B38:BH106,59,FALSE)</f>
        <v>8</v>
      </c>
      <c r="BS35" s="340">
        <f>VLOOKUP(C35,Theory!B38:BI106,60,FALSE)</f>
        <v>0</v>
      </c>
      <c r="BT35" s="340">
        <f>VLOOKUP(C35,Theory!B38:BJ106,61,FALSE)</f>
        <v>0</v>
      </c>
      <c r="BU35" s="340">
        <f>VLOOKUP(C35,Theory!B38:BK106,62,FALSE)</f>
        <v>0</v>
      </c>
      <c r="BV35" s="340">
        <f>VLOOKUP(C35,Theory!B38:BL106,63,FALSE)</f>
        <v>0</v>
      </c>
      <c r="BW35" s="340">
        <f>VLOOKUP(C35,Theory!B38:BM106,64,FALSE)</f>
        <v>0</v>
      </c>
      <c r="BX35" s="340">
        <f>VLOOKUP(C35,Theory!B38:BN106,65,FALSE)</f>
        <v>0</v>
      </c>
      <c r="BY35" s="340">
        <f>VLOOKUP(C35,Theory!B38:BO106,66,FALSE)</f>
        <v>0</v>
      </c>
      <c r="BZ35" s="335">
        <f t="shared" si="15"/>
        <v>8</v>
      </c>
      <c r="CA35" s="333">
        <f t="shared" si="1"/>
        <v>36</v>
      </c>
      <c r="CB35" s="340">
        <f>VLOOKUP(C35,Theory!B38:BP106,67,FALSE)</f>
        <v>7</v>
      </c>
      <c r="CC35" s="340">
        <f>VLOOKUP(C35,Theory!B38:BQ106,68,FALSE)</f>
        <v>0</v>
      </c>
      <c r="CD35" s="340">
        <f>VLOOKUP(C35,Theory!B38:BR106,69,FALSE)</f>
        <v>0</v>
      </c>
      <c r="CE35" s="340">
        <f>VLOOKUP(C35,Theory!B38:BS106,70,FALSE)</f>
        <v>0</v>
      </c>
      <c r="CF35" s="335">
        <f t="shared" si="16"/>
        <v>7</v>
      </c>
      <c r="CG35" s="341">
        <f>VLOOKUP(C35,Theory!B38:BT106,71,FALSE)</f>
        <v>1</v>
      </c>
      <c r="CH35" s="341">
        <f>VLOOKUP(C35,Theory!B38:BU106,72,FALSE)</f>
        <v>0</v>
      </c>
      <c r="CI35" s="341">
        <f>VLOOKUP(C35,Theory!B38:BV106,73,FALSE)</f>
        <v>0</v>
      </c>
      <c r="CJ35" s="341">
        <f>VLOOKUP(C35,Theory!B38:BW106,74,FALSE)</f>
        <v>0</v>
      </c>
      <c r="CK35" s="335">
        <f t="shared" si="17"/>
        <v>1</v>
      </c>
      <c r="CL35" s="340">
        <f>VLOOKUP(C35,Theory!B38:BX106,75,FALSE)</f>
        <v>0</v>
      </c>
      <c r="CM35" s="342">
        <f>VLOOKUP(C35,Theory!B38:BY106,76,FALSE)</f>
        <v>0</v>
      </c>
      <c r="CN35" s="342">
        <f>VLOOKUP(C35,Theory!B38:BZ106,77,FALSE)</f>
        <v>0</v>
      </c>
      <c r="CO35" s="342">
        <f>VLOOKUP(C35,Theory!B38:CA106,78,FALSE)</f>
        <v>0</v>
      </c>
      <c r="CP35" s="340">
        <f>VLOOKUP(C35,Theory!B38:CB106,79,FALSE)</f>
        <v>7</v>
      </c>
      <c r="CQ35" s="340">
        <f>VLOOKUP(C35,Theory!B38:CC106,80,FALSE)</f>
        <v>0</v>
      </c>
      <c r="CR35" s="340">
        <f>VLOOKUP(C35,Theory!B38:CD106,81,FALSE)</f>
        <v>0</v>
      </c>
      <c r="CS35" s="340">
        <f>VLOOKUP(C35,Theory!B38:CE106,82,FALSE)</f>
        <v>0</v>
      </c>
      <c r="CT35" s="335">
        <f t="shared" si="18"/>
        <v>7</v>
      </c>
      <c r="CU35" s="341">
        <f>VLOOKUP(C35,Theory!B38:CF106,83,FALSE)</f>
        <v>0</v>
      </c>
      <c r="CV35" s="342">
        <f>VLOOKUP(C35,Theory!B38:CG106,84,FALSE)</f>
        <v>0</v>
      </c>
      <c r="CW35" s="342">
        <f>VLOOKUP(C35,Theory!B38:CH106,85,FALSE)</f>
        <v>0</v>
      </c>
      <c r="CX35" s="342">
        <f>VLOOKUP(C35,Theory!B38:CI106,86,FALSE)</f>
        <v>0</v>
      </c>
      <c r="CY35" s="341">
        <f>VLOOKUP(C35,Theory!B38:CJ106,87,FALSE)</f>
        <v>7</v>
      </c>
      <c r="CZ35" s="341">
        <f>VLOOKUP(C35,Theory!B38:CK106,88,FALSE)</f>
        <v>0</v>
      </c>
      <c r="DA35" s="341">
        <f>VLOOKUP(C35,Theory!B38:CL106,89,FALSE)</f>
        <v>0</v>
      </c>
      <c r="DB35" s="341">
        <f>VLOOKUP(C35,Theory!B38:CM106,90,FALSE)</f>
        <v>0</v>
      </c>
      <c r="DC35" s="335">
        <f t="shared" si="19"/>
        <v>7</v>
      </c>
      <c r="DD35" s="340">
        <f>VLOOKUP(C35,Theory!B38:CN106,91,FALSE)</f>
        <v>6</v>
      </c>
      <c r="DE35" s="342">
        <f>VLOOKUP(C35,Theory!B38:CO106,92,FALSE)</f>
        <v>0</v>
      </c>
      <c r="DF35" s="342">
        <f>VLOOKUP(C35,Theory!B38:CP106,93,FALSE)</f>
        <v>0</v>
      </c>
      <c r="DG35" s="342">
        <f>VLOOKUP(C35,Theory!B38:CQ106,94,FALSE)</f>
        <v>0</v>
      </c>
      <c r="DH35" s="340">
        <f>VLOOKUP(C35,Theory!B38:CR106,95,FALSE)</f>
        <v>0</v>
      </c>
      <c r="DI35" s="340">
        <f>VLOOKUP(C35,Theory!B38:CS106,96,FALSE)</f>
        <v>0</v>
      </c>
      <c r="DJ35" s="340">
        <f>VLOOKUP(C35,Theory!B38:CT106,97,FALSE)</f>
        <v>0</v>
      </c>
      <c r="DK35" s="340">
        <f>VLOOKUP(C35,Theory!B38:CU106,98,FALSE)</f>
        <v>0</v>
      </c>
      <c r="DL35" s="335">
        <f t="shared" si="20"/>
        <v>6</v>
      </c>
      <c r="DM35" s="265">
        <f t="shared" si="2"/>
        <v>28</v>
      </c>
      <c r="DN35" s="362">
        <f t="shared" si="40"/>
        <v>31</v>
      </c>
      <c r="DO35" s="362">
        <f t="shared" si="41"/>
        <v>36</v>
      </c>
      <c r="DP35" s="362">
        <f t="shared" si="42"/>
        <v>28</v>
      </c>
      <c r="DQ35" s="343">
        <f t="shared" si="43"/>
        <v>19</v>
      </c>
      <c r="DR35" s="343">
        <f t="shared" si="44"/>
        <v>22</v>
      </c>
      <c r="DS35" s="343">
        <f t="shared" si="45"/>
        <v>17</v>
      </c>
      <c r="DT35" s="328">
        <f t="shared" si="36"/>
        <v>19</v>
      </c>
      <c r="DU35" s="326">
        <f>VLOOKUP(C35,Theory!B38:CV106,99,FALSE)</f>
        <v>10</v>
      </c>
      <c r="DV35" s="326">
        <f>VLOOKUP(C35,Theory!B38:CW106,100,FALSE)</f>
        <v>10</v>
      </c>
      <c r="DW35" s="331">
        <f t="shared" si="27"/>
        <v>20</v>
      </c>
      <c r="DX35" s="266">
        <f t="shared" si="3"/>
        <v>39</v>
      </c>
      <c r="DY35" s="363">
        <f t="shared" si="4"/>
        <v>23</v>
      </c>
      <c r="DZ35" s="344">
        <f>VLOOKUP(C35,Lab!B30:D99,3,FALSE)</f>
        <v>0</v>
      </c>
      <c r="EA35" s="345">
        <f>VLOOKUP(C35,Lab!B30:E99,4,FALSE)</f>
        <v>0</v>
      </c>
      <c r="EB35" s="345">
        <f>VLOOKUP(C35,Lab!B30:F99,5,FALSE)</f>
        <v>0</v>
      </c>
      <c r="EC35" s="329">
        <f t="shared" si="37"/>
        <v>0</v>
      </c>
      <c r="ED35" s="346">
        <f>VLOOKUP(C35,Lab!B30:G99,6,FALSE)</f>
        <v>0</v>
      </c>
      <c r="EE35" s="346">
        <f>VLOOKUP(C35,Lab!B30:H99,7,FALSE)</f>
        <v>0</v>
      </c>
      <c r="EF35" s="347">
        <f>VLOOKUP(C35,Lab!B30:I99,8,FALSE)</f>
        <v>0</v>
      </c>
      <c r="EG35" s="330">
        <f t="shared" si="38"/>
        <v>0</v>
      </c>
      <c r="EH35" s="390">
        <f t="shared" si="28"/>
        <v>0</v>
      </c>
      <c r="EI35" s="349">
        <f t="shared" si="29"/>
        <v>0</v>
      </c>
      <c r="EJ35" s="391">
        <f t="shared" si="5"/>
        <v>23</v>
      </c>
      <c r="EK35" s="258">
        <v>41</v>
      </c>
      <c r="EM35" s="350">
        <f>VLOOKUP(C35,Theory!B38:DL106,114,FALSE)</f>
        <v>0</v>
      </c>
      <c r="EN35" s="350">
        <f>VLOOKUP(C35,Theory!B38:DM106,115,FALSE)</f>
        <v>0</v>
      </c>
      <c r="EO35" s="350">
        <f>VLOOKUP(C35,Theory!B38:DN106,116,FALSE)</f>
        <v>0</v>
      </c>
      <c r="EP35" s="350">
        <f>VLOOKUP(C35,Theory!B38:DO104,117,FALSE)</f>
        <v>0</v>
      </c>
      <c r="EQ35" s="350">
        <f>VLOOKUP(C35,Theory!B38:DP104,118,FALSE)</f>
        <v>0</v>
      </c>
      <c r="ER35" s="351">
        <f>VLOOKUP(C35,Theory!B38:DQ104,119,FALSE)</f>
        <v>0</v>
      </c>
      <c r="ES35" s="327">
        <f>VLOOKUP(C35,Theory!B38:DR104,120,FALSE)</f>
        <v>0</v>
      </c>
      <c r="ET35" s="348">
        <f t="shared" si="39"/>
        <v>0</v>
      </c>
      <c r="EU35" s="352"/>
      <c r="EV35" s="352"/>
      <c r="EW35" s="352"/>
      <c r="EX35" s="352"/>
      <c r="EY35" s="352"/>
      <c r="EZ35" s="352"/>
      <c r="FA35" s="352"/>
      <c r="FB35" s="352"/>
      <c r="FC35" s="352"/>
      <c r="FD35" s="352"/>
    </row>
    <row r="36" spans="1:160" ht="21" customHeight="1" thickBot="1" x14ac:dyDescent="0.35">
      <c r="A36" s="64">
        <v>23</v>
      </c>
      <c r="B36" s="17" t="str">
        <f>Theory!C39</f>
        <v>PRERANA S B</v>
      </c>
      <c r="C36" s="16" t="str">
        <f>Theory!B39</f>
        <v>1DS21AI040</v>
      </c>
      <c r="D36" s="334">
        <f>VLOOKUP(C36,Theory!B39:D107,3,FALSE)</f>
        <v>0</v>
      </c>
      <c r="E36" s="334">
        <f>VLOOKUP(C36,Theory!B39:E107,4,FALSE)</f>
        <v>0</v>
      </c>
      <c r="F36" s="334">
        <f>VLOOKUP(C36,Theory!B39:F107,5,FALSE)</f>
        <v>0</v>
      </c>
      <c r="G36" s="334">
        <f>VLOOKUP(C36,Theory!B39:G107,6,FALSE)</f>
        <v>0</v>
      </c>
      <c r="H36" s="335">
        <f t="shared" si="6"/>
        <v>0</v>
      </c>
      <c r="I36" s="338">
        <f>VLOOKUP(C36,Theory!B39:H107,7,FALSE)</f>
        <v>8</v>
      </c>
      <c r="J36" s="337">
        <f>VLOOKUP(C36,Theory!B39:I107,8,FALSE)</f>
        <v>0</v>
      </c>
      <c r="K36" s="337">
        <f>VLOOKUP(C36,Theory!B39:J107,9,FALSE)</f>
        <v>0</v>
      </c>
      <c r="L36" s="337">
        <f>VLOOKUP(C36,Theory!B39:K107,10,FALSE)</f>
        <v>0</v>
      </c>
      <c r="M36" s="335">
        <f t="shared" si="7"/>
        <v>8</v>
      </c>
      <c r="N36" s="336">
        <f>VLOOKUP(C36,Theory!B39:L107,11,FALSE)</f>
        <v>0</v>
      </c>
      <c r="O36" s="336">
        <f>VLOOKUP(C36,Theory!B39:M107,12,FALSE)</f>
        <v>0</v>
      </c>
      <c r="P36" s="336">
        <f>VLOOKUP(C36,Theory!B39:N107,13,FALSE)</f>
        <v>0</v>
      </c>
      <c r="Q36" s="336">
        <f>VLOOKUP(C36,Theory!B39:O107,14,FALSE)</f>
        <v>0</v>
      </c>
      <c r="R36" s="337">
        <f>VLOOKUP(C36,Theory!B39:P107,15,FALSE)</f>
        <v>5</v>
      </c>
      <c r="S36" s="337">
        <f>VLOOKUP(C36,Theory!B39:Q107,16,FALSE)</f>
        <v>0</v>
      </c>
      <c r="T36" s="337">
        <f>VLOOKUP(C36,Theory!B39:R107,17,FALSE)</f>
        <v>0</v>
      </c>
      <c r="U36" s="337">
        <f>VLOOKUP(C36,Theory!B39:S107,18,FALSE)</f>
        <v>0</v>
      </c>
      <c r="V36" s="335">
        <f t="shared" si="8"/>
        <v>5</v>
      </c>
      <c r="W36" s="334">
        <f>VLOOKUP(C36,Theory!B39:T107,19,FALSE)</f>
        <v>0</v>
      </c>
      <c r="X36" s="334">
        <f>VLOOKUP(C36,Theory!B39:U107,20,FALSE)</f>
        <v>0</v>
      </c>
      <c r="Y36" s="334">
        <f>VLOOKUP(C36,Theory!B39:V107,21,FALSE)</f>
        <v>0</v>
      </c>
      <c r="Z36" s="334">
        <f>VLOOKUP(C36,Theory!B39:W107,22,FALSE)</f>
        <v>0</v>
      </c>
      <c r="AA36" s="338">
        <f>VLOOKUP(C36,Theory!B39:X107,23,FALSE)</f>
        <v>8</v>
      </c>
      <c r="AB36" s="338">
        <f>VLOOKUP(C36,Theory!B39:Y107,24,FALSE)</f>
        <v>0</v>
      </c>
      <c r="AC36" s="338">
        <f>VLOOKUP(C36,Theory!B39:Z107,25,FALSE)</f>
        <v>0</v>
      </c>
      <c r="AD36" s="338">
        <f>VLOOKUP(C36,Theory!B39:AA107,26,FALSE)</f>
        <v>0</v>
      </c>
      <c r="AE36" s="335">
        <f t="shared" si="9"/>
        <v>8</v>
      </c>
      <c r="AF36" s="334">
        <f>VLOOKUP(C36,Theory!B39:AB107,27,FALSE)</f>
        <v>8</v>
      </c>
      <c r="AG36" s="334">
        <f>VLOOKUP(C36,Theory!B39:AC107,28,FALSE)</f>
        <v>0</v>
      </c>
      <c r="AH36" s="334">
        <f>VLOOKUP(C36,Theory!B39:AD107,29,FALSE)</f>
        <v>0</v>
      </c>
      <c r="AI36" s="334">
        <f>VLOOKUP(C36,Theory!B39:AE107,30,FALSE)</f>
        <v>0</v>
      </c>
      <c r="AJ36" s="339">
        <f>VLOOKUP(C36,Theory!B39:AF107,31,FALSE)</f>
        <v>0</v>
      </c>
      <c r="AK36" s="339">
        <f>VLOOKUP(C36,Theory!B39:AG107,32,FALSE)</f>
        <v>0</v>
      </c>
      <c r="AL36" s="339">
        <f>VLOOKUP(C36,Theory!B39:AH107,33,FALSE)</f>
        <v>0</v>
      </c>
      <c r="AM36" s="339">
        <f>VLOOKUP(C36,Theory!B39:AI107,34,FALSE)</f>
        <v>0</v>
      </c>
      <c r="AN36" s="335">
        <f t="shared" si="10"/>
        <v>8</v>
      </c>
      <c r="AO36" s="333">
        <f t="shared" si="0"/>
        <v>29</v>
      </c>
      <c r="AP36" s="340">
        <f>VLOOKUP(C36,Theory!B39:AJ107,35,FALSE)</f>
        <v>6</v>
      </c>
      <c r="AQ36" s="340">
        <f>VLOOKUP(C36,Theory!B39:AK107,36,FALSE)</f>
        <v>0</v>
      </c>
      <c r="AR36" s="340">
        <f>VLOOKUP(C36,Theory!B39:AL107,37,FALSE)</f>
        <v>0</v>
      </c>
      <c r="AS36" s="340">
        <f>VLOOKUP(C36,Theory!B39:AM107,38,FALSE)</f>
        <v>0</v>
      </c>
      <c r="AT36" s="335">
        <f t="shared" si="11"/>
        <v>6</v>
      </c>
      <c r="AU36" s="340">
        <f>VLOOKUP(C36,Theory!B39:AN107,39,FALSE)</f>
        <v>8</v>
      </c>
      <c r="AV36" s="340">
        <f>VLOOKUP(C36,Theory!B39:AO107,40,FALSE)</f>
        <v>0</v>
      </c>
      <c r="AW36" s="340">
        <f>VLOOKUP(C36,Theory!B39:AP107,41,FALSE)</f>
        <v>0</v>
      </c>
      <c r="AX36" s="340">
        <f>VLOOKUP(C36,Theory!B39:AQ107,42,FALSE)</f>
        <v>0</v>
      </c>
      <c r="AY36" s="335">
        <f t="shared" si="12"/>
        <v>8</v>
      </c>
      <c r="AZ36" s="340">
        <f>VLOOKUP(C36,Theory!B39:AR107,43,FALSE)</f>
        <v>0</v>
      </c>
      <c r="BA36" s="340">
        <f>VLOOKUP(C36,Theory!B39:AS107,44,FALSE)</f>
        <v>0</v>
      </c>
      <c r="BB36" s="340">
        <f>VLOOKUP(C36,Theory!B39:AT107,45,FALSE)</f>
        <v>0</v>
      </c>
      <c r="BC36" s="340">
        <f>VLOOKUP(C36,Theory!B39:AU107,46,FALSE)</f>
        <v>0</v>
      </c>
      <c r="BD36" s="340">
        <f>VLOOKUP(C36,Theory!B39:AV107,47,FALSE)</f>
        <v>5</v>
      </c>
      <c r="BE36" s="340">
        <f>VLOOKUP(C36,Theory!B39:AW107,48,FALSE)</f>
        <v>0</v>
      </c>
      <c r="BF36" s="340">
        <f>VLOOKUP(C36,Theory!B39:AX107,49,FALSE)</f>
        <v>0</v>
      </c>
      <c r="BG36" s="340">
        <f>VLOOKUP(C36,Theory!B39:AY107,50,FALSE)</f>
        <v>0</v>
      </c>
      <c r="BH36" s="335">
        <f t="shared" si="13"/>
        <v>5</v>
      </c>
      <c r="BI36" s="340">
        <f>VLOOKUP(C36,Theory!B39:AZ107,51,FALSE)</f>
        <v>8</v>
      </c>
      <c r="BJ36" s="340">
        <f>VLOOKUP(C36,Theory!B39:BA107,52,FALSE)</f>
        <v>0</v>
      </c>
      <c r="BK36" s="340">
        <f>VLOOKUP(C36,Theory!B39:BB107,53,FALSE)</f>
        <v>0</v>
      </c>
      <c r="BL36" s="340">
        <f>VLOOKUP(C36,Theory!B39:BC107,54,FALSE)</f>
        <v>0</v>
      </c>
      <c r="BM36" s="340">
        <f>VLOOKUP(C36,Theory!B39:BD107,55,FALSE)</f>
        <v>0</v>
      </c>
      <c r="BN36" s="340">
        <f>VLOOKUP(C36,Theory!B39:BE107,56,FALSE)</f>
        <v>0</v>
      </c>
      <c r="BO36" s="340">
        <f>VLOOKUP(C36,Theory!B39:BF107,57,FALSE)</f>
        <v>0</v>
      </c>
      <c r="BP36" s="340">
        <f>VLOOKUP(C36,Theory!B39:BG107,58,FALSE)</f>
        <v>0</v>
      </c>
      <c r="BQ36" s="335">
        <f t="shared" si="14"/>
        <v>8</v>
      </c>
      <c r="BR36" s="340">
        <f>VLOOKUP(C36,Theory!B39:BH107,59,FALSE)</f>
        <v>9</v>
      </c>
      <c r="BS36" s="340">
        <f>VLOOKUP(C36,Theory!B39:BI107,60,FALSE)</f>
        <v>0</v>
      </c>
      <c r="BT36" s="340">
        <f>VLOOKUP(C36,Theory!B39:BJ107,61,FALSE)</f>
        <v>0</v>
      </c>
      <c r="BU36" s="340">
        <f>VLOOKUP(C36,Theory!B39:BK107,62,FALSE)</f>
        <v>0</v>
      </c>
      <c r="BV36" s="340">
        <f>VLOOKUP(C36,Theory!B39:BL107,63,FALSE)</f>
        <v>0</v>
      </c>
      <c r="BW36" s="340">
        <f>VLOOKUP(C36,Theory!B39:BM107,64,FALSE)</f>
        <v>0</v>
      </c>
      <c r="BX36" s="340">
        <f>VLOOKUP(C36,Theory!B39:BN107,65,FALSE)</f>
        <v>0</v>
      </c>
      <c r="BY36" s="340">
        <f>VLOOKUP(C36,Theory!B39:BO107,66,FALSE)</f>
        <v>0</v>
      </c>
      <c r="BZ36" s="335">
        <f t="shared" si="15"/>
        <v>9</v>
      </c>
      <c r="CA36" s="333">
        <f t="shared" si="1"/>
        <v>36</v>
      </c>
      <c r="CB36" s="340">
        <f>VLOOKUP(C36,Theory!B39:BP107,67,FALSE)</f>
        <v>8</v>
      </c>
      <c r="CC36" s="340">
        <f>VLOOKUP(C36,Theory!B39:BQ107,68,FALSE)</f>
        <v>0</v>
      </c>
      <c r="CD36" s="340">
        <f>VLOOKUP(C36,Theory!B39:BR107,69,FALSE)</f>
        <v>0</v>
      </c>
      <c r="CE36" s="340">
        <f>VLOOKUP(C36,Theory!B39:BS107,70,FALSE)</f>
        <v>0</v>
      </c>
      <c r="CF36" s="335">
        <f t="shared" si="16"/>
        <v>8</v>
      </c>
      <c r="CG36" s="341">
        <f>VLOOKUP(C36,Theory!B39:BT107,71,FALSE)</f>
        <v>0</v>
      </c>
      <c r="CH36" s="341">
        <f>VLOOKUP(C36,Theory!B39:BU107,72,FALSE)</f>
        <v>0</v>
      </c>
      <c r="CI36" s="341">
        <f>VLOOKUP(C36,Theory!B39:BV107,73,FALSE)</f>
        <v>0</v>
      </c>
      <c r="CJ36" s="341">
        <f>VLOOKUP(C36,Theory!B39:BW107,74,FALSE)</f>
        <v>0</v>
      </c>
      <c r="CK36" s="335">
        <f t="shared" si="17"/>
        <v>0</v>
      </c>
      <c r="CL36" s="340">
        <f>VLOOKUP(C36,Theory!B39:BX107,75,FALSE)</f>
        <v>0</v>
      </c>
      <c r="CM36" s="342">
        <f>VLOOKUP(C36,Theory!B39:BY107,76,FALSE)</f>
        <v>0</v>
      </c>
      <c r="CN36" s="342">
        <f>VLOOKUP(C36,Theory!B39:BZ107,77,FALSE)</f>
        <v>0</v>
      </c>
      <c r="CO36" s="342">
        <f>VLOOKUP(C36,Theory!B39:CA107,78,FALSE)</f>
        <v>0</v>
      </c>
      <c r="CP36" s="340">
        <f>VLOOKUP(C36,Theory!B39:CB107,79,FALSE)</f>
        <v>8</v>
      </c>
      <c r="CQ36" s="340">
        <f>VLOOKUP(C36,Theory!B39:CC107,80,FALSE)</f>
        <v>0</v>
      </c>
      <c r="CR36" s="340">
        <f>VLOOKUP(C36,Theory!B39:CD107,81,FALSE)</f>
        <v>0</v>
      </c>
      <c r="CS36" s="340">
        <f>VLOOKUP(C36,Theory!B39:CE107,82,FALSE)</f>
        <v>0</v>
      </c>
      <c r="CT36" s="335">
        <f t="shared" si="18"/>
        <v>8</v>
      </c>
      <c r="CU36" s="341">
        <f>VLOOKUP(C36,Theory!B39:CF107,83,FALSE)</f>
        <v>7</v>
      </c>
      <c r="CV36" s="342">
        <f>VLOOKUP(C36,Theory!B39:CG107,84,FALSE)</f>
        <v>0</v>
      </c>
      <c r="CW36" s="342">
        <f>VLOOKUP(C36,Theory!B39:CH107,85,FALSE)</f>
        <v>0</v>
      </c>
      <c r="CX36" s="342">
        <f>VLOOKUP(C36,Theory!B39:CI107,86,FALSE)</f>
        <v>0</v>
      </c>
      <c r="CY36" s="341">
        <f>VLOOKUP(C36,Theory!B39:CJ107,87,FALSE)</f>
        <v>0</v>
      </c>
      <c r="CZ36" s="341">
        <f>VLOOKUP(C36,Theory!B39:CK107,88,FALSE)</f>
        <v>0</v>
      </c>
      <c r="DA36" s="341">
        <f>VLOOKUP(C36,Theory!B39:CL107,89,FALSE)</f>
        <v>0</v>
      </c>
      <c r="DB36" s="341">
        <f>VLOOKUP(C36,Theory!B39:CM107,90,FALSE)</f>
        <v>0</v>
      </c>
      <c r="DC36" s="335">
        <f t="shared" si="19"/>
        <v>7</v>
      </c>
      <c r="DD36" s="340">
        <f>VLOOKUP(C36,Theory!B39:CN107,91,FALSE)</f>
        <v>7</v>
      </c>
      <c r="DE36" s="342">
        <f>VLOOKUP(C36,Theory!B39:CO107,92,FALSE)</f>
        <v>0</v>
      </c>
      <c r="DF36" s="342">
        <f>VLOOKUP(C36,Theory!B39:CP107,93,FALSE)</f>
        <v>0</v>
      </c>
      <c r="DG36" s="342">
        <f>VLOOKUP(C36,Theory!B39:CQ107,94,FALSE)</f>
        <v>0</v>
      </c>
      <c r="DH36" s="340">
        <f>VLOOKUP(C36,Theory!B39:CR107,95,FALSE)</f>
        <v>0</v>
      </c>
      <c r="DI36" s="340">
        <f>VLOOKUP(C36,Theory!B39:CS107,96,FALSE)</f>
        <v>0</v>
      </c>
      <c r="DJ36" s="340">
        <f>VLOOKUP(C36,Theory!B39:CT107,97,FALSE)</f>
        <v>0</v>
      </c>
      <c r="DK36" s="340">
        <f>VLOOKUP(C36,Theory!B39:CU107,98,FALSE)</f>
        <v>0</v>
      </c>
      <c r="DL36" s="335">
        <f t="shared" si="20"/>
        <v>7</v>
      </c>
      <c r="DM36" s="265">
        <f t="shared" si="2"/>
        <v>30</v>
      </c>
      <c r="DN36" s="362">
        <f t="shared" si="40"/>
        <v>29</v>
      </c>
      <c r="DO36" s="362">
        <f t="shared" si="41"/>
        <v>36</v>
      </c>
      <c r="DP36" s="362">
        <f t="shared" si="42"/>
        <v>30</v>
      </c>
      <c r="DQ36" s="343">
        <f t="shared" si="43"/>
        <v>17</v>
      </c>
      <c r="DR36" s="343">
        <f t="shared" si="44"/>
        <v>22</v>
      </c>
      <c r="DS36" s="343">
        <f t="shared" si="45"/>
        <v>18</v>
      </c>
      <c r="DT36" s="328">
        <f t="shared" si="36"/>
        <v>19</v>
      </c>
      <c r="DU36" s="326">
        <f>VLOOKUP(C36,Theory!B39:CV107,99,FALSE)</f>
        <v>10</v>
      </c>
      <c r="DV36" s="326">
        <f>VLOOKUP(C36,Theory!B39:CW107,100,FALSE)</f>
        <v>10</v>
      </c>
      <c r="DW36" s="331">
        <f t="shared" si="27"/>
        <v>20</v>
      </c>
      <c r="DX36" s="266">
        <f t="shared" si="3"/>
        <v>39</v>
      </c>
      <c r="DY36" s="363">
        <f t="shared" si="4"/>
        <v>23</v>
      </c>
      <c r="DZ36" s="344">
        <f>VLOOKUP(C36,Lab!B31:D100,3,FALSE)</f>
        <v>0</v>
      </c>
      <c r="EA36" s="345">
        <f>VLOOKUP(C36,Lab!B31:E100,4,FALSE)</f>
        <v>0</v>
      </c>
      <c r="EB36" s="345">
        <f>VLOOKUP(C36,Lab!B31:F100,5,FALSE)</f>
        <v>0</v>
      </c>
      <c r="EC36" s="329">
        <f t="shared" si="37"/>
        <v>0</v>
      </c>
      <c r="ED36" s="346">
        <f>VLOOKUP(C36,Lab!B31:G100,6,FALSE)</f>
        <v>0</v>
      </c>
      <c r="EE36" s="346">
        <f>VLOOKUP(C36,Lab!B31:H100,7,FALSE)</f>
        <v>0</v>
      </c>
      <c r="EF36" s="347">
        <f>VLOOKUP(C36,Lab!B31:I100,8,FALSE)</f>
        <v>0</v>
      </c>
      <c r="EG36" s="330">
        <f t="shared" si="38"/>
        <v>0</v>
      </c>
      <c r="EH36" s="390">
        <f t="shared" si="28"/>
        <v>0</v>
      </c>
      <c r="EI36" s="349">
        <f t="shared" si="29"/>
        <v>0</v>
      </c>
      <c r="EJ36" s="391">
        <f t="shared" si="5"/>
        <v>23</v>
      </c>
      <c r="EK36" s="258">
        <v>40</v>
      </c>
      <c r="EM36" s="350">
        <f>VLOOKUP(C36,Theory!B39:DL107,114,FALSE)</f>
        <v>0</v>
      </c>
      <c r="EN36" s="350">
        <f>VLOOKUP(C36,Theory!B39:DM107,115,FALSE)</f>
        <v>0</v>
      </c>
      <c r="EO36" s="350">
        <f>VLOOKUP(C36,Theory!B39:DN107,116,FALSE)</f>
        <v>0</v>
      </c>
      <c r="EP36" s="350">
        <f>VLOOKUP(C36,Theory!B39:DO105,117,FALSE)</f>
        <v>0</v>
      </c>
      <c r="EQ36" s="350">
        <f>VLOOKUP(C36,Theory!B39:DP105,118,FALSE)</f>
        <v>0</v>
      </c>
      <c r="ER36" s="351">
        <f>VLOOKUP(C36,Theory!B39:DQ105,119,FALSE)</f>
        <v>0</v>
      </c>
      <c r="ES36" s="327">
        <f>VLOOKUP(C36,Theory!B39:DR105,120,FALSE)</f>
        <v>0</v>
      </c>
      <c r="ET36" s="348">
        <f t="shared" si="39"/>
        <v>0</v>
      </c>
      <c r="EU36" s="352"/>
      <c r="EV36" s="352"/>
      <c r="EW36" s="352"/>
      <c r="EX36" s="352"/>
      <c r="EY36" s="352"/>
      <c r="EZ36" s="352"/>
      <c r="FA36" s="352"/>
      <c r="FB36" s="352"/>
      <c r="FC36" s="352"/>
      <c r="FD36" s="352"/>
    </row>
    <row r="37" spans="1:160" ht="16.2" thickBot="1" x14ac:dyDescent="0.35">
      <c r="A37" s="64">
        <v>24</v>
      </c>
      <c r="B37" s="17" t="str">
        <f>Theory!C40</f>
        <v>RADHIKA MITTAL</v>
      </c>
      <c r="C37" s="16" t="str">
        <f>Theory!B40</f>
        <v>1DS21AI041</v>
      </c>
      <c r="D37" s="334">
        <f>VLOOKUP(C37,Theory!B40:D108,3,FALSE)</f>
        <v>6</v>
      </c>
      <c r="E37" s="334">
        <f>VLOOKUP(C37,Theory!B40:E108,4,FALSE)</f>
        <v>0</v>
      </c>
      <c r="F37" s="334">
        <f>VLOOKUP(C37,Theory!B40:F108,5,FALSE)</f>
        <v>0</v>
      </c>
      <c r="G37" s="334">
        <f>VLOOKUP(C37,Theory!B40:G108,6,FALSE)</f>
        <v>0</v>
      </c>
      <c r="H37" s="335">
        <f t="shared" si="6"/>
        <v>6</v>
      </c>
      <c r="I37" s="338">
        <f>VLOOKUP(C37,Theory!B40:H108,7,FALSE)</f>
        <v>9</v>
      </c>
      <c r="J37" s="337">
        <f>VLOOKUP(C37,Theory!B40:I108,8,FALSE)</f>
        <v>0</v>
      </c>
      <c r="K37" s="337">
        <f>VLOOKUP(C37,Theory!B40:J108,9,FALSE)</f>
        <v>0</v>
      </c>
      <c r="L37" s="337">
        <f>VLOOKUP(C37,Theory!B40:K108,10,FALSE)</f>
        <v>0</v>
      </c>
      <c r="M37" s="335">
        <f t="shared" si="7"/>
        <v>9</v>
      </c>
      <c r="N37" s="336">
        <f>VLOOKUP(C37,Theory!B40:L108,11,FALSE)</f>
        <v>7</v>
      </c>
      <c r="O37" s="336">
        <f>VLOOKUP(C37,Theory!B40:M108,12,FALSE)</f>
        <v>0</v>
      </c>
      <c r="P37" s="336">
        <f>VLOOKUP(C37,Theory!B40:N108,13,FALSE)</f>
        <v>0</v>
      </c>
      <c r="Q37" s="336">
        <f>VLOOKUP(C37,Theory!B40:O108,14,FALSE)</f>
        <v>0</v>
      </c>
      <c r="R37" s="337">
        <f>VLOOKUP(C37,Theory!B40:P108,15,FALSE)</f>
        <v>0</v>
      </c>
      <c r="S37" s="337">
        <f>VLOOKUP(C37,Theory!B40:Q108,16,FALSE)</f>
        <v>0</v>
      </c>
      <c r="T37" s="337">
        <f>VLOOKUP(C37,Theory!B40:R108,17,FALSE)</f>
        <v>0</v>
      </c>
      <c r="U37" s="337">
        <f>VLOOKUP(C37,Theory!B40:S108,18,FALSE)</f>
        <v>0</v>
      </c>
      <c r="V37" s="335">
        <f t="shared" si="8"/>
        <v>7</v>
      </c>
      <c r="W37" s="334">
        <f>VLOOKUP(C37,Theory!B40:T108,19,FALSE)</f>
        <v>8</v>
      </c>
      <c r="X37" s="334">
        <f>VLOOKUP(C37,Theory!B40:U108,20,FALSE)</f>
        <v>0</v>
      </c>
      <c r="Y37" s="334">
        <f>VLOOKUP(C37,Theory!B40:V108,21,FALSE)</f>
        <v>0</v>
      </c>
      <c r="Z37" s="334">
        <f>VLOOKUP(C37,Theory!B40:W108,22,FALSE)</f>
        <v>0</v>
      </c>
      <c r="AA37" s="338">
        <f>VLOOKUP(C37,Theory!B40:X108,23,FALSE)</f>
        <v>0</v>
      </c>
      <c r="AB37" s="338">
        <f>VLOOKUP(C37,Theory!B40:Y108,24,FALSE)</f>
        <v>0</v>
      </c>
      <c r="AC37" s="338">
        <f>VLOOKUP(C37,Theory!B40:Z108,25,FALSE)</f>
        <v>0</v>
      </c>
      <c r="AD37" s="338">
        <f>VLOOKUP(C37,Theory!B40:AA108,26,FALSE)</f>
        <v>0</v>
      </c>
      <c r="AE37" s="335">
        <f t="shared" si="9"/>
        <v>8</v>
      </c>
      <c r="AF37" s="334">
        <f>VLOOKUP(C37,Theory!B40:AB108,27,FALSE)</f>
        <v>0</v>
      </c>
      <c r="AG37" s="334">
        <f>VLOOKUP(C37,Theory!B40:AC108,28,FALSE)</f>
        <v>0</v>
      </c>
      <c r="AH37" s="334">
        <f>VLOOKUP(C37,Theory!B40:AD108,29,FALSE)</f>
        <v>0</v>
      </c>
      <c r="AI37" s="334">
        <f>VLOOKUP(C37,Theory!B40:AE108,30,FALSE)</f>
        <v>0</v>
      </c>
      <c r="AJ37" s="339">
        <f>VLOOKUP(C37,Theory!B40:AF108,31,FALSE)</f>
        <v>10</v>
      </c>
      <c r="AK37" s="339">
        <f>VLOOKUP(C37,Theory!B40:AG108,32,FALSE)</f>
        <v>0</v>
      </c>
      <c r="AL37" s="339">
        <f>VLOOKUP(C37,Theory!B40:AH108,33,FALSE)</f>
        <v>0</v>
      </c>
      <c r="AM37" s="339">
        <f>VLOOKUP(C37,Theory!B40:AI108,34,FALSE)</f>
        <v>0</v>
      </c>
      <c r="AN37" s="335">
        <f t="shared" si="10"/>
        <v>10</v>
      </c>
      <c r="AO37" s="333">
        <f t="shared" si="0"/>
        <v>40</v>
      </c>
      <c r="AP37" s="340">
        <f>VLOOKUP(C37,Theory!B40:AJ108,35,FALSE)</f>
        <v>10</v>
      </c>
      <c r="AQ37" s="340">
        <f>VLOOKUP(C37,Theory!B40:AK108,36,FALSE)</f>
        <v>0</v>
      </c>
      <c r="AR37" s="340">
        <f>VLOOKUP(C37,Theory!B40:AL108,37,FALSE)</f>
        <v>0</v>
      </c>
      <c r="AS37" s="340">
        <f>VLOOKUP(C37,Theory!B40:AM108,38,FALSE)</f>
        <v>0</v>
      </c>
      <c r="AT37" s="335">
        <f t="shared" si="11"/>
        <v>10</v>
      </c>
      <c r="AU37" s="340">
        <f>VLOOKUP(C37,Theory!B40:AN108,39,FALSE)</f>
        <v>10</v>
      </c>
      <c r="AV37" s="340">
        <f>VLOOKUP(C37,Theory!B40:AO108,40,FALSE)</f>
        <v>0</v>
      </c>
      <c r="AW37" s="340">
        <f>VLOOKUP(C37,Theory!B40:AP108,41,FALSE)</f>
        <v>0</v>
      </c>
      <c r="AX37" s="340">
        <f>VLOOKUP(C37,Theory!B40:AQ108,42,FALSE)</f>
        <v>0</v>
      </c>
      <c r="AY37" s="335">
        <f t="shared" si="12"/>
        <v>10</v>
      </c>
      <c r="AZ37" s="340">
        <f>VLOOKUP(C37,Theory!B40:AR108,43,FALSE)</f>
        <v>10</v>
      </c>
      <c r="BA37" s="340">
        <f>VLOOKUP(C37,Theory!B40:AS108,44,FALSE)</f>
        <v>0</v>
      </c>
      <c r="BB37" s="340">
        <f>VLOOKUP(C37,Theory!B40:AT108,45,FALSE)</f>
        <v>0</v>
      </c>
      <c r="BC37" s="340">
        <f>VLOOKUP(C37,Theory!B40:AU108,46,FALSE)</f>
        <v>0</v>
      </c>
      <c r="BD37" s="340">
        <f>VLOOKUP(C37,Theory!B40:AV108,47,FALSE)</f>
        <v>0</v>
      </c>
      <c r="BE37" s="340">
        <f>VLOOKUP(C37,Theory!B40:AW108,48,FALSE)</f>
        <v>0</v>
      </c>
      <c r="BF37" s="340">
        <f>VLOOKUP(C37,Theory!B40:AX108,49,FALSE)</f>
        <v>0</v>
      </c>
      <c r="BG37" s="340">
        <f>VLOOKUP(C37,Theory!B40:AY108,50,FALSE)</f>
        <v>0</v>
      </c>
      <c r="BH37" s="335">
        <f t="shared" si="13"/>
        <v>10</v>
      </c>
      <c r="BI37" s="340">
        <f>VLOOKUP(C37,Theory!B40:AZ108,51,FALSE)</f>
        <v>8</v>
      </c>
      <c r="BJ37" s="340">
        <f>VLOOKUP(C37,Theory!B40:BA108,52,FALSE)</f>
        <v>0</v>
      </c>
      <c r="BK37" s="340">
        <f>VLOOKUP(C37,Theory!B40:BB108,53,FALSE)</f>
        <v>0</v>
      </c>
      <c r="BL37" s="340">
        <f>VLOOKUP(C37,Theory!B40:BC108,54,FALSE)</f>
        <v>0</v>
      </c>
      <c r="BM37" s="340">
        <f>VLOOKUP(C37,Theory!B40:BD108,55,FALSE)</f>
        <v>0</v>
      </c>
      <c r="BN37" s="340">
        <f>VLOOKUP(C37,Theory!B40:BE108,56,FALSE)</f>
        <v>0</v>
      </c>
      <c r="BO37" s="340">
        <f>VLOOKUP(C37,Theory!B40:BF108,57,FALSE)</f>
        <v>0</v>
      </c>
      <c r="BP37" s="340">
        <f>VLOOKUP(C37,Theory!B40:BG108,58,FALSE)</f>
        <v>0</v>
      </c>
      <c r="BQ37" s="335">
        <f t="shared" si="14"/>
        <v>8</v>
      </c>
      <c r="BR37" s="340">
        <f>VLOOKUP(C37,Theory!B40:BH108,59,FALSE)</f>
        <v>10</v>
      </c>
      <c r="BS37" s="340">
        <f>VLOOKUP(C37,Theory!B40:BI108,60,FALSE)</f>
        <v>0</v>
      </c>
      <c r="BT37" s="340">
        <f>VLOOKUP(C37,Theory!B40:BJ108,61,FALSE)</f>
        <v>0</v>
      </c>
      <c r="BU37" s="340">
        <f>VLOOKUP(C37,Theory!B40:BK108,62,FALSE)</f>
        <v>0</v>
      </c>
      <c r="BV37" s="340">
        <f>VLOOKUP(C37,Theory!B40:BL108,63,FALSE)</f>
        <v>0</v>
      </c>
      <c r="BW37" s="340">
        <f>VLOOKUP(C37,Theory!B40:BM108,64,FALSE)</f>
        <v>0</v>
      </c>
      <c r="BX37" s="340">
        <f>VLOOKUP(C37,Theory!B40:BN108,65,FALSE)</f>
        <v>0</v>
      </c>
      <c r="BY37" s="340">
        <f>VLOOKUP(C37,Theory!B40:BO108,66,FALSE)</f>
        <v>0</v>
      </c>
      <c r="BZ37" s="335">
        <f t="shared" si="15"/>
        <v>10</v>
      </c>
      <c r="CA37" s="333">
        <f t="shared" si="1"/>
        <v>48</v>
      </c>
      <c r="CB37" s="340">
        <f>VLOOKUP(C37,Theory!B40:BP108,67,FALSE)</f>
        <v>8</v>
      </c>
      <c r="CC37" s="340">
        <f>VLOOKUP(C37,Theory!B40:BQ108,68,FALSE)</f>
        <v>0</v>
      </c>
      <c r="CD37" s="340">
        <f>VLOOKUP(C37,Theory!B40:BR108,69,FALSE)</f>
        <v>0</v>
      </c>
      <c r="CE37" s="340">
        <f>VLOOKUP(C37,Theory!B40:BS108,70,FALSE)</f>
        <v>0</v>
      </c>
      <c r="CF37" s="335">
        <f t="shared" si="16"/>
        <v>8</v>
      </c>
      <c r="CG37" s="341">
        <f>VLOOKUP(C37,Theory!B40:BT108,71,FALSE)</f>
        <v>9</v>
      </c>
      <c r="CH37" s="341">
        <f>VLOOKUP(C37,Theory!B40:BU108,72,FALSE)</f>
        <v>0</v>
      </c>
      <c r="CI37" s="341">
        <f>VLOOKUP(C37,Theory!B40:BV108,73,FALSE)</f>
        <v>0</v>
      </c>
      <c r="CJ37" s="341">
        <f>VLOOKUP(C37,Theory!B40:BW108,74,FALSE)</f>
        <v>0</v>
      </c>
      <c r="CK37" s="335">
        <f t="shared" si="17"/>
        <v>9</v>
      </c>
      <c r="CL37" s="340">
        <f>VLOOKUP(C37,Theory!B40:BX108,75,FALSE)</f>
        <v>10</v>
      </c>
      <c r="CM37" s="342">
        <f>VLOOKUP(C37,Theory!B40:BY108,76,FALSE)</f>
        <v>0</v>
      </c>
      <c r="CN37" s="342">
        <f>VLOOKUP(C37,Theory!B40:BZ108,77,FALSE)</f>
        <v>0</v>
      </c>
      <c r="CO37" s="342">
        <f>VLOOKUP(C37,Theory!B40:CA108,78,FALSE)</f>
        <v>0</v>
      </c>
      <c r="CP37" s="340">
        <f>VLOOKUP(C37,Theory!B40:CB108,79,FALSE)</f>
        <v>0</v>
      </c>
      <c r="CQ37" s="340">
        <f>VLOOKUP(C37,Theory!B40:CC108,80,FALSE)</f>
        <v>0</v>
      </c>
      <c r="CR37" s="340">
        <f>VLOOKUP(C37,Theory!B40:CD108,81,FALSE)</f>
        <v>0</v>
      </c>
      <c r="CS37" s="340">
        <f>VLOOKUP(C37,Theory!B40:CE108,82,FALSE)</f>
        <v>0</v>
      </c>
      <c r="CT37" s="335">
        <f t="shared" si="18"/>
        <v>10</v>
      </c>
      <c r="CU37" s="341">
        <f>VLOOKUP(C37,Theory!B40:CF108,83,FALSE)</f>
        <v>9</v>
      </c>
      <c r="CV37" s="342">
        <f>VLOOKUP(C37,Theory!B40:CG108,84,FALSE)</f>
        <v>0</v>
      </c>
      <c r="CW37" s="342">
        <f>VLOOKUP(C37,Theory!B40:CH108,85,FALSE)</f>
        <v>0</v>
      </c>
      <c r="CX37" s="342">
        <f>VLOOKUP(C37,Theory!B40:CI108,86,FALSE)</f>
        <v>0</v>
      </c>
      <c r="CY37" s="341">
        <f>VLOOKUP(C37,Theory!B40:CJ108,87,FALSE)</f>
        <v>0</v>
      </c>
      <c r="CZ37" s="341">
        <f>VLOOKUP(C37,Theory!B40:CK108,88,FALSE)</f>
        <v>0</v>
      </c>
      <c r="DA37" s="341">
        <f>VLOOKUP(C37,Theory!B40:CL108,89,FALSE)</f>
        <v>0</v>
      </c>
      <c r="DB37" s="341">
        <f>VLOOKUP(C37,Theory!B40:CM108,90,FALSE)</f>
        <v>0</v>
      </c>
      <c r="DC37" s="335">
        <f t="shared" si="19"/>
        <v>9</v>
      </c>
      <c r="DD37" s="340">
        <f>VLOOKUP(C37,Theory!B40:CN108,91,FALSE)</f>
        <v>10</v>
      </c>
      <c r="DE37" s="342">
        <f>VLOOKUP(C37,Theory!B40:CO108,92,FALSE)</f>
        <v>0</v>
      </c>
      <c r="DF37" s="342">
        <f>VLOOKUP(C37,Theory!B40:CP108,93,FALSE)</f>
        <v>0</v>
      </c>
      <c r="DG37" s="342">
        <f>VLOOKUP(C37,Theory!B40:CQ108,94,FALSE)</f>
        <v>0</v>
      </c>
      <c r="DH37" s="340">
        <f>VLOOKUP(C37,Theory!B40:CR108,95,FALSE)</f>
        <v>0</v>
      </c>
      <c r="DI37" s="340">
        <f>VLOOKUP(C37,Theory!B40:CS108,96,FALSE)</f>
        <v>0</v>
      </c>
      <c r="DJ37" s="340">
        <f>VLOOKUP(C37,Theory!B40:CT108,97,FALSE)</f>
        <v>0</v>
      </c>
      <c r="DK37" s="340">
        <f>VLOOKUP(C37,Theory!B40:CU108,98,FALSE)</f>
        <v>0</v>
      </c>
      <c r="DL37" s="335">
        <f t="shared" si="20"/>
        <v>10</v>
      </c>
      <c r="DM37" s="265">
        <f t="shared" si="2"/>
        <v>46</v>
      </c>
      <c r="DN37" s="362">
        <f t="shared" si="40"/>
        <v>40</v>
      </c>
      <c r="DO37" s="362">
        <f t="shared" si="41"/>
        <v>48</v>
      </c>
      <c r="DP37" s="362">
        <f t="shared" si="42"/>
        <v>46</v>
      </c>
      <c r="DQ37" s="343">
        <f t="shared" si="43"/>
        <v>24</v>
      </c>
      <c r="DR37" s="343">
        <f t="shared" si="44"/>
        <v>29</v>
      </c>
      <c r="DS37" s="343">
        <f t="shared" si="45"/>
        <v>28</v>
      </c>
      <c r="DT37" s="328">
        <f t="shared" si="36"/>
        <v>27</v>
      </c>
      <c r="DU37" s="326">
        <f>VLOOKUP(C37,Theory!B40:CV108,99,FALSE)</f>
        <v>10</v>
      </c>
      <c r="DV37" s="326">
        <f>VLOOKUP(C37,Theory!B40:CW108,100,FALSE)</f>
        <v>10</v>
      </c>
      <c r="DW37" s="331">
        <f t="shared" si="27"/>
        <v>20</v>
      </c>
      <c r="DX37" s="266">
        <f t="shared" si="3"/>
        <v>47</v>
      </c>
      <c r="DY37" s="363">
        <f t="shared" si="4"/>
        <v>28</v>
      </c>
      <c r="DZ37" s="344">
        <f>VLOOKUP(C37,Lab!B32:D101,3,FALSE)</f>
        <v>0</v>
      </c>
      <c r="EA37" s="345">
        <f>VLOOKUP(C37,Lab!B32:E101,4,FALSE)</f>
        <v>0</v>
      </c>
      <c r="EB37" s="345">
        <f>VLOOKUP(C37,Lab!B32:F101,5,FALSE)</f>
        <v>0</v>
      </c>
      <c r="EC37" s="329">
        <f t="shared" si="37"/>
        <v>0</v>
      </c>
      <c r="ED37" s="346">
        <f>VLOOKUP(C37,Lab!B32:G101,6,FALSE)</f>
        <v>0</v>
      </c>
      <c r="EE37" s="346">
        <f>VLOOKUP(C37,Lab!B32:H101,7,FALSE)</f>
        <v>0</v>
      </c>
      <c r="EF37" s="347">
        <f>VLOOKUP(C37,Lab!B32:I101,8,FALSE)</f>
        <v>0</v>
      </c>
      <c r="EG37" s="330">
        <f t="shared" si="38"/>
        <v>0</v>
      </c>
      <c r="EH37" s="390">
        <f t="shared" si="28"/>
        <v>0</v>
      </c>
      <c r="EI37" s="349">
        <f t="shared" si="29"/>
        <v>0</v>
      </c>
      <c r="EJ37" s="391">
        <f t="shared" si="5"/>
        <v>28</v>
      </c>
      <c r="EK37" s="258">
        <v>42</v>
      </c>
      <c r="EM37" s="350">
        <f>VLOOKUP(C37,Theory!B40:DL108,114,FALSE)</f>
        <v>0</v>
      </c>
      <c r="EN37" s="350">
        <f>VLOOKUP(C37,Theory!B40:DM108,115,FALSE)</f>
        <v>0</v>
      </c>
      <c r="EO37" s="350">
        <f>VLOOKUP(C37,Theory!B40:DN108,116,FALSE)</f>
        <v>0</v>
      </c>
      <c r="EP37" s="350">
        <f>VLOOKUP(C37,Theory!B40:DO106,117,FALSE)</f>
        <v>0</v>
      </c>
      <c r="EQ37" s="350">
        <f>VLOOKUP(C37,Theory!B40:DP106,118,FALSE)</f>
        <v>0</v>
      </c>
      <c r="ER37" s="351">
        <f>VLOOKUP(C37,Theory!B40:DQ106,119,FALSE)</f>
        <v>0</v>
      </c>
      <c r="ES37" s="327">
        <f>VLOOKUP(C37,Theory!B40:DR106,120,FALSE)</f>
        <v>0</v>
      </c>
      <c r="ET37" s="348">
        <f t="shared" si="39"/>
        <v>0</v>
      </c>
      <c r="EU37" s="352"/>
      <c r="EV37" s="352"/>
      <c r="EW37" s="352"/>
      <c r="EX37" s="352"/>
      <c r="EY37" s="352"/>
      <c r="EZ37" s="352"/>
      <c r="FA37" s="352"/>
      <c r="FB37" s="352"/>
      <c r="FC37" s="352"/>
      <c r="FD37" s="352"/>
    </row>
    <row r="38" spans="1:160" ht="16.2" thickBot="1" x14ac:dyDescent="0.35">
      <c r="A38" s="64">
        <v>25</v>
      </c>
      <c r="B38" s="17" t="str">
        <f>Theory!C41</f>
        <v>S UDAY KUMAR</v>
      </c>
      <c r="C38" s="16" t="str">
        <f>Theory!B41</f>
        <v>1DS21AI044</v>
      </c>
      <c r="D38" s="334">
        <f>VLOOKUP(C38,Theory!B41:D109,3,FALSE)</f>
        <v>1</v>
      </c>
      <c r="E38" s="334">
        <f>VLOOKUP(C38,Theory!B41:E109,4,FALSE)</f>
        <v>0</v>
      </c>
      <c r="F38" s="334">
        <f>VLOOKUP(C38,Theory!B41:F109,5,FALSE)</f>
        <v>0</v>
      </c>
      <c r="G38" s="334">
        <f>VLOOKUP(C38,Theory!B41:G109,6,FALSE)</f>
        <v>0</v>
      </c>
      <c r="H38" s="335">
        <f t="shared" si="6"/>
        <v>1</v>
      </c>
      <c r="I38" s="338">
        <f>VLOOKUP(C38,Theory!B41:H109,7,FALSE)</f>
        <v>8</v>
      </c>
      <c r="J38" s="337">
        <f>VLOOKUP(C38,Theory!B41:I109,8,FALSE)</f>
        <v>0</v>
      </c>
      <c r="K38" s="337">
        <f>VLOOKUP(C38,Theory!B41:J109,9,FALSE)</f>
        <v>0</v>
      </c>
      <c r="L38" s="337">
        <f>VLOOKUP(C38,Theory!B41:K109,10,FALSE)</f>
        <v>0</v>
      </c>
      <c r="M38" s="335">
        <f t="shared" si="7"/>
        <v>8</v>
      </c>
      <c r="N38" s="336">
        <f>VLOOKUP(C38,Theory!B41:L109,11,FALSE)</f>
        <v>10</v>
      </c>
      <c r="O38" s="336">
        <f>VLOOKUP(C38,Theory!B41:M109,12,FALSE)</f>
        <v>0</v>
      </c>
      <c r="P38" s="336">
        <f>VLOOKUP(C38,Theory!B41:N109,13,FALSE)</f>
        <v>0</v>
      </c>
      <c r="Q38" s="336">
        <f>VLOOKUP(C38,Theory!B41:O109,14,FALSE)</f>
        <v>0</v>
      </c>
      <c r="R38" s="337">
        <f>VLOOKUP(C38,Theory!B41:P109,15,FALSE)</f>
        <v>0</v>
      </c>
      <c r="S38" s="337">
        <f>VLOOKUP(C38,Theory!B41:Q109,16,FALSE)</f>
        <v>0</v>
      </c>
      <c r="T38" s="337">
        <f>VLOOKUP(C38,Theory!B41:R109,17,FALSE)</f>
        <v>0</v>
      </c>
      <c r="U38" s="337">
        <f>VLOOKUP(C38,Theory!B41:S109,18,FALSE)</f>
        <v>0</v>
      </c>
      <c r="V38" s="335">
        <f t="shared" si="8"/>
        <v>10</v>
      </c>
      <c r="W38" s="334">
        <f>VLOOKUP(C38,Theory!B41:T109,19,FALSE)</f>
        <v>10</v>
      </c>
      <c r="X38" s="334">
        <f>VLOOKUP(C38,Theory!B41:U109,20,FALSE)</f>
        <v>0</v>
      </c>
      <c r="Y38" s="334">
        <f>VLOOKUP(C38,Theory!B41:V109,21,FALSE)</f>
        <v>0</v>
      </c>
      <c r="Z38" s="334">
        <f>VLOOKUP(C38,Theory!B41:W109,22,FALSE)</f>
        <v>0</v>
      </c>
      <c r="AA38" s="338">
        <f>VLOOKUP(C38,Theory!B41:X109,23,FALSE)</f>
        <v>0</v>
      </c>
      <c r="AB38" s="338">
        <f>VLOOKUP(C38,Theory!B41:Y109,24,FALSE)</f>
        <v>0</v>
      </c>
      <c r="AC38" s="338">
        <f>VLOOKUP(C38,Theory!B41:Z109,25,FALSE)</f>
        <v>0</v>
      </c>
      <c r="AD38" s="338">
        <f>VLOOKUP(C38,Theory!B41:AA109,26,FALSE)</f>
        <v>0</v>
      </c>
      <c r="AE38" s="335">
        <f t="shared" si="9"/>
        <v>10</v>
      </c>
      <c r="AF38" s="334">
        <f>VLOOKUP(C38,Theory!B41:AB109,27,FALSE)</f>
        <v>5</v>
      </c>
      <c r="AG38" s="334">
        <f>VLOOKUP(C38,Theory!B41:AC109,28,FALSE)</f>
        <v>0</v>
      </c>
      <c r="AH38" s="334">
        <f>VLOOKUP(C38,Theory!B41:AD109,29,FALSE)</f>
        <v>0</v>
      </c>
      <c r="AI38" s="334">
        <f>VLOOKUP(C38,Theory!B41:AE109,30,FALSE)</f>
        <v>0</v>
      </c>
      <c r="AJ38" s="339">
        <f>VLOOKUP(C38,Theory!B41:AF109,31,FALSE)</f>
        <v>0</v>
      </c>
      <c r="AK38" s="339">
        <f>VLOOKUP(C38,Theory!B41:AG109,32,FALSE)</f>
        <v>0</v>
      </c>
      <c r="AL38" s="339">
        <f>VLOOKUP(C38,Theory!B41:AH109,33,FALSE)</f>
        <v>0</v>
      </c>
      <c r="AM38" s="339">
        <f>VLOOKUP(C38,Theory!B41:AI109,34,FALSE)</f>
        <v>0</v>
      </c>
      <c r="AN38" s="335">
        <f t="shared" si="10"/>
        <v>5</v>
      </c>
      <c r="AO38" s="333">
        <f t="shared" si="0"/>
        <v>34</v>
      </c>
      <c r="AP38" s="340">
        <f>VLOOKUP(C38,Theory!B41:AJ109,35,FALSE)</f>
        <v>6</v>
      </c>
      <c r="AQ38" s="340">
        <f>VLOOKUP(C38,Theory!B41:AK109,36,FALSE)</f>
        <v>0</v>
      </c>
      <c r="AR38" s="340">
        <f>VLOOKUP(C38,Theory!B41:AL109,37,FALSE)</f>
        <v>0</v>
      </c>
      <c r="AS38" s="340">
        <f>VLOOKUP(C38,Theory!B41:AM109,38,FALSE)</f>
        <v>0</v>
      </c>
      <c r="AT38" s="335">
        <f t="shared" si="11"/>
        <v>6</v>
      </c>
      <c r="AU38" s="340">
        <f>VLOOKUP(C38,Theory!B41:AN109,39,FALSE)</f>
        <v>5</v>
      </c>
      <c r="AV38" s="340">
        <f>VLOOKUP(C38,Theory!B41:AO109,40,FALSE)</f>
        <v>0</v>
      </c>
      <c r="AW38" s="340">
        <f>VLOOKUP(C38,Theory!B41:AP109,41,FALSE)</f>
        <v>0</v>
      </c>
      <c r="AX38" s="340">
        <f>VLOOKUP(C38,Theory!B41:AQ109,42,FALSE)</f>
        <v>0</v>
      </c>
      <c r="AY38" s="335">
        <f t="shared" si="12"/>
        <v>5</v>
      </c>
      <c r="AZ38" s="340">
        <f>VLOOKUP(C38,Theory!B41:AR109,43,FALSE)</f>
        <v>8</v>
      </c>
      <c r="BA38" s="340">
        <f>VLOOKUP(C38,Theory!B41:AS109,44,FALSE)</f>
        <v>0</v>
      </c>
      <c r="BB38" s="340">
        <f>VLOOKUP(C38,Theory!B41:AT109,45,FALSE)</f>
        <v>0</v>
      </c>
      <c r="BC38" s="340">
        <f>VLOOKUP(C38,Theory!B41:AU109,46,FALSE)</f>
        <v>0</v>
      </c>
      <c r="BD38" s="340">
        <f>VLOOKUP(C38,Theory!B41:AV109,47,FALSE)</f>
        <v>0</v>
      </c>
      <c r="BE38" s="340">
        <f>VLOOKUP(C38,Theory!B41:AW109,48,FALSE)</f>
        <v>0</v>
      </c>
      <c r="BF38" s="340">
        <f>VLOOKUP(C38,Theory!B41:AX109,49,FALSE)</f>
        <v>0</v>
      </c>
      <c r="BG38" s="340">
        <f>VLOOKUP(C38,Theory!B41:AY109,50,FALSE)</f>
        <v>0</v>
      </c>
      <c r="BH38" s="335">
        <f t="shared" si="13"/>
        <v>8</v>
      </c>
      <c r="BI38" s="340">
        <f>VLOOKUP(C38,Theory!B41:AZ109,51,FALSE)</f>
        <v>8</v>
      </c>
      <c r="BJ38" s="340">
        <f>VLOOKUP(C38,Theory!B41:BA109,52,FALSE)</f>
        <v>0</v>
      </c>
      <c r="BK38" s="340">
        <f>VLOOKUP(C38,Theory!B41:BB109,53,FALSE)</f>
        <v>0</v>
      </c>
      <c r="BL38" s="340">
        <f>VLOOKUP(C38,Theory!B41:BC109,54,FALSE)</f>
        <v>0</v>
      </c>
      <c r="BM38" s="340">
        <f>VLOOKUP(C38,Theory!B41:BD109,55,FALSE)</f>
        <v>0</v>
      </c>
      <c r="BN38" s="340">
        <f>VLOOKUP(C38,Theory!B41:BE109,56,FALSE)</f>
        <v>0</v>
      </c>
      <c r="BO38" s="340">
        <f>VLOOKUP(C38,Theory!B41:BF109,57,FALSE)</f>
        <v>0</v>
      </c>
      <c r="BP38" s="340">
        <f>VLOOKUP(C38,Theory!B41:BG109,58,FALSE)</f>
        <v>0</v>
      </c>
      <c r="BQ38" s="335">
        <f t="shared" si="14"/>
        <v>8</v>
      </c>
      <c r="BR38" s="340">
        <f>VLOOKUP(C38,Theory!B41:BH109,59,FALSE)</f>
        <v>0</v>
      </c>
      <c r="BS38" s="340">
        <f>VLOOKUP(C38,Theory!B41:BI109,60,FALSE)</f>
        <v>0</v>
      </c>
      <c r="BT38" s="340">
        <f>VLOOKUP(C38,Theory!B41:BJ109,61,FALSE)</f>
        <v>0</v>
      </c>
      <c r="BU38" s="340">
        <f>VLOOKUP(C38,Theory!B41:BK109,62,FALSE)</f>
        <v>0</v>
      </c>
      <c r="BV38" s="340">
        <f>VLOOKUP(C38,Theory!B41:BL109,63,FALSE)</f>
        <v>7</v>
      </c>
      <c r="BW38" s="340">
        <f>VLOOKUP(C38,Theory!B41:BM109,64,FALSE)</f>
        <v>0</v>
      </c>
      <c r="BX38" s="340">
        <f>VLOOKUP(C38,Theory!B41:BN109,65,FALSE)</f>
        <v>0</v>
      </c>
      <c r="BY38" s="340">
        <f>VLOOKUP(C38,Theory!B41:BO109,66,FALSE)</f>
        <v>0</v>
      </c>
      <c r="BZ38" s="335">
        <f t="shared" si="15"/>
        <v>7</v>
      </c>
      <c r="CA38" s="333">
        <f t="shared" si="1"/>
        <v>34</v>
      </c>
      <c r="CB38" s="340">
        <f>VLOOKUP(C38,Theory!B41:BP109,67,FALSE)</f>
        <v>6</v>
      </c>
      <c r="CC38" s="340">
        <f>VLOOKUP(C38,Theory!B41:BQ109,68,FALSE)</f>
        <v>0</v>
      </c>
      <c r="CD38" s="340">
        <f>VLOOKUP(C38,Theory!B41:BR109,69,FALSE)</f>
        <v>0</v>
      </c>
      <c r="CE38" s="340">
        <f>VLOOKUP(C38,Theory!B41:BS109,70,FALSE)</f>
        <v>0</v>
      </c>
      <c r="CF38" s="335">
        <f t="shared" si="16"/>
        <v>6</v>
      </c>
      <c r="CG38" s="341">
        <f>VLOOKUP(C38,Theory!B41:BT109,71,FALSE)</f>
        <v>5</v>
      </c>
      <c r="CH38" s="341">
        <f>VLOOKUP(C38,Theory!B41:BU109,72,FALSE)</f>
        <v>0</v>
      </c>
      <c r="CI38" s="341">
        <f>VLOOKUP(C38,Theory!B41:BV109,73,FALSE)</f>
        <v>0</v>
      </c>
      <c r="CJ38" s="341">
        <f>VLOOKUP(C38,Theory!B41:BW109,74,FALSE)</f>
        <v>0</v>
      </c>
      <c r="CK38" s="335">
        <f t="shared" si="17"/>
        <v>5</v>
      </c>
      <c r="CL38" s="340">
        <f>VLOOKUP(C38,Theory!B41:BX109,75,FALSE)</f>
        <v>5</v>
      </c>
      <c r="CM38" s="342">
        <f>VLOOKUP(C38,Theory!B41:BY109,76,FALSE)</f>
        <v>0</v>
      </c>
      <c r="CN38" s="342">
        <f>VLOOKUP(C38,Theory!B41:BZ109,77,FALSE)</f>
        <v>0</v>
      </c>
      <c r="CO38" s="342">
        <f>VLOOKUP(C38,Theory!B41:CA109,78,FALSE)</f>
        <v>0</v>
      </c>
      <c r="CP38" s="340">
        <f>VLOOKUP(C38,Theory!B41:CB109,79,FALSE)</f>
        <v>0</v>
      </c>
      <c r="CQ38" s="340">
        <f>VLOOKUP(C38,Theory!B41:CC109,80,FALSE)</f>
        <v>0</v>
      </c>
      <c r="CR38" s="340">
        <f>VLOOKUP(C38,Theory!B41:CD109,81,FALSE)</f>
        <v>0</v>
      </c>
      <c r="CS38" s="340">
        <f>VLOOKUP(C38,Theory!B41:CE109,82,FALSE)</f>
        <v>0</v>
      </c>
      <c r="CT38" s="335">
        <f t="shared" si="18"/>
        <v>5</v>
      </c>
      <c r="CU38" s="341">
        <f>VLOOKUP(C38,Theory!B41:CF109,83,FALSE)</f>
        <v>0</v>
      </c>
      <c r="CV38" s="342">
        <f>VLOOKUP(C38,Theory!B41:CG109,84,FALSE)</f>
        <v>0</v>
      </c>
      <c r="CW38" s="342">
        <f>VLOOKUP(C38,Theory!B41:CH109,85,FALSE)</f>
        <v>0</v>
      </c>
      <c r="CX38" s="342">
        <f>VLOOKUP(C38,Theory!B41:CI109,86,FALSE)</f>
        <v>0</v>
      </c>
      <c r="CY38" s="341">
        <f>VLOOKUP(C38,Theory!B41:CJ109,87,FALSE)</f>
        <v>9</v>
      </c>
      <c r="CZ38" s="341">
        <f>VLOOKUP(C38,Theory!B41:CK109,88,FALSE)</f>
        <v>0</v>
      </c>
      <c r="DA38" s="341">
        <f>VLOOKUP(C38,Theory!B41:CL109,89,FALSE)</f>
        <v>0</v>
      </c>
      <c r="DB38" s="341">
        <f>VLOOKUP(C38,Theory!B41:CM109,90,FALSE)</f>
        <v>0</v>
      </c>
      <c r="DC38" s="335">
        <f t="shared" si="19"/>
        <v>9</v>
      </c>
      <c r="DD38" s="340">
        <f>VLOOKUP(C38,Theory!B41:CN109,91,FALSE)</f>
        <v>0</v>
      </c>
      <c r="DE38" s="342">
        <f>VLOOKUP(C38,Theory!B41:CO109,92,FALSE)</f>
        <v>0</v>
      </c>
      <c r="DF38" s="342">
        <f>VLOOKUP(C38,Theory!B41:CP109,93,FALSE)</f>
        <v>0</v>
      </c>
      <c r="DG38" s="342">
        <f>VLOOKUP(C38,Theory!B41:CQ109,94,FALSE)</f>
        <v>0</v>
      </c>
      <c r="DH38" s="340">
        <f>VLOOKUP(C38,Theory!B41:CR109,95,FALSE)</f>
        <v>6</v>
      </c>
      <c r="DI38" s="340">
        <f>VLOOKUP(C38,Theory!B41:CS109,96,FALSE)</f>
        <v>0</v>
      </c>
      <c r="DJ38" s="340">
        <f>VLOOKUP(C38,Theory!B41:CT109,97,FALSE)</f>
        <v>0</v>
      </c>
      <c r="DK38" s="340">
        <f>VLOOKUP(C38,Theory!B41:CU109,98,FALSE)</f>
        <v>0</v>
      </c>
      <c r="DL38" s="335">
        <f t="shared" si="20"/>
        <v>6</v>
      </c>
      <c r="DM38" s="265">
        <f t="shared" si="2"/>
        <v>31</v>
      </c>
      <c r="DN38" s="362">
        <f t="shared" si="40"/>
        <v>34</v>
      </c>
      <c r="DO38" s="362">
        <f t="shared" si="41"/>
        <v>34</v>
      </c>
      <c r="DP38" s="362">
        <f t="shared" si="42"/>
        <v>31</v>
      </c>
      <c r="DQ38" s="343">
        <f t="shared" si="43"/>
        <v>20</v>
      </c>
      <c r="DR38" s="343">
        <f t="shared" si="44"/>
        <v>20</v>
      </c>
      <c r="DS38" s="343">
        <f t="shared" si="45"/>
        <v>19</v>
      </c>
      <c r="DT38" s="328">
        <f t="shared" si="36"/>
        <v>20</v>
      </c>
      <c r="DU38" s="326">
        <f>VLOOKUP(C38,Theory!B41:CV109,99,FALSE)</f>
        <v>10</v>
      </c>
      <c r="DV38" s="326">
        <f>VLOOKUP(C38,Theory!B41:CW109,100,FALSE)</f>
        <v>10</v>
      </c>
      <c r="DW38" s="331">
        <f t="shared" si="27"/>
        <v>20</v>
      </c>
      <c r="DX38" s="266">
        <f t="shared" si="3"/>
        <v>40</v>
      </c>
      <c r="DY38" s="363">
        <f t="shared" si="4"/>
        <v>24</v>
      </c>
      <c r="DZ38" s="344">
        <f>VLOOKUP(C38,Lab!B33:D102,3,FALSE)</f>
        <v>0</v>
      </c>
      <c r="EA38" s="345">
        <f>VLOOKUP(C38,Lab!B33:E102,4,FALSE)</f>
        <v>0</v>
      </c>
      <c r="EB38" s="345">
        <f>VLOOKUP(C38,Lab!B33:F102,5,FALSE)</f>
        <v>0</v>
      </c>
      <c r="EC38" s="329">
        <f t="shared" si="37"/>
        <v>0</v>
      </c>
      <c r="ED38" s="346">
        <f>VLOOKUP(C38,Lab!B33:G102,6,FALSE)</f>
        <v>0</v>
      </c>
      <c r="EE38" s="346">
        <f>VLOOKUP(C38,Lab!B33:H102,7,FALSE)</f>
        <v>0</v>
      </c>
      <c r="EF38" s="347">
        <f>VLOOKUP(C38,Lab!B33:I102,8,FALSE)</f>
        <v>0</v>
      </c>
      <c r="EG38" s="330">
        <f t="shared" si="38"/>
        <v>0</v>
      </c>
      <c r="EH38" s="390">
        <f t="shared" si="28"/>
        <v>0</v>
      </c>
      <c r="EI38" s="349">
        <f t="shared" si="29"/>
        <v>0</v>
      </c>
      <c r="EJ38" s="391">
        <f t="shared" si="5"/>
        <v>24</v>
      </c>
      <c r="EK38" s="258">
        <v>41</v>
      </c>
      <c r="EM38" s="350">
        <f>VLOOKUP(C38,Theory!B41:DL109,114,FALSE)</f>
        <v>0</v>
      </c>
      <c r="EN38" s="350">
        <f>VLOOKUP(C38,Theory!B41:DM109,115,FALSE)</f>
        <v>0</v>
      </c>
      <c r="EO38" s="350">
        <f>VLOOKUP(C38,Theory!B41:DN109,116,FALSE)</f>
        <v>0</v>
      </c>
      <c r="EP38" s="350">
        <f>VLOOKUP(C38,Theory!B41:DO107,117,FALSE)</f>
        <v>0</v>
      </c>
      <c r="EQ38" s="350">
        <f>VLOOKUP(C38,Theory!B41:DP107,118,FALSE)</f>
        <v>0</v>
      </c>
      <c r="ER38" s="351">
        <f>VLOOKUP(C38,Theory!B41:DQ107,119,FALSE)</f>
        <v>0</v>
      </c>
      <c r="ES38" s="327">
        <f>VLOOKUP(C38,Theory!B41:DR107,120,FALSE)</f>
        <v>0</v>
      </c>
      <c r="ET38" s="348">
        <f t="shared" si="39"/>
        <v>0</v>
      </c>
      <c r="EU38" s="352"/>
      <c r="EV38" s="352"/>
      <c r="EW38" s="352"/>
      <c r="EX38" s="352"/>
      <c r="EY38" s="352"/>
      <c r="EZ38" s="352"/>
      <c r="FA38" s="352"/>
      <c r="FB38" s="352"/>
      <c r="FC38" s="352"/>
      <c r="FD38" s="352"/>
    </row>
    <row r="39" spans="1:160" ht="16.2" thickBot="1" x14ac:dyDescent="0.35">
      <c r="A39" s="64">
        <v>26</v>
      </c>
      <c r="B39" s="17" t="str">
        <f>Theory!C42</f>
        <v>SHAMS AARIZE SIDDIQUE</v>
      </c>
      <c r="C39" s="16" t="str">
        <f>Theory!B42</f>
        <v>1DS21AI045</v>
      </c>
      <c r="D39" s="334">
        <f>VLOOKUP(C39,Theory!B42:D110,3,FALSE)</f>
        <v>7</v>
      </c>
      <c r="E39" s="334">
        <f>VLOOKUP(C39,Theory!B42:E110,4,FALSE)</f>
        <v>0</v>
      </c>
      <c r="F39" s="334">
        <f>VLOOKUP(C39,Theory!B42:F110,5,FALSE)</f>
        <v>0</v>
      </c>
      <c r="G39" s="334">
        <f>VLOOKUP(C39,Theory!B42:G110,6,FALSE)</f>
        <v>0</v>
      </c>
      <c r="H39" s="335">
        <f t="shared" si="6"/>
        <v>7</v>
      </c>
      <c r="I39" s="338">
        <f>VLOOKUP(C39,Theory!B42:H110,7,FALSE)</f>
        <v>8</v>
      </c>
      <c r="J39" s="337">
        <f>VLOOKUP(C39,Theory!B42:I110,8,FALSE)</f>
        <v>0</v>
      </c>
      <c r="K39" s="337">
        <f>VLOOKUP(C39,Theory!B42:J110,9,FALSE)</f>
        <v>0</v>
      </c>
      <c r="L39" s="337">
        <f>VLOOKUP(C39,Theory!B42:K110,10,FALSE)</f>
        <v>0</v>
      </c>
      <c r="M39" s="335">
        <f t="shared" si="7"/>
        <v>8</v>
      </c>
      <c r="N39" s="336">
        <f>VLOOKUP(C39,Theory!B42:L110,11,FALSE)</f>
        <v>8</v>
      </c>
      <c r="O39" s="336">
        <f>VLOOKUP(C39,Theory!B42:M110,12,FALSE)</f>
        <v>0</v>
      </c>
      <c r="P39" s="336">
        <f>VLOOKUP(C39,Theory!B42:N110,13,FALSE)</f>
        <v>0</v>
      </c>
      <c r="Q39" s="336">
        <f>VLOOKUP(C39,Theory!B42:O110,14,FALSE)</f>
        <v>0</v>
      </c>
      <c r="R39" s="337">
        <f>VLOOKUP(C39,Theory!B42:P110,15,FALSE)</f>
        <v>0</v>
      </c>
      <c r="S39" s="337">
        <f>VLOOKUP(C39,Theory!B42:Q110,16,FALSE)</f>
        <v>0</v>
      </c>
      <c r="T39" s="337">
        <f>VLOOKUP(C39,Theory!B42:R110,17,FALSE)</f>
        <v>0</v>
      </c>
      <c r="U39" s="337">
        <f>VLOOKUP(C39,Theory!B42:S110,18,FALSE)</f>
        <v>0</v>
      </c>
      <c r="V39" s="335">
        <f t="shared" si="8"/>
        <v>8</v>
      </c>
      <c r="W39" s="334">
        <f>VLOOKUP(C39,Theory!B42:T110,19,FALSE)</f>
        <v>8</v>
      </c>
      <c r="X39" s="334">
        <f>VLOOKUP(C39,Theory!B42:U110,20,FALSE)</f>
        <v>0</v>
      </c>
      <c r="Y39" s="334">
        <f>VLOOKUP(C39,Theory!B42:V110,21,FALSE)</f>
        <v>0</v>
      </c>
      <c r="Z39" s="334">
        <f>VLOOKUP(C39,Theory!B42:W110,22,FALSE)</f>
        <v>0</v>
      </c>
      <c r="AA39" s="338">
        <f>VLOOKUP(C39,Theory!B42:X110,23,FALSE)</f>
        <v>0</v>
      </c>
      <c r="AB39" s="338">
        <f>VLOOKUP(C39,Theory!B42:Y110,24,FALSE)</f>
        <v>0</v>
      </c>
      <c r="AC39" s="338">
        <f>VLOOKUP(C39,Theory!B42:Z110,25,FALSE)</f>
        <v>0</v>
      </c>
      <c r="AD39" s="338">
        <f>VLOOKUP(C39,Theory!B42:AA110,26,FALSE)</f>
        <v>0</v>
      </c>
      <c r="AE39" s="335">
        <f t="shared" si="9"/>
        <v>8</v>
      </c>
      <c r="AF39" s="334">
        <f>VLOOKUP(C39,Theory!B42:AB110,27,FALSE)</f>
        <v>9</v>
      </c>
      <c r="AG39" s="334">
        <f>VLOOKUP(C39,Theory!B42:AC110,28,FALSE)</f>
        <v>0</v>
      </c>
      <c r="AH39" s="334">
        <f>VLOOKUP(C39,Theory!B42:AD110,29,FALSE)</f>
        <v>0</v>
      </c>
      <c r="AI39" s="334">
        <f>VLOOKUP(C39,Theory!B42:AE110,30,FALSE)</f>
        <v>0</v>
      </c>
      <c r="AJ39" s="339">
        <f>VLOOKUP(C39,Theory!B42:AF110,31,FALSE)</f>
        <v>0</v>
      </c>
      <c r="AK39" s="339">
        <f>VLOOKUP(C39,Theory!B42:AG110,32,FALSE)</f>
        <v>0</v>
      </c>
      <c r="AL39" s="339">
        <f>VLOOKUP(C39,Theory!B42:AH110,33,FALSE)</f>
        <v>0</v>
      </c>
      <c r="AM39" s="339">
        <f>VLOOKUP(C39,Theory!B42:AI110,34,FALSE)</f>
        <v>0</v>
      </c>
      <c r="AN39" s="335">
        <f t="shared" si="10"/>
        <v>9</v>
      </c>
      <c r="AO39" s="333">
        <f t="shared" si="0"/>
        <v>40</v>
      </c>
      <c r="AP39" s="340">
        <f>VLOOKUP(C39,Theory!B42:AJ110,35,FALSE)</f>
        <v>6</v>
      </c>
      <c r="AQ39" s="340">
        <f>VLOOKUP(C39,Theory!B42:AK110,36,FALSE)</f>
        <v>0</v>
      </c>
      <c r="AR39" s="340">
        <f>VLOOKUP(C39,Theory!B42:AL110,37,FALSE)</f>
        <v>0</v>
      </c>
      <c r="AS39" s="340">
        <f>VLOOKUP(C39,Theory!B42:AM110,38,FALSE)</f>
        <v>0</v>
      </c>
      <c r="AT39" s="335">
        <f t="shared" si="11"/>
        <v>6</v>
      </c>
      <c r="AU39" s="340">
        <f>VLOOKUP(C39,Theory!B42:AN110,39,FALSE)</f>
        <v>10</v>
      </c>
      <c r="AV39" s="340">
        <f>VLOOKUP(C39,Theory!B42:AO110,40,FALSE)</f>
        <v>0</v>
      </c>
      <c r="AW39" s="340">
        <f>VLOOKUP(C39,Theory!B42:AP110,41,FALSE)</f>
        <v>0</v>
      </c>
      <c r="AX39" s="340">
        <f>VLOOKUP(C39,Theory!B42:AQ110,42,FALSE)</f>
        <v>0</v>
      </c>
      <c r="AY39" s="335">
        <f t="shared" si="12"/>
        <v>10</v>
      </c>
      <c r="AZ39" s="340">
        <f>VLOOKUP(C39,Theory!B42:AR110,43,FALSE)</f>
        <v>9</v>
      </c>
      <c r="BA39" s="340">
        <f>VLOOKUP(C39,Theory!B42:AS110,44,FALSE)</f>
        <v>0</v>
      </c>
      <c r="BB39" s="340">
        <f>VLOOKUP(C39,Theory!B42:AT110,45,FALSE)</f>
        <v>0</v>
      </c>
      <c r="BC39" s="340">
        <f>VLOOKUP(C39,Theory!B42:AU110,46,FALSE)</f>
        <v>0</v>
      </c>
      <c r="BD39" s="340">
        <f>VLOOKUP(C39,Theory!B42:AV110,47,FALSE)</f>
        <v>0</v>
      </c>
      <c r="BE39" s="340">
        <f>VLOOKUP(C39,Theory!B42:AW110,48,FALSE)</f>
        <v>0</v>
      </c>
      <c r="BF39" s="340">
        <f>VLOOKUP(C39,Theory!B42:AX110,49,FALSE)</f>
        <v>0</v>
      </c>
      <c r="BG39" s="340">
        <f>VLOOKUP(C39,Theory!B42:AY110,50,FALSE)</f>
        <v>0</v>
      </c>
      <c r="BH39" s="335">
        <f t="shared" si="13"/>
        <v>9</v>
      </c>
      <c r="BI39" s="340">
        <f>VLOOKUP(C39,Theory!B42:AZ110,51,FALSE)</f>
        <v>8</v>
      </c>
      <c r="BJ39" s="340">
        <f>VLOOKUP(C39,Theory!B42:BA110,52,FALSE)</f>
        <v>0</v>
      </c>
      <c r="BK39" s="340">
        <f>VLOOKUP(C39,Theory!B42:BB110,53,FALSE)</f>
        <v>0</v>
      </c>
      <c r="BL39" s="340">
        <f>VLOOKUP(C39,Theory!B42:BC110,54,FALSE)</f>
        <v>0</v>
      </c>
      <c r="BM39" s="340">
        <f>VLOOKUP(C39,Theory!B42:BD110,55,FALSE)</f>
        <v>0</v>
      </c>
      <c r="BN39" s="340">
        <f>VLOOKUP(C39,Theory!B42:BE110,56,FALSE)</f>
        <v>0</v>
      </c>
      <c r="BO39" s="340">
        <f>VLOOKUP(C39,Theory!B42:BF110,57,FALSE)</f>
        <v>0</v>
      </c>
      <c r="BP39" s="340">
        <f>VLOOKUP(C39,Theory!B42:BG110,58,FALSE)</f>
        <v>0</v>
      </c>
      <c r="BQ39" s="335">
        <f t="shared" si="14"/>
        <v>8</v>
      </c>
      <c r="BR39" s="340">
        <f>VLOOKUP(C39,Theory!B42:BH110,59,FALSE)</f>
        <v>9</v>
      </c>
      <c r="BS39" s="340">
        <f>VLOOKUP(C39,Theory!B42:BI110,60,FALSE)</f>
        <v>0</v>
      </c>
      <c r="BT39" s="340">
        <f>VLOOKUP(C39,Theory!B42:BJ110,61,FALSE)</f>
        <v>0</v>
      </c>
      <c r="BU39" s="340">
        <f>VLOOKUP(C39,Theory!B42:BK110,62,FALSE)</f>
        <v>0</v>
      </c>
      <c r="BV39" s="340">
        <f>VLOOKUP(C39,Theory!B42:BL110,63,FALSE)</f>
        <v>0</v>
      </c>
      <c r="BW39" s="340">
        <f>VLOOKUP(C39,Theory!B42:BM110,64,FALSE)</f>
        <v>0</v>
      </c>
      <c r="BX39" s="340">
        <f>VLOOKUP(C39,Theory!B42:BN110,65,FALSE)</f>
        <v>0</v>
      </c>
      <c r="BY39" s="340">
        <f>VLOOKUP(C39,Theory!B42:BO110,66,FALSE)</f>
        <v>0</v>
      </c>
      <c r="BZ39" s="335">
        <f t="shared" si="15"/>
        <v>9</v>
      </c>
      <c r="CA39" s="333">
        <f t="shared" si="1"/>
        <v>42</v>
      </c>
      <c r="CB39" s="340">
        <f>VLOOKUP(C39,Theory!B42:BP110,67,FALSE)</f>
        <v>8</v>
      </c>
      <c r="CC39" s="340">
        <f>VLOOKUP(C39,Theory!B42:BQ110,68,FALSE)</f>
        <v>0</v>
      </c>
      <c r="CD39" s="340">
        <f>VLOOKUP(C39,Theory!B42:BR110,69,FALSE)</f>
        <v>0</v>
      </c>
      <c r="CE39" s="340">
        <f>VLOOKUP(C39,Theory!B42:BS110,70,FALSE)</f>
        <v>0</v>
      </c>
      <c r="CF39" s="335">
        <f t="shared" si="16"/>
        <v>8</v>
      </c>
      <c r="CG39" s="341">
        <f>VLOOKUP(C39,Theory!B42:BT110,71,FALSE)</f>
        <v>8</v>
      </c>
      <c r="CH39" s="341">
        <f>VLOOKUP(C39,Theory!B42:BU110,72,FALSE)</f>
        <v>0</v>
      </c>
      <c r="CI39" s="341">
        <f>VLOOKUP(C39,Theory!B42:BV110,73,FALSE)</f>
        <v>0</v>
      </c>
      <c r="CJ39" s="341">
        <f>VLOOKUP(C39,Theory!B42:BW110,74,FALSE)</f>
        <v>0</v>
      </c>
      <c r="CK39" s="335">
        <f t="shared" si="17"/>
        <v>8</v>
      </c>
      <c r="CL39" s="340">
        <f>VLOOKUP(C39,Theory!B42:BX110,75,FALSE)</f>
        <v>0</v>
      </c>
      <c r="CM39" s="342">
        <f>VLOOKUP(C39,Theory!B42:BY110,76,FALSE)</f>
        <v>0</v>
      </c>
      <c r="CN39" s="342">
        <f>VLOOKUP(C39,Theory!B42:BZ110,77,FALSE)</f>
        <v>0</v>
      </c>
      <c r="CO39" s="342">
        <f>VLOOKUP(C39,Theory!B42:CA110,78,FALSE)</f>
        <v>0</v>
      </c>
      <c r="CP39" s="340">
        <f>VLOOKUP(C39,Theory!B42:CB110,79,FALSE)</f>
        <v>7</v>
      </c>
      <c r="CQ39" s="340">
        <f>VLOOKUP(C39,Theory!B42:CC110,80,FALSE)</f>
        <v>0</v>
      </c>
      <c r="CR39" s="340">
        <f>VLOOKUP(C39,Theory!B42:CD110,81,FALSE)</f>
        <v>0</v>
      </c>
      <c r="CS39" s="340">
        <f>VLOOKUP(C39,Theory!B42:CE110,82,FALSE)</f>
        <v>0</v>
      </c>
      <c r="CT39" s="335">
        <f t="shared" si="18"/>
        <v>7</v>
      </c>
      <c r="CU39" s="341">
        <f>VLOOKUP(C39,Theory!B42:CF110,83,FALSE)</f>
        <v>0</v>
      </c>
      <c r="CV39" s="342">
        <f>VLOOKUP(C39,Theory!B42:CG110,84,FALSE)</f>
        <v>0</v>
      </c>
      <c r="CW39" s="342">
        <f>VLOOKUP(C39,Theory!B42:CH110,85,FALSE)</f>
        <v>0</v>
      </c>
      <c r="CX39" s="342">
        <f>VLOOKUP(C39,Theory!B42:CI110,86,FALSE)</f>
        <v>0</v>
      </c>
      <c r="CY39" s="341">
        <f>VLOOKUP(C39,Theory!B42:CJ110,87,FALSE)</f>
        <v>9</v>
      </c>
      <c r="CZ39" s="341">
        <f>VLOOKUP(C39,Theory!B42:CK110,88,FALSE)</f>
        <v>0</v>
      </c>
      <c r="DA39" s="341">
        <f>VLOOKUP(C39,Theory!B42:CL110,89,FALSE)</f>
        <v>0</v>
      </c>
      <c r="DB39" s="341">
        <f>VLOOKUP(C39,Theory!B42:CM110,90,FALSE)</f>
        <v>0</v>
      </c>
      <c r="DC39" s="335">
        <f t="shared" si="19"/>
        <v>9</v>
      </c>
      <c r="DD39" s="340">
        <f>VLOOKUP(C39,Theory!B42:CN110,91,FALSE)</f>
        <v>7</v>
      </c>
      <c r="DE39" s="342">
        <f>VLOOKUP(C39,Theory!B42:CO110,92,FALSE)</f>
        <v>0</v>
      </c>
      <c r="DF39" s="342">
        <f>VLOOKUP(C39,Theory!B42:CP110,93,FALSE)</f>
        <v>0</v>
      </c>
      <c r="DG39" s="342">
        <f>VLOOKUP(C39,Theory!B42:CQ110,94,FALSE)</f>
        <v>0</v>
      </c>
      <c r="DH39" s="340">
        <f>VLOOKUP(C39,Theory!B42:CR110,95,FALSE)</f>
        <v>0</v>
      </c>
      <c r="DI39" s="340">
        <f>VLOOKUP(C39,Theory!B42:CS110,96,FALSE)</f>
        <v>0</v>
      </c>
      <c r="DJ39" s="340">
        <f>VLOOKUP(C39,Theory!B42:CT110,97,FALSE)</f>
        <v>0</v>
      </c>
      <c r="DK39" s="340">
        <f>VLOOKUP(C39,Theory!B42:CU110,98,FALSE)</f>
        <v>0</v>
      </c>
      <c r="DL39" s="335">
        <f t="shared" si="20"/>
        <v>7</v>
      </c>
      <c r="DM39" s="265">
        <f t="shared" si="2"/>
        <v>39</v>
      </c>
      <c r="DN39" s="362">
        <f t="shared" si="40"/>
        <v>40</v>
      </c>
      <c r="DO39" s="362">
        <f t="shared" si="41"/>
        <v>42</v>
      </c>
      <c r="DP39" s="362">
        <f t="shared" si="42"/>
        <v>39</v>
      </c>
      <c r="DQ39" s="343">
        <f t="shared" si="43"/>
        <v>24</v>
      </c>
      <c r="DR39" s="343">
        <f t="shared" si="44"/>
        <v>25</v>
      </c>
      <c r="DS39" s="343">
        <f t="shared" si="45"/>
        <v>23</v>
      </c>
      <c r="DT39" s="328">
        <f t="shared" si="36"/>
        <v>24</v>
      </c>
      <c r="DU39" s="326">
        <f>VLOOKUP(C39,Theory!B42:CV110,99,FALSE)</f>
        <v>10</v>
      </c>
      <c r="DV39" s="326">
        <f>VLOOKUP(C39,Theory!B42:CW110,100,FALSE)</f>
        <v>10</v>
      </c>
      <c r="DW39" s="331">
        <f t="shared" si="27"/>
        <v>20</v>
      </c>
      <c r="DX39" s="266">
        <f t="shared" si="3"/>
        <v>44</v>
      </c>
      <c r="DY39" s="363">
        <f t="shared" si="4"/>
        <v>26</v>
      </c>
      <c r="DZ39" s="344">
        <f>VLOOKUP(C39,Lab!B34:D103,3,FALSE)</f>
        <v>0</v>
      </c>
      <c r="EA39" s="345">
        <f>VLOOKUP(C39,Lab!B34:E103,4,FALSE)</f>
        <v>0</v>
      </c>
      <c r="EB39" s="345">
        <f>VLOOKUP(C39,Lab!B34:F103,5,FALSE)</f>
        <v>0</v>
      </c>
      <c r="EC39" s="329">
        <f t="shared" si="37"/>
        <v>0</v>
      </c>
      <c r="ED39" s="346">
        <f>VLOOKUP(C39,Lab!B34:G103,6,FALSE)</f>
        <v>0</v>
      </c>
      <c r="EE39" s="346">
        <f>VLOOKUP(C39,Lab!B34:H103,7,FALSE)</f>
        <v>0</v>
      </c>
      <c r="EF39" s="347">
        <f>VLOOKUP(C39,Lab!B34:I103,8,FALSE)</f>
        <v>0</v>
      </c>
      <c r="EG39" s="330">
        <f t="shared" si="38"/>
        <v>0</v>
      </c>
      <c r="EH39" s="390">
        <f t="shared" si="28"/>
        <v>0</v>
      </c>
      <c r="EI39" s="349">
        <f t="shared" si="29"/>
        <v>0</v>
      </c>
      <c r="EJ39" s="391">
        <f t="shared" si="5"/>
        <v>26</v>
      </c>
      <c r="EK39" s="258">
        <v>43</v>
      </c>
      <c r="EM39" s="350">
        <f>VLOOKUP(C39,Theory!B42:DL110,114,FALSE)</f>
        <v>0</v>
      </c>
      <c r="EN39" s="350">
        <f>VLOOKUP(C39,Theory!B42:DM110,115,FALSE)</f>
        <v>0</v>
      </c>
      <c r="EO39" s="350">
        <f>VLOOKUP(C39,Theory!B42:DN110,116,FALSE)</f>
        <v>0</v>
      </c>
      <c r="EP39" s="350">
        <f>VLOOKUP(C39,Theory!B42:DO108,117,FALSE)</f>
        <v>0</v>
      </c>
      <c r="EQ39" s="350">
        <f>VLOOKUP(C39,Theory!B42:DP108,118,FALSE)</f>
        <v>0</v>
      </c>
      <c r="ER39" s="351">
        <f>VLOOKUP(C39,Theory!B42:DQ108,119,FALSE)</f>
        <v>0</v>
      </c>
      <c r="ES39" s="327">
        <f>VLOOKUP(C39,Theory!B42:DR108,120,FALSE)</f>
        <v>0</v>
      </c>
      <c r="ET39" s="348">
        <f t="shared" si="39"/>
        <v>0</v>
      </c>
      <c r="EU39" s="352"/>
      <c r="EV39" s="352"/>
      <c r="EW39" s="352"/>
      <c r="EX39" s="352"/>
      <c r="EY39" s="352"/>
      <c r="EZ39" s="352"/>
      <c r="FA39" s="352"/>
      <c r="FB39" s="352"/>
      <c r="FC39" s="352"/>
      <c r="FD39" s="352"/>
    </row>
    <row r="40" spans="1:160" s="246" customFormat="1" ht="16.2" thickBot="1" x14ac:dyDescent="0.35">
      <c r="A40" s="245">
        <v>27</v>
      </c>
      <c r="B40" s="17" t="str">
        <f>Theory!C43</f>
        <v>SHREYAS M J KALKUR</v>
      </c>
      <c r="C40" s="16" t="str">
        <f>Theory!B43</f>
        <v>1DS21AI048</v>
      </c>
      <c r="D40" s="334">
        <f>VLOOKUP(C40,Theory!B43:D111,3,FALSE)</f>
        <v>8</v>
      </c>
      <c r="E40" s="334">
        <f>VLOOKUP(C40,Theory!B43:E111,4,FALSE)</f>
        <v>0</v>
      </c>
      <c r="F40" s="334">
        <f>VLOOKUP(C40,Theory!B43:F111,5,FALSE)</f>
        <v>0</v>
      </c>
      <c r="G40" s="334">
        <f>VLOOKUP(C40,Theory!B43:G111,6,FALSE)</f>
        <v>0</v>
      </c>
      <c r="H40" s="335">
        <f t="shared" si="6"/>
        <v>8</v>
      </c>
      <c r="I40" s="338">
        <f>VLOOKUP(C40,Theory!B43:H111,7,FALSE)</f>
        <v>7</v>
      </c>
      <c r="J40" s="337">
        <f>VLOOKUP(C40,Theory!B43:I111,8,FALSE)</f>
        <v>0</v>
      </c>
      <c r="K40" s="337">
        <f>VLOOKUP(C40,Theory!B43:J111,9,FALSE)</f>
        <v>0</v>
      </c>
      <c r="L40" s="337">
        <f>VLOOKUP(C40,Theory!B43:K111,10,FALSE)</f>
        <v>0</v>
      </c>
      <c r="M40" s="335">
        <f t="shared" si="7"/>
        <v>7</v>
      </c>
      <c r="N40" s="336">
        <f>VLOOKUP(C40,Theory!B43:L111,11,FALSE)</f>
        <v>8</v>
      </c>
      <c r="O40" s="336">
        <f>VLOOKUP(C40,Theory!B43:M111,12,FALSE)</f>
        <v>0</v>
      </c>
      <c r="P40" s="336">
        <f>VLOOKUP(C40,Theory!B43:N111,13,FALSE)</f>
        <v>0</v>
      </c>
      <c r="Q40" s="336">
        <f>VLOOKUP(C40,Theory!B43:O111,14,FALSE)</f>
        <v>0</v>
      </c>
      <c r="R40" s="337">
        <f>VLOOKUP(C40,Theory!B43:P111,15,FALSE)</f>
        <v>0</v>
      </c>
      <c r="S40" s="337">
        <f>VLOOKUP(C40,Theory!B43:Q111,16,FALSE)</f>
        <v>0</v>
      </c>
      <c r="T40" s="337">
        <f>VLOOKUP(C40,Theory!B43:R111,17,FALSE)</f>
        <v>0</v>
      </c>
      <c r="U40" s="337">
        <f>VLOOKUP(C40,Theory!B43:S111,18,FALSE)</f>
        <v>0</v>
      </c>
      <c r="V40" s="335">
        <f t="shared" si="8"/>
        <v>8</v>
      </c>
      <c r="W40" s="334">
        <f>VLOOKUP(C40,Theory!B43:T111,19,FALSE)</f>
        <v>8</v>
      </c>
      <c r="X40" s="334">
        <f>VLOOKUP(C40,Theory!B43:U111,20,FALSE)</f>
        <v>0</v>
      </c>
      <c r="Y40" s="334">
        <f>VLOOKUP(C40,Theory!B43:V111,21,FALSE)</f>
        <v>0</v>
      </c>
      <c r="Z40" s="334">
        <f>VLOOKUP(C40,Theory!B43:W111,22,FALSE)</f>
        <v>0</v>
      </c>
      <c r="AA40" s="338">
        <f>VLOOKUP(C40,Theory!B43:X111,23,FALSE)</f>
        <v>0</v>
      </c>
      <c r="AB40" s="338">
        <f>VLOOKUP(C40,Theory!B43:Y111,24,FALSE)</f>
        <v>0</v>
      </c>
      <c r="AC40" s="338">
        <f>VLOOKUP(C40,Theory!B43:Z111,25,FALSE)</f>
        <v>0</v>
      </c>
      <c r="AD40" s="338">
        <f>VLOOKUP(C40,Theory!B43:AA111,26,FALSE)</f>
        <v>0</v>
      </c>
      <c r="AE40" s="335">
        <f t="shared" si="9"/>
        <v>8</v>
      </c>
      <c r="AF40" s="334">
        <f>VLOOKUP(C40,Theory!B43:AB111,27,FALSE)</f>
        <v>9</v>
      </c>
      <c r="AG40" s="334">
        <f>VLOOKUP(C40,Theory!B43:AC111,28,FALSE)</f>
        <v>0</v>
      </c>
      <c r="AH40" s="334">
        <f>VLOOKUP(C40,Theory!B43:AD111,29,FALSE)</f>
        <v>0</v>
      </c>
      <c r="AI40" s="334">
        <f>VLOOKUP(C40,Theory!B43:AE111,30,FALSE)</f>
        <v>0</v>
      </c>
      <c r="AJ40" s="339">
        <f>VLOOKUP(C40,Theory!B43:AF111,31,FALSE)</f>
        <v>0</v>
      </c>
      <c r="AK40" s="339">
        <f>VLOOKUP(C40,Theory!B43:AG111,32,FALSE)</f>
        <v>0</v>
      </c>
      <c r="AL40" s="339">
        <f>VLOOKUP(C40,Theory!B43:AH111,33,FALSE)</f>
        <v>0</v>
      </c>
      <c r="AM40" s="339">
        <f>VLOOKUP(C40,Theory!B43:AI111,34,FALSE)</f>
        <v>0</v>
      </c>
      <c r="AN40" s="335">
        <f t="shared" si="10"/>
        <v>9</v>
      </c>
      <c r="AO40" s="333">
        <f t="shared" si="0"/>
        <v>40</v>
      </c>
      <c r="AP40" s="340">
        <f>VLOOKUP(C40,Theory!B43:AJ111,35,FALSE)</f>
        <v>7</v>
      </c>
      <c r="AQ40" s="340">
        <f>VLOOKUP(C40,Theory!B43:AK111,36,FALSE)</f>
        <v>0</v>
      </c>
      <c r="AR40" s="340">
        <f>VLOOKUP(C40,Theory!B43:AL111,37,FALSE)</f>
        <v>0</v>
      </c>
      <c r="AS40" s="340">
        <f>VLOOKUP(C40,Theory!B43:AM111,38,FALSE)</f>
        <v>0</v>
      </c>
      <c r="AT40" s="335">
        <f t="shared" si="11"/>
        <v>7</v>
      </c>
      <c r="AU40" s="340">
        <f>VLOOKUP(C40,Theory!B43:AN111,39,FALSE)</f>
        <v>7</v>
      </c>
      <c r="AV40" s="340">
        <f>VLOOKUP(C40,Theory!B43:AO111,40,FALSE)</f>
        <v>0</v>
      </c>
      <c r="AW40" s="340">
        <f>VLOOKUP(C40,Theory!B43:AP111,41,FALSE)</f>
        <v>0</v>
      </c>
      <c r="AX40" s="340">
        <f>VLOOKUP(C40,Theory!B43:AQ111,42,FALSE)</f>
        <v>0</v>
      </c>
      <c r="AY40" s="335">
        <f t="shared" si="12"/>
        <v>7</v>
      </c>
      <c r="AZ40" s="340">
        <f>VLOOKUP(C40,Theory!B43:AR111,43,FALSE)</f>
        <v>9</v>
      </c>
      <c r="BA40" s="340">
        <f>VLOOKUP(C40,Theory!B43:AS111,44,FALSE)</f>
        <v>0</v>
      </c>
      <c r="BB40" s="340">
        <f>VLOOKUP(C40,Theory!B43:AT111,45,FALSE)</f>
        <v>0</v>
      </c>
      <c r="BC40" s="340">
        <f>VLOOKUP(C40,Theory!B43:AU111,46,FALSE)</f>
        <v>0</v>
      </c>
      <c r="BD40" s="340">
        <f>VLOOKUP(C40,Theory!B43:AV111,47,FALSE)</f>
        <v>0</v>
      </c>
      <c r="BE40" s="340">
        <f>VLOOKUP(C40,Theory!B43:AW111,48,FALSE)</f>
        <v>0</v>
      </c>
      <c r="BF40" s="340">
        <f>VLOOKUP(C40,Theory!B43:AX111,49,FALSE)</f>
        <v>0</v>
      </c>
      <c r="BG40" s="340">
        <f>VLOOKUP(C40,Theory!B43:AY111,50,FALSE)</f>
        <v>0</v>
      </c>
      <c r="BH40" s="335">
        <f t="shared" si="13"/>
        <v>9</v>
      </c>
      <c r="BI40" s="340">
        <f>VLOOKUP(C40,Theory!B43:AZ111,51,FALSE)</f>
        <v>8</v>
      </c>
      <c r="BJ40" s="340">
        <f>VLOOKUP(C40,Theory!B43:BA111,52,FALSE)</f>
        <v>0</v>
      </c>
      <c r="BK40" s="340">
        <f>VLOOKUP(C40,Theory!B43:BB111,53,FALSE)</f>
        <v>0</v>
      </c>
      <c r="BL40" s="340">
        <f>VLOOKUP(C40,Theory!B43:BC111,54,FALSE)</f>
        <v>0</v>
      </c>
      <c r="BM40" s="340">
        <f>VLOOKUP(C40,Theory!B43:BD111,55,FALSE)</f>
        <v>0</v>
      </c>
      <c r="BN40" s="340">
        <f>VLOOKUP(C40,Theory!B43:BE111,56,FALSE)</f>
        <v>0</v>
      </c>
      <c r="BO40" s="340">
        <f>VLOOKUP(C40,Theory!B43:BF111,57,FALSE)</f>
        <v>0</v>
      </c>
      <c r="BP40" s="340">
        <f>VLOOKUP(C40,Theory!B43:BG111,58,FALSE)</f>
        <v>0</v>
      </c>
      <c r="BQ40" s="335">
        <f t="shared" si="14"/>
        <v>8</v>
      </c>
      <c r="BR40" s="340">
        <f>VLOOKUP(C40,Theory!B43:BH111,59,FALSE)</f>
        <v>8</v>
      </c>
      <c r="BS40" s="340">
        <f>VLOOKUP(C40,Theory!B43:BI111,60,FALSE)</f>
        <v>0</v>
      </c>
      <c r="BT40" s="340">
        <f>VLOOKUP(C40,Theory!B43:BJ111,61,FALSE)</f>
        <v>0</v>
      </c>
      <c r="BU40" s="340">
        <f>VLOOKUP(C40,Theory!B43:BK111,62,FALSE)</f>
        <v>0</v>
      </c>
      <c r="BV40" s="340">
        <f>VLOOKUP(C40,Theory!B43:BL111,63,FALSE)</f>
        <v>0</v>
      </c>
      <c r="BW40" s="340">
        <f>VLOOKUP(C40,Theory!B43:BM111,64,FALSE)</f>
        <v>0</v>
      </c>
      <c r="BX40" s="340">
        <f>VLOOKUP(C40,Theory!B43:BN111,65,FALSE)</f>
        <v>0</v>
      </c>
      <c r="BY40" s="340">
        <f>VLOOKUP(C40,Theory!B43:BO111,66,FALSE)</f>
        <v>0</v>
      </c>
      <c r="BZ40" s="335">
        <f t="shared" si="15"/>
        <v>8</v>
      </c>
      <c r="CA40" s="333">
        <f t="shared" si="1"/>
        <v>39</v>
      </c>
      <c r="CB40" s="340">
        <f>VLOOKUP(C40,Theory!B43:BP111,67,FALSE)</f>
        <v>8</v>
      </c>
      <c r="CC40" s="340">
        <f>VLOOKUP(C40,Theory!B43:BQ111,68,FALSE)</f>
        <v>0</v>
      </c>
      <c r="CD40" s="340">
        <f>VLOOKUP(C40,Theory!B43:BR111,69,FALSE)</f>
        <v>0</v>
      </c>
      <c r="CE40" s="340">
        <f>VLOOKUP(C40,Theory!B43:BS111,70,FALSE)</f>
        <v>0</v>
      </c>
      <c r="CF40" s="335">
        <f t="shared" si="16"/>
        <v>8</v>
      </c>
      <c r="CG40" s="341">
        <f>VLOOKUP(C40,Theory!B43:BT111,71,FALSE)</f>
        <v>8</v>
      </c>
      <c r="CH40" s="341">
        <f>VLOOKUP(C40,Theory!B43:BU111,72,FALSE)</f>
        <v>0</v>
      </c>
      <c r="CI40" s="341">
        <f>VLOOKUP(C40,Theory!B43:BV111,73,FALSE)</f>
        <v>0</v>
      </c>
      <c r="CJ40" s="341">
        <f>VLOOKUP(C40,Theory!B43:BW111,74,FALSE)</f>
        <v>0</v>
      </c>
      <c r="CK40" s="335">
        <f t="shared" si="17"/>
        <v>8</v>
      </c>
      <c r="CL40" s="340">
        <f>VLOOKUP(C40,Theory!B43:BX111,75,FALSE)</f>
        <v>0</v>
      </c>
      <c r="CM40" s="342">
        <f>VLOOKUP(C40,Theory!B43:BY111,76,FALSE)</f>
        <v>0</v>
      </c>
      <c r="CN40" s="342">
        <f>VLOOKUP(C40,Theory!B43:BZ111,77,FALSE)</f>
        <v>0</v>
      </c>
      <c r="CO40" s="342">
        <f>VLOOKUP(C40,Theory!B43:CA111,78,FALSE)</f>
        <v>0</v>
      </c>
      <c r="CP40" s="340">
        <f>VLOOKUP(C40,Theory!B43:CB111,79,FALSE)</f>
        <v>9</v>
      </c>
      <c r="CQ40" s="340">
        <f>VLOOKUP(C40,Theory!B43:CC111,80,FALSE)</f>
        <v>0</v>
      </c>
      <c r="CR40" s="340">
        <f>VLOOKUP(C40,Theory!B43:CD111,81,FALSE)</f>
        <v>0</v>
      </c>
      <c r="CS40" s="340">
        <f>VLOOKUP(C40,Theory!B43:CE111,82,FALSE)</f>
        <v>0</v>
      </c>
      <c r="CT40" s="335">
        <f t="shared" si="18"/>
        <v>9</v>
      </c>
      <c r="CU40" s="341">
        <f>VLOOKUP(C40,Theory!B43:CF111,83,FALSE)</f>
        <v>0</v>
      </c>
      <c r="CV40" s="342">
        <f>VLOOKUP(C40,Theory!B43:CG111,84,FALSE)</f>
        <v>0</v>
      </c>
      <c r="CW40" s="342">
        <f>VLOOKUP(C40,Theory!B43:CH111,85,FALSE)</f>
        <v>0</v>
      </c>
      <c r="CX40" s="342">
        <f>VLOOKUP(C40,Theory!B43:CI111,86,FALSE)</f>
        <v>0</v>
      </c>
      <c r="CY40" s="341">
        <f>VLOOKUP(C40,Theory!B43:CJ111,87,FALSE)</f>
        <v>8</v>
      </c>
      <c r="CZ40" s="341">
        <f>VLOOKUP(C40,Theory!B43:CK111,88,FALSE)</f>
        <v>0</v>
      </c>
      <c r="DA40" s="341">
        <f>VLOOKUP(C40,Theory!B43:CL111,89,FALSE)</f>
        <v>0</v>
      </c>
      <c r="DB40" s="341">
        <f>VLOOKUP(C40,Theory!B43:CM111,90,FALSE)</f>
        <v>0</v>
      </c>
      <c r="DC40" s="335">
        <f t="shared" si="19"/>
        <v>8</v>
      </c>
      <c r="DD40" s="340">
        <f>VLOOKUP(C40,Theory!B43:CN111,91,FALSE)</f>
        <v>6</v>
      </c>
      <c r="DE40" s="342">
        <f>VLOOKUP(C40,Theory!B43:CO111,92,FALSE)</f>
        <v>0</v>
      </c>
      <c r="DF40" s="342">
        <f>VLOOKUP(C40,Theory!B43:CP111,93,FALSE)</f>
        <v>0</v>
      </c>
      <c r="DG40" s="342">
        <f>VLOOKUP(C40,Theory!B43:CQ111,94,FALSE)</f>
        <v>0</v>
      </c>
      <c r="DH40" s="340">
        <f>VLOOKUP(C40,Theory!B43:CR111,95,FALSE)</f>
        <v>0</v>
      </c>
      <c r="DI40" s="340">
        <f>VLOOKUP(C40,Theory!B43:CS111,96,FALSE)</f>
        <v>0</v>
      </c>
      <c r="DJ40" s="340">
        <f>VLOOKUP(C40,Theory!B43:CT111,97,FALSE)</f>
        <v>0</v>
      </c>
      <c r="DK40" s="340">
        <f>VLOOKUP(C40,Theory!B43:CU111,98,FALSE)</f>
        <v>0</v>
      </c>
      <c r="DL40" s="335">
        <f t="shared" si="20"/>
        <v>6</v>
      </c>
      <c r="DM40" s="265">
        <f t="shared" si="2"/>
        <v>39</v>
      </c>
      <c r="DN40" s="362">
        <f t="shared" si="40"/>
        <v>40</v>
      </c>
      <c r="DO40" s="362">
        <f t="shared" si="41"/>
        <v>39</v>
      </c>
      <c r="DP40" s="362">
        <f t="shared" si="42"/>
        <v>39</v>
      </c>
      <c r="DQ40" s="343">
        <f t="shared" si="43"/>
        <v>24</v>
      </c>
      <c r="DR40" s="343">
        <f t="shared" si="44"/>
        <v>23</v>
      </c>
      <c r="DS40" s="343">
        <f t="shared" si="45"/>
        <v>23</v>
      </c>
      <c r="DT40" s="328">
        <f t="shared" si="36"/>
        <v>23</v>
      </c>
      <c r="DU40" s="326">
        <f>VLOOKUP(C40,Theory!B43:CV111,99,FALSE)</f>
        <v>10</v>
      </c>
      <c r="DV40" s="326">
        <f>VLOOKUP(C40,Theory!B43:CW111,100,FALSE)</f>
        <v>10</v>
      </c>
      <c r="DW40" s="331">
        <f t="shared" si="27"/>
        <v>20</v>
      </c>
      <c r="DX40" s="266">
        <f t="shared" si="3"/>
        <v>43</v>
      </c>
      <c r="DY40" s="363">
        <f t="shared" si="4"/>
        <v>26</v>
      </c>
      <c r="DZ40" s="344">
        <f>VLOOKUP(C40,Lab!B35:D104,3,FALSE)</f>
        <v>0</v>
      </c>
      <c r="EA40" s="345">
        <f>VLOOKUP(C40,Lab!B35:E104,4,FALSE)</f>
        <v>0</v>
      </c>
      <c r="EB40" s="345">
        <f>VLOOKUP(C40,Lab!B35:F104,5,FALSE)</f>
        <v>0</v>
      </c>
      <c r="EC40" s="329">
        <f t="shared" si="37"/>
        <v>0</v>
      </c>
      <c r="ED40" s="346">
        <f>VLOOKUP(C40,Lab!B35:G104,6,FALSE)</f>
        <v>0</v>
      </c>
      <c r="EE40" s="346">
        <f>VLOOKUP(C40,Lab!B35:H104,7,FALSE)</f>
        <v>0</v>
      </c>
      <c r="EF40" s="347">
        <f>VLOOKUP(C40,Lab!B35:I104,8,FALSE)</f>
        <v>0</v>
      </c>
      <c r="EG40" s="330">
        <f t="shared" si="38"/>
        <v>0</v>
      </c>
      <c r="EH40" s="390">
        <f t="shared" si="28"/>
        <v>0</v>
      </c>
      <c r="EI40" s="349">
        <f t="shared" si="29"/>
        <v>0</v>
      </c>
      <c r="EJ40" s="391">
        <f t="shared" si="5"/>
        <v>26</v>
      </c>
      <c r="EK40" s="258">
        <v>42</v>
      </c>
      <c r="EL40" s="320"/>
      <c r="EM40" s="350">
        <f>VLOOKUP(C40,Theory!B43:DL111,114,FALSE)</f>
        <v>0</v>
      </c>
      <c r="EN40" s="350">
        <f>VLOOKUP(C40,Theory!B43:DM111,115,FALSE)</f>
        <v>0</v>
      </c>
      <c r="EO40" s="350">
        <f>VLOOKUP(C40,Theory!B43:DN111,116,FALSE)</f>
        <v>0</v>
      </c>
      <c r="EP40" s="350">
        <f>VLOOKUP(C40,Theory!B43:DO109,117,FALSE)</f>
        <v>0</v>
      </c>
      <c r="EQ40" s="350">
        <f>VLOOKUP(C40,Theory!B43:DP109,118,FALSE)</f>
        <v>0</v>
      </c>
      <c r="ER40" s="351">
        <f>VLOOKUP(C40,Theory!B43:DQ109,119,FALSE)</f>
        <v>0</v>
      </c>
      <c r="ES40" s="327">
        <f>VLOOKUP(C40,Theory!B43:DR109,120,FALSE)</f>
        <v>0</v>
      </c>
      <c r="ET40" s="348">
        <f t="shared" si="39"/>
        <v>0</v>
      </c>
      <c r="EU40" s="355"/>
      <c r="EV40" s="355"/>
      <c r="EW40" s="355"/>
      <c r="EX40" s="355"/>
      <c r="EY40" s="355"/>
      <c r="EZ40" s="355"/>
      <c r="FA40" s="355"/>
      <c r="FB40" s="355"/>
      <c r="FC40" s="355"/>
      <c r="FD40" s="355"/>
    </row>
    <row r="41" spans="1:160" ht="16.2" thickBot="1" x14ac:dyDescent="0.35">
      <c r="A41" s="64">
        <v>28</v>
      </c>
      <c r="B41" s="17" t="str">
        <f>Theory!C44</f>
        <v>SHUBHAM MISHRA</v>
      </c>
      <c r="C41" s="16" t="str">
        <f>Theory!B44</f>
        <v>1DS21AI049</v>
      </c>
      <c r="D41" s="334">
        <f>VLOOKUP(C41,Theory!B44:D112,3,FALSE)</f>
        <v>7</v>
      </c>
      <c r="E41" s="334">
        <f>VLOOKUP(C41,Theory!B44:E112,4,FALSE)</f>
        <v>0</v>
      </c>
      <c r="F41" s="334">
        <f>VLOOKUP(C41,Theory!B44:F112,5,FALSE)</f>
        <v>0</v>
      </c>
      <c r="G41" s="334">
        <f>VLOOKUP(C41,Theory!B44:G112,6,FALSE)</f>
        <v>0</v>
      </c>
      <c r="H41" s="335">
        <f t="shared" si="6"/>
        <v>7</v>
      </c>
      <c r="I41" s="338">
        <f>VLOOKUP(C41,Theory!B44:H112,7,FALSE)</f>
        <v>7</v>
      </c>
      <c r="J41" s="337">
        <f>VLOOKUP(C41,Theory!B44:I112,8,FALSE)</f>
        <v>0</v>
      </c>
      <c r="K41" s="337">
        <f>VLOOKUP(C41,Theory!B44:J112,9,FALSE)</f>
        <v>0</v>
      </c>
      <c r="L41" s="337">
        <f>VLOOKUP(C41,Theory!B44:K112,10,FALSE)</f>
        <v>0</v>
      </c>
      <c r="M41" s="335">
        <f t="shared" si="7"/>
        <v>7</v>
      </c>
      <c r="N41" s="336">
        <f>VLOOKUP(C41,Theory!B44:L112,11,FALSE)</f>
        <v>8</v>
      </c>
      <c r="O41" s="336">
        <f>VLOOKUP(C41,Theory!B44:M112,12,FALSE)</f>
        <v>0</v>
      </c>
      <c r="P41" s="336">
        <f>VLOOKUP(C41,Theory!B44:N112,13,FALSE)</f>
        <v>0</v>
      </c>
      <c r="Q41" s="336">
        <f>VLOOKUP(C41,Theory!B44:O112,14,FALSE)</f>
        <v>0</v>
      </c>
      <c r="R41" s="337">
        <f>VLOOKUP(C41,Theory!B44:P112,15,FALSE)</f>
        <v>0</v>
      </c>
      <c r="S41" s="337">
        <f>VLOOKUP(C41,Theory!B44:Q112,16,FALSE)</f>
        <v>0</v>
      </c>
      <c r="T41" s="337">
        <f>VLOOKUP(C41,Theory!B44:R112,17,FALSE)</f>
        <v>0</v>
      </c>
      <c r="U41" s="337">
        <f>VLOOKUP(C41,Theory!B44:S112,18,FALSE)</f>
        <v>0</v>
      </c>
      <c r="V41" s="335">
        <f t="shared" si="8"/>
        <v>8</v>
      </c>
      <c r="W41" s="334">
        <f>VLOOKUP(C41,Theory!B44:T112,19,FALSE)</f>
        <v>8</v>
      </c>
      <c r="X41" s="334">
        <f>VLOOKUP(C41,Theory!B44:U112,20,FALSE)</f>
        <v>0</v>
      </c>
      <c r="Y41" s="334">
        <f>VLOOKUP(C41,Theory!B44:V112,21,FALSE)</f>
        <v>0</v>
      </c>
      <c r="Z41" s="334">
        <f>VLOOKUP(C41,Theory!B44:W112,22,FALSE)</f>
        <v>0</v>
      </c>
      <c r="AA41" s="338">
        <f>VLOOKUP(C41,Theory!B44:X112,23,FALSE)</f>
        <v>0</v>
      </c>
      <c r="AB41" s="338">
        <f>VLOOKUP(C41,Theory!B44:Y112,24,FALSE)</f>
        <v>0</v>
      </c>
      <c r="AC41" s="338">
        <f>VLOOKUP(C41,Theory!B44:Z112,25,FALSE)</f>
        <v>0</v>
      </c>
      <c r="AD41" s="338">
        <f>VLOOKUP(C41,Theory!B44:AA112,26,FALSE)</f>
        <v>0</v>
      </c>
      <c r="AE41" s="335">
        <f t="shared" si="9"/>
        <v>8</v>
      </c>
      <c r="AF41" s="334">
        <f>VLOOKUP(C41,Theory!B44:AB112,27,FALSE)</f>
        <v>9</v>
      </c>
      <c r="AG41" s="334">
        <f>VLOOKUP(C41,Theory!B44:AC112,28,FALSE)</f>
        <v>0</v>
      </c>
      <c r="AH41" s="334">
        <f>VLOOKUP(C41,Theory!B44:AD112,29,FALSE)</f>
        <v>0</v>
      </c>
      <c r="AI41" s="334">
        <f>VLOOKUP(C41,Theory!B44:AE112,30,FALSE)</f>
        <v>0</v>
      </c>
      <c r="AJ41" s="339">
        <f>VLOOKUP(C41,Theory!B44:AF112,31,FALSE)</f>
        <v>0</v>
      </c>
      <c r="AK41" s="339">
        <f>VLOOKUP(C41,Theory!B44:AG112,32,FALSE)</f>
        <v>0</v>
      </c>
      <c r="AL41" s="339">
        <f>VLOOKUP(C41,Theory!B44:AH112,33,FALSE)</f>
        <v>0</v>
      </c>
      <c r="AM41" s="339">
        <f>VLOOKUP(C41,Theory!B44:AI112,34,FALSE)</f>
        <v>0</v>
      </c>
      <c r="AN41" s="335">
        <f t="shared" si="10"/>
        <v>9</v>
      </c>
      <c r="AO41" s="333">
        <f t="shared" si="0"/>
        <v>39</v>
      </c>
      <c r="AP41" s="340">
        <f>VLOOKUP(C41,Theory!B44:AJ112,35,FALSE)</f>
        <v>8</v>
      </c>
      <c r="AQ41" s="340">
        <f>VLOOKUP(C41,Theory!B44:AK112,36,FALSE)</f>
        <v>0</v>
      </c>
      <c r="AR41" s="340">
        <f>VLOOKUP(C41,Theory!B44:AL112,37,FALSE)</f>
        <v>0</v>
      </c>
      <c r="AS41" s="340">
        <f>VLOOKUP(C41,Theory!B44:AM112,38,FALSE)</f>
        <v>0</v>
      </c>
      <c r="AT41" s="335">
        <f t="shared" si="11"/>
        <v>8</v>
      </c>
      <c r="AU41" s="340">
        <f>VLOOKUP(C41,Theory!B44:AN112,39,FALSE)</f>
        <v>6</v>
      </c>
      <c r="AV41" s="340">
        <f>VLOOKUP(C41,Theory!B44:AO112,40,FALSE)</f>
        <v>0</v>
      </c>
      <c r="AW41" s="340">
        <f>VLOOKUP(C41,Theory!B44:AP112,41,FALSE)</f>
        <v>0</v>
      </c>
      <c r="AX41" s="340">
        <f>VLOOKUP(C41,Theory!B44:AQ112,42,FALSE)</f>
        <v>0</v>
      </c>
      <c r="AY41" s="335">
        <f t="shared" si="12"/>
        <v>6</v>
      </c>
      <c r="AZ41" s="340">
        <f>VLOOKUP(C41,Theory!B44:AR112,43,FALSE)</f>
        <v>10</v>
      </c>
      <c r="BA41" s="340">
        <f>VLOOKUP(C41,Theory!B44:AS112,44,FALSE)</f>
        <v>0</v>
      </c>
      <c r="BB41" s="340">
        <f>VLOOKUP(C41,Theory!B44:AT112,45,FALSE)</f>
        <v>0</v>
      </c>
      <c r="BC41" s="340">
        <f>VLOOKUP(C41,Theory!B44:AU112,46,FALSE)</f>
        <v>0</v>
      </c>
      <c r="BD41" s="340">
        <f>VLOOKUP(C41,Theory!B44:AV112,47,FALSE)</f>
        <v>0</v>
      </c>
      <c r="BE41" s="340">
        <f>VLOOKUP(C41,Theory!B44:AW112,48,FALSE)</f>
        <v>0</v>
      </c>
      <c r="BF41" s="340">
        <f>VLOOKUP(C41,Theory!B44:AX112,49,FALSE)</f>
        <v>0</v>
      </c>
      <c r="BG41" s="340">
        <f>VLOOKUP(C41,Theory!B44:AY112,50,FALSE)</f>
        <v>0</v>
      </c>
      <c r="BH41" s="335">
        <f t="shared" si="13"/>
        <v>10</v>
      </c>
      <c r="BI41" s="340">
        <f>VLOOKUP(C41,Theory!B44:AZ112,51,FALSE)</f>
        <v>8</v>
      </c>
      <c r="BJ41" s="340">
        <f>VLOOKUP(C41,Theory!B44:BA112,52,FALSE)</f>
        <v>0</v>
      </c>
      <c r="BK41" s="340">
        <f>VLOOKUP(C41,Theory!B44:BB112,53,FALSE)</f>
        <v>0</v>
      </c>
      <c r="BL41" s="340">
        <f>VLOOKUP(C41,Theory!B44:BC112,54,FALSE)</f>
        <v>0</v>
      </c>
      <c r="BM41" s="340">
        <f>VLOOKUP(C41,Theory!B44:BD112,55,FALSE)</f>
        <v>0</v>
      </c>
      <c r="BN41" s="340">
        <f>VLOOKUP(C41,Theory!B44:BE112,56,FALSE)</f>
        <v>0</v>
      </c>
      <c r="BO41" s="340">
        <f>VLOOKUP(C41,Theory!B44:BF112,57,FALSE)</f>
        <v>0</v>
      </c>
      <c r="BP41" s="340">
        <f>VLOOKUP(C41,Theory!B44:BG112,58,FALSE)</f>
        <v>0</v>
      </c>
      <c r="BQ41" s="335">
        <f t="shared" si="14"/>
        <v>8</v>
      </c>
      <c r="BR41" s="340">
        <f>VLOOKUP(C41,Theory!B44:BH112,59,FALSE)</f>
        <v>8</v>
      </c>
      <c r="BS41" s="340">
        <f>VLOOKUP(C41,Theory!B44:BI112,60,FALSE)</f>
        <v>0</v>
      </c>
      <c r="BT41" s="340">
        <f>VLOOKUP(C41,Theory!B44:BJ112,61,FALSE)</f>
        <v>0</v>
      </c>
      <c r="BU41" s="340">
        <f>VLOOKUP(C41,Theory!B44:BK112,62,FALSE)</f>
        <v>0</v>
      </c>
      <c r="BV41" s="340">
        <f>VLOOKUP(C41,Theory!B44:BL112,63,FALSE)</f>
        <v>0</v>
      </c>
      <c r="BW41" s="340">
        <f>VLOOKUP(C41,Theory!B44:BM112,64,FALSE)</f>
        <v>0</v>
      </c>
      <c r="BX41" s="340">
        <f>VLOOKUP(C41,Theory!B44:BN112,65,FALSE)</f>
        <v>0</v>
      </c>
      <c r="BY41" s="340">
        <f>VLOOKUP(C41,Theory!B44:BO112,66,FALSE)</f>
        <v>0</v>
      </c>
      <c r="BZ41" s="335">
        <f t="shared" si="15"/>
        <v>8</v>
      </c>
      <c r="CA41" s="333">
        <f t="shared" si="1"/>
        <v>40</v>
      </c>
      <c r="CB41" s="340">
        <f>VLOOKUP(C41,Theory!B44:BP112,67,FALSE)</f>
        <v>8</v>
      </c>
      <c r="CC41" s="340">
        <f>VLOOKUP(C41,Theory!B44:BQ112,68,FALSE)</f>
        <v>0</v>
      </c>
      <c r="CD41" s="340">
        <f>VLOOKUP(C41,Theory!B44:BR112,69,FALSE)</f>
        <v>0</v>
      </c>
      <c r="CE41" s="340">
        <f>VLOOKUP(C41,Theory!B44:BS112,70,FALSE)</f>
        <v>0</v>
      </c>
      <c r="CF41" s="335">
        <f t="shared" si="16"/>
        <v>8</v>
      </c>
      <c r="CG41" s="341">
        <f>VLOOKUP(C41,Theory!B44:BT112,71,FALSE)</f>
        <v>8</v>
      </c>
      <c r="CH41" s="341">
        <f>VLOOKUP(C41,Theory!B44:BU112,72,FALSE)</f>
        <v>0</v>
      </c>
      <c r="CI41" s="341">
        <f>VLOOKUP(C41,Theory!B44:BV112,73,FALSE)</f>
        <v>0</v>
      </c>
      <c r="CJ41" s="341">
        <f>VLOOKUP(C41,Theory!B44:BW112,74,FALSE)</f>
        <v>0</v>
      </c>
      <c r="CK41" s="335">
        <f t="shared" si="17"/>
        <v>8</v>
      </c>
      <c r="CL41" s="340">
        <f>VLOOKUP(C41,Theory!B44:BX112,75,FALSE)</f>
        <v>0</v>
      </c>
      <c r="CM41" s="342">
        <f>VLOOKUP(C41,Theory!B44:BY112,76,FALSE)</f>
        <v>0</v>
      </c>
      <c r="CN41" s="342">
        <f>VLOOKUP(C41,Theory!B44:BZ112,77,FALSE)</f>
        <v>0</v>
      </c>
      <c r="CO41" s="342">
        <f>VLOOKUP(C41,Theory!B44:CA112,78,FALSE)</f>
        <v>0</v>
      </c>
      <c r="CP41" s="340">
        <f>VLOOKUP(C41,Theory!B44:CB112,79,FALSE)</f>
        <v>8</v>
      </c>
      <c r="CQ41" s="340">
        <f>VLOOKUP(C41,Theory!B44:CC112,80,FALSE)</f>
        <v>0</v>
      </c>
      <c r="CR41" s="340">
        <f>VLOOKUP(C41,Theory!B44:CD112,81,FALSE)</f>
        <v>0</v>
      </c>
      <c r="CS41" s="340">
        <f>VLOOKUP(C41,Theory!B44:CE112,82,FALSE)</f>
        <v>0</v>
      </c>
      <c r="CT41" s="335">
        <f t="shared" si="18"/>
        <v>8</v>
      </c>
      <c r="CU41" s="341">
        <f>VLOOKUP(C41,Theory!B44:CF112,83,FALSE)</f>
        <v>9</v>
      </c>
      <c r="CV41" s="342">
        <f>VLOOKUP(C41,Theory!B44:CG112,84,FALSE)</f>
        <v>0</v>
      </c>
      <c r="CW41" s="342">
        <f>VLOOKUP(C41,Theory!B44:CH112,85,FALSE)</f>
        <v>0</v>
      </c>
      <c r="CX41" s="342">
        <f>VLOOKUP(C41,Theory!B44:CI112,86,FALSE)</f>
        <v>0</v>
      </c>
      <c r="CY41" s="341">
        <f>VLOOKUP(C41,Theory!B44:CJ112,87,FALSE)</f>
        <v>0</v>
      </c>
      <c r="CZ41" s="341">
        <f>VLOOKUP(C41,Theory!B44:CK112,88,FALSE)</f>
        <v>0</v>
      </c>
      <c r="DA41" s="341">
        <f>VLOOKUP(C41,Theory!B44:CL112,89,FALSE)</f>
        <v>0</v>
      </c>
      <c r="DB41" s="341">
        <f>VLOOKUP(C41,Theory!B44:CM112,90,FALSE)</f>
        <v>0</v>
      </c>
      <c r="DC41" s="335">
        <f t="shared" si="19"/>
        <v>9</v>
      </c>
      <c r="DD41" s="340">
        <f>VLOOKUP(C41,Theory!B44:CN112,91,FALSE)</f>
        <v>0</v>
      </c>
      <c r="DE41" s="342">
        <f>VLOOKUP(C41,Theory!B44:CO112,92,FALSE)</f>
        <v>0</v>
      </c>
      <c r="DF41" s="342">
        <f>VLOOKUP(C41,Theory!B44:CP112,93,FALSE)</f>
        <v>0</v>
      </c>
      <c r="DG41" s="342">
        <f>VLOOKUP(C41,Theory!B44:CQ112,94,FALSE)</f>
        <v>0</v>
      </c>
      <c r="DH41" s="340">
        <f>VLOOKUP(C41,Theory!B44:CR112,95,FALSE)</f>
        <v>8</v>
      </c>
      <c r="DI41" s="340">
        <f>VLOOKUP(C41,Theory!B44:CS112,96,FALSE)</f>
        <v>0</v>
      </c>
      <c r="DJ41" s="340">
        <f>VLOOKUP(C41,Theory!B44:CT112,97,FALSE)</f>
        <v>0</v>
      </c>
      <c r="DK41" s="340">
        <f>VLOOKUP(C41,Theory!B44:CU112,98,FALSE)</f>
        <v>0</v>
      </c>
      <c r="DL41" s="335">
        <f t="shared" si="20"/>
        <v>8</v>
      </c>
      <c r="DM41" s="265">
        <f t="shared" si="2"/>
        <v>41</v>
      </c>
      <c r="DN41" s="362">
        <f t="shared" si="40"/>
        <v>39</v>
      </c>
      <c r="DO41" s="362">
        <f t="shared" si="41"/>
        <v>40</v>
      </c>
      <c r="DP41" s="362">
        <f t="shared" si="42"/>
        <v>41</v>
      </c>
      <c r="DQ41" s="343">
        <f t="shared" si="43"/>
        <v>23</v>
      </c>
      <c r="DR41" s="343">
        <f t="shared" si="44"/>
        <v>24</v>
      </c>
      <c r="DS41" s="343">
        <f t="shared" si="45"/>
        <v>25</v>
      </c>
      <c r="DT41" s="328">
        <f t="shared" si="36"/>
        <v>24</v>
      </c>
      <c r="DU41" s="326">
        <f>VLOOKUP(C41,Theory!B44:CV112,99,FALSE)</f>
        <v>10</v>
      </c>
      <c r="DV41" s="326">
        <f>VLOOKUP(C41,Theory!B44:CW112,100,FALSE)</f>
        <v>10</v>
      </c>
      <c r="DW41" s="331">
        <f t="shared" si="27"/>
        <v>20</v>
      </c>
      <c r="DX41" s="266">
        <f t="shared" si="3"/>
        <v>44</v>
      </c>
      <c r="DY41" s="363">
        <f t="shared" si="4"/>
        <v>26</v>
      </c>
      <c r="DZ41" s="344">
        <f>VLOOKUP(C41,Lab!B36:D105,3,FALSE)</f>
        <v>0</v>
      </c>
      <c r="EA41" s="345">
        <f>VLOOKUP(C41,Lab!B36:E105,4,FALSE)</f>
        <v>0</v>
      </c>
      <c r="EB41" s="345">
        <f>VLOOKUP(C41,Lab!B36:F105,5,FALSE)</f>
        <v>0</v>
      </c>
      <c r="EC41" s="329">
        <f t="shared" si="37"/>
        <v>0</v>
      </c>
      <c r="ED41" s="346">
        <f>VLOOKUP(C41,Lab!B36:G105,6,FALSE)</f>
        <v>0</v>
      </c>
      <c r="EE41" s="346">
        <f>VLOOKUP(C41,Lab!B36:H105,7,FALSE)</f>
        <v>0</v>
      </c>
      <c r="EF41" s="347">
        <f>VLOOKUP(C41,Lab!B36:I105,8,FALSE)</f>
        <v>0</v>
      </c>
      <c r="EG41" s="330">
        <f t="shared" si="38"/>
        <v>0</v>
      </c>
      <c r="EH41" s="390">
        <f t="shared" si="28"/>
        <v>0</v>
      </c>
      <c r="EI41" s="349">
        <f t="shared" si="29"/>
        <v>0</v>
      </c>
      <c r="EJ41" s="391">
        <f t="shared" si="5"/>
        <v>26</v>
      </c>
      <c r="EK41" s="258">
        <v>43</v>
      </c>
      <c r="EM41" s="350">
        <f>VLOOKUP(C41,Theory!B44:DL112,114,FALSE)</f>
        <v>0</v>
      </c>
      <c r="EN41" s="350">
        <f>VLOOKUP(C41,Theory!B44:DM112,115,FALSE)</f>
        <v>0</v>
      </c>
      <c r="EO41" s="350">
        <f>VLOOKUP(C41,Theory!B44:DN112,116,FALSE)</f>
        <v>0</v>
      </c>
      <c r="EP41" s="350">
        <f>VLOOKUP(C41,Theory!B44:DO110,117,FALSE)</f>
        <v>0</v>
      </c>
      <c r="EQ41" s="350">
        <f>VLOOKUP(C41,Theory!B44:DP110,118,FALSE)</f>
        <v>0</v>
      </c>
      <c r="ER41" s="351">
        <f>VLOOKUP(C41,Theory!B44:DQ110,119,FALSE)</f>
        <v>0</v>
      </c>
      <c r="ES41" s="327">
        <f>VLOOKUP(C41,Theory!B44:DR110,120,FALSE)</f>
        <v>0</v>
      </c>
      <c r="ET41" s="348">
        <f t="shared" si="39"/>
        <v>0</v>
      </c>
      <c r="EU41" s="352"/>
      <c r="EV41" s="352"/>
      <c r="EW41" s="352"/>
      <c r="EX41" s="352"/>
      <c r="EY41" s="352"/>
      <c r="EZ41" s="352"/>
      <c r="FA41" s="352"/>
      <c r="FB41" s="352"/>
      <c r="FC41" s="352"/>
      <c r="FD41" s="352"/>
    </row>
    <row r="42" spans="1:160" ht="16.2" thickBot="1" x14ac:dyDescent="0.35">
      <c r="A42" s="64">
        <v>29</v>
      </c>
      <c r="B42" s="17" t="str">
        <f>Theory!C45</f>
        <v>SUPRITH A S</v>
      </c>
      <c r="C42" s="16" t="str">
        <f>Theory!B45</f>
        <v>1DS21AI052</v>
      </c>
      <c r="D42" s="334">
        <f>VLOOKUP(C42,Theory!B45:D113,3,FALSE)</f>
        <v>6</v>
      </c>
      <c r="E42" s="334">
        <f>VLOOKUP(C42,Theory!B45:E113,4,FALSE)</f>
        <v>0</v>
      </c>
      <c r="F42" s="334">
        <f>VLOOKUP(C42,Theory!B45:F113,5,FALSE)</f>
        <v>0</v>
      </c>
      <c r="G42" s="334">
        <f>VLOOKUP(C42,Theory!B45:G113,6,FALSE)</f>
        <v>0</v>
      </c>
      <c r="H42" s="335">
        <f t="shared" si="6"/>
        <v>6</v>
      </c>
      <c r="I42" s="338">
        <f>VLOOKUP(C42,Theory!B45:H113,7,FALSE)</f>
        <v>5</v>
      </c>
      <c r="J42" s="337">
        <f>VLOOKUP(C42,Theory!B45:I113,8,FALSE)</f>
        <v>0</v>
      </c>
      <c r="K42" s="337">
        <f>VLOOKUP(C42,Theory!B45:J113,9,FALSE)</f>
        <v>0</v>
      </c>
      <c r="L42" s="337">
        <f>VLOOKUP(C42,Theory!B45:K113,10,FALSE)</f>
        <v>0</v>
      </c>
      <c r="M42" s="335">
        <f t="shared" si="7"/>
        <v>5</v>
      </c>
      <c r="N42" s="336">
        <f>VLOOKUP(C42,Theory!B45:L113,11,FALSE)</f>
        <v>6</v>
      </c>
      <c r="O42" s="336">
        <f>VLOOKUP(C42,Theory!B45:M113,12,FALSE)</f>
        <v>0</v>
      </c>
      <c r="P42" s="336">
        <f>VLOOKUP(C42,Theory!B45:N113,13,FALSE)</f>
        <v>0</v>
      </c>
      <c r="Q42" s="336">
        <f>VLOOKUP(C42,Theory!B45:O113,14,FALSE)</f>
        <v>0</v>
      </c>
      <c r="R42" s="337">
        <f>VLOOKUP(C42,Theory!B45:P113,15,FALSE)</f>
        <v>0</v>
      </c>
      <c r="S42" s="337">
        <f>VLOOKUP(C42,Theory!B45:Q113,16,FALSE)</f>
        <v>0</v>
      </c>
      <c r="T42" s="337">
        <f>VLOOKUP(C42,Theory!B45:R113,17,FALSE)</f>
        <v>0</v>
      </c>
      <c r="U42" s="337">
        <f>VLOOKUP(C42,Theory!B45:S113,18,FALSE)</f>
        <v>0</v>
      </c>
      <c r="V42" s="335">
        <f t="shared" si="8"/>
        <v>6</v>
      </c>
      <c r="W42" s="334">
        <f>VLOOKUP(C42,Theory!B45:T113,19,FALSE)</f>
        <v>0</v>
      </c>
      <c r="X42" s="334">
        <f>VLOOKUP(C42,Theory!B45:U113,20,FALSE)</f>
        <v>0</v>
      </c>
      <c r="Y42" s="334">
        <f>VLOOKUP(C42,Theory!B45:V113,21,FALSE)</f>
        <v>0</v>
      </c>
      <c r="Z42" s="334">
        <f>VLOOKUP(C42,Theory!B45:W113,22,FALSE)</f>
        <v>0</v>
      </c>
      <c r="AA42" s="338">
        <f>VLOOKUP(C42,Theory!B45:X113,23,FALSE)</f>
        <v>5</v>
      </c>
      <c r="AB42" s="338">
        <f>VLOOKUP(C42,Theory!B45:Y113,24,FALSE)</f>
        <v>0</v>
      </c>
      <c r="AC42" s="338">
        <f>VLOOKUP(C42,Theory!B45:Z113,25,FALSE)</f>
        <v>0</v>
      </c>
      <c r="AD42" s="338">
        <f>VLOOKUP(C42,Theory!B45:AA113,26,FALSE)</f>
        <v>0</v>
      </c>
      <c r="AE42" s="335">
        <f t="shared" si="9"/>
        <v>5</v>
      </c>
      <c r="AF42" s="334">
        <f>VLOOKUP(C42,Theory!B45:AB113,27,FALSE)</f>
        <v>7</v>
      </c>
      <c r="AG42" s="334">
        <f>VLOOKUP(C42,Theory!B45:AC113,28,FALSE)</f>
        <v>0</v>
      </c>
      <c r="AH42" s="334">
        <f>VLOOKUP(C42,Theory!B45:AD113,29,FALSE)</f>
        <v>0</v>
      </c>
      <c r="AI42" s="334">
        <f>VLOOKUP(C42,Theory!B45:AE113,30,FALSE)</f>
        <v>0</v>
      </c>
      <c r="AJ42" s="339">
        <f>VLOOKUP(C42,Theory!B45:AF113,31,FALSE)</f>
        <v>0</v>
      </c>
      <c r="AK42" s="339">
        <f>VLOOKUP(C42,Theory!B45:AG113,32,FALSE)</f>
        <v>0</v>
      </c>
      <c r="AL42" s="339">
        <f>VLOOKUP(C42,Theory!B45:AH113,33,FALSE)</f>
        <v>0</v>
      </c>
      <c r="AM42" s="339">
        <f>VLOOKUP(C42,Theory!B45:AI113,34,FALSE)</f>
        <v>0</v>
      </c>
      <c r="AN42" s="335">
        <f t="shared" si="10"/>
        <v>7</v>
      </c>
      <c r="AO42" s="333">
        <f t="shared" si="0"/>
        <v>29</v>
      </c>
      <c r="AP42" s="340">
        <f>VLOOKUP(C42,Theory!B45:AJ113,35,FALSE)</f>
        <v>6</v>
      </c>
      <c r="AQ42" s="340">
        <f>VLOOKUP(C42,Theory!B45:AK113,36,FALSE)</f>
        <v>0</v>
      </c>
      <c r="AR42" s="340">
        <f>VLOOKUP(C42,Theory!B45:AL113,37,FALSE)</f>
        <v>0</v>
      </c>
      <c r="AS42" s="340">
        <f>VLOOKUP(C42,Theory!B45:AM113,38,FALSE)</f>
        <v>0</v>
      </c>
      <c r="AT42" s="335">
        <f t="shared" si="11"/>
        <v>6</v>
      </c>
      <c r="AU42" s="340">
        <f>VLOOKUP(C42,Theory!B45:AN113,39,FALSE)</f>
        <v>7</v>
      </c>
      <c r="AV42" s="340">
        <f>VLOOKUP(C42,Theory!B45:AO113,40,FALSE)</f>
        <v>0</v>
      </c>
      <c r="AW42" s="340">
        <f>VLOOKUP(C42,Theory!B45:AP113,41,FALSE)</f>
        <v>0</v>
      </c>
      <c r="AX42" s="340">
        <f>VLOOKUP(C42,Theory!B45:AQ113,42,FALSE)</f>
        <v>0</v>
      </c>
      <c r="AY42" s="335">
        <f t="shared" si="12"/>
        <v>7</v>
      </c>
      <c r="AZ42" s="340">
        <f>VLOOKUP(C42,Theory!B45:AR113,43,FALSE)</f>
        <v>10</v>
      </c>
      <c r="BA42" s="340">
        <f>VLOOKUP(C42,Theory!B45:AS113,44,FALSE)</f>
        <v>0</v>
      </c>
      <c r="BB42" s="340">
        <f>VLOOKUP(C42,Theory!B45:AT113,45,FALSE)</f>
        <v>0</v>
      </c>
      <c r="BC42" s="340">
        <f>VLOOKUP(C42,Theory!B45:AU113,46,FALSE)</f>
        <v>0</v>
      </c>
      <c r="BD42" s="340">
        <f>VLOOKUP(C42,Theory!B45:AV113,47,FALSE)</f>
        <v>0</v>
      </c>
      <c r="BE42" s="340">
        <f>VLOOKUP(C42,Theory!B45:AW113,48,FALSE)</f>
        <v>0</v>
      </c>
      <c r="BF42" s="340">
        <f>VLOOKUP(C42,Theory!B45:AX113,49,FALSE)</f>
        <v>0</v>
      </c>
      <c r="BG42" s="340">
        <f>VLOOKUP(C42,Theory!B45:AY113,50,FALSE)</f>
        <v>0</v>
      </c>
      <c r="BH42" s="335">
        <f t="shared" si="13"/>
        <v>10</v>
      </c>
      <c r="BI42" s="340">
        <f>VLOOKUP(C42,Theory!B45:AZ113,51,FALSE)</f>
        <v>0</v>
      </c>
      <c r="BJ42" s="340">
        <f>VLOOKUP(C42,Theory!B45:BA113,52,FALSE)</f>
        <v>0</v>
      </c>
      <c r="BK42" s="340">
        <f>VLOOKUP(C42,Theory!B45:BB113,53,FALSE)</f>
        <v>0</v>
      </c>
      <c r="BL42" s="340">
        <f>VLOOKUP(C42,Theory!B45:BC113,54,FALSE)</f>
        <v>0</v>
      </c>
      <c r="BM42" s="340">
        <f>VLOOKUP(C42,Theory!B45:BD113,55,FALSE)</f>
        <v>9</v>
      </c>
      <c r="BN42" s="340">
        <f>VLOOKUP(C42,Theory!B45:BE113,56,FALSE)</f>
        <v>0</v>
      </c>
      <c r="BO42" s="340">
        <f>VLOOKUP(C42,Theory!B45:BF113,57,FALSE)</f>
        <v>0</v>
      </c>
      <c r="BP42" s="340">
        <f>VLOOKUP(C42,Theory!B45:BG113,58,FALSE)</f>
        <v>0</v>
      </c>
      <c r="BQ42" s="335">
        <f t="shared" si="14"/>
        <v>9</v>
      </c>
      <c r="BR42" s="340">
        <f>VLOOKUP(C42,Theory!B45:BH113,59,FALSE)</f>
        <v>0</v>
      </c>
      <c r="BS42" s="340">
        <f>VLOOKUP(C42,Theory!B45:BI113,60,FALSE)</f>
        <v>0</v>
      </c>
      <c r="BT42" s="340">
        <f>VLOOKUP(C42,Theory!B45:BJ113,61,FALSE)</f>
        <v>0</v>
      </c>
      <c r="BU42" s="340">
        <f>VLOOKUP(C42,Theory!B45:BK113,62,FALSE)</f>
        <v>0</v>
      </c>
      <c r="BV42" s="340">
        <f>VLOOKUP(C42,Theory!B45:BL113,63,FALSE)</f>
        <v>9</v>
      </c>
      <c r="BW42" s="340">
        <f>VLOOKUP(C42,Theory!B45:BM113,64,FALSE)</f>
        <v>0</v>
      </c>
      <c r="BX42" s="340">
        <f>VLOOKUP(C42,Theory!B45:BN113,65,FALSE)</f>
        <v>0</v>
      </c>
      <c r="BY42" s="340">
        <f>VLOOKUP(C42,Theory!B45:BO113,66,FALSE)</f>
        <v>0</v>
      </c>
      <c r="BZ42" s="335">
        <f t="shared" si="15"/>
        <v>9</v>
      </c>
      <c r="CA42" s="333">
        <f t="shared" si="1"/>
        <v>41</v>
      </c>
      <c r="CB42" s="340">
        <f>VLOOKUP(C42,Theory!B45:BP113,67,FALSE)</f>
        <v>9</v>
      </c>
      <c r="CC42" s="340">
        <f>VLOOKUP(C42,Theory!B45:BQ113,68,FALSE)</f>
        <v>0</v>
      </c>
      <c r="CD42" s="340">
        <f>VLOOKUP(C42,Theory!B45:BR113,69,FALSE)</f>
        <v>0</v>
      </c>
      <c r="CE42" s="340">
        <f>VLOOKUP(C42,Theory!B45:BS113,70,FALSE)</f>
        <v>0</v>
      </c>
      <c r="CF42" s="335">
        <f t="shared" si="16"/>
        <v>9</v>
      </c>
      <c r="CG42" s="341">
        <f>VLOOKUP(C42,Theory!B45:BT113,71,FALSE)</f>
        <v>8</v>
      </c>
      <c r="CH42" s="341">
        <f>VLOOKUP(C42,Theory!B45:BU113,72,FALSE)</f>
        <v>0</v>
      </c>
      <c r="CI42" s="341">
        <f>VLOOKUP(C42,Theory!B45:BV113,73,FALSE)</f>
        <v>0</v>
      </c>
      <c r="CJ42" s="341">
        <f>VLOOKUP(C42,Theory!B45:BW113,74,FALSE)</f>
        <v>0</v>
      </c>
      <c r="CK42" s="335">
        <f t="shared" si="17"/>
        <v>8</v>
      </c>
      <c r="CL42" s="340">
        <f>VLOOKUP(C42,Theory!B45:BX113,75,FALSE)</f>
        <v>9</v>
      </c>
      <c r="CM42" s="342">
        <f>VLOOKUP(C42,Theory!B45:BY113,76,FALSE)</f>
        <v>0</v>
      </c>
      <c r="CN42" s="342">
        <f>VLOOKUP(C42,Theory!B45:BZ113,77,FALSE)</f>
        <v>0</v>
      </c>
      <c r="CO42" s="342">
        <f>VLOOKUP(C42,Theory!B45:CA113,78,FALSE)</f>
        <v>0</v>
      </c>
      <c r="CP42" s="340">
        <f>VLOOKUP(C42,Theory!B45:CB113,79,FALSE)</f>
        <v>0</v>
      </c>
      <c r="CQ42" s="340">
        <f>VLOOKUP(C42,Theory!B45:CC113,80,FALSE)</f>
        <v>0</v>
      </c>
      <c r="CR42" s="340">
        <f>VLOOKUP(C42,Theory!B45:CD113,81,FALSE)</f>
        <v>0</v>
      </c>
      <c r="CS42" s="340">
        <f>VLOOKUP(C42,Theory!B45:CE113,82,FALSE)</f>
        <v>0</v>
      </c>
      <c r="CT42" s="335">
        <f t="shared" si="18"/>
        <v>9</v>
      </c>
      <c r="CU42" s="341">
        <f>VLOOKUP(C42,Theory!B45:CF113,83,FALSE)</f>
        <v>0</v>
      </c>
      <c r="CV42" s="342">
        <f>VLOOKUP(C42,Theory!B45:CG113,84,FALSE)</f>
        <v>0</v>
      </c>
      <c r="CW42" s="342">
        <f>VLOOKUP(C42,Theory!B45:CH113,85,FALSE)</f>
        <v>0</v>
      </c>
      <c r="CX42" s="342">
        <f>VLOOKUP(C42,Theory!B45:CI113,86,FALSE)</f>
        <v>0</v>
      </c>
      <c r="CY42" s="341">
        <f>VLOOKUP(C42,Theory!B45:CJ113,87,FALSE)</f>
        <v>10</v>
      </c>
      <c r="CZ42" s="341">
        <f>VLOOKUP(C42,Theory!B45:CK113,88,FALSE)</f>
        <v>0</v>
      </c>
      <c r="DA42" s="341">
        <f>VLOOKUP(C42,Theory!B45:CL113,89,FALSE)</f>
        <v>0</v>
      </c>
      <c r="DB42" s="341">
        <f>VLOOKUP(C42,Theory!B45:CM113,90,FALSE)</f>
        <v>0</v>
      </c>
      <c r="DC42" s="335">
        <f t="shared" si="19"/>
        <v>10</v>
      </c>
      <c r="DD42" s="340">
        <f>VLOOKUP(C42,Theory!B45:CN113,91,FALSE)</f>
        <v>0</v>
      </c>
      <c r="DE42" s="342">
        <f>VLOOKUP(C42,Theory!B45:CO113,92,FALSE)</f>
        <v>0</v>
      </c>
      <c r="DF42" s="342">
        <f>VLOOKUP(C42,Theory!B45:CP113,93,FALSE)</f>
        <v>0</v>
      </c>
      <c r="DG42" s="342">
        <f>VLOOKUP(C42,Theory!B45:CQ113,94,FALSE)</f>
        <v>0</v>
      </c>
      <c r="DH42" s="340">
        <f>VLOOKUP(C42,Theory!B45:CR113,95,FALSE)</f>
        <v>9</v>
      </c>
      <c r="DI42" s="340">
        <f>VLOOKUP(C42,Theory!B45:CS113,96,FALSE)</f>
        <v>0</v>
      </c>
      <c r="DJ42" s="340">
        <f>VLOOKUP(C42,Theory!B45:CT113,97,FALSE)</f>
        <v>0</v>
      </c>
      <c r="DK42" s="340">
        <f>VLOOKUP(C42,Theory!B45:CU113,98,FALSE)</f>
        <v>0</v>
      </c>
      <c r="DL42" s="335">
        <f t="shared" si="20"/>
        <v>9</v>
      </c>
      <c r="DM42" s="265">
        <f t="shared" si="2"/>
        <v>45</v>
      </c>
      <c r="DN42" s="362">
        <f t="shared" si="40"/>
        <v>29</v>
      </c>
      <c r="DO42" s="362">
        <f t="shared" si="41"/>
        <v>41</v>
      </c>
      <c r="DP42" s="362">
        <f t="shared" si="42"/>
        <v>45</v>
      </c>
      <c r="DQ42" s="343">
        <f t="shared" si="43"/>
        <v>17</v>
      </c>
      <c r="DR42" s="343">
        <f t="shared" si="44"/>
        <v>25</v>
      </c>
      <c r="DS42" s="343">
        <f t="shared" si="45"/>
        <v>27</v>
      </c>
      <c r="DT42" s="328">
        <f t="shared" si="36"/>
        <v>23</v>
      </c>
      <c r="DU42" s="326">
        <f>VLOOKUP(C42,Theory!B45:CV113,99,FALSE)</f>
        <v>10</v>
      </c>
      <c r="DV42" s="326">
        <f>VLOOKUP(C42,Theory!B45:CW113,100,FALSE)</f>
        <v>10</v>
      </c>
      <c r="DW42" s="331">
        <f t="shared" si="27"/>
        <v>20</v>
      </c>
      <c r="DX42" s="266">
        <f t="shared" si="3"/>
        <v>43</v>
      </c>
      <c r="DY42" s="363">
        <f t="shared" si="4"/>
        <v>26</v>
      </c>
      <c r="DZ42" s="344">
        <f>VLOOKUP(C42,Lab!B37:D106,3,FALSE)</f>
        <v>0</v>
      </c>
      <c r="EA42" s="345">
        <f>VLOOKUP(C42,Lab!B37:E106,4,FALSE)</f>
        <v>0</v>
      </c>
      <c r="EB42" s="345">
        <f>VLOOKUP(C42,Lab!B37:F106,5,FALSE)</f>
        <v>0</v>
      </c>
      <c r="EC42" s="329">
        <f t="shared" si="37"/>
        <v>0</v>
      </c>
      <c r="ED42" s="346">
        <f>VLOOKUP(C42,Lab!B37:G106,6,FALSE)</f>
        <v>0</v>
      </c>
      <c r="EE42" s="346">
        <f>VLOOKUP(C42,Lab!B37:H106,7,FALSE)</f>
        <v>0</v>
      </c>
      <c r="EF42" s="347">
        <f>VLOOKUP(C42,Lab!B37:I106,8,FALSE)</f>
        <v>0</v>
      </c>
      <c r="EG42" s="330">
        <f t="shared" si="38"/>
        <v>0</v>
      </c>
      <c r="EH42" s="390">
        <f t="shared" si="28"/>
        <v>0</v>
      </c>
      <c r="EI42" s="349">
        <f t="shared" si="29"/>
        <v>0</v>
      </c>
      <c r="EJ42" s="391">
        <f t="shared" si="5"/>
        <v>26</v>
      </c>
      <c r="EK42" s="258">
        <v>42</v>
      </c>
      <c r="EM42" s="350">
        <f>VLOOKUP(C42,Theory!B45:DL113,114,FALSE)</f>
        <v>0</v>
      </c>
      <c r="EN42" s="350">
        <f>VLOOKUP(C42,Theory!B45:DM113,115,FALSE)</f>
        <v>0</v>
      </c>
      <c r="EO42" s="350">
        <f>VLOOKUP(C42,Theory!B45:DN113,116,FALSE)</f>
        <v>0</v>
      </c>
      <c r="EP42" s="350">
        <f>VLOOKUP(C42,Theory!B45:DO111,117,FALSE)</f>
        <v>0</v>
      </c>
      <c r="EQ42" s="350">
        <f>VLOOKUP(C42,Theory!B45:DP111,118,FALSE)</f>
        <v>0</v>
      </c>
      <c r="ER42" s="351">
        <f>VLOOKUP(C42,Theory!B45:DQ111,119,FALSE)</f>
        <v>0</v>
      </c>
      <c r="ES42" s="327">
        <f>VLOOKUP(C42,Theory!B45:DR111,120,FALSE)</f>
        <v>0</v>
      </c>
      <c r="ET42" s="348">
        <f t="shared" si="39"/>
        <v>0</v>
      </c>
      <c r="EU42" s="352"/>
      <c r="EV42" s="352"/>
      <c r="EW42" s="352"/>
      <c r="EX42" s="352"/>
      <c r="EY42" s="352"/>
      <c r="EZ42" s="352"/>
      <c r="FA42" s="352"/>
      <c r="FB42" s="352"/>
      <c r="FC42" s="352"/>
      <c r="FD42" s="352"/>
    </row>
    <row r="43" spans="1:160" ht="16.2" thickBot="1" x14ac:dyDescent="0.35">
      <c r="A43" s="64">
        <v>30</v>
      </c>
      <c r="B43" s="17" t="str">
        <f>Theory!C46</f>
        <v>UDAYASURYA S</v>
      </c>
      <c r="C43" s="16" t="str">
        <f>Theory!B46</f>
        <v>1DS21AI053</v>
      </c>
      <c r="D43" s="334">
        <f>VLOOKUP(C43,Theory!B46:D114,3,FALSE)</f>
        <v>0</v>
      </c>
      <c r="E43" s="334">
        <f>VLOOKUP(C43,Theory!B46:E114,4,FALSE)</f>
        <v>0</v>
      </c>
      <c r="F43" s="334">
        <f>VLOOKUP(C43,Theory!B46:F114,5,FALSE)</f>
        <v>0</v>
      </c>
      <c r="G43" s="334">
        <f>VLOOKUP(C43,Theory!B46:G114,6,FALSE)</f>
        <v>0</v>
      </c>
      <c r="H43" s="335">
        <f t="shared" si="6"/>
        <v>0</v>
      </c>
      <c r="I43" s="338">
        <f>VLOOKUP(C43,Theory!B46:H114,7,FALSE)</f>
        <v>0</v>
      </c>
      <c r="J43" s="337">
        <f>VLOOKUP(C43,Theory!B46:I114,8,FALSE)</f>
        <v>0</v>
      </c>
      <c r="K43" s="337">
        <f>VLOOKUP(C43,Theory!B46:J114,9,FALSE)</f>
        <v>0</v>
      </c>
      <c r="L43" s="337">
        <f>VLOOKUP(C43,Theory!B46:K114,10,FALSE)</f>
        <v>0</v>
      </c>
      <c r="M43" s="335">
        <f t="shared" si="7"/>
        <v>0</v>
      </c>
      <c r="N43" s="336">
        <f>VLOOKUP(C43,Theory!B46:L114,11,FALSE)</f>
        <v>0</v>
      </c>
      <c r="O43" s="336">
        <f>VLOOKUP(C43,Theory!B46:M114,12,FALSE)</f>
        <v>0</v>
      </c>
      <c r="P43" s="336">
        <f>VLOOKUP(C43,Theory!B46:N114,13,FALSE)</f>
        <v>0</v>
      </c>
      <c r="Q43" s="336">
        <f>VLOOKUP(C43,Theory!B46:O114,14,FALSE)</f>
        <v>0</v>
      </c>
      <c r="R43" s="337">
        <f>VLOOKUP(C43,Theory!B46:P114,15,FALSE)</f>
        <v>0</v>
      </c>
      <c r="S43" s="337">
        <f>VLOOKUP(C43,Theory!B46:Q114,16,FALSE)</f>
        <v>0</v>
      </c>
      <c r="T43" s="337">
        <f>VLOOKUP(C43,Theory!B46:R114,17,FALSE)</f>
        <v>0</v>
      </c>
      <c r="U43" s="337">
        <f>VLOOKUP(C43,Theory!B46:S114,18,FALSE)</f>
        <v>0</v>
      </c>
      <c r="V43" s="335">
        <f t="shared" si="8"/>
        <v>0</v>
      </c>
      <c r="W43" s="334">
        <f>VLOOKUP(C43,Theory!B46:T114,19,FALSE)</f>
        <v>0</v>
      </c>
      <c r="X43" s="334">
        <f>VLOOKUP(C43,Theory!B46:U114,20,FALSE)</f>
        <v>0</v>
      </c>
      <c r="Y43" s="334">
        <f>VLOOKUP(C43,Theory!B46:V114,21,FALSE)</f>
        <v>0</v>
      </c>
      <c r="Z43" s="334">
        <f>VLOOKUP(C43,Theory!B46:W114,22,FALSE)</f>
        <v>0</v>
      </c>
      <c r="AA43" s="338">
        <f>VLOOKUP(C43,Theory!B46:X114,23,FALSE)</f>
        <v>0</v>
      </c>
      <c r="AB43" s="338">
        <f>VLOOKUP(C43,Theory!B46:Y114,24,FALSE)</f>
        <v>0</v>
      </c>
      <c r="AC43" s="338">
        <f>VLOOKUP(C43,Theory!B46:Z114,25,FALSE)</f>
        <v>0</v>
      </c>
      <c r="AD43" s="338">
        <f>VLOOKUP(C43,Theory!B46:AA114,26,FALSE)</f>
        <v>0</v>
      </c>
      <c r="AE43" s="335">
        <f t="shared" si="9"/>
        <v>0</v>
      </c>
      <c r="AF43" s="334">
        <f>VLOOKUP(C43,Theory!B46:AB114,27,FALSE)</f>
        <v>0</v>
      </c>
      <c r="AG43" s="334">
        <f>VLOOKUP(C43,Theory!B46:AC114,28,FALSE)</f>
        <v>0</v>
      </c>
      <c r="AH43" s="334">
        <f>VLOOKUP(C43,Theory!B46:AD114,29,FALSE)</f>
        <v>0</v>
      </c>
      <c r="AI43" s="334">
        <f>VLOOKUP(C43,Theory!B46:AE114,30,FALSE)</f>
        <v>0</v>
      </c>
      <c r="AJ43" s="339">
        <f>VLOOKUP(C43,Theory!B46:AF114,31,FALSE)</f>
        <v>0</v>
      </c>
      <c r="AK43" s="339">
        <f>VLOOKUP(C43,Theory!B46:AG114,32,FALSE)</f>
        <v>0</v>
      </c>
      <c r="AL43" s="339">
        <f>VLOOKUP(C43,Theory!B46:AH114,33,FALSE)</f>
        <v>0</v>
      </c>
      <c r="AM43" s="339">
        <f>VLOOKUP(C43,Theory!B46:AI114,34,FALSE)</f>
        <v>0</v>
      </c>
      <c r="AN43" s="335">
        <f t="shared" si="10"/>
        <v>0</v>
      </c>
      <c r="AO43" s="333">
        <f t="shared" si="0"/>
        <v>0</v>
      </c>
      <c r="AP43" s="340">
        <f>VLOOKUP(C43,Theory!B46:AJ114,35,FALSE)</f>
        <v>5</v>
      </c>
      <c r="AQ43" s="340">
        <f>VLOOKUP(C43,Theory!B46:AK114,36,FALSE)</f>
        <v>0</v>
      </c>
      <c r="AR43" s="340">
        <f>VLOOKUP(C43,Theory!B46:AL114,37,FALSE)</f>
        <v>0</v>
      </c>
      <c r="AS43" s="340">
        <f>VLOOKUP(C43,Theory!B46:AM114,38,FALSE)</f>
        <v>0</v>
      </c>
      <c r="AT43" s="335">
        <f t="shared" si="11"/>
        <v>5</v>
      </c>
      <c r="AU43" s="340">
        <f>VLOOKUP(C43,Theory!B46:AN114,39,FALSE)</f>
        <v>3</v>
      </c>
      <c r="AV43" s="340">
        <f>VLOOKUP(C43,Theory!B46:AO114,40,FALSE)</f>
        <v>0</v>
      </c>
      <c r="AW43" s="340">
        <f>VLOOKUP(C43,Theory!B46:AP114,41,FALSE)</f>
        <v>0</v>
      </c>
      <c r="AX43" s="340">
        <f>VLOOKUP(C43,Theory!B46:AQ114,42,FALSE)</f>
        <v>0</v>
      </c>
      <c r="AY43" s="335">
        <f t="shared" si="12"/>
        <v>3</v>
      </c>
      <c r="AZ43" s="340">
        <f>VLOOKUP(C43,Theory!B46:AR114,43,FALSE)</f>
        <v>0</v>
      </c>
      <c r="BA43" s="340">
        <f>VLOOKUP(C43,Theory!B46:AS114,44,FALSE)</f>
        <v>0</v>
      </c>
      <c r="BB43" s="340">
        <f>VLOOKUP(C43,Theory!B46:AT114,45,FALSE)</f>
        <v>0</v>
      </c>
      <c r="BC43" s="340">
        <f>VLOOKUP(C43,Theory!B46:AU114,46,FALSE)</f>
        <v>0</v>
      </c>
      <c r="BD43" s="340">
        <f>VLOOKUP(C43,Theory!B46:AV114,47,FALSE)</f>
        <v>0</v>
      </c>
      <c r="BE43" s="340">
        <f>VLOOKUP(C43,Theory!B46:AW114,48,FALSE)</f>
        <v>0</v>
      </c>
      <c r="BF43" s="340">
        <f>VLOOKUP(C43,Theory!B46:AX114,49,FALSE)</f>
        <v>0</v>
      </c>
      <c r="BG43" s="340">
        <f>VLOOKUP(C43,Theory!B46:AY114,50,FALSE)</f>
        <v>0</v>
      </c>
      <c r="BH43" s="335">
        <f t="shared" si="13"/>
        <v>0</v>
      </c>
      <c r="BI43" s="340">
        <f>VLOOKUP(C43,Theory!B46:AZ114,51,FALSE)</f>
        <v>8</v>
      </c>
      <c r="BJ43" s="340">
        <f>VLOOKUP(C43,Theory!B46:BA114,52,FALSE)</f>
        <v>0</v>
      </c>
      <c r="BK43" s="340">
        <f>VLOOKUP(C43,Theory!B46:BB114,53,FALSE)</f>
        <v>0</v>
      </c>
      <c r="BL43" s="340">
        <f>VLOOKUP(C43,Theory!B46:BC114,54,FALSE)</f>
        <v>0</v>
      </c>
      <c r="BM43" s="340">
        <f>VLOOKUP(C43,Theory!B46:BD114,55,FALSE)</f>
        <v>0</v>
      </c>
      <c r="BN43" s="340">
        <f>VLOOKUP(C43,Theory!B46:BE114,56,FALSE)</f>
        <v>0</v>
      </c>
      <c r="BO43" s="340">
        <f>VLOOKUP(C43,Theory!B46:BF114,57,FALSE)</f>
        <v>0</v>
      </c>
      <c r="BP43" s="340">
        <f>VLOOKUP(C43,Theory!B46:BG114,58,FALSE)</f>
        <v>0</v>
      </c>
      <c r="BQ43" s="335">
        <f t="shared" si="14"/>
        <v>8</v>
      </c>
      <c r="BR43" s="340">
        <f>VLOOKUP(C43,Theory!B46:BH114,59,FALSE)</f>
        <v>2</v>
      </c>
      <c r="BS43" s="340">
        <f>VLOOKUP(C43,Theory!B46:BI114,60,FALSE)</f>
        <v>0</v>
      </c>
      <c r="BT43" s="340">
        <f>VLOOKUP(C43,Theory!B46:BJ114,61,FALSE)</f>
        <v>0</v>
      </c>
      <c r="BU43" s="340">
        <f>VLOOKUP(C43,Theory!B46:BK114,62,FALSE)</f>
        <v>0</v>
      </c>
      <c r="BV43" s="340">
        <f>VLOOKUP(C43,Theory!B46:BL114,63,FALSE)</f>
        <v>0</v>
      </c>
      <c r="BW43" s="340">
        <f>VLOOKUP(C43,Theory!B46:BM114,64,FALSE)</f>
        <v>0</v>
      </c>
      <c r="BX43" s="340">
        <f>VLOOKUP(C43,Theory!B46:BN114,65,FALSE)</f>
        <v>0</v>
      </c>
      <c r="BY43" s="340">
        <f>VLOOKUP(C43,Theory!B46:BO114,66,FALSE)</f>
        <v>0</v>
      </c>
      <c r="BZ43" s="335">
        <f t="shared" si="15"/>
        <v>2</v>
      </c>
      <c r="CA43" s="333">
        <f t="shared" si="1"/>
        <v>18</v>
      </c>
      <c r="CB43" s="340">
        <f>VLOOKUP(C43,Theory!B46:BP114,67,FALSE)</f>
        <v>7</v>
      </c>
      <c r="CC43" s="340">
        <f>VLOOKUP(C43,Theory!B46:BQ114,68,FALSE)</f>
        <v>0</v>
      </c>
      <c r="CD43" s="340">
        <f>VLOOKUP(C43,Theory!B46:BR114,69,FALSE)</f>
        <v>0</v>
      </c>
      <c r="CE43" s="340">
        <f>VLOOKUP(C43,Theory!B46:BS114,70,FALSE)</f>
        <v>0</v>
      </c>
      <c r="CF43" s="335">
        <f t="shared" si="16"/>
        <v>7</v>
      </c>
      <c r="CG43" s="341">
        <f>VLOOKUP(C43,Theory!B46:BT114,71,FALSE)</f>
        <v>7</v>
      </c>
      <c r="CH43" s="341">
        <f>VLOOKUP(C43,Theory!B46:BU114,72,FALSE)</f>
        <v>0</v>
      </c>
      <c r="CI43" s="341">
        <f>VLOOKUP(C43,Theory!B46:BV114,73,FALSE)</f>
        <v>0</v>
      </c>
      <c r="CJ43" s="341">
        <f>VLOOKUP(C43,Theory!B46:BW114,74,FALSE)</f>
        <v>0</v>
      </c>
      <c r="CK43" s="335">
        <f t="shared" si="17"/>
        <v>7</v>
      </c>
      <c r="CL43" s="340">
        <f>VLOOKUP(C43,Theory!B46:BX114,75,FALSE)</f>
        <v>8</v>
      </c>
      <c r="CM43" s="342">
        <f>VLOOKUP(C43,Theory!B46:BY114,76,FALSE)</f>
        <v>0</v>
      </c>
      <c r="CN43" s="342">
        <f>VLOOKUP(C43,Theory!B46:BZ114,77,FALSE)</f>
        <v>0</v>
      </c>
      <c r="CO43" s="342">
        <f>VLOOKUP(C43,Theory!B46:CA114,78,FALSE)</f>
        <v>0</v>
      </c>
      <c r="CP43" s="340">
        <f>VLOOKUP(C43,Theory!B46:CB114,79,FALSE)</f>
        <v>0</v>
      </c>
      <c r="CQ43" s="340">
        <f>VLOOKUP(C43,Theory!B46:CC114,80,FALSE)</f>
        <v>0</v>
      </c>
      <c r="CR43" s="340">
        <f>VLOOKUP(C43,Theory!B46:CD114,81,FALSE)</f>
        <v>0</v>
      </c>
      <c r="CS43" s="340">
        <f>VLOOKUP(C43,Theory!B46:CE114,82,FALSE)</f>
        <v>0</v>
      </c>
      <c r="CT43" s="335">
        <f t="shared" si="18"/>
        <v>8</v>
      </c>
      <c r="CU43" s="341">
        <f>VLOOKUP(C43,Theory!B46:CF114,83,FALSE)</f>
        <v>0</v>
      </c>
      <c r="CV43" s="342">
        <f>VLOOKUP(C43,Theory!B46:CG114,84,FALSE)</f>
        <v>0</v>
      </c>
      <c r="CW43" s="342">
        <f>VLOOKUP(C43,Theory!B46:CH114,85,FALSE)</f>
        <v>0</v>
      </c>
      <c r="CX43" s="342">
        <f>VLOOKUP(C43,Theory!B46:CI114,86,FALSE)</f>
        <v>0</v>
      </c>
      <c r="CY43" s="341">
        <f>VLOOKUP(C43,Theory!B46:CJ114,87,FALSE)</f>
        <v>7</v>
      </c>
      <c r="CZ43" s="341">
        <f>VLOOKUP(C43,Theory!B46:CK114,88,FALSE)</f>
        <v>0</v>
      </c>
      <c r="DA43" s="341">
        <f>VLOOKUP(C43,Theory!B46:CL114,89,FALSE)</f>
        <v>0</v>
      </c>
      <c r="DB43" s="341">
        <f>VLOOKUP(C43,Theory!B46:CM114,90,FALSE)</f>
        <v>0</v>
      </c>
      <c r="DC43" s="335">
        <f t="shared" si="19"/>
        <v>7</v>
      </c>
      <c r="DD43" s="340">
        <f>VLOOKUP(C43,Theory!B46:CN114,91,FALSE)</f>
        <v>7</v>
      </c>
      <c r="DE43" s="342">
        <f>VLOOKUP(C43,Theory!B46:CO114,92,FALSE)</f>
        <v>0</v>
      </c>
      <c r="DF43" s="342">
        <f>VLOOKUP(C43,Theory!B46:CP114,93,FALSE)</f>
        <v>0</v>
      </c>
      <c r="DG43" s="342">
        <f>VLOOKUP(C43,Theory!B46:CQ114,94,FALSE)</f>
        <v>0</v>
      </c>
      <c r="DH43" s="340">
        <f>VLOOKUP(C43,Theory!B46:CR114,95,FALSE)</f>
        <v>0</v>
      </c>
      <c r="DI43" s="340">
        <f>VLOOKUP(C43,Theory!B46:CS114,96,FALSE)</f>
        <v>0</v>
      </c>
      <c r="DJ43" s="340">
        <f>VLOOKUP(C43,Theory!B46:CT114,97,FALSE)</f>
        <v>0</v>
      </c>
      <c r="DK43" s="340">
        <f>VLOOKUP(C43,Theory!B46:CU114,98,FALSE)</f>
        <v>0</v>
      </c>
      <c r="DL43" s="335">
        <f t="shared" si="20"/>
        <v>7</v>
      </c>
      <c r="DM43" s="265">
        <f t="shared" si="2"/>
        <v>36</v>
      </c>
      <c r="DN43" s="362">
        <f t="shared" si="40"/>
        <v>0</v>
      </c>
      <c r="DO43" s="362">
        <f t="shared" si="41"/>
        <v>18</v>
      </c>
      <c r="DP43" s="362">
        <f t="shared" si="42"/>
        <v>36</v>
      </c>
      <c r="DQ43" s="343">
        <f t="shared" si="43"/>
        <v>0</v>
      </c>
      <c r="DR43" s="343">
        <f t="shared" si="44"/>
        <v>11</v>
      </c>
      <c r="DS43" s="343">
        <f t="shared" si="45"/>
        <v>22</v>
      </c>
      <c r="DT43" s="328">
        <f t="shared" si="36"/>
        <v>11</v>
      </c>
      <c r="DU43" s="326">
        <f>VLOOKUP(C43,Theory!B46:CV114,99,FALSE)</f>
        <v>10</v>
      </c>
      <c r="DV43" s="326">
        <f>VLOOKUP(C43,Theory!B46:CW114,100,FALSE)</f>
        <v>10</v>
      </c>
      <c r="DW43" s="331">
        <f t="shared" si="27"/>
        <v>20</v>
      </c>
      <c r="DX43" s="266">
        <f t="shared" si="3"/>
        <v>31</v>
      </c>
      <c r="DY43" s="363">
        <f t="shared" si="4"/>
        <v>19</v>
      </c>
      <c r="DZ43" s="344">
        <f>VLOOKUP(C43,Lab!B38:D107,3,FALSE)</f>
        <v>0</v>
      </c>
      <c r="EA43" s="345">
        <f>VLOOKUP(C43,Lab!B38:E107,4,FALSE)</f>
        <v>0</v>
      </c>
      <c r="EB43" s="345">
        <f>VLOOKUP(C43,Lab!B38:F107,5,FALSE)</f>
        <v>0</v>
      </c>
      <c r="EC43" s="329">
        <f t="shared" si="37"/>
        <v>0</v>
      </c>
      <c r="ED43" s="346">
        <f>VLOOKUP(C43,Lab!B38:G107,6,FALSE)</f>
        <v>0</v>
      </c>
      <c r="EE43" s="346">
        <f>VLOOKUP(C43,Lab!B38:H107,7,FALSE)</f>
        <v>0</v>
      </c>
      <c r="EF43" s="347">
        <f>VLOOKUP(C43,Lab!B38:I107,8,FALSE)</f>
        <v>0</v>
      </c>
      <c r="EG43" s="330">
        <f t="shared" si="38"/>
        <v>0</v>
      </c>
      <c r="EH43" s="390">
        <f t="shared" si="28"/>
        <v>0</v>
      </c>
      <c r="EI43" s="349">
        <f t="shared" si="29"/>
        <v>0</v>
      </c>
      <c r="EJ43" s="391">
        <f t="shared" si="5"/>
        <v>19</v>
      </c>
      <c r="EK43" s="258">
        <v>39</v>
      </c>
      <c r="EM43" s="350">
        <f>VLOOKUP(C43,Theory!B46:DL114,114,FALSE)</f>
        <v>0</v>
      </c>
      <c r="EN43" s="350">
        <f>VLOOKUP(C43,Theory!B46:DM114,115,FALSE)</f>
        <v>0</v>
      </c>
      <c r="EO43" s="350">
        <f>VLOOKUP(C43,Theory!B46:DN114,116,FALSE)</f>
        <v>0</v>
      </c>
      <c r="EP43" s="350">
        <f>VLOOKUP(C43,Theory!B46:DO112,117,FALSE)</f>
        <v>0</v>
      </c>
      <c r="EQ43" s="350">
        <f>VLOOKUP(C43,Theory!B46:DP112,118,FALSE)</f>
        <v>0</v>
      </c>
      <c r="ER43" s="351">
        <f>VLOOKUP(C43,Theory!B46:DQ112,119,FALSE)</f>
        <v>0</v>
      </c>
      <c r="ES43" s="327">
        <f>VLOOKUP(C43,Theory!B46:DR112,120,FALSE)</f>
        <v>0</v>
      </c>
      <c r="ET43" s="348">
        <f t="shared" si="39"/>
        <v>0</v>
      </c>
      <c r="EU43" s="352"/>
      <c r="EV43" s="352"/>
      <c r="EW43" s="352"/>
      <c r="EX43" s="352"/>
      <c r="EY43" s="352"/>
      <c r="EZ43" s="352"/>
      <c r="FA43" s="352"/>
      <c r="FB43" s="352"/>
      <c r="FC43" s="352"/>
      <c r="FD43" s="352"/>
    </row>
    <row r="44" spans="1:160" ht="16.2" thickBot="1" x14ac:dyDescent="0.35">
      <c r="A44" s="64">
        <v>31</v>
      </c>
      <c r="B44" s="17" t="str">
        <f>Theory!C47</f>
        <v>VELPULA JASWANTH REDDY</v>
      </c>
      <c r="C44" s="16" t="str">
        <f>Theory!B47</f>
        <v>1DS21AI054</v>
      </c>
      <c r="D44" s="334">
        <f>VLOOKUP(C44,Theory!B47:D115,3,FALSE)</f>
        <v>9</v>
      </c>
      <c r="E44" s="334">
        <f>VLOOKUP(C44,Theory!B47:E115,4,FALSE)</f>
        <v>0</v>
      </c>
      <c r="F44" s="334">
        <f>VLOOKUP(C44,Theory!B47:F115,5,FALSE)</f>
        <v>0</v>
      </c>
      <c r="G44" s="334">
        <f>VLOOKUP(C44,Theory!B47:G115,6,FALSE)</f>
        <v>0</v>
      </c>
      <c r="H44" s="335">
        <f t="shared" si="6"/>
        <v>9</v>
      </c>
      <c r="I44" s="338">
        <f>VLOOKUP(C44,Theory!B47:H115,7,FALSE)</f>
        <v>9</v>
      </c>
      <c r="J44" s="337">
        <f>VLOOKUP(C44,Theory!B47:I115,8,FALSE)</f>
        <v>0</v>
      </c>
      <c r="K44" s="337">
        <f>VLOOKUP(C44,Theory!B47:J115,9,FALSE)</f>
        <v>0</v>
      </c>
      <c r="L44" s="337">
        <f>VLOOKUP(C44,Theory!B47:K115,10,FALSE)</f>
        <v>0</v>
      </c>
      <c r="M44" s="335">
        <f t="shared" si="7"/>
        <v>9</v>
      </c>
      <c r="N44" s="336">
        <f>VLOOKUP(C44,Theory!B47:L115,11,FALSE)</f>
        <v>8</v>
      </c>
      <c r="O44" s="336">
        <f>VLOOKUP(C44,Theory!B47:M115,12,FALSE)</f>
        <v>0</v>
      </c>
      <c r="P44" s="336">
        <f>VLOOKUP(C44,Theory!B47:N115,13,FALSE)</f>
        <v>0</v>
      </c>
      <c r="Q44" s="336">
        <f>VLOOKUP(C44,Theory!B47:O115,14,FALSE)</f>
        <v>0</v>
      </c>
      <c r="R44" s="337">
        <f>VLOOKUP(C44,Theory!B47:P115,15,FALSE)</f>
        <v>0</v>
      </c>
      <c r="S44" s="337">
        <f>VLOOKUP(C44,Theory!B47:Q115,16,FALSE)</f>
        <v>0</v>
      </c>
      <c r="T44" s="337">
        <f>VLOOKUP(C44,Theory!B47:R115,17,FALSE)</f>
        <v>0</v>
      </c>
      <c r="U44" s="337">
        <f>VLOOKUP(C44,Theory!B47:S115,18,FALSE)</f>
        <v>0</v>
      </c>
      <c r="V44" s="335">
        <f t="shared" si="8"/>
        <v>8</v>
      </c>
      <c r="W44" s="334">
        <f>VLOOKUP(C44,Theory!B47:T115,19,FALSE)</f>
        <v>0</v>
      </c>
      <c r="X44" s="334">
        <f>VLOOKUP(C44,Theory!B47:U115,20,FALSE)</f>
        <v>0</v>
      </c>
      <c r="Y44" s="334">
        <f>VLOOKUP(C44,Theory!B47:V115,21,FALSE)</f>
        <v>0</v>
      </c>
      <c r="Z44" s="334">
        <f>VLOOKUP(C44,Theory!B47:W115,22,FALSE)</f>
        <v>0</v>
      </c>
      <c r="AA44" s="338">
        <f>VLOOKUP(C44,Theory!B47:X115,23,FALSE)</f>
        <v>10</v>
      </c>
      <c r="AB44" s="338">
        <f>VLOOKUP(C44,Theory!B47:Y115,24,FALSE)</f>
        <v>0</v>
      </c>
      <c r="AC44" s="338">
        <f>VLOOKUP(C44,Theory!B47:Z115,25,FALSE)</f>
        <v>0</v>
      </c>
      <c r="AD44" s="338">
        <f>VLOOKUP(C44,Theory!B47:AA115,26,FALSE)</f>
        <v>0</v>
      </c>
      <c r="AE44" s="335">
        <f t="shared" si="9"/>
        <v>10</v>
      </c>
      <c r="AF44" s="334">
        <f>VLOOKUP(C44,Theory!B47:AB115,27,FALSE)</f>
        <v>10</v>
      </c>
      <c r="AG44" s="334">
        <f>VLOOKUP(C44,Theory!B47:AC115,28,FALSE)</f>
        <v>0</v>
      </c>
      <c r="AH44" s="334">
        <f>VLOOKUP(C44,Theory!B47:AD115,29,FALSE)</f>
        <v>0</v>
      </c>
      <c r="AI44" s="334">
        <f>VLOOKUP(C44,Theory!B47:AE115,30,FALSE)</f>
        <v>0</v>
      </c>
      <c r="AJ44" s="339">
        <f>VLOOKUP(C44,Theory!B47:AF115,31,FALSE)</f>
        <v>0</v>
      </c>
      <c r="AK44" s="339">
        <f>VLOOKUP(C44,Theory!B47:AG115,32,FALSE)</f>
        <v>0</v>
      </c>
      <c r="AL44" s="339">
        <f>VLOOKUP(C44,Theory!B47:AH115,33,FALSE)</f>
        <v>0</v>
      </c>
      <c r="AM44" s="339">
        <f>VLOOKUP(C44,Theory!B47:AI115,34,FALSE)</f>
        <v>0</v>
      </c>
      <c r="AN44" s="335">
        <f t="shared" si="10"/>
        <v>10</v>
      </c>
      <c r="AO44" s="333">
        <f t="shared" si="0"/>
        <v>46</v>
      </c>
      <c r="AP44" s="340">
        <f>VLOOKUP(C44,Theory!B47:AJ115,35,FALSE)</f>
        <v>9</v>
      </c>
      <c r="AQ44" s="340">
        <f>VLOOKUP(C44,Theory!B47:AK115,36,FALSE)</f>
        <v>0</v>
      </c>
      <c r="AR44" s="340">
        <f>VLOOKUP(C44,Theory!B47:AL115,37,FALSE)</f>
        <v>0</v>
      </c>
      <c r="AS44" s="340">
        <f>VLOOKUP(C44,Theory!B47:AM115,38,FALSE)</f>
        <v>0</v>
      </c>
      <c r="AT44" s="335">
        <f t="shared" si="11"/>
        <v>9</v>
      </c>
      <c r="AU44" s="340">
        <f>VLOOKUP(C44,Theory!B47:AN115,39,FALSE)</f>
        <v>10</v>
      </c>
      <c r="AV44" s="340">
        <f>VLOOKUP(C44,Theory!B47:AO115,40,FALSE)</f>
        <v>0</v>
      </c>
      <c r="AW44" s="340">
        <f>VLOOKUP(C44,Theory!B47:AP115,41,FALSE)</f>
        <v>0</v>
      </c>
      <c r="AX44" s="340">
        <f>VLOOKUP(C44,Theory!B47:AQ115,42,FALSE)</f>
        <v>0</v>
      </c>
      <c r="AY44" s="335">
        <f t="shared" si="12"/>
        <v>10</v>
      </c>
      <c r="AZ44" s="340">
        <f>VLOOKUP(C44,Theory!B47:AR115,43,FALSE)</f>
        <v>9</v>
      </c>
      <c r="BA44" s="340">
        <f>VLOOKUP(C44,Theory!B47:AS115,44,FALSE)</f>
        <v>0</v>
      </c>
      <c r="BB44" s="340">
        <f>VLOOKUP(C44,Theory!B47:AT115,45,FALSE)</f>
        <v>0</v>
      </c>
      <c r="BC44" s="340">
        <f>VLOOKUP(C44,Theory!B47:AU115,46,FALSE)</f>
        <v>0</v>
      </c>
      <c r="BD44" s="340">
        <f>VLOOKUP(C44,Theory!B47:AV115,47,FALSE)</f>
        <v>0</v>
      </c>
      <c r="BE44" s="340">
        <f>VLOOKUP(C44,Theory!B47:AW115,48,FALSE)</f>
        <v>0</v>
      </c>
      <c r="BF44" s="340">
        <f>VLOOKUP(C44,Theory!B47:AX115,49,FALSE)</f>
        <v>0</v>
      </c>
      <c r="BG44" s="340">
        <f>VLOOKUP(C44,Theory!B47:AY115,50,FALSE)</f>
        <v>0</v>
      </c>
      <c r="BH44" s="335">
        <f t="shared" si="13"/>
        <v>9</v>
      </c>
      <c r="BI44" s="340">
        <f>VLOOKUP(C44,Theory!B47:AZ115,51,FALSE)</f>
        <v>8</v>
      </c>
      <c r="BJ44" s="340">
        <f>VLOOKUP(C44,Theory!B47:BA115,52,FALSE)</f>
        <v>0</v>
      </c>
      <c r="BK44" s="340">
        <f>VLOOKUP(C44,Theory!B47:BB115,53,FALSE)</f>
        <v>0</v>
      </c>
      <c r="BL44" s="340">
        <f>VLOOKUP(C44,Theory!B47:BC115,54,FALSE)</f>
        <v>0</v>
      </c>
      <c r="BM44" s="340">
        <f>VLOOKUP(C44,Theory!B47:BD115,55,FALSE)</f>
        <v>0</v>
      </c>
      <c r="BN44" s="340">
        <f>VLOOKUP(C44,Theory!B47:BE115,56,FALSE)</f>
        <v>0</v>
      </c>
      <c r="BO44" s="340">
        <f>VLOOKUP(C44,Theory!B47:BF115,57,FALSE)</f>
        <v>0</v>
      </c>
      <c r="BP44" s="340">
        <f>VLOOKUP(C44,Theory!B47:BG115,58,FALSE)</f>
        <v>0</v>
      </c>
      <c r="BQ44" s="335">
        <f t="shared" si="14"/>
        <v>8</v>
      </c>
      <c r="BR44" s="340">
        <f>VLOOKUP(C44,Theory!B47:BH115,59,FALSE)</f>
        <v>8</v>
      </c>
      <c r="BS44" s="340">
        <f>VLOOKUP(C44,Theory!B47:BI115,60,FALSE)</f>
        <v>0</v>
      </c>
      <c r="BT44" s="340">
        <f>VLOOKUP(C44,Theory!B47:BJ115,61,FALSE)</f>
        <v>0</v>
      </c>
      <c r="BU44" s="340">
        <f>VLOOKUP(C44,Theory!B47:BK115,62,FALSE)</f>
        <v>0</v>
      </c>
      <c r="BV44" s="340">
        <f>VLOOKUP(C44,Theory!B47:BL115,63,FALSE)</f>
        <v>0</v>
      </c>
      <c r="BW44" s="340">
        <f>VLOOKUP(C44,Theory!B47:BM115,64,FALSE)</f>
        <v>0</v>
      </c>
      <c r="BX44" s="340">
        <f>VLOOKUP(C44,Theory!B47:BN115,65,FALSE)</f>
        <v>0</v>
      </c>
      <c r="BY44" s="340">
        <f>VLOOKUP(C44,Theory!B47:BO115,66,FALSE)</f>
        <v>0</v>
      </c>
      <c r="BZ44" s="335">
        <f t="shared" si="15"/>
        <v>8</v>
      </c>
      <c r="CA44" s="333">
        <f t="shared" si="1"/>
        <v>44</v>
      </c>
      <c r="CB44" s="340">
        <f>VLOOKUP(C44,Theory!B47:BP115,67,FALSE)</f>
        <v>10</v>
      </c>
      <c r="CC44" s="340">
        <f>VLOOKUP(C44,Theory!B47:BQ115,68,FALSE)</f>
        <v>0</v>
      </c>
      <c r="CD44" s="340">
        <f>VLOOKUP(C44,Theory!B47:BR115,69,FALSE)</f>
        <v>0</v>
      </c>
      <c r="CE44" s="340">
        <f>VLOOKUP(C44,Theory!B47:BS115,70,FALSE)</f>
        <v>0</v>
      </c>
      <c r="CF44" s="335">
        <f t="shared" si="16"/>
        <v>10</v>
      </c>
      <c r="CG44" s="341">
        <f>VLOOKUP(C44,Theory!B47:BT115,71,FALSE)</f>
        <v>9</v>
      </c>
      <c r="CH44" s="341">
        <f>VLOOKUP(C44,Theory!B47:BU115,72,FALSE)</f>
        <v>0</v>
      </c>
      <c r="CI44" s="341">
        <f>VLOOKUP(C44,Theory!B47:BV115,73,FALSE)</f>
        <v>0</v>
      </c>
      <c r="CJ44" s="341">
        <f>VLOOKUP(C44,Theory!B47:BW115,74,FALSE)</f>
        <v>0</v>
      </c>
      <c r="CK44" s="335">
        <f t="shared" si="17"/>
        <v>9</v>
      </c>
      <c r="CL44" s="340">
        <f>VLOOKUP(C44,Theory!B47:BX115,75,FALSE)</f>
        <v>8</v>
      </c>
      <c r="CM44" s="342">
        <f>VLOOKUP(C44,Theory!B47:BY115,76,FALSE)</f>
        <v>0</v>
      </c>
      <c r="CN44" s="342">
        <f>VLOOKUP(C44,Theory!B47:BZ115,77,FALSE)</f>
        <v>0</v>
      </c>
      <c r="CO44" s="342">
        <f>VLOOKUP(C44,Theory!B47:CA115,78,FALSE)</f>
        <v>0</v>
      </c>
      <c r="CP44" s="340">
        <f>VLOOKUP(C44,Theory!B47:CB115,79,FALSE)</f>
        <v>0</v>
      </c>
      <c r="CQ44" s="340">
        <f>VLOOKUP(C44,Theory!B47:CC115,80,FALSE)</f>
        <v>0</v>
      </c>
      <c r="CR44" s="340">
        <f>VLOOKUP(C44,Theory!B47:CD115,81,FALSE)</f>
        <v>0</v>
      </c>
      <c r="CS44" s="340">
        <f>VLOOKUP(C44,Theory!B47:CE115,82,FALSE)</f>
        <v>0</v>
      </c>
      <c r="CT44" s="335">
        <f t="shared" si="18"/>
        <v>8</v>
      </c>
      <c r="CU44" s="341">
        <f>VLOOKUP(C44,Theory!B47:CF115,83,FALSE)</f>
        <v>10</v>
      </c>
      <c r="CV44" s="342">
        <f>VLOOKUP(C44,Theory!B47:CG115,84,FALSE)</f>
        <v>0</v>
      </c>
      <c r="CW44" s="342">
        <f>VLOOKUP(C44,Theory!B47:CH115,85,FALSE)</f>
        <v>0</v>
      </c>
      <c r="CX44" s="342">
        <f>VLOOKUP(C44,Theory!B47:CI115,86,FALSE)</f>
        <v>0</v>
      </c>
      <c r="CY44" s="341">
        <f>VLOOKUP(C44,Theory!B47:CJ115,87,FALSE)</f>
        <v>0</v>
      </c>
      <c r="CZ44" s="341">
        <f>VLOOKUP(C44,Theory!B47:CK115,88,FALSE)</f>
        <v>0</v>
      </c>
      <c r="DA44" s="341">
        <f>VLOOKUP(C44,Theory!B47:CL115,89,FALSE)</f>
        <v>0</v>
      </c>
      <c r="DB44" s="341">
        <f>VLOOKUP(C44,Theory!B47:CM115,90,FALSE)</f>
        <v>0</v>
      </c>
      <c r="DC44" s="335">
        <f t="shared" si="19"/>
        <v>10</v>
      </c>
      <c r="DD44" s="340">
        <f>VLOOKUP(C44,Theory!B47:CN115,91,FALSE)</f>
        <v>10</v>
      </c>
      <c r="DE44" s="342">
        <f>VLOOKUP(C44,Theory!B47:CO115,92,FALSE)</f>
        <v>0</v>
      </c>
      <c r="DF44" s="342">
        <f>VLOOKUP(C44,Theory!B47:CP115,93,FALSE)</f>
        <v>0</v>
      </c>
      <c r="DG44" s="342">
        <f>VLOOKUP(C44,Theory!B47:CQ115,94,FALSE)</f>
        <v>0</v>
      </c>
      <c r="DH44" s="340">
        <f>VLOOKUP(C44,Theory!B47:CR115,95,FALSE)</f>
        <v>0</v>
      </c>
      <c r="DI44" s="340">
        <f>VLOOKUP(C44,Theory!B47:CS115,96,FALSE)</f>
        <v>0</v>
      </c>
      <c r="DJ44" s="340">
        <f>VLOOKUP(C44,Theory!B47:CT115,97,FALSE)</f>
        <v>0</v>
      </c>
      <c r="DK44" s="340">
        <f>VLOOKUP(C44,Theory!B47:CU115,98,FALSE)</f>
        <v>0</v>
      </c>
      <c r="DL44" s="335">
        <f t="shared" si="20"/>
        <v>10</v>
      </c>
      <c r="DM44" s="265">
        <f t="shared" si="2"/>
        <v>47</v>
      </c>
      <c r="DN44" s="362">
        <f t="shared" si="40"/>
        <v>46</v>
      </c>
      <c r="DO44" s="362">
        <f t="shared" si="41"/>
        <v>44</v>
      </c>
      <c r="DP44" s="362">
        <f t="shared" si="42"/>
        <v>47</v>
      </c>
      <c r="DQ44" s="343">
        <f t="shared" si="43"/>
        <v>28</v>
      </c>
      <c r="DR44" s="343">
        <f t="shared" si="44"/>
        <v>26</v>
      </c>
      <c r="DS44" s="343">
        <f t="shared" si="45"/>
        <v>28</v>
      </c>
      <c r="DT44" s="328">
        <f t="shared" si="36"/>
        <v>27</v>
      </c>
      <c r="DU44" s="326">
        <f>VLOOKUP(C44,Theory!B47:CV115,99,FALSE)</f>
        <v>10</v>
      </c>
      <c r="DV44" s="326">
        <f>VLOOKUP(C44,Theory!B47:CW115,100,FALSE)</f>
        <v>10</v>
      </c>
      <c r="DW44" s="331">
        <f t="shared" si="27"/>
        <v>20</v>
      </c>
      <c r="DX44" s="266">
        <f t="shared" si="3"/>
        <v>47</v>
      </c>
      <c r="DY44" s="363">
        <f t="shared" si="4"/>
        <v>28</v>
      </c>
      <c r="DZ44" s="344">
        <f>VLOOKUP(C44,Lab!B39:D108,3,FALSE)</f>
        <v>0</v>
      </c>
      <c r="EA44" s="345">
        <f>VLOOKUP(C44,Lab!B39:E108,4,FALSE)</f>
        <v>0</v>
      </c>
      <c r="EB44" s="345">
        <f>VLOOKUP(C44,Lab!B39:F108,5,FALSE)</f>
        <v>0</v>
      </c>
      <c r="EC44" s="329">
        <f t="shared" si="37"/>
        <v>0</v>
      </c>
      <c r="ED44" s="346">
        <f>VLOOKUP(C44,Lab!B39:G108,6,FALSE)</f>
        <v>0</v>
      </c>
      <c r="EE44" s="346">
        <f>VLOOKUP(C44,Lab!B39:H108,7,FALSE)</f>
        <v>0</v>
      </c>
      <c r="EF44" s="347">
        <f>VLOOKUP(C44,Lab!B39:I108,8,FALSE)</f>
        <v>0</v>
      </c>
      <c r="EG44" s="330">
        <f t="shared" si="38"/>
        <v>0</v>
      </c>
      <c r="EH44" s="390">
        <f t="shared" si="28"/>
        <v>0</v>
      </c>
      <c r="EI44" s="349">
        <f t="shared" si="29"/>
        <v>0</v>
      </c>
      <c r="EJ44" s="391">
        <f t="shared" si="5"/>
        <v>28</v>
      </c>
      <c r="EK44" s="258">
        <v>44</v>
      </c>
      <c r="EM44" s="350">
        <f>VLOOKUP(C44,Theory!B47:DL115,114,FALSE)</f>
        <v>0</v>
      </c>
      <c r="EN44" s="350">
        <f>VLOOKUP(C44,Theory!B47:DM115,115,FALSE)</f>
        <v>0</v>
      </c>
      <c r="EO44" s="350">
        <f>VLOOKUP(C44,Theory!B47:DN115,116,FALSE)</f>
        <v>0</v>
      </c>
      <c r="EP44" s="350">
        <f>VLOOKUP(C44,Theory!B47:DO113,117,FALSE)</f>
        <v>0</v>
      </c>
      <c r="EQ44" s="350">
        <f>VLOOKUP(C44,Theory!B47:DP113,118,FALSE)</f>
        <v>0</v>
      </c>
      <c r="ER44" s="351">
        <f>VLOOKUP(C44,Theory!B47:DQ113,119,FALSE)</f>
        <v>0</v>
      </c>
      <c r="ES44" s="327">
        <f>VLOOKUP(C44,Theory!B47:DR113,120,FALSE)</f>
        <v>0</v>
      </c>
      <c r="ET44" s="348">
        <f t="shared" si="39"/>
        <v>0</v>
      </c>
      <c r="EU44" s="352"/>
      <c r="EV44" s="352"/>
      <c r="EW44" s="352"/>
      <c r="EX44" s="352"/>
      <c r="EY44" s="352"/>
      <c r="EZ44" s="352"/>
      <c r="FA44" s="352"/>
      <c r="FB44" s="352"/>
      <c r="FC44" s="352"/>
      <c r="FD44" s="352"/>
    </row>
    <row r="45" spans="1:160" ht="16.2" thickBot="1" x14ac:dyDescent="0.35">
      <c r="A45" s="64">
        <v>32</v>
      </c>
      <c r="B45" s="17" t="str">
        <f>Theory!C48</f>
        <v>VIDYA V</v>
      </c>
      <c r="C45" s="16" t="str">
        <f>Theory!B48</f>
        <v>1DS21AI055</v>
      </c>
      <c r="D45" s="334">
        <f>VLOOKUP(C45,Theory!B48:D116,3,FALSE)</f>
        <v>9</v>
      </c>
      <c r="E45" s="334">
        <f>VLOOKUP(C45,Theory!B48:E116,4,FALSE)</f>
        <v>0</v>
      </c>
      <c r="F45" s="334">
        <f>VLOOKUP(C45,Theory!B48:F116,5,FALSE)</f>
        <v>0</v>
      </c>
      <c r="G45" s="334">
        <f>VLOOKUP(C45,Theory!B48:G116,6,FALSE)</f>
        <v>0</v>
      </c>
      <c r="H45" s="335">
        <f t="shared" si="6"/>
        <v>9</v>
      </c>
      <c r="I45" s="338">
        <f>VLOOKUP(C45,Theory!B48:H116,7,FALSE)</f>
        <v>7</v>
      </c>
      <c r="J45" s="337">
        <f>VLOOKUP(C45,Theory!B48:I116,8,FALSE)</f>
        <v>0</v>
      </c>
      <c r="K45" s="337">
        <f>VLOOKUP(C45,Theory!B48:J116,9,FALSE)</f>
        <v>0</v>
      </c>
      <c r="L45" s="337">
        <f>VLOOKUP(C45,Theory!B48:K116,10,FALSE)</f>
        <v>0</v>
      </c>
      <c r="M45" s="335">
        <f t="shared" si="7"/>
        <v>7</v>
      </c>
      <c r="N45" s="336">
        <f>VLOOKUP(C45,Theory!B48:L116,11,FALSE)</f>
        <v>8</v>
      </c>
      <c r="O45" s="336">
        <f>VLOOKUP(C45,Theory!B48:M116,12,FALSE)</f>
        <v>0</v>
      </c>
      <c r="P45" s="336">
        <f>VLOOKUP(C45,Theory!B48:N116,13,FALSE)</f>
        <v>0</v>
      </c>
      <c r="Q45" s="336">
        <f>VLOOKUP(C45,Theory!B48:O116,14,FALSE)</f>
        <v>0</v>
      </c>
      <c r="R45" s="337">
        <f>VLOOKUP(C45,Theory!B48:P116,15,FALSE)</f>
        <v>0</v>
      </c>
      <c r="S45" s="337">
        <f>VLOOKUP(C45,Theory!B48:Q116,16,FALSE)</f>
        <v>0</v>
      </c>
      <c r="T45" s="337">
        <f>VLOOKUP(C45,Theory!B48:R116,17,FALSE)</f>
        <v>0</v>
      </c>
      <c r="U45" s="337">
        <f>VLOOKUP(C45,Theory!B48:S116,18,FALSE)</f>
        <v>0</v>
      </c>
      <c r="V45" s="335">
        <f t="shared" si="8"/>
        <v>8</v>
      </c>
      <c r="W45" s="334">
        <f>VLOOKUP(C45,Theory!B48:T116,19,FALSE)</f>
        <v>0</v>
      </c>
      <c r="X45" s="334">
        <f>VLOOKUP(C45,Theory!B48:U116,20,FALSE)</f>
        <v>0</v>
      </c>
      <c r="Y45" s="334">
        <f>VLOOKUP(C45,Theory!B48:V116,21,FALSE)</f>
        <v>0</v>
      </c>
      <c r="Z45" s="334">
        <f>VLOOKUP(C45,Theory!B48:W116,22,FALSE)</f>
        <v>0</v>
      </c>
      <c r="AA45" s="338">
        <f>VLOOKUP(C45,Theory!B48:X116,23,FALSE)</f>
        <v>9</v>
      </c>
      <c r="AB45" s="338">
        <f>VLOOKUP(C45,Theory!B48:Y116,24,FALSE)</f>
        <v>0</v>
      </c>
      <c r="AC45" s="338">
        <f>VLOOKUP(C45,Theory!B48:Z116,25,FALSE)</f>
        <v>0</v>
      </c>
      <c r="AD45" s="338">
        <f>VLOOKUP(C45,Theory!B48:AA116,26,FALSE)</f>
        <v>0</v>
      </c>
      <c r="AE45" s="335">
        <f t="shared" si="9"/>
        <v>9</v>
      </c>
      <c r="AF45" s="334">
        <f>VLOOKUP(C45,Theory!B48:AB116,27,FALSE)</f>
        <v>0</v>
      </c>
      <c r="AG45" s="334">
        <f>VLOOKUP(C45,Theory!B48:AC116,28,FALSE)</f>
        <v>0</v>
      </c>
      <c r="AH45" s="334">
        <f>VLOOKUP(C45,Theory!B48:AD116,29,FALSE)</f>
        <v>0</v>
      </c>
      <c r="AI45" s="334">
        <f>VLOOKUP(C45,Theory!B48:AE116,30,FALSE)</f>
        <v>0</v>
      </c>
      <c r="AJ45" s="339">
        <f>VLOOKUP(C45,Theory!B48:AF116,31,FALSE)</f>
        <v>10</v>
      </c>
      <c r="AK45" s="339">
        <f>VLOOKUP(C45,Theory!B48:AG116,32,FALSE)</f>
        <v>0</v>
      </c>
      <c r="AL45" s="339">
        <f>VLOOKUP(C45,Theory!B48:AH116,33,FALSE)</f>
        <v>0</v>
      </c>
      <c r="AM45" s="339">
        <f>VLOOKUP(C45,Theory!B48:AI116,34,FALSE)</f>
        <v>0</v>
      </c>
      <c r="AN45" s="335">
        <f t="shared" si="10"/>
        <v>10</v>
      </c>
      <c r="AO45" s="333">
        <f t="shared" si="0"/>
        <v>43</v>
      </c>
      <c r="AP45" s="340">
        <f>VLOOKUP(C45,Theory!B48:AJ116,35,FALSE)</f>
        <v>10</v>
      </c>
      <c r="AQ45" s="340">
        <f>VLOOKUP(C45,Theory!B48:AK116,36,FALSE)</f>
        <v>0</v>
      </c>
      <c r="AR45" s="340">
        <f>VLOOKUP(C45,Theory!B48:AL116,37,FALSE)</f>
        <v>0</v>
      </c>
      <c r="AS45" s="340">
        <f>VLOOKUP(C45,Theory!B48:AM116,38,FALSE)</f>
        <v>0</v>
      </c>
      <c r="AT45" s="335">
        <f t="shared" si="11"/>
        <v>10</v>
      </c>
      <c r="AU45" s="340">
        <f>VLOOKUP(C45,Theory!B48:AN116,39,FALSE)</f>
        <v>10</v>
      </c>
      <c r="AV45" s="340">
        <f>VLOOKUP(C45,Theory!B48:AO116,40,FALSE)</f>
        <v>0</v>
      </c>
      <c r="AW45" s="340">
        <f>VLOOKUP(C45,Theory!B48:AP116,41,FALSE)</f>
        <v>0</v>
      </c>
      <c r="AX45" s="340">
        <f>VLOOKUP(C45,Theory!B48:AQ116,42,FALSE)</f>
        <v>0</v>
      </c>
      <c r="AY45" s="335">
        <f t="shared" si="12"/>
        <v>10</v>
      </c>
      <c r="AZ45" s="340">
        <f>VLOOKUP(C45,Theory!B48:AR116,43,FALSE)</f>
        <v>0</v>
      </c>
      <c r="BA45" s="340">
        <f>VLOOKUP(C45,Theory!B48:AS116,44,FALSE)</f>
        <v>0</v>
      </c>
      <c r="BB45" s="340">
        <f>VLOOKUP(C45,Theory!B48:AT116,45,FALSE)</f>
        <v>0</v>
      </c>
      <c r="BC45" s="340">
        <f>VLOOKUP(C45,Theory!B48:AU116,46,FALSE)</f>
        <v>0</v>
      </c>
      <c r="BD45" s="340">
        <f>VLOOKUP(C45,Theory!B48:AV116,47,FALSE)</f>
        <v>10</v>
      </c>
      <c r="BE45" s="340">
        <f>VLOOKUP(C45,Theory!B48:AW116,48,FALSE)</f>
        <v>0</v>
      </c>
      <c r="BF45" s="340">
        <f>VLOOKUP(C45,Theory!B48:AX116,49,FALSE)</f>
        <v>0</v>
      </c>
      <c r="BG45" s="340">
        <f>VLOOKUP(C45,Theory!B48:AY116,50,FALSE)</f>
        <v>0</v>
      </c>
      <c r="BH45" s="335">
        <f t="shared" si="13"/>
        <v>10</v>
      </c>
      <c r="BI45" s="340">
        <f>VLOOKUP(C45,Theory!B48:AZ116,51,FALSE)</f>
        <v>8</v>
      </c>
      <c r="BJ45" s="340">
        <f>VLOOKUP(C45,Theory!B48:BA116,52,FALSE)</f>
        <v>0</v>
      </c>
      <c r="BK45" s="340">
        <f>VLOOKUP(C45,Theory!B48:BB116,53,FALSE)</f>
        <v>0</v>
      </c>
      <c r="BL45" s="340">
        <f>VLOOKUP(C45,Theory!B48:BC116,54,FALSE)</f>
        <v>0</v>
      </c>
      <c r="BM45" s="340">
        <f>VLOOKUP(C45,Theory!B48:BD116,55,FALSE)</f>
        <v>0</v>
      </c>
      <c r="BN45" s="340">
        <f>VLOOKUP(C45,Theory!B48:BE116,56,FALSE)</f>
        <v>0</v>
      </c>
      <c r="BO45" s="340">
        <f>VLOOKUP(C45,Theory!B48:BF116,57,FALSE)</f>
        <v>0</v>
      </c>
      <c r="BP45" s="340">
        <f>VLOOKUP(C45,Theory!B48:BG116,58,FALSE)</f>
        <v>0</v>
      </c>
      <c r="BQ45" s="335">
        <f t="shared" si="14"/>
        <v>8</v>
      </c>
      <c r="BR45" s="340">
        <f>VLOOKUP(C45,Theory!B48:BH116,59,FALSE)</f>
        <v>8</v>
      </c>
      <c r="BS45" s="340">
        <f>VLOOKUP(C45,Theory!B48:BI116,60,FALSE)</f>
        <v>0</v>
      </c>
      <c r="BT45" s="340">
        <f>VLOOKUP(C45,Theory!B48:BJ116,61,FALSE)</f>
        <v>0</v>
      </c>
      <c r="BU45" s="340">
        <f>VLOOKUP(C45,Theory!B48:BK116,62,FALSE)</f>
        <v>0</v>
      </c>
      <c r="BV45" s="340">
        <f>VLOOKUP(C45,Theory!B48:BL116,63,FALSE)</f>
        <v>0</v>
      </c>
      <c r="BW45" s="340">
        <f>VLOOKUP(C45,Theory!B48:BM116,64,FALSE)</f>
        <v>0</v>
      </c>
      <c r="BX45" s="340">
        <f>VLOOKUP(C45,Theory!B48:BN116,65,FALSE)</f>
        <v>0</v>
      </c>
      <c r="BY45" s="340">
        <f>VLOOKUP(C45,Theory!B48:BO116,66,FALSE)</f>
        <v>0</v>
      </c>
      <c r="BZ45" s="335">
        <f t="shared" si="15"/>
        <v>8</v>
      </c>
      <c r="CA45" s="333">
        <f t="shared" si="1"/>
        <v>46</v>
      </c>
      <c r="CB45" s="340">
        <f>VLOOKUP(C45,Theory!B48:BP116,67,FALSE)</f>
        <v>10</v>
      </c>
      <c r="CC45" s="340">
        <f>VLOOKUP(C45,Theory!B48:BQ116,68,FALSE)</f>
        <v>0</v>
      </c>
      <c r="CD45" s="340">
        <f>VLOOKUP(C45,Theory!B48:BR116,69,FALSE)</f>
        <v>0</v>
      </c>
      <c r="CE45" s="340">
        <f>VLOOKUP(C45,Theory!B48:BS116,70,FALSE)</f>
        <v>0</v>
      </c>
      <c r="CF45" s="335">
        <f t="shared" si="16"/>
        <v>10</v>
      </c>
      <c r="CG45" s="341">
        <f>VLOOKUP(C45,Theory!B48:BT116,71,FALSE)</f>
        <v>10</v>
      </c>
      <c r="CH45" s="341">
        <f>VLOOKUP(C45,Theory!B48:BU116,72,FALSE)</f>
        <v>0</v>
      </c>
      <c r="CI45" s="341">
        <f>VLOOKUP(C45,Theory!B48:BV116,73,FALSE)</f>
        <v>0</v>
      </c>
      <c r="CJ45" s="341">
        <f>VLOOKUP(C45,Theory!B48:BW116,74,FALSE)</f>
        <v>0</v>
      </c>
      <c r="CK45" s="335">
        <f t="shared" si="17"/>
        <v>10</v>
      </c>
      <c r="CL45" s="340">
        <f>VLOOKUP(C45,Theory!B48:BX116,75,FALSE)</f>
        <v>0</v>
      </c>
      <c r="CM45" s="342">
        <f>VLOOKUP(C45,Theory!B48:BY116,76,FALSE)</f>
        <v>0</v>
      </c>
      <c r="CN45" s="342">
        <f>VLOOKUP(C45,Theory!B48:BZ116,77,FALSE)</f>
        <v>0</v>
      </c>
      <c r="CO45" s="342">
        <f>VLOOKUP(C45,Theory!B48:CA116,78,FALSE)</f>
        <v>0</v>
      </c>
      <c r="CP45" s="340">
        <f>VLOOKUP(C45,Theory!B48:CB116,79,FALSE)</f>
        <v>10</v>
      </c>
      <c r="CQ45" s="340">
        <f>VLOOKUP(C45,Theory!B48:CC116,80,FALSE)</f>
        <v>0</v>
      </c>
      <c r="CR45" s="340">
        <f>VLOOKUP(C45,Theory!B48:CD116,81,FALSE)</f>
        <v>0</v>
      </c>
      <c r="CS45" s="340">
        <f>VLOOKUP(C45,Theory!B48:CE116,82,FALSE)</f>
        <v>0</v>
      </c>
      <c r="CT45" s="335">
        <f t="shared" si="18"/>
        <v>10</v>
      </c>
      <c r="CU45" s="341">
        <f>VLOOKUP(C45,Theory!B48:CF116,83,FALSE)</f>
        <v>10</v>
      </c>
      <c r="CV45" s="342">
        <f>VLOOKUP(C45,Theory!B48:CG116,84,FALSE)</f>
        <v>0</v>
      </c>
      <c r="CW45" s="342">
        <f>VLOOKUP(C45,Theory!B48:CH116,85,FALSE)</f>
        <v>0</v>
      </c>
      <c r="CX45" s="342">
        <f>VLOOKUP(C45,Theory!B48:CI116,86,FALSE)</f>
        <v>0</v>
      </c>
      <c r="CY45" s="341">
        <f>VLOOKUP(C45,Theory!B48:CJ116,87,FALSE)</f>
        <v>0</v>
      </c>
      <c r="CZ45" s="341">
        <f>VLOOKUP(C45,Theory!B48:CK116,88,FALSE)</f>
        <v>0</v>
      </c>
      <c r="DA45" s="341">
        <f>VLOOKUP(C45,Theory!B48:CL116,89,FALSE)</f>
        <v>0</v>
      </c>
      <c r="DB45" s="341">
        <f>VLOOKUP(C45,Theory!B48:CM116,90,FALSE)</f>
        <v>0</v>
      </c>
      <c r="DC45" s="335">
        <f t="shared" si="19"/>
        <v>10</v>
      </c>
      <c r="DD45" s="340">
        <f>VLOOKUP(C45,Theory!B48:CN116,91,FALSE)</f>
        <v>10</v>
      </c>
      <c r="DE45" s="342">
        <f>VLOOKUP(C45,Theory!B48:CO116,92,FALSE)</f>
        <v>0</v>
      </c>
      <c r="DF45" s="342">
        <f>VLOOKUP(C45,Theory!B48:CP116,93,FALSE)</f>
        <v>0</v>
      </c>
      <c r="DG45" s="342">
        <f>VLOOKUP(C45,Theory!B48:CQ116,94,FALSE)</f>
        <v>0</v>
      </c>
      <c r="DH45" s="340">
        <f>VLOOKUP(C45,Theory!B48:CR116,95,FALSE)</f>
        <v>0</v>
      </c>
      <c r="DI45" s="340">
        <f>VLOOKUP(C45,Theory!B48:CS116,96,FALSE)</f>
        <v>0</v>
      </c>
      <c r="DJ45" s="340">
        <f>VLOOKUP(C45,Theory!B48:CT116,97,FALSE)</f>
        <v>0</v>
      </c>
      <c r="DK45" s="340">
        <f>VLOOKUP(C45,Theory!B48:CU116,98,FALSE)</f>
        <v>0</v>
      </c>
      <c r="DL45" s="335">
        <f t="shared" si="20"/>
        <v>10</v>
      </c>
      <c r="DM45" s="265">
        <f t="shared" si="2"/>
        <v>50</v>
      </c>
      <c r="DN45" s="362">
        <f t="shared" si="40"/>
        <v>43</v>
      </c>
      <c r="DO45" s="362">
        <f t="shared" si="41"/>
        <v>46</v>
      </c>
      <c r="DP45" s="362">
        <f t="shared" si="42"/>
        <v>50</v>
      </c>
      <c r="DQ45" s="343">
        <f t="shared" si="43"/>
        <v>26</v>
      </c>
      <c r="DR45" s="343">
        <f t="shared" si="44"/>
        <v>28</v>
      </c>
      <c r="DS45" s="343">
        <f t="shared" si="45"/>
        <v>30</v>
      </c>
      <c r="DT45" s="328">
        <f t="shared" si="36"/>
        <v>28</v>
      </c>
      <c r="DU45" s="326">
        <f>VLOOKUP(C45,Theory!B48:CV116,99,FALSE)</f>
        <v>10</v>
      </c>
      <c r="DV45" s="326">
        <f>VLOOKUP(C45,Theory!B48:CW116,100,FALSE)</f>
        <v>10</v>
      </c>
      <c r="DW45" s="331">
        <f t="shared" si="27"/>
        <v>20</v>
      </c>
      <c r="DX45" s="266">
        <f t="shared" si="3"/>
        <v>48</v>
      </c>
      <c r="DY45" s="363">
        <f t="shared" si="4"/>
        <v>29</v>
      </c>
      <c r="DZ45" s="344">
        <f>VLOOKUP(C45,Lab!B40:D109,3,FALSE)</f>
        <v>0</v>
      </c>
      <c r="EA45" s="345">
        <f>VLOOKUP(C45,Lab!B40:E109,4,FALSE)</f>
        <v>0</v>
      </c>
      <c r="EB45" s="345">
        <f>VLOOKUP(C45,Lab!B40:F109,5,FALSE)</f>
        <v>0</v>
      </c>
      <c r="EC45" s="329">
        <f t="shared" si="37"/>
        <v>0</v>
      </c>
      <c r="ED45" s="346">
        <f>VLOOKUP(C45,Lab!B40:G109,6,FALSE)</f>
        <v>0</v>
      </c>
      <c r="EE45" s="346">
        <f>VLOOKUP(C45,Lab!B40:H109,7,FALSE)</f>
        <v>0</v>
      </c>
      <c r="EF45" s="347">
        <f>VLOOKUP(C45,Lab!B40:I109,8,FALSE)</f>
        <v>0</v>
      </c>
      <c r="EG45" s="330">
        <f t="shared" si="38"/>
        <v>0</v>
      </c>
      <c r="EH45" s="390">
        <f t="shared" si="28"/>
        <v>0</v>
      </c>
      <c r="EI45" s="349">
        <f t="shared" si="29"/>
        <v>0</v>
      </c>
      <c r="EJ45" s="391">
        <f t="shared" si="5"/>
        <v>29</v>
      </c>
      <c r="EK45" s="258">
        <v>43</v>
      </c>
      <c r="EM45" s="350">
        <f>VLOOKUP(C45,Theory!B48:DL116,114,FALSE)</f>
        <v>0</v>
      </c>
      <c r="EN45" s="350">
        <f>VLOOKUP(C45,Theory!B48:DM116,115,FALSE)</f>
        <v>0</v>
      </c>
      <c r="EO45" s="350">
        <f>VLOOKUP(C45,Theory!B48:DN116,116,FALSE)</f>
        <v>0</v>
      </c>
      <c r="EP45" s="350">
        <f>VLOOKUP(C45,Theory!B48:DO114,117,FALSE)</f>
        <v>0</v>
      </c>
      <c r="EQ45" s="350">
        <f>VLOOKUP(C45,Theory!B48:DP114,118,FALSE)</f>
        <v>0</v>
      </c>
      <c r="ER45" s="351">
        <f>VLOOKUP(C45,Theory!B48:DQ114,119,FALSE)</f>
        <v>0</v>
      </c>
      <c r="ES45" s="327">
        <f>VLOOKUP(C45,Theory!B48:DR114,120,FALSE)</f>
        <v>0</v>
      </c>
      <c r="ET45" s="348">
        <f t="shared" si="39"/>
        <v>0</v>
      </c>
      <c r="EU45" s="352"/>
      <c r="EV45" s="352"/>
      <c r="EW45" s="352"/>
      <c r="EX45" s="352"/>
      <c r="EY45" s="352"/>
      <c r="EZ45" s="352"/>
      <c r="FA45" s="352"/>
      <c r="FB45" s="352"/>
      <c r="FC45" s="352"/>
      <c r="FD45" s="352"/>
    </row>
    <row r="46" spans="1:160" ht="16.2" thickBot="1" x14ac:dyDescent="0.35">
      <c r="A46" s="64">
        <v>33</v>
      </c>
      <c r="B46" s="17" t="str">
        <f>Theory!C49</f>
        <v>YARASINGU SHANMUKHA PRIYA</v>
      </c>
      <c r="C46" s="16" t="str">
        <f>Theory!B49</f>
        <v>1DS21AI056</v>
      </c>
      <c r="D46" s="334">
        <f>VLOOKUP(C46,Theory!B49:D117,3,FALSE)</f>
        <v>0</v>
      </c>
      <c r="E46" s="334">
        <f>VLOOKUP(C46,Theory!B49:E117,4,FALSE)</f>
        <v>0</v>
      </c>
      <c r="F46" s="334">
        <f>VLOOKUP(C46,Theory!B49:F117,5,FALSE)</f>
        <v>0</v>
      </c>
      <c r="G46" s="334">
        <f>VLOOKUP(C46,Theory!B49:G117,6,FALSE)</f>
        <v>0</v>
      </c>
      <c r="H46" s="335">
        <f t="shared" si="6"/>
        <v>0</v>
      </c>
      <c r="I46" s="338">
        <f>VLOOKUP(C46,Theory!B49:H117,7,FALSE)</f>
        <v>0</v>
      </c>
      <c r="J46" s="337">
        <f>VLOOKUP(C46,Theory!B49:I117,8,FALSE)</f>
        <v>0</v>
      </c>
      <c r="K46" s="337">
        <f>VLOOKUP(C46,Theory!B49:J117,9,FALSE)</f>
        <v>0</v>
      </c>
      <c r="L46" s="337">
        <f>VLOOKUP(C46,Theory!B49:K117,10,FALSE)</f>
        <v>0</v>
      </c>
      <c r="M46" s="335">
        <f t="shared" si="7"/>
        <v>0</v>
      </c>
      <c r="N46" s="336">
        <f>VLOOKUP(C46,Theory!B49:L117,11,FALSE)</f>
        <v>0</v>
      </c>
      <c r="O46" s="336">
        <f>VLOOKUP(C46,Theory!B49:M117,12,FALSE)</f>
        <v>0</v>
      </c>
      <c r="P46" s="336">
        <f>VLOOKUP(C46,Theory!B49:N117,13,FALSE)</f>
        <v>0</v>
      </c>
      <c r="Q46" s="336">
        <f>VLOOKUP(C46,Theory!B49:O117,14,FALSE)</f>
        <v>0</v>
      </c>
      <c r="R46" s="337">
        <f>VLOOKUP(C46,Theory!B49:P117,15,FALSE)</f>
        <v>0</v>
      </c>
      <c r="S46" s="337">
        <f>VLOOKUP(C46,Theory!B49:Q117,16,FALSE)</f>
        <v>0</v>
      </c>
      <c r="T46" s="337">
        <f>VLOOKUP(C46,Theory!B49:R117,17,FALSE)</f>
        <v>0</v>
      </c>
      <c r="U46" s="337">
        <f>VLOOKUP(C46,Theory!B49:S117,18,FALSE)</f>
        <v>0</v>
      </c>
      <c r="V46" s="335">
        <f t="shared" si="8"/>
        <v>0</v>
      </c>
      <c r="W46" s="334">
        <f>VLOOKUP(C46,Theory!B49:T117,19,FALSE)</f>
        <v>0</v>
      </c>
      <c r="X46" s="334">
        <f>VLOOKUP(C46,Theory!B49:U117,20,FALSE)</f>
        <v>0</v>
      </c>
      <c r="Y46" s="334">
        <f>VLOOKUP(C46,Theory!B49:V117,21,FALSE)</f>
        <v>0</v>
      </c>
      <c r="Z46" s="334">
        <f>VLOOKUP(C46,Theory!B49:W117,22,FALSE)</f>
        <v>0</v>
      </c>
      <c r="AA46" s="338">
        <f>VLOOKUP(C46,Theory!B49:X117,23,FALSE)</f>
        <v>0</v>
      </c>
      <c r="AB46" s="338">
        <f>VLOOKUP(C46,Theory!B49:Y117,24,FALSE)</f>
        <v>0</v>
      </c>
      <c r="AC46" s="338">
        <f>VLOOKUP(C46,Theory!B49:Z117,25,FALSE)</f>
        <v>0</v>
      </c>
      <c r="AD46" s="338">
        <f>VLOOKUP(C46,Theory!B49:AA117,26,FALSE)</f>
        <v>0</v>
      </c>
      <c r="AE46" s="335">
        <f t="shared" si="9"/>
        <v>0</v>
      </c>
      <c r="AF46" s="334">
        <f>VLOOKUP(C46,Theory!B49:AB117,27,FALSE)</f>
        <v>0</v>
      </c>
      <c r="AG46" s="334">
        <f>VLOOKUP(C46,Theory!B49:AC117,28,FALSE)</f>
        <v>0</v>
      </c>
      <c r="AH46" s="334">
        <f>VLOOKUP(C46,Theory!B49:AD117,29,FALSE)</f>
        <v>0</v>
      </c>
      <c r="AI46" s="334">
        <f>VLOOKUP(C46,Theory!B49:AE117,30,FALSE)</f>
        <v>0</v>
      </c>
      <c r="AJ46" s="339">
        <f>VLOOKUP(C46,Theory!B49:AF117,31,FALSE)</f>
        <v>0</v>
      </c>
      <c r="AK46" s="339">
        <f>VLOOKUP(C46,Theory!B49:AG117,32,FALSE)</f>
        <v>0</v>
      </c>
      <c r="AL46" s="339">
        <f>VLOOKUP(C46,Theory!B49:AH117,33,FALSE)</f>
        <v>0</v>
      </c>
      <c r="AM46" s="339">
        <f>VLOOKUP(C46,Theory!B49:AI117,34,FALSE)</f>
        <v>0</v>
      </c>
      <c r="AN46" s="335">
        <f t="shared" si="10"/>
        <v>0</v>
      </c>
      <c r="AO46" s="333">
        <f t="shared" si="0"/>
        <v>0</v>
      </c>
      <c r="AP46" s="340">
        <f>VLOOKUP(C46,Theory!B49:AJ117,35,FALSE)</f>
        <v>9</v>
      </c>
      <c r="AQ46" s="340">
        <f>VLOOKUP(C46,Theory!B49:AK117,36,FALSE)</f>
        <v>0</v>
      </c>
      <c r="AR46" s="340">
        <f>VLOOKUP(C46,Theory!B49:AL117,37,FALSE)</f>
        <v>0</v>
      </c>
      <c r="AS46" s="340">
        <f>VLOOKUP(C46,Theory!B49:AM117,38,FALSE)</f>
        <v>0</v>
      </c>
      <c r="AT46" s="335">
        <f t="shared" si="11"/>
        <v>9</v>
      </c>
      <c r="AU46" s="340">
        <f>VLOOKUP(C46,Theory!B49:AN117,39,FALSE)</f>
        <v>6</v>
      </c>
      <c r="AV46" s="340">
        <f>VLOOKUP(C46,Theory!B49:AO117,40,FALSE)</f>
        <v>0</v>
      </c>
      <c r="AW46" s="340">
        <f>VLOOKUP(C46,Theory!B49:AP117,41,FALSE)</f>
        <v>0</v>
      </c>
      <c r="AX46" s="340">
        <f>VLOOKUP(C46,Theory!B49:AQ117,42,FALSE)</f>
        <v>0</v>
      </c>
      <c r="AY46" s="335">
        <f t="shared" si="12"/>
        <v>6</v>
      </c>
      <c r="AZ46" s="340">
        <f>VLOOKUP(C46,Theory!B49:AR117,43,FALSE)</f>
        <v>10</v>
      </c>
      <c r="BA46" s="340">
        <f>VLOOKUP(C46,Theory!B49:AS117,44,FALSE)</f>
        <v>0</v>
      </c>
      <c r="BB46" s="340">
        <f>VLOOKUP(C46,Theory!B49:AT117,45,FALSE)</f>
        <v>0</v>
      </c>
      <c r="BC46" s="340">
        <f>VLOOKUP(C46,Theory!B49:AU117,46,FALSE)</f>
        <v>0</v>
      </c>
      <c r="BD46" s="340">
        <f>VLOOKUP(C46,Theory!B49:AV117,47,FALSE)</f>
        <v>0</v>
      </c>
      <c r="BE46" s="340">
        <f>VLOOKUP(C46,Theory!B49:AW117,48,FALSE)</f>
        <v>0</v>
      </c>
      <c r="BF46" s="340">
        <f>VLOOKUP(C46,Theory!B49:AX117,49,FALSE)</f>
        <v>0</v>
      </c>
      <c r="BG46" s="340">
        <f>VLOOKUP(C46,Theory!B49:AY117,50,FALSE)</f>
        <v>0</v>
      </c>
      <c r="BH46" s="335">
        <f t="shared" si="13"/>
        <v>10</v>
      </c>
      <c r="BI46" s="340">
        <f>VLOOKUP(C46,Theory!B49:AZ117,51,FALSE)</f>
        <v>8</v>
      </c>
      <c r="BJ46" s="340">
        <f>VLOOKUP(C46,Theory!B49:BA117,52,FALSE)</f>
        <v>0</v>
      </c>
      <c r="BK46" s="340">
        <f>VLOOKUP(C46,Theory!B49:BB117,53,FALSE)</f>
        <v>0</v>
      </c>
      <c r="BL46" s="340">
        <f>VLOOKUP(C46,Theory!B49:BC117,54,FALSE)</f>
        <v>0</v>
      </c>
      <c r="BM46" s="340">
        <f>VLOOKUP(C46,Theory!B49:BD117,55,FALSE)</f>
        <v>0</v>
      </c>
      <c r="BN46" s="340">
        <f>VLOOKUP(C46,Theory!B49:BE117,56,FALSE)</f>
        <v>0</v>
      </c>
      <c r="BO46" s="340">
        <f>VLOOKUP(C46,Theory!B49:BF117,57,FALSE)</f>
        <v>0</v>
      </c>
      <c r="BP46" s="340">
        <f>VLOOKUP(C46,Theory!B49:BG117,58,FALSE)</f>
        <v>0</v>
      </c>
      <c r="BQ46" s="335">
        <f t="shared" si="14"/>
        <v>8</v>
      </c>
      <c r="BR46" s="340">
        <f>VLOOKUP(C46,Theory!B49:BH117,59,FALSE)</f>
        <v>8</v>
      </c>
      <c r="BS46" s="340">
        <f>VLOOKUP(C46,Theory!B49:BI117,60,FALSE)</f>
        <v>0</v>
      </c>
      <c r="BT46" s="340">
        <f>VLOOKUP(C46,Theory!B49:BJ117,61,FALSE)</f>
        <v>0</v>
      </c>
      <c r="BU46" s="340">
        <f>VLOOKUP(C46,Theory!B49:BK117,62,FALSE)</f>
        <v>0</v>
      </c>
      <c r="BV46" s="340">
        <f>VLOOKUP(C46,Theory!B49:BL117,63,FALSE)</f>
        <v>0</v>
      </c>
      <c r="BW46" s="340">
        <f>VLOOKUP(C46,Theory!B49:BM117,64,FALSE)</f>
        <v>0</v>
      </c>
      <c r="BX46" s="340">
        <f>VLOOKUP(C46,Theory!B49:BN117,65,FALSE)</f>
        <v>0</v>
      </c>
      <c r="BY46" s="340">
        <f>VLOOKUP(C46,Theory!B49:BO117,66,FALSE)</f>
        <v>0</v>
      </c>
      <c r="BZ46" s="335">
        <f t="shared" si="15"/>
        <v>8</v>
      </c>
      <c r="CA46" s="333">
        <f t="shared" si="1"/>
        <v>41</v>
      </c>
      <c r="CB46" s="340">
        <f>VLOOKUP(C46,Theory!B49:BP117,67,FALSE)</f>
        <v>7</v>
      </c>
      <c r="CC46" s="340">
        <f>VLOOKUP(C46,Theory!B49:BQ117,68,FALSE)</f>
        <v>0</v>
      </c>
      <c r="CD46" s="340">
        <f>VLOOKUP(C46,Theory!B49:BR117,69,FALSE)</f>
        <v>0</v>
      </c>
      <c r="CE46" s="340">
        <f>VLOOKUP(C46,Theory!B49:BS117,70,FALSE)</f>
        <v>0</v>
      </c>
      <c r="CF46" s="335">
        <f t="shared" si="16"/>
        <v>7</v>
      </c>
      <c r="CG46" s="341">
        <f>VLOOKUP(C46,Theory!B49:BT117,71,FALSE)</f>
        <v>7</v>
      </c>
      <c r="CH46" s="341">
        <f>VLOOKUP(C46,Theory!B49:BU117,72,FALSE)</f>
        <v>0</v>
      </c>
      <c r="CI46" s="341">
        <f>VLOOKUP(C46,Theory!B49:BV117,73,FALSE)</f>
        <v>0</v>
      </c>
      <c r="CJ46" s="341">
        <f>VLOOKUP(C46,Theory!B49:BW117,74,FALSE)</f>
        <v>0</v>
      </c>
      <c r="CK46" s="335">
        <f t="shared" si="17"/>
        <v>7</v>
      </c>
      <c r="CL46" s="340">
        <f>VLOOKUP(C46,Theory!B49:BX117,75,FALSE)</f>
        <v>8</v>
      </c>
      <c r="CM46" s="342">
        <f>VLOOKUP(C46,Theory!B49:BY117,76,FALSE)</f>
        <v>0</v>
      </c>
      <c r="CN46" s="342">
        <f>VLOOKUP(C46,Theory!B49:BZ117,77,FALSE)</f>
        <v>0</v>
      </c>
      <c r="CO46" s="342">
        <f>VLOOKUP(C46,Theory!B49:CA117,78,FALSE)</f>
        <v>0</v>
      </c>
      <c r="CP46" s="340">
        <f>VLOOKUP(C46,Theory!B49:CB117,79,FALSE)</f>
        <v>0</v>
      </c>
      <c r="CQ46" s="340">
        <f>VLOOKUP(C46,Theory!B49:CC117,80,FALSE)</f>
        <v>0</v>
      </c>
      <c r="CR46" s="340">
        <f>VLOOKUP(C46,Theory!B49:CD117,81,FALSE)</f>
        <v>0</v>
      </c>
      <c r="CS46" s="340">
        <f>VLOOKUP(C46,Theory!B49:CE117,82,FALSE)</f>
        <v>0</v>
      </c>
      <c r="CT46" s="335">
        <f t="shared" si="18"/>
        <v>8</v>
      </c>
      <c r="CU46" s="341">
        <f>VLOOKUP(C46,Theory!B49:CF117,83,FALSE)</f>
        <v>6</v>
      </c>
      <c r="CV46" s="342">
        <f>VLOOKUP(C46,Theory!B49:CG117,84,FALSE)</f>
        <v>0</v>
      </c>
      <c r="CW46" s="342">
        <f>VLOOKUP(C46,Theory!B49:CH117,85,FALSE)</f>
        <v>0</v>
      </c>
      <c r="CX46" s="342">
        <f>VLOOKUP(C46,Theory!B49:CI117,86,FALSE)</f>
        <v>0</v>
      </c>
      <c r="CY46" s="341">
        <f>VLOOKUP(C46,Theory!B49:CJ117,87,FALSE)</f>
        <v>0</v>
      </c>
      <c r="CZ46" s="341">
        <f>VLOOKUP(C46,Theory!B49:CK117,88,FALSE)</f>
        <v>0</v>
      </c>
      <c r="DA46" s="341">
        <f>VLOOKUP(C46,Theory!B49:CL117,89,FALSE)</f>
        <v>0</v>
      </c>
      <c r="DB46" s="341">
        <f>VLOOKUP(C46,Theory!B49:CM117,90,FALSE)</f>
        <v>0</v>
      </c>
      <c r="DC46" s="335">
        <f t="shared" si="19"/>
        <v>6</v>
      </c>
      <c r="DD46" s="340">
        <f>VLOOKUP(C46,Theory!B49:CN117,91,FALSE)</f>
        <v>0</v>
      </c>
      <c r="DE46" s="342">
        <f>VLOOKUP(C46,Theory!B49:CO117,92,FALSE)</f>
        <v>0</v>
      </c>
      <c r="DF46" s="342">
        <f>VLOOKUP(C46,Theory!B49:CP117,93,FALSE)</f>
        <v>0</v>
      </c>
      <c r="DG46" s="342">
        <f>VLOOKUP(C46,Theory!B49:CQ117,94,FALSE)</f>
        <v>0</v>
      </c>
      <c r="DH46" s="340">
        <f>VLOOKUP(C46,Theory!B49:CR117,95,FALSE)</f>
        <v>0</v>
      </c>
      <c r="DI46" s="340">
        <f>VLOOKUP(C46,Theory!B49:CS117,96,FALSE)</f>
        <v>0</v>
      </c>
      <c r="DJ46" s="340">
        <f>VLOOKUP(C46,Theory!B49:CT117,97,FALSE)</f>
        <v>0</v>
      </c>
      <c r="DK46" s="340">
        <f>VLOOKUP(C46,Theory!B49:CU117,98,FALSE)</f>
        <v>0</v>
      </c>
      <c r="DL46" s="335">
        <f t="shared" si="20"/>
        <v>0</v>
      </c>
      <c r="DM46" s="265">
        <f t="shared" si="2"/>
        <v>28</v>
      </c>
      <c r="DN46" s="362">
        <f t="shared" si="40"/>
        <v>0</v>
      </c>
      <c r="DO46" s="362">
        <f t="shared" si="41"/>
        <v>41</v>
      </c>
      <c r="DP46" s="362">
        <f t="shared" si="42"/>
        <v>28</v>
      </c>
      <c r="DQ46" s="343">
        <f t="shared" si="43"/>
        <v>0</v>
      </c>
      <c r="DR46" s="343">
        <f t="shared" si="44"/>
        <v>25</v>
      </c>
      <c r="DS46" s="343">
        <f t="shared" si="45"/>
        <v>17</v>
      </c>
      <c r="DT46" s="328">
        <f t="shared" si="36"/>
        <v>14</v>
      </c>
      <c r="DU46" s="326">
        <f>VLOOKUP(C46,Theory!B49:CV117,99,FALSE)</f>
        <v>10</v>
      </c>
      <c r="DV46" s="326">
        <f>VLOOKUP(C46,Theory!B49:CW117,100,FALSE)</f>
        <v>10</v>
      </c>
      <c r="DW46" s="331">
        <f t="shared" si="27"/>
        <v>20</v>
      </c>
      <c r="DX46" s="266">
        <f t="shared" si="3"/>
        <v>34</v>
      </c>
      <c r="DY46" s="363">
        <f t="shared" si="4"/>
        <v>20</v>
      </c>
      <c r="DZ46" s="344">
        <f>VLOOKUP(C46,Lab!B41:D110,3,FALSE)</f>
        <v>0</v>
      </c>
      <c r="EA46" s="345">
        <f>VLOOKUP(C46,Lab!B41:E110,4,FALSE)</f>
        <v>0</v>
      </c>
      <c r="EB46" s="345">
        <f>VLOOKUP(C46,Lab!B41:F110,5,FALSE)</f>
        <v>0</v>
      </c>
      <c r="EC46" s="329">
        <f t="shared" si="37"/>
        <v>0</v>
      </c>
      <c r="ED46" s="346">
        <f>VLOOKUP(C46,Lab!B41:G110,6,FALSE)</f>
        <v>0</v>
      </c>
      <c r="EE46" s="346">
        <f>VLOOKUP(C46,Lab!B41:H110,7,FALSE)</f>
        <v>0</v>
      </c>
      <c r="EF46" s="347">
        <f>VLOOKUP(C46,Lab!B41:I110,8,FALSE)</f>
        <v>0</v>
      </c>
      <c r="EG46" s="330">
        <f t="shared" si="38"/>
        <v>0</v>
      </c>
      <c r="EH46" s="390">
        <f t="shared" si="28"/>
        <v>0</v>
      </c>
      <c r="EI46" s="349">
        <f t="shared" si="29"/>
        <v>0</v>
      </c>
      <c r="EJ46" s="391">
        <f t="shared" si="5"/>
        <v>20</v>
      </c>
      <c r="EK46" s="258">
        <v>38</v>
      </c>
      <c r="EM46" s="350">
        <f>VLOOKUP(C46,Theory!B49:DL117,114,FALSE)</f>
        <v>0</v>
      </c>
      <c r="EN46" s="350">
        <f>VLOOKUP(C46,Theory!B49:DM117,115,FALSE)</f>
        <v>0</v>
      </c>
      <c r="EO46" s="350">
        <f>VLOOKUP(C46,Theory!B49:DN117,116,FALSE)</f>
        <v>0</v>
      </c>
      <c r="EP46" s="350">
        <f>VLOOKUP(C46,Theory!B49:DO115,117,FALSE)</f>
        <v>0</v>
      </c>
      <c r="EQ46" s="350">
        <f>VLOOKUP(C46,Theory!B49:DP115,118,FALSE)</f>
        <v>0</v>
      </c>
      <c r="ER46" s="351">
        <f>VLOOKUP(C46,Theory!B49:DQ115,119,FALSE)</f>
        <v>0</v>
      </c>
      <c r="ES46" s="327">
        <f>VLOOKUP(C46,Theory!B49:DR115,120,FALSE)</f>
        <v>0</v>
      </c>
      <c r="ET46" s="348">
        <f t="shared" si="39"/>
        <v>0</v>
      </c>
      <c r="EU46" s="352"/>
      <c r="EV46" s="352"/>
      <c r="EW46" s="352"/>
      <c r="EX46" s="352"/>
      <c r="EY46" s="352"/>
      <c r="EZ46" s="352"/>
      <c r="FA46" s="352"/>
      <c r="FB46" s="352"/>
      <c r="FC46" s="352"/>
      <c r="FD46" s="352"/>
    </row>
    <row r="47" spans="1:160" ht="16.2" thickBot="1" x14ac:dyDescent="0.35">
      <c r="A47" s="64">
        <v>34</v>
      </c>
      <c r="B47" s="17" t="str">
        <f>Theory!C50</f>
        <v>YASH GOVIL</v>
      </c>
      <c r="C47" s="16" t="str">
        <f>Theory!B50</f>
        <v>1DS21AI057</v>
      </c>
      <c r="D47" s="334">
        <f>VLOOKUP(C47,Theory!B50:D118,3,FALSE)</f>
        <v>9</v>
      </c>
      <c r="E47" s="334">
        <f>VLOOKUP(C47,Theory!B50:E118,4,FALSE)</f>
        <v>0</v>
      </c>
      <c r="F47" s="334">
        <f>VLOOKUP(C47,Theory!B50:F118,5,FALSE)</f>
        <v>0</v>
      </c>
      <c r="G47" s="334">
        <f>VLOOKUP(C47,Theory!B50:G118,6,FALSE)</f>
        <v>0</v>
      </c>
      <c r="H47" s="335">
        <f t="shared" si="6"/>
        <v>9</v>
      </c>
      <c r="I47" s="338">
        <f>VLOOKUP(C47,Theory!B50:H118,7,FALSE)</f>
        <v>10</v>
      </c>
      <c r="J47" s="337">
        <f>VLOOKUP(C47,Theory!B50:I118,8,FALSE)</f>
        <v>0</v>
      </c>
      <c r="K47" s="337">
        <f>VLOOKUP(C47,Theory!B50:J118,9,FALSE)</f>
        <v>0</v>
      </c>
      <c r="L47" s="337">
        <f>VLOOKUP(C47,Theory!B50:K118,10,FALSE)</f>
        <v>0</v>
      </c>
      <c r="M47" s="335">
        <f t="shared" si="7"/>
        <v>10</v>
      </c>
      <c r="N47" s="336">
        <f>VLOOKUP(C47,Theory!B50:L118,11,FALSE)</f>
        <v>8</v>
      </c>
      <c r="O47" s="336">
        <f>VLOOKUP(C47,Theory!B50:M118,12,FALSE)</f>
        <v>0</v>
      </c>
      <c r="P47" s="336">
        <f>VLOOKUP(C47,Theory!B50:N118,13,FALSE)</f>
        <v>0</v>
      </c>
      <c r="Q47" s="336">
        <f>VLOOKUP(C47,Theory!B50:O118,14,FALSE)</f>
        <v>0</v>
      </c>
      <c r="R47" s="337">
        <f>VLOOKUP(C47,Theory!B50:P118,15,FALSE)</f>
        <v>0</v>
      </c>
      <c r="S47" s="337">
        <f>VLOOKUP(C47,Theory!B50:Q118,16,FALSE)</f>
        <v>0</v>
      </c>
      <c r="T47" s="337">
        <f>VLOOKUP(C47,Theory!B50:R118,17,FALSE)</f>
        <v>0</v>
      </c>
      <c r="U47" s="337">
        <f>VLOOKUP(C47,Theory!B50:S118,18,FALSE)</f>
        <v>0</v>
      </c>
      <c r="V47" s="335">
        <f t="shared" si="8"/>
        <v>8</v>
      </c>
      <c r="W47" s="334">
        <f>VLOOKUP(C47,Theory!B50:T118,19,FALSE)</f>
        <v>8</v>
      </c>
      <c r="X47" s="334">
        <f>VLOOKUP(C47,Theory!B50:U118,20,FALSE)</f>
        <v>0</v>
      </c>
      <c r="Y47" s="334">
        <f>VLOOKUP(C47,Theory!B50:V118,21,FALSE)</f>
        <v>0</v>
      </c>
      <c r="Z47" s="334">
        <f>VLOOKUP(C47,Theory!B50:W118,22,FALSE)</f>
        <v>0</v>
      </c>
      <c r="AA47" s="338">
        <f>VLOOKUP(C47,Theory!B50:X118,23,FALSE)</f>
        <v>0</v>
      </c>
      <c r="AB47" s="338">
        <f>VLOOKUP(C47,Theory!B50:Y118,24,FALSE)</f>
        <v>0</v>
      </c>
      <c r="AC47" s="338">
        <f>VLOOKUP(C47,Theory!B50:Z118,25,FALSE)</f>
        <v>0</v>
      </c>
      <c r="AD47" s="338">
        <f>VLOOKUP(C47,Theory!B50:AA118,26,FALSE)</f>
        <v>0</v>
      </c>
      <c r="AE47" s="335">
        <f t="shared" si="9"/>
        <v>8</v>
      </c>
      <c r="AF47" s="334">
        <f>VLOOKUP(C47,Theory!B50:AB118,27,FALSE)</f>
        <v>9</v>
      </c>
      <c r="AG47" s="334">
        <f>VLOOKUP(C47,Theory!B50:AC118,28,FALSE)</f>
        <v>0</v>
      </c>
      <c r="AH47" s="334">
        <f>VLOOKUP(C47,Theory!B50:AD118,29,FALSE)</f>
        <v>0</v>
      </c>
      <c r="AI47" s="334">
        <f>VLOOKUP(C47,Theory!B50:AE118,30,FALSE)</f>
        <v>0</v>
      </c>
      <c r="AJ47" s="339">
        <f>VLOOKUP(C47,Theory!B50:AF118,31,FALSE)</f>
        <v>0</v>
      </c>
      <c r="AK47" s="339">
        <f>VLOOKUP(C47,Theory!B50:AG118,32,FALSE)</f>
        <v>0</v>
      </c>
      <c r="AL47" s="339">
        <f>VLOOKUP(C47,Theory!B50:AH118,33,FALSE)</f>
        <v>0</v>
      </c>
      <c r="AM47" s="339">
        <f>VLOOKUP(C47,Theory!B50:AI118,34,FALSE)</f>
        <v>0</v>
      </c>
      <c r="AN47" s="335">
        <f t="shared" si="10"/>
        <v>9</v>
      </c>
      <c r="AO47" s="333">
        <f t="shared" si="0"/>
        <v>44</v>
      </c>
      <c r="AP47" s="340">
        <f>VLOOKUP(C47,Theory!B50:AJ118,35,FALSE)</f>
        <v>10</v>
      </c>
      <c r="AQ47" s="340">
        <f>VLOOKUP(C47,Theory!B50:AK118,36,FALSE)</f>
        <v>0</v>
      </c>
      <c r="AR47" s="340">
        <f>VLOOKUP(C47,Theory!B50:AL118,37,FALSE)</f>
        <v>0</v>
      </c>
      <c r="AS47" s="340">
        <f>VLOOKUP(C47,Theory!B50:AM118,38,FALSE)</f>
        <v>0</v>
      </c>
      <c r="AT47" s="335">
        <f t="shared" si="11"/>
        <v>10</v>
      </c>
      <c r="AU47" s="340">
        <f>VLOOKUP(C47,Theory!B50:AN118,39,FALSE)</f>
        <v>9</v>
      </c>
      <c r="AV47" s="340">
        <f>VLOOKUP(C47,Theory!B50:AO118,40,FALSE)</f>
        <v>0</v>
      </c>
      <c r="AW47" s="340">
        <f>VLOOKUP(C47,Theory!B50:AP118,41,FALSE)</f>
        <v>0</v>
      </c>
      <c r="AX47" s="340">
        <f>VLOOKUP(C47,Theory!B50:AQ118,42,FALSE)</f>
        <v>0</v>
      </c>
      <c r="AY47" s="335">
        <f t="shared" si="12"/>
        <v>9</v>
      </c>
      <c r="AZ47" s="340">
        <f>VLOOKUP(C47,Theory!B50:AR118,43,FALSE)</f>
        <v>10</v>
      </c>
      <c r="BA47" s="340">
        <f>VLOOKUP(C47,Theory!B50:AS118,44,FALSE)</f>
        <v>0</v>
      </c>
      <c r="BB47" s="340">
        <f>VLOOKUP(C47,Theory!B50:AT118,45,FALSE)</f>
        <v>0</v>
      </c>
      <c r="BC47" s="340">
        <f>VLOOKUP(C47,Theory!B50:AU118,46,FALSE)</f>
        <v>0</v>
      </c>
      <c r="BD47" s="340">
        <f>VLOOKUP(C47,Theory!B50:AV118,47,FALSE)</f>
        <v>0</v>
      </c>
      <c r="BE47" s="340">
        <f>VLOOKUP(C47,Theory!B50:AW118,48,FALSE)</f>
        <v>0</v>
      </c>
      <c r="BF47" s="340">
        <f>VLOOKUP(C47,Theory!B50:AX118,49,FALSE)</f>
        <v>0</v>
      </c>
      <c r="BG47" s="340">
        <f>VLOOKUP(C47,Theory!B50:AY118,50,FALSE)</f>
        <v>0</v>
      </c>
      <c r="BH47" s="335">
        <f t="shared" si="13"/>
        <v>10</v>
      </c>
      <c r="BI47" s="340">
        <f>VLOOKUP(C47,Theory!B50:AZ118,51,FALSE)</f>
        <v>9</v>
      </c>
      <c r="BJ47" s="340">
        <f>VLOOKUP(C47,Theory!B50:BA118,52,FALSE)</f>
        <v>0</v>
      </c>
      <c r="BK47" s="340">
        <f>VLOOKUP(C47,Theory!B50:BB118,53,FALSE)</f>
        <v>0</v>
      </c>
      <c r="BL47" s="340">
        <f>VLOOKUP(C47,Theory!B50:BC118,54,FALSE)</f>
        <v>0</v>
      </c>
      <c r="BM47" s="340">
        <f>VLOOKUP(C47,Theory!B50:BD118,55,FALSE)</f>
        <v>0</v>
      </c>
      <c r="BN47" s="340">
        <f>VLOOKUP(C47,Theory!B50:BE118,56,FALSE)</f>
        <v>0</v>
      </c>
      <c r="BO47" s="340">
        <f>VLOOKUP(C47,Theory!B50:BF118,57,FALSE)</f>
        <v>0</v>
      </c>
      <c r="BP47" s="340">
        <f>VLOOKUP(C47,Theory!B50:BG118,58,FALSE)</f>
        <v>0</v>
      </c>
      <c r="BQ47" s="335">
        <f t="shared" si="14"/>
        <v>9</v>
      </c>
      <c r="BR47" s="340">
        <f>VLOOKUP(C47,Theory!B50:BH118,59,FALSE)</f>
        <v>10</v>
      </c>
      <c r="BS47" s="340">
        <f>VLOOKUP(C47,Theory!B50:BI118,60,FALSE)</f>
        <v>0</v>
      </c>
      <c r="BT47" s="340">
        <f>VLOOKUP(C47,Theory!B50:BJ118,61,FALSE)</f>
        <v>0</v>
      </c>
      <c r="BU47" s="340">
        <f>VLOOKUP(C47,Theory!B50:BK118,62,FALSE)</f>
        <v>0</v>
      </c>
      <c r="BV47" s="340">
        <f>VLOOKUP(C47,Theory!B50:BL118,63,FALSE)</f>
        <v>0</v>
      </c>
      <c r="BW47" s="340">
        <f>VLOOKUP(C47,Theory!B50:BM118,64,FALSE)</f>
        <v>0</v>
      </c>
      <c r="BX47" s="340">
        <f>VLOOKUP(C47,Theory!B50:BN118,65,FALSE)</f>
        <v>0</v>
      </c>
      <c r="BY47" s="340">
        <f>VLOOKUP(C47,Theory!B50:BO118,66,FALSE)</f>
        <v>0</v>
      </c>
      <c r="BZ47" s="335">
        <f t="shared" si="15"/>
        <v>10</v>
      </c>
      <c r="CA47" s="333">
        <f t="shared" si="1"/>
        <v>48</v>
      </c>
      <c r="CB47" s="340">
        <f>VLOOKUP(C47,Theory!B50:BP118,67,FALSE)</f>
        <v>8</v>
      </c>
      <c r="CC47" s="340">
        <f>VLOOKUP(C47,Theory!B50:BQ118,68,FALSE)</f>
        <v>0</v>
      </c>
      <c r="CD47" s="340">
        <f>VLOOKUP(C47,Theory!B50:BR118,69,FALSE)</f>
        <v>0</v>
      </c>
      <c r="CE47" s="340">
        <f>VLOOKUP(C47,Theory!B50:BS118,70,FALSE)</f>
        <v>0</v>
      </c>
      <c r="CF47" s="335">
        <f t="shared" si="16"/>
        <v>8</v>
      </c>
      <c r="CG47" s="341">
        <f>VLOOKUP(C47,Theory!B50:BT118,71,FALSE)</f>
        <v>8</v>
      </c>
      <c r="CH47" s="341">
        <f>VLOOKUP(C47,Theory!B50:BU118,72,FALSE)</f>
        <v>0</v>
      </c>
      <c r="CI47" s="341">
        <f>VLOOKUP(C47,Theory!B50:BV118,73,FALSE)</f>
        <v>0</v>
      </c>
      <c r="CJ47" s="341">
        <f>VLOOKUP(C47,Theory!B50:BW118,74,FALSE)</f>
        <v>0</v>
      </c>
      <c r="CK47" s="335">
        <f t="shared" si="17"/>
        <v>8</v>
      </c>
      <c r="CL47" s="340">
        <f>VLOOKUP(C47,Theory!B50:BX118,75,FALSE)</f>
        <v>0</v>
      </c>
      <c r="CM47" s="342">
        <f>VLOOKUP(C47,Theory!B50:BY118,76,FALSE)</f>
        <v>0</v>
      </c>
      <c r="CN47" s="342">
        <f>VLOOKUP(C47,Theory!B50:BZ118,77,FALSE)</f>
        <v>0</v>
      </c>
      <c r="CO47" s="342">
        <f>VLOOKUP(C47,Theory!B50:CA118,78,FALSE)</f>
        <v>0</v>
      </c>
      <c r="CP47" s="340">
        <f>VLOOKUP(C47,Theory!B50:CB118,79,FALSE)</f>
        <v>8</v>
      </c>
      <c r="CQ47" s="340">
        <f>VLOOKUP(C47,Theory!B50:CC118,80,FALSE)</f>
        <v>0</v>
      </c>
      <c r="CR47" s="340">
        <f>VLOOKUP(C47,Theory!B50:CD118,81,FALSE)</f>
        <v>0</v>
      </c>
      <c r="CS47" s="340">
        <f>VLOOKUP(C47,Theory!B50:CE118,82,FALSE)</f>
        <v>0</v>
      </c>
      <c r="CT47" s="335">
        <f t="shared" si="18"/>
        <v>8</v>
      </c>
      <c r="CU47" s="341">
        <f>VLOOKUP(C47,Theory!B50:CF118,83,FALSE)</f>
        <v>9</v>
      </c>
      <c r="CV47" s="342">
        <f>VLOOKUP(C47,Theory!B50:CG118,84,FALSE)</f>
        <v>0</v>
      </c>
      <c r="CW47" s="342">
        <f>VLOOKUP(C47,Theory!B50:CH118,85,FALSE)</f>
        <v>0</v>
      </c>
      <c r="CX47" s="342">
        <f>VLOOKUP(C47,Theory!B50:CI118,86,FALSE)</f>
        <v>0</v>
      </c>
      <c r="CY47" s="341">
        <f>VLOOKUP(C47,Theory!B50:CJ118,87,FALSE)</f>
        <v>0</v>
      </c>
      <c r="CZ47" s="341">
        <f>VLOOKUP(C47,Theory!B50:CK118,88,FALSE)</f>
        <v>0</v>
      </c>
      <c r="DA47" s="341">
        <f>VLOOKUP(C47,Theory!B50:CL118,89,FALSE)</f>
        <v>0</v>
      </c>
      <c r="DB47" s="341">
        <f>VLOOKUP(C47,Theory!B50:CM118,90,FALSE)</f>
        <v>0</v>
      </c>
      <c r="DC47" s="335">
        <f t="shared" si="19"/>
        <v>9</v>
      </c>
      <c r="DD47" s="340">
        <f>VLOOKUP(C47,Theory!B50:CN118,91,FALSE)</f>
        <v>0</v>
      </c>
      <c r="DE47" s="342">
        <f>VLOOKUP(C47,Theory!B50:CO118,92,FALSE)</f>
        <v>0</v>
      </c>
      <c r="DF47" s="342">
        <f>VLOOKUP(C47,Theory!B50:CP118,93,FALSE)</f>
        <v>0</v>
      </c>
      <c r="DG47" s="342">
        <f>VLOOKUP(C47,Theory!B50:CQ118,94,FALSE)</f>
        <v>0</v>
      </c>
      <c r="DH47" s="340">
        <f>VLOOKUP(C47,Theory!B50:CR118,95,FALSE)</f>
        <v>9</v>
      </c>
      <c r="DI47" s="340">
        <f>VLOOKUP(C47,Theory!B50:CS118,96,FALSE)</f>
        <v>0</v>
      </c>
      <c r="DJ47" s="340">
        <f>VLOOKUP(C47,Theory!B50:CT118,97,FALSE)</f>
        <v>0</v>
      </c>
      <c r="DK47" s="340">
        <f>VLOOKUP(C47,Theory!B50:CU118,98,FALSE)</f>
        <v>0</v>
      </c>
      <c r="DL47" s="335">
        <f t="shared" si="20"/>
        <v>9</v>
      </c>
      <c r="DM47" s="265">
        <f t="shared" si="2"/>
        <v>42</v>
      </c>
      <c r="DN47" s="362">
        <f t="shared" si="40"/>
        <v>44</v>
      </c>
      <c r="DO47" s="362">
        <f t="shared" si="41"/>
        <v>48</v>
      </c>
      <c r="DP47" s="362">
        <f t="shared" si="42"/>
        <v>42</v>
      </c>
      <c r="DQ47" s="343">
        <f t="shared" si="43"/>
        <v>26</v>
      </c>
      <c r="DR47" s="343">
        <f t="shared" si="44"/>
        <v>29</v>
      </c>
      <c r="DS47" s="343">
        <f t="shared" si="45"/>
        <v>25</v>
      </c>
      <c r="DT47" s="328">
        <f t="shared" si="36"/>
        <v>27</v>
      </c>
      <c r="DU47" s="326">
        <f>VLOOKUP(C47,Theory!B50:CV118,99,FALSE)</f>
        <v>10</v>
      </c>
      <c r="DV47" s="326">
        <f>VLOOKUP(C47,Theory!B50:CW118,100,FALSE)</f>
        <v>10</v>
      </c>
      <c r="DW47" s="331">
        <f t="shared" si="27"/>
        <v>20</v>
      </c>
      <c r="DX47" s="266">
        <f t="shared" si="3"/>
        <v>47</v>
      </c>
      <c r="DY47" s="363">
        <f t="shared" si="4"/>
        <v>28</v>
      </c>
      <c r="DZ47" s="344">
        <f>VLOOKUP(C47,Lab!B42:D111,3,FALSE)</f>
        <v>0</v>
      </c>
      <c r="EA47" s="345">
        <f>VLOOKUP(C47,Lab!B42:E111,4,FALSE)</f>
        <v>0</v>
      </c>
      <c r="EB47" s="345">
        <f>VLOOKUP(C47,Lab!B42:F111,5,FALSE)</f>
        <v>0</v>
      </c>
      <c r="EC47" s="329">
        <f t="shared" si="37"/>
        <v>0</v>
      </c>
      <c r="ED47" s="346">
        <f>VLOOKUP(C47,Lab!B42:G111,6,FALSE)</f>
        <v>0</v>
      </c>
      <c r="EE47" s="346">
        <f>VLOOKUP(C47,Lab!B42:H111,7,FALSE)</f>
        <v>0</v>
      </c>
      <c r="EF47" s="347">
        <f>VLOOKUP(C47,Lab!B42:I111,8,FALSE)</f>
        <v>0</v>
      </c>
      <c r="EG47" s="330">
        <f t="shared" si="38"/>
        <v>0</v>
      </c>
      <c r="EH47" s="390">
        <f t="shared" si="28"/>
        <v>0</v>
      </c>
      <c r="EI47" s="349">
        <f t="shared" si="29"/>
        <v>0</v>
      </c>
      <c r="EJ47" s="391">
        <f t="shared" si="5"/>
        <v>28</v>
      </c>
      <c r="EK47" s="258">
        <v>44</v>
      </c>
      <c r="EM47" s="350">
        <f>VLOOKUP(C47,Theory!B50:DL118,114,FALSE)</f>
        <v>0</v>
      </c>
      <c r="EN47" s="350">
        <f>VLOOKUP(C47,Theory!B50:DM118,115,FALSE)</f>
        <v>0</v>
      </c>
      <c r="EO47" s="350">
        <f>VLOOKUP(C47,Theory!B50:DN118,116,FALSE)</f>
        <v>0</v>
      </c>
      <c r="EP47" s="350">
        <f>VLOOKUP(C47,Theory!B50:DO116,117,FALSE)</f>
        <v>0</v>
      </c>
      <c r="EQ47" s="350">
        <f>VLOOKUP(C47,Theory!B50:DP116,118,FALSE)</f>
        <v>0</v>
      </c>
      <c r="ER47" s="351">
        <f>VLOOKUP(C47,Theory!B50:DQ116,119,FALSE)</f>
        <v>0</v>
      </c>
      <c r="ES47" s="327">
        <f>VLOOKUP(C47,Theory!B50:DR116,120,FALSE)</f>
        <v>0</v>
      </c>
      <c r="ET47" s="348">
        <f t="shared" si="39"/>
        <v>0</v>
      </c>
      <c r="EU47" s="352"/>
      <c r="EV47" s="352"/>
      <c r="EW47" s="352"/>
      <c r="EX47" s="352"/>
      <c r="EY47" s="352"/>
      <c r="EZ47" s="352"/>
      <c r="FA47" s="352"/>
      <c r="FB47" s="352"/>
      <c r="FC47" s="352"/>
      <c r="FD47" s="352"/>
    </row>
    <row r="48" spans="1:160" ht="16.2" thickBot="1" x14ac:dyDescent="0.35">
      <c r="A48" s="64">
        <v>35</v>
      </c>
      <c r="B48" s="17" t="str">
        <f>Theory!C51</f>
        <v>YASHAS A M</v>
      </c>
      <c r="C48" s="16" t="str">
        <f>Theory!B51</f>
        <v>1DS21AI058</v>
      </c>
      <c r="D48" s="334">
        <f>VLOOKUP(C48,Theory!B51:D119,3,FALSE)</f>
        <v>7</v>
      </c>
      <c r="E48" s="334">
        <f>VLOOKUP(C48,Theory!B51:E119,4,FALSE)</f>
        <v>0</v>
      </c>
      <c r="F48" s="334">
        <f>VLOOKUP(C48,Theory!B51:F119,5,FALSE)</f>
        <v>0</v>
      </c>
      <c r="G48" s="334">
        <f>VLOOKUP(C48,Theory!B51:G119,6,FALSE)</f>
        <v>0</v>
      </c>
      <c r="H48" s="335">
        <f t="shared" si="6"/>
        <v>7</v>
      </c>
      <c r="I48" s="338">
        <f>VLOOKUP(C48,Theory!B51:H119,7,FALSE)</f>
        <v>8</v>
      </c>
      <c r="J48" s="337">
        <f>VLOOKUP(C48,Theory!B51:I119,8,FALSE)</f>
        <v>0</v>
      </c>
      <c r="K48" s="337">
        <f>VLOOKUP(C48,Theory!B51:J119,9,FALSE)</f>
        <v>0</v>
      </c>
      <c r="L48" s="337">
        <f>VLOOKUP(C48,Theory!B51:K119,10,FALSE)</f>
        <v>0</v>
      </c>
      <c r="M48" s="335">
        <f t="shared" si="7"/>
        <v>8</v>
      </c>
      <c r="N48" s="336">
        <f>VLOOKUP(C48,Theory!B51:L119,11,FALSE)</f>
        <v>8</v>
      </c>
      <c r="O48" s="336">
        <f>VLOOKUP(C48,Theory!B51:M119,12,FALSE)</f>
        <v>0</v>
      </c>
      <c r="P48" s="336">
        <f>VLOOKUP(C48,Theory!B51:N119,13,FALSE)</f>
        <v>0</v>
      </c>
      <c r="Q48" s="336">
        <f>VLOOKUP(C48,Theory!B51:O119,14,FALSE)</f>
        <v>0</v>
      </c>
      <c r="R48" s="337">
        <f>VLOOKUP(C48,Theory!B51:P119,15,FALSE)</f>
        <v>0</v>
      </c>
      <c r="S48" s="337">
        <f>VLOOKUP(C48,Theory!B51:Q119,16,FALSE)</f>
        <v>0</v>
      </c>
      <c r="T48" s="337">
        <f>VLOOKUP(C48,Theory!B51:R119,17,FALSE)</f>
        <v>0</v>
      </c>
      <c r="U48" s="337">
        <f>VLOOKUP(C48,Theory!B51:S119,18,FALSE)</f>
        <v>0</v>
      </c>
      <c r="V48" s="335">
        <f t="shared" si="8"/>
        <v>8</v>
      </c>
      <c r="W48" s="334">
        <f>VLOOKUP(C48,Theory!B51:T119,19,FALSE)</f>
        <v>0</v>
      </c>
      <c r="X48" s="334">
        <f>VLOOKUP(C48,Theory!B51:U119,20,FALSE)</f>
        <v>0</v>
      </c>
      <c r="Y48" s="334">
        <f>VLOOKUP(C48,Theory!B51:V119,21,FALSE)</f>
        <v>0</v>
      </c>
      <c r="Z48" s="334">
        <f>VLOOKUP(C48,Theory!B51:W119,22,FALSE)</f>
        <v>0</v>
      </c>
      <c r="AA48" s="338">
        <f>VLOOKUP(C48,Theory!B51:X119,23,FALSE)</f>
        <v>10</v>
      </c>
      <c r="AB48" s="338">
        <f>VLOOKUP(C48,Theory!B51:Y119,24,FALSE)</f>
        <v>0</v>
      </c>
      <c r="AC48" s="338">
        <f>VLOOKUP(C48,Theory!B51:Z119,25,FALSE)</f>
        <v>0</v>
      </c>
      <c r="AD48" s="338">
        <f>VLOOKUP(C48,Theory!B51:AA119,26,FALSE)</f>
        <v>0</v>
      </c>
      <c r="AE48" s="335">
        <f t="shared" si="9"/>
        <v>10</v>
      </c>
      <c r="AF48" s="334">
        <f>VLOOKUP(C48,Theory!B51:AB119,27,FALSE)</f>
        <v>10</v>
      </c>
      <c r="AG48" s="334">
        <f>VLOOKUP(C48,Theory!B51:AC119,28,FALSE)</f>
        <v>0</v>
      </c>
      <c r="AH48" s="334">
        <f>VLOOKUP(C48,Theory!B51:AD119,29,FALSE)</f>
        <v>0</v>
      </c>
      <c r="AI48" s="334">
        <f>VLOOKUP(C48,Theory!B51:AE119,30,FALSE)</f>
        <v>0</v>
      </c>
      <c r="AJ48" s="339">
        <f>VLOOKUP(C48,Theory!B51:AF119,31,FALSE)</f>
        <v>0</v>
      </c>
      <c r="AK48" s="339">
        <f>VLOOKUP(C48,Theory!B51:AG119,32,FALSE)</f>
        <v>0</v>
      </c>
      <c r="AL48" s="339">
        <f>VLOOKUP(C48,Theory!B51:AH119,33,FALSE)</f>
        <v>0</v>
      </c>
      <c r="AM48" s="339">
        <f>VLOOKUP(C48,Theory!B51:AI119,34,FALSE)</f>
        <v>0</v>
      </c>
      <c r="AN48" s="335">
        <f t="shared" si="10"/>
        <v>10</v>
      </c>
      <c r="AO48" s="333">
        <f t="shared" si="0"/>
        <v>43</v>
      </c>
      <c r="AP48" s="340">
        <f>VLOOKUP(C48,Theory!B51:AJ119,35,FALSE)</f>
        <v>10</v>
      </c>
      <c r="AQ48" s="340">
        <f>VLOOKUP(C48,Theory!B51:AK119,36,FALSE)</f>
        <v>0</v>
      </c>
      <c r="AR48" s="340">
        <f>VLOOKUP(C48,Theory!B51:AL119,37,FALSE)</f>
        <v>0</v>
      </c>
      <c r="AS48" s="340">
        <f>VLOOKUP(C48,Theory!B51:AM119,38,FALSE)</f>
        <v>0</v>
      </c>
      <c r="AT48" s="335">
        <f t="shared" si="11"/>
        <v>10</v>
      </c>
      <c r="AU48" s="340">
        <f>VLOOKUP(C48,Theory!B51:AN119,39,FALSE)</f>
        <v>8</v>
      </c>
      <c r="AV48" s="340">
        <f>VLOOKUP(C48,Theory!B51:AO119,40,FALSE)</f>
        <v>0</v>
      </c>
      <c r="AW48" s="340">
        <f>VLOOKUP(C48,Theory!B51:AP119,41,FALSE)</f>
        <v>0</v>
      </c>
      <c r="AX48" s="340">
        <f>VLOOKUP(C48,Theory!B51:AQ119,42,FALSE)</f>
        <v>0</v>
      </c>
      <c r="AY48" s="335">
        <f t="shared" si="12"/>
        <v>8</v>
      </c>
      <c r="AZ48" s="340">
        <f>VLOOKUP(C48,Theory!B51:AR119,43,FALSE)</f>
        <v>10</v>
      </c>
      <c r="BA48" s="340">
        <f>VLOOKUP(C48,Theory!B51:AS119,44,FALSE)</f>
        <v>0</v>
      </c>
      <c r="BB48" s="340">
        <f>VLOOKUP(C48,Theory!B51:AT119,45,FALSE)</f>
        <v>0</v>
      </c>
      <c r="BC48" s="340">
        <f>VLOOKUP(C48,Theory!B51:AU119,46,FALSE)</f>
        <v>0</v>
      </c>
      <c r="BD48" s="340">
        <f>VLOOKUP(C48,Theory!B51:AV119,47,FALSE)</f>
        <v>0</v>
      </c>
      <c r="BE48" s="340">
        <f>VLOOKUP(C48,Theory!B51:AW119,48,FALSE)</f>
        <v>0</v>
      </c>
      <c r="BF48" s="340">
        <f>VLOOKUP(C48,Theory!B51:AX119,49,FALSE)</f>
        <v>0</v>
      </c>
      <c r="BG48" s="340">
        <f>VLOOKUP(C48,Theory!B51:AY119,50,FALSE)</f>
        <v>0</v>
      </c>
      <c r="BH48" s="335">
        <f t="shared" si="13"/>
        <v>10</v>
      </c>
      <c r="BI48" s="340">
        <f>VLOOKUP(C48,Theory!B51:AZ119,51,FALSE)</f>
        <v>8</v>
      </c>
      <c r="BJ48" s="340">
        <f>VLOOKUP(C48,Theory!B51:BA119,52,FALSE)</f>
        <v>0</v>
      </c>
      <c r="BK48" s="340">
        <f>VLOOKUP(C48,Theory!B51:BB119,53,FALSE)</f>
        <v>0</v>
      </c>
      <c r="BL48" s="340">
        <f>VLOOKUP(C48,Theory!B51:BC119,54,FALSE)</f>
        <v>0</v>
      </c>
      <c r="BM48" s="340">
        <f>VLOOKUP(C48,Theory!B51:BD119,55,FALSE)</f>
        <v>0</v>
      </c>
      <c r="BN48" s="340">
        <f>VLOOKUP(C48,Theory!B51:BE119,56,FALSE)</f>
        <v>0</v>
      </c>
      <c r="BO48" s="340">
        <f>VLOOKUP(C48,Theory!B51:BF119,57,FALSE)</f>
        <v>0</v>
      </c>
      <c r="BP48" s="340">
        <f>VLOOKUP(C48,Theory!B51:BG119,58,FALSE)</f>
        <v>0</v>
      </c>
      <c r="BQ48" s="335">
        <f t="shared" si="14"/>
        <v>8</v>
      </c>
      <c r="BR48" s="340">
        <f>VLOOKUP(C48,Theory!B51:BH119,59,FALSE)</f>
        <v>10</v>
      </c>
      <c r="BS48" s="340">
        <f>VLOOKUP(C48,Theory!B51:BI119,60,FALSE)</f>
        <v>0</v>
      </c>
      <c r="BT48" s="340">
        <f>VLOOKUP(C48,Theory!B51:BJ119,61,FALSE)</f>
        <v>0</v>
      </c>
      <c r="BU48" s="340">
        <f>VLOOKUP(C48,Theory!B51:BK119,62,FALSE)</f>
        <v>0</v>
      </c>
      <c r="BV48" s="340">
        <f>VLOOKUP(C48,Theory!B51:BL119,63,FALSE)</f>
        <v>0</v>
      </c>
      <c r="BW48" s="340">
        <f>VLOOKUP(C48,Theory!B51:BM119,64,FALSE)</f>
        <v>0</v>
      </c>
      <c r="BX48" s="340">
        <f>VLOOKUP(C48,Theory!B51:BN119,65,FALSE)</f>
        <v>0</v>
      </c>
      <c r="BY48" s="340">
        <f>VLOOKUP(C48,Theory!B51:BO119,66,FALSE)</f>
        <v>0</v>
      </c>
      <c r="BZ48" s="335">
        <f t="shared" si="15"/>
        <v>10</v>
      </c>
      <c r="CA48" s="333">
        <f t="shared" si="1"/>
        <v>46</v>
      </c>
      <c r="CB48" s="340">
        <f>VLOOKUP(C48,Theory!B51:BP119,67,FALSE)</f>
        <v>10</v>
      </c>
      <c r="CC48" s="340">
        <f>VLOOKUP(C48,Theory!B51:BQ119,68,FALSE)</f>
        <v>0</v>
      </c>
      <c r="CD48" s="340">
        <f>VLOOKUP(C48,Theory!B51:BR119,69,FALSE)</f>
        <v>0</v>
      </c>
      <c r="CE48" s="340">
        <f>VLOOKUP(C48,Theory!B51:BS119,70,FALSE)</f>
        <v>0</v>
      </c>
      <c r="CF48" s="335">
        <f t="shared" si="16"/>
        <v>10</v>
      </c>
      <c r="CG48" s="341">
        <f>VLOOKUP(C48,Theory!B51:BT119,71,FALSE)</f>
        <v>9</v>
      </c>
      <c r="CH48" s="341">
        <f>VLOOKUP(C48,Theory!B51:BU119,72,FALSE)</f>
        <v>0</v>
      </c>
      <c r="CI48" s="341">
        <f>VLOOKUP(C48,Theory!B51:BV119,73,FALSE)</f>
        <v>0</v>
      </c>
      <c r="CJ48" s="341">
        <f>VLOOKUP(C48,Theory!B51:BW119,74,FALSE)</f>
        <v>0</v>
      </c>
      <c r="CK48" s="335">
        <f t="shared" si="17"/>
        <v>9</v>
      </c>
      <c r="CL48" s="340">
        <f>VLOOKUP(C48,Theory!B51:BX119,75,FALSE)</f>
        <v>0</v>
      </c>
      <c r="CM48" s="342">
        <f>VLOOKUP(C48,Theory!B51:BY119,76,FALSE)</f>
        <v>0</v>
      </c>
      <c r="CN48" s="342">
        <f>VLOOKUP(C48,Theory!B51:BZ119,77,FALSE)</f>
        <v>0</v>
      </c>
      <c r="CO48" s="342">
        <f>VLOOKUP(C48,Theory!B51:CA119,78,FALSE)</f>
        <v>0</v>
      </c>
      <c r="CP48" s="340">
        <f>VLOOKUP(C48,Theory!B51:CB119,79,FALSE)</f>
        <v>10</v>
      </c>
      <c r="CQ48" s="340">
        <f>VLOOKUP(C48,Theory!B51:CC119,80,FALSE)</f>
        <v>0</v>
      </c>
      <c r="CR48" s="340">
        <f>VLOOKUP(C48,Theory!B51:CD119,81,FALSE)</f>
        <v>0</v>
      </c>
      <c r="CS48" s="340">
        <f>VLOOKUP(C48,Theory!B51:CE119,82,FALSE)</f>
        <v>0</v>
      </c>
      <c r="CT48" s="335">
        <f t="shared" si="18"/>
        <v>10</v>
      </c>
      <c r="CU48" s="341">
        <f>VLOOKUP(C48,Theory!B51:CF119,83,FALSE)</f>
        <v>10</v>
      </c>
      <c r="CV48" s="342">
        <f>VLOOKUP(C48,Theory!B51:CG119,84,FALSE)</f>
        <v>0</v>
      </c>
      <c r="CW48" s="342">
        <f>VLOOKUP(C48,Theory!B51:CH119,85,FALSE)</f>
        <v>0</v>
      </c>
      <c r="CX48" s="342">
        <f>VLOOKUP(C48,Theory!B51:CI119,86,FALSE)</f>
        <v>0</v>
      </c>
      <c r="CY48" s="341">
        <f>VLOOKUP(C48,Theory!B51:CJ119,87,FALSE)</f>
        <v>0</v>
      </c>
      <c r="CZ48" s="341">
        <f>VLOOKUP(C48,Theory!B51:CK119,88,FALSE)</f>
        <v>0</v>
      </c>
      <c r="DA48" s="341">
        <f>VLOOKUP(C48,Theory!B51:CL119,89,FALSE)</f>
        <v>0</v>
      </c>
      <c r="DB48" s="341">
        <f>VLOOKUP(C48,Theory!B51:CM119,90,FALSE)</f>
        <v>0</v>
      </c>
      <c r="DC48" s="335">
        <f t="shared" si="19"/>
        <v>10</v>
      </c>
      <c r="DD48" s="340">
        <f>VLOOKUP(C48,Theory!B51:CN119,91,FALSE)</f>
        <v>0</v>
      </c>
      <c r="DE48" s="342">
        <f>VLOOKUP(C48,Theory!B51:CO119,92,FALSE)</f>
        <v>0</v>
      </c>
      <c r="DF48" s="342">
        <f>VLOOKUP(C48,Theory!B51:CP119,93,FALSE)</f>
        <v>0</v>
      </c>
      <c r="DG48" s="342">
        <f>VLOOKUP(C48,Theory!B51:CQ119,94,FALSE)</f>
        <v>0</v>
      </c>
      <c r="DH48" s="340">
        <f>VLOOKUP(C48,Theory!B51:CR119,95,FALSE)</f>
        <v>8</v>
      </c>
      <c r="DI48" s="340">
        <f>VLOOKUP(C48,Theory!B51:CS119,96,FALSE)</f>
        <v>0</v>
      </c>
      <c r="DJ48" s="340">
        <f>VLOOKUP(C48,Theory!B51:CT119,97,FALSE)</f>
        <v>0</v>
      </c>
      <c r="DK48" s="340">
        <f>VLOOKUP(C48,Theory!B51:CU119,98,FALSE)</f>
        <v>0</v>
      </c>
      <c r="DL48" s="335">
        <f t="shared" si="20"/>
        <v>8</v>
      </c>
      <c r="DM48" s="265">
        <f t="shared" si="2"/>
        <v>47</v>
      </c>
      <c r="DN48" s="362">
        <f t="shared" si="40"/>
        <v>43</v>
      </c>
      <c r="DO48" s="362">
        <f t="shared" si="41"/>
        <v>46</v>
      </c>
      <c r="DP48" s="362">
        <f t="shared" si="42"/>
        <v>47</v>
      </c>
      <c r="DQ48" s="343">
        <f t="shared" si="43"/>
        <v>26</v>
      </c>
      <c r="DR48" s="343">
        <f t="shared" si="44"/>
        <v>28</v>
      </c>
      <c r="DS48" s="343">
        <f t="shared" si="45"/>
        <v>28</v>
      </c>
      <c r="DT48" s="328">
        <f t="shared" si="36"/>
        <v>27</v>
      </c>
      <c r="DU48" s="326">
        <f>VLOOKUP(C48,Theory!B51:CV119,99,FALSE)</f>
        <v>10</v>
      </c>
      <c r="DV48" s="326">
        <f>VLOOKUP(C48,Theory!B51:CW119,100,FALSE)</f>
        <v>10</v>
      </c>
      <c r="DW48" s="331">
        <f t="shared" si="27"/>
        <v>20</v>
      </c>
      <c r="DX48" s="266">
        <f t="shared" si="3"/>
        <v>47</v>
      </c>
      <c r="DY48" s="363">
        <f t="shared" si="4"/>
        <v>28</v>
      </c>
      <c r="DZ48" s="344">
        <f>VLOOKUP(C48,Lab!B43:D112,3,FALSE)</f>
        <v>0</v>
      </c>
      <c r="EA48" s="345">
        <f>VLOOKUP(C48,Lab!B43:E112,4,FALSE)</f>
        <v>0</v>
      </c>
      <c r="EB48" s="345">
        <f>VLOOKUP(C48,Lab!B43:F112,5,FALSE)</f>
        <v>0</v>
      </c>
      <c r="EC48" s="329">
        <f t="shared" si="37"/>
        <v>0</v>
      </c>
      <c r="ED48" s="346">
        <f>VLOOKUP(C48,Lab!B43:G112,6,FALSE)</f>
        <v>0</v>
      </c>
      <c r="EE48" s="346">
        <f>VLOOKUP(C48,Lab!B43:H112,7,FALSE)</f>
        <v>0</v>
      </c>
      <c r="EF48" s="347">
        <f>VLOOKUP(C48,Lab!B43:I112,8,FALSE)</f>
        <v>0</v>
      </c>
      <c r="EG48" s="330">
        <f t="shared" si="38"/>
        <v>0</v>
      </c>
      <c r="EH48" s="390">
        <f t="shared" si="28"/>
        <v>0</v>
      </c>
      <c r="EI48" s="349">
        <f t="shared" si="29"/>
        <v>0</v>
      </c>
      <c r="EJ48" s="391">
        <f t="shared" si="5"/>
        <v>28</v>
      </c>
      <c r="EK48" s="258">
        <v>43</v>
      </c>
      <c r="EM48" s="350">
        <f>VLOOKUP(C48,Theory!B51:DL119,114,FALSE)</f>
        <v>0</v>
      </c>
      <c r="EN48" s="350">
        <f>VLOOKUP(C48,Theory!B51:DM119,115,FALSE)</f>
        <v>0</v>
      </c>
      <c r="EO48" s="350">
        <f>VLOOKUP(C48,Theory!B51:DN119,116,FALSE)</f>
        <v>0</v>
      </c>
      <c r="EP48" s="350">
        <f>VLOOKUP(C48,Theory!B51:DO117,117,FALSE)</f>
        <v>0</v>
      </c>
      <c r="EQ48" s="350">
        <f>VLOOKUP(C48,Theory!B51:DP117,118,FALSE)</f>
        <v>0</v>
      </c>
      <c r="ER48" s="351">
        <f>VLOOKUP(C48,Theory!B51:DQ117,119,FALSE)</f>
        <v>0</v>
      </c>
      <c r="ES48" s="327">
        <f>VLOOKUP(C48,Theory!B51:DR117,120,FALSE)</f>
        <v>0</v>
      </c>
      <c r="ET48" s="348">
        <f t="shared" si="39"/>
        <v>0</v>
      </c>
      <c r="EU48" s="352"/>
      <c r="EV48" s="352"/>
      <c r="EW48" s="352"/>
      <c r="EX48" s="352"/>
      <c r="EY48" s="352"/>
      <c r="EZ48" s="352"/>
      <c r="FA48" s="352"/>
      <c r="FB48" s="352"/>
      <c r="FC48" s="352"/>
      <c r="FD48" s="352"/>
    </row>
    <row r="49" spans="1:160" ht="16.2" thickBot="1" x14ac:dyDescent="0.35">
      <c r="A49" s="64">
        <v>36</v>
      </c>
      <c r="B49" s="17" t="str">
        <f>Theory!C52</f>
        <v>AKSHATA PUJAR</v>
      </c>
      <c r="C49" s="16" t="str">
        <f>Theory!B52</f>
        <v>1DS22AI400</v>
      </c>
      <c r="D49" s="334">
        <f>VLOOKUP(C49,Theory!B52:D120,3,FALSE)</f>
        <v>7</v>
      </c>
      <c r="E49" s="334">
        <f>VLOOKUP(C49,Theory!B52:E120,4,FALSE)</f>
        <v>0</v>
      </c>
      <c r="F49" s="334">
        <f>VLOOKUP(C49,Theory!B52:F120,5,FALSE)</f>
        <v>0</v>
      </c>
      <c r="G49" s="334">
        <f>VLOOKUP(C49,Theory!B52:G120,6,FALSE)</f>
        <v>0</v>
      </c>
      <c r="H49" s="335">
        <f t="shared" si="6"/>
        <v>7</v>
      </c>
      <c r="I49" s="338">
        <f>VLOOKUP(C49,Theory!B52:H120,7,FALSE)</f>
        <v>6</v>
      </c>
      <c r="J49" s="337">
        <f>VLOOKUP(C49,Theory!B52:I120,8,FALSE)</f>
        <v>0</v>
      </c>
      <c r="K49" s="337">
        <f>VLOOKUP(C49,Theory!B52:J120,9,FALSE)</f>
        <v>0</v>
      </c>
      <c r="L49" s="337">
        <f>VLOOKUP(C49,Theory!B52:K120,10,FALSE)</f>
        <v>0</v>
      </c>
      <c r="M49" s="335">
        <f t="shared" si="7"/>
        <v>6</v>
      </c>
      <c r="N49" s="336">
        <f>VLOOKUP(C49,Theory!B52:L120,11,FALSE)</f>
        <v>7</v>
      </c>
      <c r="O49" s="336">
        <f>VLOOKUP(C49,Theory!B52:M120,12,FALSE)</f>
        <v>0</v>
      </c>
      <c r="P49" s="336">
        <f>VLOOKUP(C49,Theory!B52:N120,13,FALSE)</f>
        <v>0</v>
      </c>
      <c r="Q49" s="336">
        <f>VLOOKUP(C49,Theory!B52:O120,14,FALSE)</f>
        <v>0</v>
      </c>
      <c r="R49" s="337">
        <f>VLOOKUP(C49,Theory!B52:P120,15,FALSE)</f>
        <v>0</v>
      </c>
      <c r="S49" s="337">
        <f>VLOOKUP(C49,Theory!B52:Q120,16,FALSE)</f>
        <v>0</v>
      </c>
      <c r="T49" s="337">
        <f>VLOOKUP(C49,Theory!B52:R120,17,FALSE)</f>
        <v>0</v>
      </c>
      <c r="U49" s="337">
        <f>VLOOKUP(C49,Theory!B52:S120,18,FALSE)</f>
        <v>0</v>
      </c>
      <c r="V49" s="335">
        <f t="shared" si="8"/>
        <v>7</v>
      </c>
      <c r="W49" s="334">
        <f>VLOOKUP(C49,Theory!B52:T120,19,FALSE)</f>
        <v>7</v>
      </c>
      <c r="X49" s="334">
        <f>VLOOKUP(C49,Theory!B52:U120,20,FALSE)</f>
        <v>0</v>
      </c>
      <c r="Y49" s="334">
        <f>VLOOKUP(C49,Theory!B52:V120,21,FALSE)</f>
        <v>0</v>
      </c>
      <c r="Z49" s="334">
        <f>VLOOKUP(C49,Theory!B52:W120,22,FALSE)</f>
        <v>0</v>
      </c>
      <c r="AA49" s="338">
        <f>VLOOKUP(C49,Theory!B52:X120,23,FALSE)</f>
        <v>0</v>
      </c>
      <c r="AB49" s="338">
        <f>VLOOKUP(C49,Theory!B52:Y120,24,FALSE)</f>
        <v>0</v>
      </c>
      <c r="AC49" s="338">
        <f>VLOOKUP(C49,Theory!B52:Z120,25,FALSE)</f>
        <v>0</v>
      </c>
      <c r="AD49" s="338">
        <f>VLOOKUP(C49,Theory!B52:AA120,26,FALSE)</f>
        <v>0</v>
      </c>
      <c r="AE49" s="335">
        <f t="shared" si="9"/>
        <v>7</v>
      </c>
      <c r="AF49" s="334">
        <f>VLOOKUP(C49,Theory!B52:AB120,27,FALSE)</f>
        <v>8</v>
      </c>
      <c r="AG49" s="334">
        <f>VLOOKUP(C49,Theory!B52:AC120,28,FALSE)</f>
        <v>0</v>
      </c>
      <c r="AH49" s="334">
        <f>VLOOKUP(C49,Theory!B52:AD120,29,FALSE)</f>
        <v>0</v>
      </c>
      <c r="AI49" s="334">
        <f>VLOOKUP(C49,Theory!B52:AE120,30,FALSE)</f>
        <v>0</v>
      </c>
      <c r="AJ49" s="339">
        <f>VLOOKUP(C49,Theory!B52:AF120,31,FALSE)</f>
        <v>0</v>
      </c>
      <c r="AK49" s="339">
        <f>VLOOKUP(C49,Theory!B52:AG120,32,FALSE)</f>
        <v>0</v>
      </c>
      <c r="AL49" s="339">
        <f>VLOOKUP(C49,Theory!B52:AH120,33,FALSE)</f>
        <v>0</v>
      </c>
      <c r="AM49" s="339">
        <f>VLOOKUP(C49,Theory!B52:AI120,34,FALSE)</f>
        <v>0</v>
      </c>
      <c r="AN49" s="335">
        <f t="shared" si="10"/>
        <v>8</v>
      </c>
      <c r="AO49" s="333">
        <f t="shared" si="0"/>
        <v>35</v>
      </c>
      <c r="AP49" s="340">
        <f>VLOOKUP(C49,Theory!B52:AJ120,35,FALSE)</f>
        <v>9</v>
      </c>
      <c r="AQ49" s="340">
        <f>VLOOKUP(C49,Theory!B52:AK120,36,FALSE)</f>
        <v>0</v>
      </c>
      <c r="AR49" s="340">
        <f>VLOOKUP(C49,Theory!B52:AL120,37,FALSE)</f>
        <v>0</v>
      </c>
      <c r="AS49" s="340">
        <f>VLOOKUP(C49,Theory!B52:AM120,38,FALSE)</f>
        <v>0</v>
      </c>
      <c r="AT49" s="335">
        <f t="shared" si="11"/>
        <v>9</v>
      </c>
      <c r="AU49" s="340">
        <f>VLOOKUP(C49,Theory!B52:AN120,39,FALSE)</f>
        <v>6</v>
      </c>
      <c r="AV49" s="340">
        <f>VLOOKUP(C49,Theory!B52:AO120,40,FALSE)</f>
        <v>0</v>
      </c>
      <c r="AW49" s="340">
        <f>VLOOKUP(C49,Theory!B52:AP120,41,FALSE)</f>
        <v>0</v>
      </c>
      <c r="AX49" s="340">
        <f>VLOOKUP(C49,Theory!B52:AQ120,42,FALSE)</f>
        <v>0</v>
      </c>
      <c r="AY49" s="335">
        <f t="shared" si="12"/>
        <v>6</v>
      </c>
      <c r="AZ49" s="340">
        <f>VLOOKUP(C49,Theory!B52:AR120,43,FALSE)</f>
        <v>9</v>
      </c>
      <c r="BA49" s="340">
        <f>VLOOKUP(C49,Theory!B52:AS120,44,FALSE)</f>
        <v>0</v>
      </c>
      <c r="BB49" s="340">
        <f>VLOOKUP(C49,Theory!B52:AT120,45,FALSE)</f>
        <v>0</v>
      </c>
      <c r="BC49" s="340">
        <f>VLOOKUP(C49,Theory!B52:AU120,46,FALSE)</f>
        <v>0</v>
      </c>
      <c r="BD49" s="340">
        <f>VLOOKUP(C49,Theory!B52:AV120,47,FALSE)</f>
        <v>0</v>
      </c>
      <c r="BE49" s="340">
        <f>VLOOKUP(C49,Theory!B52:AW120,48,FALSE)</f>
        <v>0</v>
      </c>
      <c r="BF49" s="340">
        <f>VLOOKUP(C49,Theory!B52:AX120,49,FALSE)</f>
        <v>0</v>
      </c>
      <c r="BG49" s="340">
        <f>VLOOKUP(C49,Theory!B52:AY120,50,FALSE)</f>
        <v>0</v>
      </c>
      <c r="BH49" s="335">
        <f t="shared" si="13"/>
        <v>9</v>
      </c>
      <c r="BI49" s="340">
        <f>VLOOKUP(C49,Theory!B52:AZ120,51,FALSE)</f>
        <v>8</v>
      </c>
      <c r="BJ49" s="340">
        <f>VLOOKUP(C49,Theory!B52:BA120,52,FALSE)</f>
        <v>0</v>
      </c>
      <c r="BK49" s="340">
        <f>VLOOKUP(C49,Theory!B52:BB120,53,FALSE)</f>
        <v>0</v>
      </c>
      <c r="BL49" s="340">
        <f>VLOOKUP(C49,Theory!B52:BC120,54,FALSE)</f>
        <v>0</v>
      </c>
      <c r="BM49" s="340">
        <f>VLOOKUP(C49,Theory!B52:BD120,55,FALSE)</f>
        <v>0</v>
      </c>
      <c r="BN49" s="340">
        <f>VLOOKUP(C49,Theory!B52:BE120,56,FALSE)</f>
        <v>0</v>
      </c>
      <c r="BO49" s="340">
        <f>VLOOKUP(C49,Theory!B52:BF120,57,FALSE)</f>
        <v>0</v>
      </c>
      <c r="BP49" s="340">
        <f>VLOOKUP(C49,Theory!B52:BG120,58,FALSE)</f>
        <v>0</v>
      </c>
      <c r="BQ49" s="335">
        <f t="shared" si="14"/>
        <v>8</v>
      </c>
      <c r="BR49" s="340">
        <f>VLOOKUP(C49,Theory!B52:BH120,59,FALSE)</f>
        <v>8</v>
      </c>
      <c r="BS49" s="340">
        <f>VLOOKUP(C49,Theory!B52:BI120,60,FALSE)</f>
        <v>0</v>
      </c>
      <c r="BT49" s="340">
        <f>VLOOKUP(C49,Theory!B52:BJ120,61,FALSE)</f>
        <v>0</v>
      </c>
      <c r="BU49" s="340">
        <f>VLOOKUP(C49,Theory!B52:BK120,62,FALSE)</f>
        <v>0</v>
      </c>
      <c r="BV49" s="340">
        <f>VLOOKUP(C49,Theory!B52:BL120,63,FALSE)</f>
        <v>0</v>
      </c>
      <c r="BW49" s="340">
        <f>VLOOKUP(C49,Theory!B52:BM120,64,FALSE)</f>
        <v>0</v>
      </c>
      <c r="BX49" s="340">
        <f>VLOOKUP(C49,Theory!B52:BN120,65,FALSE)</f>
        <v>0</v>
      </c>
      <c r="BY49" s="340">
        <f>VLOOKUP(C49,Theory!B52:BO120,66,FALSE)</f>
        <v>0</v>
      </c>
      <c r="BZ49" s="335">
        <f t="shared" si="15"/>
        <v>8</v>
      </c>
      <c r="CA49" s="333">
        <f t="shared" si="1"/>
        <v>40</v>
      </c>
      <c r="CB49" s="340">
        <f>VLOOKUP(C49,Theory!B52:BP120,67,FALSE)</f>
        <v>9</v>
      </c>
      <c r="CC49" s="340">
        <f>VLOOKUP(C49,Theory!B52:BQ120,68,FALSE)</f>
        <v>0</v>
      </c>
      <c r="CD49" s="340">
        <f>VLOOKUP(C49,Theory!B52:BR120,69,FALSE)</f>
        <v>0</v>
      </c>
      <c r="CE49" s="340">
        <f>VLOOKUP(C49,Theory!B52:BS120,70,FALSE)</f>
        <v>0</v>
      </c>
      <c r="CF49" s="335">
        <f t="shared" si="16"/>
        <v>9</v>
      </c>
      <c r="CG49" s="341">
        <f>VLOOKUP(C49,Theory!B52:BT120,71,FALSE)</f>
        <v>6</v>
      </c>
      <c r="CH49" s="341">
        <f>VLOOKUP(C49,Theory!B52:BU120,72,FALSE)</f>
        <v>0</v>
      </c>
      <c r="CI49" s="341">
        <f>VLOOKUP(C49,Theory!B52:BV120,73,FALSE)</f>
        <v>0</v>
      </c>
      <c r="CJ49" s="341">
        <f>VLOOKUP(C49,Theory!B52:BW120,74,FALSE)</f>
        <v>0</v>
      </c>
      <c r="CK49" s="335">
        <f t="shared" si="17"/>
        <v>6</v>
      </c>
      <c r="CL49" s="340">
        <f>VLOOKUP(C49,Theory!B52:BX120,75,FALSE)</f>
        <v>0</v>
      </c>
      <c r="CM49" s="342">
        <f>VLOOKUP(C49,Theory!B52:BY120,76,FALSE)</f>
        <v>0</v>
      </c>
      <c r="CN49" s="342">
        <f>VLOOKUP(C49,Theory!B52:BZ120,77,FALSE)</f>
        <v>0</v>
      </c>
      <c r="CO49" s="342">
        <f>VLOOKUP(C49,Theory!B52:CA120,78,FALSE)</f>
        <v>0</v>
      </c>
      <c r="CP49" s="340">
        <f>VLOOKUP(C49,Theory!B52:CB120,79,FALSE)</f>
        <v>8</v>
      </c>
      <c r="CQ49" s="340">
        <f>VLOOKUP(C49,Theory!B52:CC120,80,FALSE)</f>
        <v>0</v>
      </c>
      <c r="CR49" s="340">
        <f>VLOOKUP(C49,Theory!B52:CD120,81,FALSE)</f>
        <v>0</v>
      </c>
      <c r="CS49" s="340">
        <f>VLOOKUP(C49,Theory!B52:CE120,82,FALSE)</f>
        <v>0</v>
      </c>
      <c r="CT49" s="335">
        <f t="shared" si="18"/>
        <v>8</v>
      </c>
      <c r="CU49" s="341">
        <f>VLOOKUP(C49,Theory!B52:CF120,83,FALSE)</f>
        <v>10</v>
      </c>
      <c r="CV49" s="342">
        <f>VLOOKUP(C49,Theory!B52:CG120,84,FALSE)</f>
        <v>0</v>
      </c>
      <c r="CW49" s="342">
        <f>VLOOKUP(C49,Theory!B52:CH120,85,FALSE)</f>
        <v>0</v>
      </c>
      <c r="CX49" s="342">
        <f>VLOOKUP(C49,Theory!B52:CI120,86,FALSE)</f>
        <v>0</v>
      </c>
      <c r="CY49" s="341">
        <f>VLOOKUP(C49,Theory!B52:CJ120,87,FALSE)</f>
        <v>0</v>
      </c>
      <c r="CZ49" s="341">
        <f>VLOOKUP(C49,Theory!B52:CK120,88,FALSE)</f>
        <v>0</v>
      </c>
      <c r="DA49" s="341">
        <f>VLOOKUP(C49,Theory!B52:CL120,89,FALSE)</f>
        <v>0</v>
      </c>
      <c r="DB49" s="341">
        <f>VLOOKUP(C49,Theory!B52:CM120,90,FALSE)</f>
        <v>0</v>
      </c>
      <c r="DC49" s="335">
        <f t="shared" si="19"/>
        <v>10</v>
      </c>
      <c r="DD49" s="340">
        <f>VLOOKUP(C49,Theory!B52:CN120,91,FALSE)</f>
        <v>0</v>
      </c>
      <c r="DE49" s="342">
        <f>VLOOKUP(C49,Theory!B52:CO120,92,FALSE)</f>
        <v>0</v>
      </c>
      <c r="DF49" s="342">
        <f>VLOOKUP(C49,Theory!B52:CP120,93,FALSE)</f>
        <v>0</v>
      </c>
      <c r="DG49" s="342">
        <f>VLOOKUP(C49,Theory!B52:CQ120,94,FALSE)</f>
        <v>0</v>
      </c>
      <c r="DH49" s="340">
        <f>VLOOKUP(C49,Theory!B52:CR120,95,FALSE)</f>
        <v>10</v>
      </c>
      <c r="DI49" s="340">
        <f>VLOOKUP(C49,Theory!B52:CS120,96,FALSE)</f>
        <v>0</v>
      </c>
      <c r="DJ49" s="340">
        <f>VLOOKUP(C49,Theory!B52:CT120,97,FALSE)</f>
        <v>0</v>
      </c>
      <c r="DK49" s="340">
        <f>VLOOKUP(C49,Theory!B52:CU120,98,FALSE)</f>
        <v>0</v>
      </c>
      <c r="DL49" s="335">
        <f t="shared" si="20"/>
        <v>10</v>
      </c>
      <c r="DM49" s="265">
        <f t="shared" si="2"/>
        <v>43</v>
      </c>
      <c r="DN49" s="362">
        <f t="shared" si="40"/>
        <v>35</v>
      </c>
      <c r="DO49" s="362">
        <f t="shared" si="41"/>
        <v>40</v>
      </c>
      <c r="DP49" s="362">
        <f t="shared" si="42"/>
        <v>43</v>
      </c>
      <c r="DQ49" s="343">
        <f t="shared" si="43"/>
        <v>21</v>
      </c>
      <c r="DR49" s="343">
        <f t="shared" si="44"/>
        <v>24</v>
      </c>
      <c r="DS49" s="343">
        <f t="shared" si="45"/>
        <v>26</v>
      </c>
      <c r="DT49" s="328">
        <f t="shared" si="36"/>
        <v>24</v>
      </c>
      <c r="DU49" s="326">
        <f>VLOOKUP(C49,Theory!B52:CV120,99,FALSE)</f>
        <v>10</v>
      </c>
      <c r="DV49" s="326">
        <f>VLOOKUP(C49,Theory!B52:CW120,100,FALSE)</f>
        <v>10</v>
      </c>
      <c r="DW49" s="331">
        <f t="shared" si="27"/>
        <v>20</v>
      </c>
      <c r="DX49" s="266">
        <f t="shared" si="3"/>
        <v>44</v>
      </c>
      <c r="DY49" s="363">
        <f t="shared" si="4"/>
        <v>26</v>
      </c>
      <c r="DZ49" s="344">
        <f>VLOOKUP(C49,Lab!B44:D113,3,FALSE)</f>
        <v>0</v>
      </c>
      <c r="EA49" s="345">
        <f>VLOOKUP(C49,Lab!B44:E113,4,FALSE)</f>
        <v>0</v>
      </c>
      <c r="EB49" s="345">
        <f>VLOOKUP(C49,Lab!B44:F113,5,FALSE)</f>
        <v>0</v>
      </c>
      <c r="EC49" s="329">
        <f t="shared" si="37"/>
        <v>0</v>
      </c>
      <c r="ED49" s="346">
        <f>VLOOKUP(C49,Lab!B44:G113,6,FALSE)</f>
        <v>0</v>
      </c>
      <c r="EE49" s="346">
        <f>VLOOKUP(C49,Lab!B44:H113,7,FALSE)</f>
        <v>0</v>
      </c>
      <c r="EF49" s="347">
        <f>VLOOKUP(C49,Lab!B44:I113,8,FALSE)</f>
        <v>0</v>
      </c>
      <c r="EG49" s="330">
        <f t="shared" si="38"/>
        <v>0</v>
      </c>
      <c r="EH49" s="390">
        <f t="shared" si="28"/>
        <v>0</v>
      </c>
      <c r="EI49" s="349">
        <f t="shared" si="29"/>
        <v>0</v>
      </c>
      <c r="EJ49" s="391">
        <f t="shared" si="5"/>
        <v>26</v>
      </c>
      <c r="EK49" s="258">
        <v>41</v>
      </c>
      <c r="EM49" s="350">
        <f>VLOOKUP(C49,Theory!B52:DL120,114,FALSE)</f>
        <v>0</v>
      </c>
      <c r="EN49" s="350">
        <f>VLOOKUP(C49,Theory!B52:DM120,115,FALSE)</f>
        <v>0</v>
      </c>
      <c r="EO49" s="350">
        <f>VLOOKUP(C49,Theory!B52:DN120,116,FALSE)</f>
        <v>0</v>
      </c>
      <c r="EP49" s="350">
        <f>VLOOKUP(C49,Theory!B52:DO118,117,FALSE)</f>
        <v>0</v>
      </c>
      <c r="EQ49" s="350">
        <f>VLOOKUP(C49,Theory!B52:DP118,118,FALSE)</f>
        <v>0</v>
      </c>
      <c r="ER49" s="351">
        <f>VLOOKUP(C49,Theory!B52:DQ118,119,FALSE)</f>
        <v>0</v>
      </c>
      <c r="ES49" s="327">
        <f>VLOOKUP(C49,Theory!B52:DR118,120,FALSE)</f>
        <v>0</v>
      </c>
      <c r="ET49" s="348">
        <f t="shared" si="39"/>
        <v>0</v>
      </c>
      <c r="EU49" s="352"/>
      <c r="EV49" s="352"/>
      <c r="EW49" s="352"/>
      <c r="EX49" s="352"/>
      <c r="EY49" s="352"/>
      <c r="EZ49" s="352"/>
      <c r="FA49" s="352"/>
      <c r="FB49" s="352"/>
      <c r="FC49" s="352"/>
      <c r="FD49" s="352"/>
    </row>
    <row r="50" spans="1:160" ht="16.2" thickBot="1" x14ac:dyDescent="0.35">
      <c r="A50" s="64">
        <v>37</v>
      </c>
      <c r="B50" s="17" t="str">
        <f>Theory!C53</f>
        <v>MEGHANA M D</v>
      </c>
      <c r="C50" s="16" t="str">
        <f>Theory!B53</f>
        <v>1DS22AI401</v>
      </c>
      <c r="D50" s="334">
        <f>VLOOKUP(C50,Theory!B53:D121,3,FALSE)</f>
        <v>9</v>
      </c>
      <c r="E50" s="334">
        <f>VLOOKUP(C50,Theory!B53:E121,4,FALSE)</f>
        <v>0</v>
      </c>
      <c r="F50" s="334">
        <f>VLOOKUP(C50,Theory!B53:F121,5,FALSE)</f>
        <v>0</v>
      </c>
      <c r="G50" s="334">
        <f>VLOOKUP(C50,Theory!B53:G121,6,FALSE)</f>
        <v>0</v>
      </c>
      <c r="H50" s="335">
        <f t="shared" si="6"/>
        <v>9</v>
      </c>
      <c r="I50" s="338">
        <f>VLOOKUP(C50,Theory!B53:H121,7,FALSE)</f>
        <v>7</v>
      </c>
      <c r="J50" s="337">
        <f>VLOOKUP(C50,Theory!B53:I121,8,FALSE)</f>
        <v>0</v>
      </c>
      <c r="K50" s="337">
        <f>VLOOKUP(C50,Theory!B53:J121,9,FALSE)</f>
        <v>0</v>
      </c>
      <c r="L50" s="337">
        <f>VLOOKUP(C50,Theory!B53:K121,10,FALSE)</f>
        <v>0</v>
      </c>
      <c r="M50" s="335">
        <f t="shared" si="7"/>
        <v>7</v>
      </c>
      <c r="N50" s="336">
        <f>VLOOKUP(C50,Theory!B53:L121,11,FALSE)</f>
        <v>7</v>
      </c>
      <c r="O50" s="336">
        <f>VLOOKUP(C50,Theory!B53:M121,12,FALSE)</f>
        <v>0</v>
      </c>
      <c r="P50" s="336">
        <f>VLOOKUP(C50,Theory!B53:N121,13,FALSE)</f>
        <v>0</v>
      </c>
      <c r="Q50" s="336">
        <f>VLOOKUP(C50,Theory!B53:O121,14,FALSE)</f>
        <v>0</v>
      </c>
      <c r="R50" s="337">
        <f>VLOOKUP(C50,Theory!B53:P121,15,FALSE)</f>
        <v>0</v>
      </c>
      <c r="S50" s="337">
        <f>VLOOKUP(C50,Theory!B53:Q121,16,FALSE)</f>
        <v>0</v>
      </c>
      <c r="T50" s="337">
        <f>VLOOKUP(C50,Theory!B53:R121,17,FALSE)</f>
        <v>0</v>
      </c>
      <c r="U50" s="337">
        <f>VLOOKUP(C50,Theory!B53:S121,18,FALSE)</f>
        <v>0</v>
      </c>
      <c r="V50" s="335">
        <f t="shared" si="8"/>
        <v>7</v>
      </c>
      <c r="W50" s="334">
        <f>VLOOKUP(C50,Theory!B53:T121,19,FALSE)</f>
        <v>0</v>
      </c>
      <c r="X50" s="334">
        <f>VLOOKUP(C50,Theory!B53:U121,20,FALSE)</f>
        <v>0</v>
      </c>
      <c r="Y50" s="334">
        <f>VLOOKUP(C50,Theory!B53:V121,21,FALSE)</f>
        <v>0</v>
      </c>
      <c r="Z50" s="334">
        <f>VLOOKUP(C50,Theory!B53:W121,22,FALSE)</f>
        <v>0</v>
      </c>
      <c r="AA50" s="338">
        <f>VLOOKUP(C50,Theory!B53:X121,23,FALSE)</f>
        <v>8</v>
      </c>
      <c r="AB50" s="338">
        <f>VLOOKUP(C50,Theory!B53:Y121,24,FALSE)</f>
        <v>0</v>
      </c>
      <c r="AC50" s="338">
        <f>VLOOKUP(C50,Theory!B53:Z121,25,FALSE)</f>
        <v>0</v>
      </c>
      <c r="AD50" s="338">
        <f>VLOOKUP(C50,Theory!B53:AA121,26,FALSE)</f>
        <v>0</v>
      </c>
      <c r="AE50" s="335">
        <f t="shared" si="9"/>
        <v>8</v>
      </c>
      <c r="AF50" s="334">
        <f>VLOOKUP(C50,Theory!B53:AB121,27,FALSE)</f>
        <v>9</v>
      </c>
      <c r="AG50" s="334">
        <f>VLOOKUP(C50,Theory!B53:AC121,28,FALSE)</f>
        <v>0</v>
      </c>
      <c r="AH50" s="334">
        <f>VLOOKUP(C50,Theory!B53:AD121,29,FALSE)</f>
        <v>0</v>
      </c>
      <c r="AI50" s="334">
        <f>VLOOKUP(C50,Theory!B53:AE121,30,FALSE)</f>
        <v>0</v>
      </c>
      <c r="AJ50" s="339">
        <f>VLOOKUP(C50,Theory!B53:AF121,31,FALSE)</f>
        <v>0</v>
      </c>
      <c r="AK50" s="339">
        <f>VLOOKUP(C50,Theory!B53:AG121,32,FALSE)</f>
        <v>0</v>
      </c>
      <c r="AL50" s="339">
        <f>VLOOKUP(C50,Theory!B53:AH121,33,FALSE)</f>
        <v>0</v>
      </c>
      <c r="AM50" s="339">
        <f>VLOOKUP(C50,Theory!B53:AI121,34,FALSE)</f>
        <v>0</v>
      </c>
      <c r="AN50" s="335">
        <f t="shared" si="10"/>
        <v>9</v>
      </c>
      <c r="AO50" s="333">
        <f t="shared" si="0"/>
        <v>40</v>
      </c>
      <c r="AP50" s="340">
        <f>VLOOKUP(C50,Theory!B53:AJ121,35,FALSE)</f>
        <v>8</v>
      </c>
      <c r="AQ50" s="340">
        <f>VLOOKUP(C50,Theory!B53:AK121,36,FALSE)</f>
        <v>0</v>
      </c>
      <c r="AR50" s="340">
        <f>VLOOKUP(C50,Theory!B53:AL121,37,FALSE)</f>
        <v>0</v>
      </c>
      <c r="AS50" s="340">
        <f>VLOOKUP(C50,Theory!B53:AM121,38,FALSE)</f>
        <v>0</v>
      </c>
      <c r="AT50" s="335">
        <f t="shared" si="11"/>
        <v>8</v>
      </c>
      <c r="AU50" s="340">
        <f>VLOOKUP(C50,Theory!B53:AN121,39,FALSE)</f>
        <v>9</v>
      </c>
      <c r="AV50" s="340">
        <f>VLOOKUP(C50,Theory!B53:AO121,40,FALSE)</f>
        <v>0</v>
      </c>
      <c r="AW50" s="340">
        <f>VLOOKUP(C50,Theory!B53:AP121,41,FALSE)</f>
        <v>0</v>
      </c>
      <c r="AX50" s="340">
        <f>VLOOKUP(C50,Theory!B53:AQ121,42,FALSE)</f>
        <v>0</v>
      </c>
      <c r="AY50" s="335">
        <f t="shared" si="12"/>
        <v>9</v>
      </c>
      <c r="AZ50" s="340">
        <f>VLOOKUP(C50,Theory!B53:AR121,43,FALSE)</f>
        <v>9</v>
      </c>
      <c r="BA50" s="340">
        <f>VLOOKUP(C50,Theory!B53:AS121,44,FALSE)</f>
        <v>0</v>
      </c>
      <c r="BB50" s="340">
        <f>VLOOKUP(C50,Theory!B53:AT121,45,FALSE)</f>
        <v>0</v>
      </c>
      <c r="BC50" s="340">
        <f>VLOOKUP(C50,Theory!B53:AU121,46,FALSE)</f>
        <v>0</v>
      </c>
      <c r="BD50" s="340">
        <f>VLOOKUP(C50,Theory!B53:AV121,47,FALSE)</f>
        <v>0</v>
      </c>
      <c r="BE50" s="340">
        <f>VLOOKUP(C50,Theory!B53:AW121,48,FALSE)</f>
        <v>0</v>
      </c>
      <c r="BF50" s="340">
        <f>VLOOKUP(C50,Theory!B53:AX121,49,FALSE)</f>
        <v>0</v>
      </c>
      <c r="BG50" s="340">
        <f>VLOOKUP(C50,Theory!B53:AY121,50,FALSE)</f>
        <v>0</v>
      </c>
      <c r="BH50" s="335">
        <f t="shared" si="13"/>
        <v>9</v>
      </c>
      <c r="BI50" s="340">
        <f>VLOOKUP(C50,Theory!B53:AZ121,51,FALSE)</f>
        <v>8</v>
      </c>
      <c r="BJ50" s="340">
        <f>VLOOKUP(C50,Theory!B53:BA121,52,FALSE)</f>
        <v>0</v>
      </c>
      <c r="BK50" s="340">
        <f>VLOOKUP(C50,Theory!B53:BB121,53,FALSE)</f>
        <v>0</v>
      </c>
      <c r="BL50" s="340">
        <f>VLOOKUP(C50,Theory!B53:BC121,54,FALSE)</f>
        <v>0</v>
      </c>
      <c r="BM50" s="340">
        <f>VLOOKUP(C50,Theory!B53:BD121,55,FALSE)</f>
        <v>0</v>
      </c>
      <c r="BN50" s="340">
        <f>VLOOKUP(C50,Theory!B53:BE121,56,FALSE)</f>
        <v>0</v>
      </c>
      <c r="BO50" s="340">
        <f>VLOOKUP(C50,Theory!B53:BF121,57,FALSE)</f>
        <v>0</v>
      </c>
      <c r="BP50" s="340">
        <f>VLOOKUP(C50,Theory!B53:BG121,58,FALSE)</f>
        <v>0</v>
      </c>
      <c r="BQ50" s="335">
        <f t="shared" si="14"/>
        <v>8</v>
      </c>
      <c r="BR50" s="340">
        <f>VLOOKUP(C50,Theory!B53:BH121,59,FALSE)</f>
        <v>8</v>
      </c>
      <c r="BS50" s="340">
        <f>VLOOKUP(C50,Theory!B53:BI121,60,FALSE)</f>
        <v>0</v>
      </c>
      <c r="BT50" s="340">
        <f>VLOOKUP(C50,Theory!B53:BJ121,61,FALSE)</f>
        <v>0</v>
      </c>
      <c r="BU50" s="340">
        <f>VLOOKUP(C50,Theory!B53:BK121,62,FALSE)</f>
        <v>0</v>
      </c>
      <c r="BV50" s="340">
        <f>VLOOKUP(C50,Theory!B53:BL121,63,FALSE)</f>
        <v>0</v>
      </c>
      <c r="BW50" s="340">
        <f>VLOOKUP(C50,Theory!B53:BM121,64,FALSE)</f>
        <v>0</v>
      </c>
      <c r="BX50" s="340">
        <f>VLOOKUP(C50,Theory!B53:BN121,65,FALSE)</f>
        <v>0</v>
      </c>
      <c r="BY50" s="340">
        <f>VLOOKUP(C50,Theory!B53:BO121,66,FALSE)</f>
        <v>0</v>
      </c>
      <c r="BZ50" s="335">
        <f t="shared" si="15"/>
        <v>8</v>
      </c>
      <c r="CA50" s="333">
        <f t="shared" si="1"/>
        <v>42</v>
      </c>
      <c r="CB50" s="340">
        <f>VLOOKUP(C50,Theory!B53:BP121,67,FALSE)</f>
        <v>7</v>
      </c>
      <c r="CC50" s="340">
        <f>VLOOKUP(C50,Theory!B53:BQ121,68,FALSE)</f>
        <v>0</v>
      </c>
      <c r="CD50" s="340">
        <f>VLOOKUP(C50,Theory!B53:BR121,69,FALSE)</f>
        <v>0</v>
      </c>
      <c r="CE50" s="340">
        <f>VLOOKUP(C50,Theory!B53:BS121,70,FALSE)</f>
        <v>0</v>
      </c>
      <c r="CF50" s="335">
        <f t="shared" si="16"/>
        <v>7</v>
      </c>
      <c r="CG50" s="341">
        <f>VLOOKUP(C50,Theory!B53:BT121,71,FALSE)</f>
        <v>6</v>
      </c>
      <c r="CH50" s="341">
        <f>VLOOKUP(C50,Theory!B53:BU121,72,FALSE)</f>
        <v>0</v>
      </c>
      <c r="CI50" s="341">
        <f>VLOOKUP(C50,Theory!B53:BV121,73,FALSE)</f>
        <v>0</v>
      </c>
      <c r="CJ50" s="341">
        <f>VLOOKUP(C50,Theory!B53:BW121,74,FALSE)</f>
        <v>0</v>
      </c>
      <c r="CK50" s="335">
        <f t="shared" si="17"/>
        <v>6</v>
      </c>
      <c r="CL50" s="340">
        <f>VLOOKUP(C50,Theory!B53:BX121,75,FALSE)</f>
        <v>9</v>
      </c>
      <c r="CM50" s="342">
        <f>VLOOKUP(C50,Theory!B53:BY121,76,FALSE)</f>
        <v>0</v>
      </c>
      <c r="CN50" s="342">
        <f>VLOOKUP(C50,Theory!B53:BZ121,77,FALSE)</f>
        <v>0</v>
      </c>
      <c r="CO50" s="342">
        <f>VLOOKUP(C50,Theory!B53:CA121,78,FALSE)</f>
        <v>0</v>
      </c>
      <c r="CP50" s="340">
        <f>VLOOKUP(C50,Theory!B53:CB121,79,FALSE)</f>
        <v>0</v>
      </c>
      <c r="CQ50" s="340">
        <f>VLOOKUP(C50,Theory!B53:CC121,80,FALSE)</f>
        <v>0</v>
      </c>
      <c r="CR50" s="340">
        <f>VLOOKUP(C50,Theory!B53:CD121,81,FALSE)</f>
        <v>0</v>
      </c>
      <c r="CS50" s="340">
        <f>VLOOKUP(C50,Theory!B53:CE121,82,FALSE)</f>
        <v>0</v>
      </c>
      <c r="CT50" s="335">
        <f t="shared" si="18"/>
        <v>9</v>
      </c>
      <c r="CU50" s="341">
        <f>VLOOKUP(C50,Theory!B53:CF121,83,FALSE)</f>
        <v>9</v>
      </c>
      <c r="CV50" s="342">
        <f>VLOOKUP(C50,Theory!B53:CG121,84,FALSE)</f>
        <v>0</v>
      </c>
      <c r="CW50" s="342">
        <f>VLOOKUP(C50,Theory!B53:CH121,85,FALSE)</f>
        <v>0</v>
      </c>
      <c r="CX50" s="342">
        <f>VLOOKUP(C50,Theory!B53:CI121,86,FALSE)</f>
        <v>0</v>
      </c>
      <c r="CY50" s="341">
        <f>VLOOKUP(C50,Theory!B53:CJ121,87,FALSE)</f>
        <v>0</v>
      </c>
      <c r="CZ50" s="341">
        <f>VLOOKUP(C50,Theory!B53:CK121,88,FALSE)</f>
        <v>0</v>
      </c>
      <c r="DA50" s="341">
        <f>VLOOKUP(C50,Theory!B53:CL121,89,FALSE)</f>
        <v>0</v>
      </c>
      <c r="DB50" s="341">
        <f>VLOOKUP(C50,Theory!B53:CM121,90,FALSE)</f>
        <v>0</v>
      </c>
      <c r="DC50" s="335">
        <f t="shared" si="19"/>
        <v>9</v>
      </c>
      <c r="DD50" s="340">
        <f>VLOOKUP(C50,Theory!B53:CN121,91,FALSE)</f>
        <v>0</v>
      </c>
      <c r="DE50" s="342">
        <f>VLOOKUP(C50,Theory!B53:CO121,92,FALSE)</f>
        <v>0</v>
      </c>
      <c r="DF50" s="342">
        <f>VLOOKUP(C50,Theory!B53:CP121,93,FALSE)</f>
        <v>0</v>
      </c>
      <c r="DG50" s="342">
        <f>VLOOKUP(C50,Theory!B53:CQ121,94,FALSE)</f>
        <v>0</v>
      </c>
      <c r="DH50" s="340">
        <f>VLOOKUP(C50,Theory!B53:CR121,95,FALSE)</f>
        <v>10</v>
      </c>
      <c r="DI50" s="340">
        <f>VLOOKUP(C50,Theory!B53:CS121,96,FALSE)</f>
        <v>0</v>
      </c>
      <c r="DJ50" s="340">
        <f>VLOOKUP(C50,Theory!B53:CT121,97,FALSE)</f>
        <v>0</v>
      </c>
      <c r="DK50" s="340">
        <f>VLOOKUP(C50,Theory!B53:CU121,98,FALSE)</f>
        <v>0</v>
      </c>
      <c r="DL50" s="335">
        <f t="shared" si="20"/>
        <v>10</v>
      </c>
      <c r="DM50" s="265">
        <f t="shared" si="2"/>
        <v>41</v>
      </c>
      <c r="DN50" s="362">
        <f t="shared" si="40"/>
        <v>40</v>
      </c>
      <c r="DO50" s="362">
        <f t="shared" si="41"/>
        <v>42</v>
      </c>
      <c r="DP50" s="362">
        <f t="shared" si="42"/>
        <v>41</v>
      </c>
      <c r="DQ50" s="343">
        <f t="shared" si="43"/>
        <v>24</v>
      </c>
      <c r="DR50" s="343">
        <f t="shared" si="44"/>
        <v>25</v>
      </c>
      <c r="DS50" s="343">
        <f t="shared" si="45"/>
        <v>25</v>
      </c>
      <c r="DT50" s="328">
        <f t="shared" si="36"/>
        <v>25</v>
      </c>
      <c r="DU50" s="326">
        <f>VLOOKUP(C50,Theory!B53:CV121,99,FALSE)</f>
        <v>10</v>
      </c>
      <c r="DV50" s="326">
        <f>VLOOKUP(C50,Theory!B53:CW121,100,FALSE)</f>
        <v>10</v>
      </c>
      <c r="DW50" s="331">
        <f t="shared" si="27"/>
        <v>20</v>
      </c>
      <c r="DX50" s="266">
        <f t="shared" si="3"/>
        <v>45</v>
      </c>
      <c r="DY50" s="363">
        <f t="shared" si="4"/>
        <v>27</v>
      </c>
      <c r="DZ50" s="344">
        <f>VLOOKUP(C50,Lab!B45:D114,3,FALSE)</f>
        <v>0</v>
      </c>
      <c r="EA50" s="345">
        <f>VLOOKUP(C50,Lab!B45:E114,4,FALSE)</f>
        <v>0</v>
      </c>
      <c r="EB50" s="345">
        <f>VLOOKUP(C50,Lab!B45:F114,5,FALSE)</f>
        <v>0</v>
      </c>
      <c r="EC50" s="329">
        <f t="shared" si="37"/>
        <v>0</v>
      </c>
      <c r="ED50" s="346">
        <f>VLOOKUP(C50,Lab!B45:G114,6,FALSE)</f>
        <v>0</v>
      </c>
      <c r="EE50" s="346">
        <f>VLOOKUP(C50,Lab!B45:H114,7,FALSE)</f>
        <v>0</v>
      </c>
      <c r="EF50" s="347">
        <f>VLOOKUP(C50,Lab!B45:I114,8,FALSE)</f>
        <v>0</v>
      </c>
      <c r="EG50" s="330">
        <f t="shared" si="38"/>
        <v>0</v>
      </c>
      <c r="EH50" s="390">
        <f t="shared" si="28"/>
        <v>0</v>
      </c>
      <c r="EI50" s="349">
        <f t="shared" si="29"/>
        <v>0</v>
      </c>
      <c r="EJ50" s="391">
        <f t="shared" si="5"/>
        <v>27</v>
      </c>
      <c r="EK50" s="258">
        <v>42</v>
      </c>
      <c r="EM50" s="350">
        <f>VLOOKUP(C50,Theory!B53:DL121,114,FALSE)</f>
        <v>0</v>
      </c>
      <c r="EN50" s="350">
        <f>VLOOKUP(C50,Theory!B53:DM121,115,FALSE)</f>
        <v>0</v>
      </c>
      <c r="EO50" s="350">
        <f>VLOOKUP(C50,Theory!B53:DN121,116,FALSE)</f>
        <v>0</v>
      </c>
      <c r="EP50" s="350">
        <f>VLOOKUP(C50,Theory!B53:DO119,117,FALSE)</f>
        <v>0</v>
      </c>
      <c r="EQ50" s="350">
        <f>VLOOKUP(C50,Theory!B53:DP119,118,FALSE)</f>
        <v>0</v>
      </c>
      <c r="ER50" s="351">
        <f>VLOOKUP(C50,Theory!B53:DQ119,119,FALSE)</f>
        <v>0</v>
      </c>
      <c r="ES50" s="327">
        <f>VLOOKUP(C50,Theory!B53:DR119,120,FALSE)</f>
        <v>0</v>
      </c>
      <c r="ET50" s="348">
        <f t="shared" si="39"/>
        <v>0</v>
      </c>
      <c r="EU50" s="352"/>
      <c r="EV50" s="352"/>
      <c r="EW50" s="352"/>
      <c r="EX50" s="352"/>
      <c r="EY50" s="352"/>
      <c r="EZ50" s="352"/>
      <c r="FA50" s="352"/>
      <c r="FB50" s="352"/>
      <c r="FC50" s="352"/>
      <c r="FD50" s="352"/>
    </row>
    <row r="51" spans="1:160" ht="16.2" thickBot="1" x14ac:dyDescent="0.35">
      <c r="A51" s="64">
        <v>38</v>
      </c>
      <c r="B51" s="17" t="str">
        <f>Theory!C54</f>
        <v>SHAIK SUHANA</v>
      </c>
      <c r="C51" s="16" t="str">
        <f>Theory!B54</f>
        <v>1DS22AI405</v>
      </c>
      <c r="D51" s="334">
        <f>VLOOKUP(C51,Theory!B54:D122,3,FALSE)</f>
        <v>8</v>
      </c>
      <c r="E51" s="334">
        <f>VLOOKUP(C51,Theory!B54:E122,4,FALSE)</f>
        <v>0</v>
      </c>
      <c r="F51" s="334">
        <f>VLOOKUP(C51,Theory!B54:F122,5,FALSE)</f>
        <v>0</v>
      </c>
      <c r="G51" s="334">
        <f>VLOOKUP(C51,Theory!B54:G122,6,FALSE)</f>
        <v>0</v>
      </c>
      <c r="H51" s="335">
        <f t="shared" si="6"/>
        <v>8</v>
      </c>
      <c r="I51" s="338">
        <f>VLOOKUP(C51,Theory!B54:H122,7,FALSE)</f>
        <v>8</v>
      </c>
      <c r="J51" s="337">
        <f>VLOOKUP(C51,Theory!B54:I122,8,FALSE)</f>
        <v>0</v>
      </c>
      <c r="K51" s="337">
        <f>VLOOKUP(C51,Theory!B54:J122,9,FALSE)</f>
        <v>0</v>
      </c>
      <c r="L51" s="337">
        <f>VLOOKUP(C51,Theory!B54:K122,10,FALSE)</f>
        <v>0</v>
      </c>
      <c r="M51" s="335">
        <f t="shared" si="7"/>
        <v>8</v>
      </c>
      <c r="N51" s="336">
        <f>VLOOKUP(C51,Theory!B54:L122,11,FALSE)</f>
        <v>7</v>
      </c>
      <c r="O51" s="336">
        <f>VLOOKUP(C51,Theory!B54:M122,12,FALSE)</f>
        <v>0</v>
      </c>
      <c r="P51" s="336">
        <f>VLOOKUP(C51,Theory!B54:N122,13,FALSE)</f>
        <v>0</v>
      </c>
      <c r="Q51" s="336">
        <f>VLOOKUP(C51,Theory!B54:O122,14,FALSE)</f>
        <v>0</v>
      </c>
      <c r="R51" s="337">
        <f>VLOOKUP(C51,Theory!B54:P122,15,FALSE)</f>
        <v>0</v>
      </c>
      <c r="S51" s="337">
        <f>VLOOKUP(C51,Theory!B54:Q122,16,FALSE)</f>
        <v>0</v>
      </c>
      <c r="T51" s="337">
        <f>VLOOKUP(C51,Theory!B54:R122,17,FALSE)</f>
        <v>0</v>
      </c>
      <c r="U51" s="337">
        <f>VLOOKUP(C51,Theory!B54:S122,18,FALSE)</f>
        <v>0</v>
      </c>
      <c r="V51" s="335">
        <f t="shared" si="8"/>
        <v>7</v>
      </c>
      <c r="W51" s="334">
        <f>VLOOKUP(C51,Theory!B54:T122,19,FALSE)</f>
        <v>9</v>
      </c>
      <c r="X51" s="334">
        <f>VLOOKUP(C51,Theory!B54:U122,20,FALSE)</f>
        <v>0</v>
      </c>
      <c r="Y51" s="334">
        <f>VLOOKUP(C51,Theory!B54:V122,21,FALSE)</f>
        <v>0</v>
      </c>
      <c r="Z51" s="334">
        <f>VLOOKUP(C51,Theory!B54:W122,22,FALSE)</f>
        <v>0</v>
      </c>
      <c r="AA51" s="338">
        <f>VLOOKUP(C51,Theory!B54:X122,23,FALSE)</f>
        <v>0</v>
      </c>
      <c r="AB51" s="338">
        <f>VLOOKUP(C51,Theory!B54:Y122,24,FALSE)</f>
        <v>0</v>
      </c>
      <c r="AC51" s="338">
        <f>VLOOKUP(C51,Theory!B54:Z122,25,FALSE)</f>
        <v>0</v>
      </c>
      <c r="AD51" s="338">
        <f>VLOOKUP(C51,Theory!B54:AA122,26,FALSE)</f>
        <v>0</v>
      </c>
      <c r="AE51" s="335">
        <f t="shared" si="9"/>
        <v>9</v>
      </c>
      <c r="AF51" s="334">
        <f>VLOOKUP(C51,Theory!B54:AB122,27,FALSE)</f>
        <v>0</v>
      </c>
      <c r="AG51" s="334">
        <f>VLOOKUP(C51,Theory!B54:AC122,28,FALSE)</f>
        <v>0</v>
      </c>
      <c r="AH51" s="334">
        <f>VLOOKUP(C51,Theory!B54:AD122,29,FALSE)</f>
        <v>0</v>
      </c>
      <c r="AI51" s="334">
        <f>VLOOKUP(C51,Theory!B54:AE122,30,FALSE)</f>
        <v>0</v>
      </c>
      <c r="AJ51" s="339">
        <f>VLOOKUP(C51,Theory!B54:AF122,31,FALSE)</f>
        <v>9</v>
      </c>
      <c r="AK51" s="339">
        <f>VLOOKUP(C51,Theory!B54:AG122,32,FALSE)</f>
        <v>0</v>
      </c>
      <c r="AL51" s="339">
        <f>VLOOKUP(C51,Theory!B54:AH122,33,FALSE)</f>
        <v>0</v>
      </c>
      <c r="AM51" s="339">
        <f>VLOOKUP(C51,Theory!B54:AI122,34,FALSE)</f>
        <v>0</v>
      </c>
      <c r="AN51" s="335">
        <f t="shared" si="10"/>
        <v>9</v>
      </c>
      <c r="AO51" s="333">
        <f t="shared" si="0"/>
        <v>41</v>
      </c>
      <c r="AP51" s="340">
        <f>VLOOKUP(C51,Theory!B54:AJ122,35,FALSE)</f>
        <v>8</v>
      </c>
      <c r="AQ51" s="340">
        <f>VLOOKUP(C51,Theory!B54:AK122,36,FALSE)</f>
        <v>0</v>
      </c>
      <c r="AR51" s="340">
        <f>VLOOKUP(C51,Theory!B54:AL122,37,FALSE)</f>
        <v>0</v>
      </c>
      <c r="AS51" s="340">
        <f>VLOOKUP(C51,Theory!B54:AM122,38,FALSE)</f>
        <v>0</v>
      </c>
      <c r="AT51" s="335">
        <f t="shared" si="11"/>
        <v>8</v>
      </c>
      <c r="AU51" s="340">
        <f>VLOOKUP(C51,Theory!B54:AN122,39,FALSE)</f>
        <v>9</v>
      </c>
      <c r="AV51" s="340">
        <f>VLOOKUP(C51,Theory!B54:AO122,40,FALSE)</f>
        <v>0</v>
      </c>
      <c r="AW51" s="340">
        <f>VLOOKUP(C51,Theory!B54:AP122,41,FALSE)</f>
        <v>0</v>
      </c>
      <c r="AX51" s="340">
        <f>VLOOKUP(C51,Theory!B54:AQ122,42,FALSE)</f>
        <v>0</v>
      </c>
      <c r="AY51" s="335">
        <f t="shared" si="12"/>
        <v>9</v>
      </c>
      <c r="AZ51" s="340">
        <f>VLOOKUP(C51,Theory!B54:AR122,43,FALSE)</f>
        <v>10</v>
      </c>
      <c r="BA51" s="340">
        <f>VLOOKUP(C51,Theory!B54:AS122,44,FALSE)</f>
        <v>0</v>
      </c>
      <c r="BB51" s="340">
        <f>VLOOKUP(C51,Theory!B54:AT122,45,FALSE)</f>
        <v>0</v>
      </c>
      <c r="BC51" s="340">
        <f>VLOOKUP(C51,Theory!B54:AU122,46,FALSE)</f>
        <v>0</v>
      </c>
      <c r="BD51" s="340">
        <f>VLOOKUP(C51,Theory!B54:AV122,47,FALSE)</f>
        <v>0</v>
      </c>
      <c r="BE51" s="340">
        <f>VLOOKUP(C51,Theory!B54:AW122,48,FALSE)</f>
        <v>0</v>
      </c>
      <c r="BF51" s="340">
        <f>VLOOKUP(C51,Theory!B54:AX122,49,FALSE)</f>
        <v>0</v>
      </c>
      <c r="BG51" s="340">
        <f>VLOOKUP(C51,Theory!B54:AY122,50,FALSE)</f>
        <v>0</v>
      </c>
      <c r="BH51" s="335">
        <f t="shared" si="13"/>
        <v>10</v>
      </c>
      <c r="BI51" s="340">
        <f>VLOOKUP(C51,Theory!B54:AZ122,51,FALSE)</f>
        <v>8</v>
      </c>
      <c r="BJ51" s="340">
        <f>VLOOKUP(C51,Theory!B54:BA122,52,FALSE)</f>
        <v>0</v>
      </c>
      <c r="BK51" s="340">
        <f>VLOOKUP(C51,Theory!B54:BB122,53,FALSE)</f>
        <v>0</v>
      </c>
      <c r="BL51" s="340">
        <f>VLOOKUP(C51,Theory!B54:BC122,54,FALSE)</f>
        <v>0</v>
      </c>
      <c r="BM51" s="340">
        <f>VLOOKUP(C51,Theory!B54:BD122,55,FALSE)</f>
        <v>0</v>
      </c>
      <c r="BN51" s="340">
        <f>VLOOKUP(C51,Theory!B54:BE122,56,FALSE)</f>
        <v>0</v>
      </c>
      <c r="BO51" s="340">
        <f>VLOOKUP(C51,Theory!B54:BF122,57,FALSE)</f>
        <v>0</v>
      </c>
      <c r="BP51" s="340">
        <f>VLOOKUP(C51,Theory!B54:BG122,58,FALSE)</f>
        <v>0</v>
      </c>
      <c r="BQ51" s="335">
        <f t="shared" si="14"/>
        <v>8</v>
      </c>
      <c r="BR51" s="340">
        <f>VLOOKUP(C51,Theory!B54:BH122,59,FALSE)</f>
        <v>10</v>
      </c>
      <c r="BS51" s="340">
        <f>VLOOKUP(C51,Theory!B54:BI122,60,FALSE)</f>
        <v>0</v>
      </c>
      <c r="BT51" s="340">
        <f>VLOOKUP(C51,Theory!B54:BJ122,61,FALSE)</f>
        <v>0</v>
      </c>
      <c r="BU51" s="340">
        <f>VLOOKUP(C51,Theory!B54:BK122,62,FALSE)</f>
        <v>0</v>
      </c>
      <c r="BV51" s="340">
        <f>VLOOKUP(C51,Theory!B54:BL122,63,FALSE)</f>
        <v>0</v>
      </c>
      <c r="BW51" s="340">
        <f>VLOOKUP(C51,Theory!B54:BM122,64,FALSE)</f>
        <v>0</v>
      </c>
      <c r="BX51" s="340">
        <f>VLOOKUP(C51,Theory!B54:BN122,65,FALSE)</f>
        <v>0</v>
      </c>
      <c r="BY51" s="340">
        <f>VLOOKUP(C51,Theory!B54:BO122,66,FALSE)</f>
        <v>0</v>
      </c>
      <c r="BZ51" s="335">
        <f t="shared" si="15"/>
        <v>10</v>
      </c>
      <c r="CA51" s="333">
        <f t="shared" si="1"/>
        <v>45</v>
      </c>
      <c r="CB51" s="340">
        <f>VLOOKUP(C51,Theory!B54:BP122,67,FALSE)</f>
        <v>10</v>
      </c>
      <c r="CC51" s="340">
        <f>VLOOKUP(C51,Theory!B54:BQ122,68,FALSE)</f>
        <v>0</v>
      </c>
      <c r="CD51" s="340">
        <f>VLOOKUP(C51,Theory!B54:BR122,69,FALSE)</f>
        <v>0</v>
      </c>
      <c r="CE51" s="340">
        <f>VLOOKUP(C51,Theory!B54:BS122,70,FALSE)</f>
        <v>0</v>
      </c>
      <c r="CF51" s="335">
        <f t="shared" si="16"/>
        <v>10</v>
      </c>
      <c r="CG51" s="341">
        <f>VLOOKUP(C51,Theory!B54:BT122,71,FALSE)</f>
        <v>10</v>
      </c>
      <c r="CH51" s="341">
        <f>VLOOKUP(C51,Theory!B54:BU122,72,FALSE)</f>
        <v>0</v>
      </c>
      <c r="CI51" s="341">
        <f>VLOOKUP(C51,Theory!B54:BV122,73,FALSE)</f>
        <v>0</v>
      </c>
      <c r="CJ51" s="341">
        <f>VLOOKUP(C51,Theory!B54:BW122,74,FALSE)</f>
        <v>0</v>
      </c>
      <c r="CK51" s="335">
        <f t="shared" si="17"/>
        <v>10</v>
      </c>
      <c r="CL51" s="340">
        <f>VLOOKUP(C51,Theory!B54:BX122,75,FALSE)</f>
        <v>0</v>
      </c>
      <c r="CM51" s="342">
        <f>VLOOKUP(C51,Theory!B54:BY122,76,FALSE)</f>
        <v>0</v>
      </c>
      <c r="CN51" s="342">
        <f>VLOOKUP(C51,Theory!B54:BZ122,77,FALSE)</f>
        <v>0</v>
      </c>
      <c r="CO51" s="342">
        <f>VLOOKUP(C51,Theory!B54:CA122,78,FALSE)</f>
        <v>0</v>
      </c>
      <c r="CP51" s="340">
        <f>VLOOKUP(C51,Theory!B54:CB122,79,FALSE)</f>
        <v>8</v>
      </c>
      <c r="CQ51" s="340">
        <f>VLOOKUP(C51,Theory!B54:CC122,80,FALSE)</f>
        <v>0</v>
      </c>
      <c r="CR51" s="340">
        <f>VLOOKUP(C51,Theory!B54:CD122,81,FALSE)</f>
        <v>0</v>
      </c>
      <c r="CS51" s="340">
        <f>VLOOKUP(C51,Theory!B54:CE122,82,FALSE)</f>
        <v>0</v>
      </c>
      <c r="CT51" s="335">
        <f t="shared" si="18"/>
        <v>8</v>
      </c>
      <c r="CU51" s="341">
        <f>VLOOKUP(C51,Theory!B54:CF122,83,FALSE)</f>
        <v>8</v>
      </c>
      <c r="CV51" s="342">
        <f>VLOOKUP(C51,Theory!B54:CG122,84,FALSE)</f>
        <v>0</v>
      </c>
      <c r="CW51" s="342">
        <f>VLOOKUP(C51,Theory!B54:CH122,85,FALSE)</f>
        <v>0</v>
      </c>
      <c r="CX51" s="342">
        <f>VLOOKUP(C51,Theory!B54:CI122,86,FALSE)</f>
        <v>0</v>
      </c>
      <c r="CY51" s="341">
        <f>VLOOKUP(C51,Theory!B54:CJ122,87,FALSE)</f>
        <v>0</v>
      </c>
      <c r="CZ51" s="341">
        <f>VLOOKUP(C51,Theory!B54:CK122,88,FALSE)</f>
        <v>0</v>
      </c>
      <c r="DA51" s="341">
        <f>VLOOKUP(C51,Theory!B54:CL122,89,FALSE)</f>
        <v>0</v>
      </c>
      <c r="DB51" s="341">
        <f>VLOOKUP(C51,Theory!B54:CM122,90,FALSE)</f>
        <v>0</v>
      </c>
      <c r="DC51" s="335">
        <f t="shared" si="19"/>
        <v>8</v>
      </c>
      <c r="DD51" s="340">
        <f>VLOOKUP(C51,Theory!B54:CN122,91,FALSE)</f>
        <v>0</v>
      </c>
      <c r="DE51" s="342">
        <f>VLOOKUP(C51,Theory!B54:CO122,92,FALSE)</f>
        <v>0</v>
      </c>
      <c r="DF51" s="342">
        <f>VLOOKUP(C51,Theory!B54:CP122,93,FALSE)</f>
        <v>0</v>
      </c>
      <c r="DG51" s="342">
        <f>VLOOKUP(C51,Theory!B54:CQ122,94,FALSE)</f>
        <v>0</v>
      </c>
      <c r="DH51" s="340">
        <f>VLOOKUP(C51,Theory!B54:CR122,95,FALSE)</f>
        <v>10</v>
      </c>
      <c r="DI51" s="340">
        <f>VLOOKUP(C51,Theory!B54:CS122,96,FALSE)</f>
        <v>0</v>
      </c>
      <c r="DJ51" s="340">
        <f>VLOOKUP(C51,Theory!B54:CT122,97,FALSE)</f>
        <v>0</v>
      </c>
      <c r="DK51" s="340">
        <f>VLOOKUP(C51,Theory!B54:CU122,98,FALSE)</f>
        <v>0</v>
      </c>
      <c r="DL51" s="335">
        <f t="shared" si="20"/>
        <v>10</v>
      </c>
      <c r="DM51" s="265">
        <f t="shared" si="2"/>
        <v>46</v>
      </c>
      <c r="DN51" s="362">
        <f t="shared" si="40"/>
        <v>41</v>
      </c>
      <c r="DO51" s="362">
        <f t="shared" si="41"/>
        <v>45</v>
      </c>
      <c r="DP51" s="362">
        <f t="shared" si="42"/>
        <v>46</v>
      </c>
      <c r="DQ51" s="343">
        <f t="shared" si="43"/>
        <v>25</v>
      </c>
      <c r="DR51" s="343">
        <f t="shared" si="44"/>
        <v>27</v>
      </c>
      <c r="DS51" s="343">
        <f t="shared" si="45"/>
        <v>28</v>
      </c>
      <c r="DT51" s="328">
        <f t="shared" si="36"/>
        <v>27</v>
      </c>
      <c r="DU51" s="326">
        <f>VLOOKUP(C51,Theory!B54:CV122,99,FALSE)</f>
        <v>10</v>
      </c>
      <c r="DV51" s="326">
        <f>VLOOKUP(C51,Theory!B54:CW122,100,FALSE)</f>
        <v>10</v>
      </c>
      <c r="DW51" s="331">
        <f t="shared" si="27"/>
        <v>20</v>
      </c>
      <c r="DX51" s="266">
        <f t="shared" si="3"/>
        <v>47</v>
      </c>
      <c r="DY51" s="363">
        <f t="shared" si="4"/>
        <v>28</v>
      </c>
      <c r="DZ51" s="344">
        <f>VLOOKUP(C51,Lab!B46:D115,3,FALSE)</f>
        <v>0</v>
      </c>
      <c r="EA51" s="345">
        <f>VLOOKUP(C51,Lab!B46:E115,4,FALSE)</f>
        <v>0</v>
      </c>
      <c r="EB51" s="345">
        <f>VLOOKUP(C51,Lab!B46:F115,5,FALSE)</f>
        <v>0</v>
      </c>
      <c r="EC51" s="329">
        <f t="shared" si="37"/>
        <v>0</v>
      </c>
      <c r="ED51" s="346">
        <f>VLOOKUP(C51,Lab!B46:G115,6,FALSE)</f>
        <v>0</v>
      </c>
      <c r="EE51" s="346">
        <f>VLOOKUP(C51,Lab!B46:H115,7,FALSE)</f>
        <v>0</v>
      </c>
      <c r="EF51" s="347">
        <f>VLOOKUP(C51,Lab!B46:I115,8,FALSE)</f>
        <v>0</v>
      </c>
      <c r="EG51" s="330">
        <f t="shared" si="38"/>
        <v>0</v>
      </c>
      <c r="EH51" s="390">
        <f t="shared" si="28"/>
        <v>0</v>
      </c>
      <c r="EI51" s="349">
        <f t="shared" si="29"/>
        <v>0</v>
      </c>
      <c r="EJ51" s="391">
        <f t="shared" si="5"/>
        <v>28</v>
      </c>
      <c r="EK51" s="258">
        <v>46</v>
      </c>
      <c r="EM51" s="350">
        <f>VLOOKUP(C51,Theory!B54:DL122,114,FALSE)</f>
        <v>0</v>
      </c>
      <c r="EN51" s="350">
        <f>VLOOKUP(C51,Theory!B54:DM122,115,FALSE)</f>
        <v>0</v>
      </c>
      <c r="EO51" s="350">
        <f>VLOOKUP(C51,Theory!B54:DN122,116,FALSE)</f>
        <v>0</v>
      </c>
      <c r="EP51" s="350">
        <f>VLOOKUP(C51,Theory!B54:DO120,117,FALSE)</f>
        <v>0</v>
      </c>
      <c r="EQ51" s="350">
        <f>VLOOKUP(C51,Theory!B54:DP120,118,FALSE)</f>
        <v>0</v>
      </c>
      <c r="ER51" s="351">
        <f>VLOOKUP(C51,Theory!B54:DQ120,119,FALSE)</f>
        <v>0</v>
      </c>
      <c r="ES51" s="327">
        <f>VLOOKUP(C51,Theory!B54:DR120,120,FALSE)</f>
        <v>0</v>
      </c>
      <c r="ET51" s="348">
        <f t="shared" si="39"/>
        <v>0</v>
      </c>
      <c r="EU51" s="352"/>
      <c r="EV51" s="352"/>
      <c r="EW51" s="352"/>
      <c r="EX51" s="352"/>
      <c r="EY51" s="352"/>
      <c r="EZ51" s="352"/>
      <c r="FA51" s="352"/>
      <c r="FB51" s="352"/>
      <c r="FC51" s="352"/>
      <c r="FD51" s="352"/>
    </row>
    <row r="52" spans="1:160" ht="16.2" thickBot="1" x14ac:dyDescent="0.35">
      <c r="A52" s="64">
        <v>39</v>
      </c>
      <c r="B52" s="17" t="str">
        <f>Theory!C55</f>
        <v>S B GAGAN</v>
      </c>
      <c r="C52" s="16" t="str">
        <f>Theory!B55</f>
        <v>1DS22AI404</v>
      </c>
      <c r="D52" s="334">
        <f>VLOOKUP(C52,Theory!B55:D123,3,FALSE)</f>
        <v>5</v>
      </c>
      <c r="E52" s="334">
        <f>VLOOKUP(C52,Theory!B55:E123,4,FALSE)</f>
        <v>0</v>
      </c>
      <c r="F52" s="334">
        <f>VLOOKUP(C52,Theory!B55:F123,5,FALSE)</f>
        <v>0</v>
      </c>
      <c r="G52" s="334">
        <f>VLOOKUP(C52,Theory!B55:G123,6,FALSE)</f>
        <v>0</v>
      </c>
      <c r="H52" s="335">
        <f t="shared" si="6"/>
        <v>5</v>
      </c>
      <c r="I52" s="338">
        <f>VLOOKUP(C52,Theory!B55:H123,7,FALSE)</f>
        <v>4</v>
      </c>
      <c r="J52" s="337">
        <f>VLOOKUP(C52,Theory!B55:I123,8,FALSE)</f>
        <v>0</v>
      </c>
      <c r="K52" s="337">
        <f>VLOOKUP(C52,Theory!B55:J123,9,FALSE)</f>
        <v>0</v>
      </c>
      <c r="L52" s="337">
        <f>VLOOKUP(C52,Theory!B55:K123,10,FALSE)</f>
        <v>0</v>
      </c>
      <c r="M52" s="335">
        <f t="shared" si="7"/>
        <v>4</v>
      </c>
      <c r="N52" s="336">
        <f>VLOOKUP(C52,Theory!B55:L123,11,FALSE)</f>
        <v>5</v>
      </c>
      <c r="O52" s="336">
        <f>VLOOKUP(C52,Theory!B55:M123,12,FALSE)</f>
        <v>0</v>
      </c>
      <c r="P52" s="336">
        <f>VLOOKUP(C52,Theory!B55:N123,13,FALSE)</f>
        <v>0</v>
      </c>
      <c r="Q52" s="336">
        <f>VLOOKUP(C52,Theory!B55:O123,14,FALSE)</f>
        <v>0</v>
      </c>
      <c r="R52" s="337">
        <f>VLOOKUP(C52,Theory!B55:P123,15,FALSE)</f>
        <v>0</v>
      </c>
      <c r="S52" s="337">
        <f>VLOOKUP(C52,Theory!B55:Q123,16,FALSE)</f>
        <v>0</v>
      </c>
      <c r="T52" s="337">
        <f>VLOOKUP(C52,Theory!B55:R123,17,FALSE)</f>
        <v>0</v>
      </c>
      <c r="U52" s="337">
        <f>VLOOKUP(C52,Theory!B55:S123,18,FALSE)</f>
        <v>0</v>
      </c>
      <c r="V52" s="335">
        <f t="shared" si="8"/>
        <v>5</v>
      </c>
      <c r="W52" s="334">
        <f>VLOOKUP(C52,Theory!B55:T123,19,FALSE)</f>
        <v>0</v>
      </c>
      <c r="X52" s="334">
        <f>VLOOKUP(C52,Theory!B55:U123,20,FALSE)</f>
        <v>0</v>
      </c>
      <c r="Y52" s="334">
        <f>VLOOKUP(C52,Theory!B55:V123,21,FALSE)</f>
        <v>0</v>
      </c>
      <c r="Z52" s="334">
        <f>VLOOKUP(C52,Theory!B55:W123,22,FALSE)</f>
        <v>0</v>
      </c>
      <c r="AA52" s="338">
        <f>VLOOKUP(C52,Theory!B55:X123,23,FALSE)</f>
        <v>0</v>
      </c>
      <c r="AB52" s="338">
        <f>VLOOKUP(C52,Theory!B55:Y123,24,FALSE)</f>
        <v>0</v>
      </c>
      <c r="AC52" s="338">
        <f>VLOOKUP(C52,Theory!B55:Z123,25,FALSE)</f>
        <v>0</v>
      </c>
      <c r="AD52" s="338">
        <f>VLOOKUP(C52,Theory!B55:AA123,26,FALSE)</f>
        <v>0</v>
      </c>
      <c r="AE52" s="335">
        <f t="shared" si="9"/>
        <v>0</v>
      </c>
      <c r="AF52" s="334">
        <f>VLOOKUP(C52,Theory!B55:AB123,27,FALSE)</f>
        <v>7</v>
      </c>
      <c r="AG52" s="334">
        <f>VLOOKUP(C52,Theory!B55:AC123,28,FALSE)</f>
        <v>0</v>
      </c>
      <c r="AH52" s="334">
        <f>VLOOKUP(C52,Theory!B55:AD123,29,FALSE)</f>
        <v>0</v>
      </c>
      <c r="AI52" s="334">
        <f>VLOOKUP(C52,Theory!B55:AE123,30,FALSE)</f>
        <v>0</v>
      </c>
      <c r="AJ52" s="339">
        <f>VLOOKUP(C52,Theory!B55:AF123,31,FALSE)</f>
        <v>0</v>
      </c>
      <c r="AK52" s="339">
        <f>VLOOKUP(C52,Theory!B55:AG123,32,FALSE)</f>
        <v>0</v>
      </c>
      <c r="AL52" s="339">
        <f>VLOOKUP(C52,Theory!B55:AH123,33,FALSE)</f>
        <v>0</v>
      </c>
      <c r="AM52" s="339">
        <f>VLOOKUP(C52,Theory!B55:AI123,34,FALSE)</f>
        <v>0</v>
      </c>
      <c r="AN52" s="335">
        <f t="shared" si="10"/>
        <v>7</v>
      </c>
      <c r="AO52" s="333">
        <f t="shared" si="0"/>
        <v>21</v>
      </c>
      <c r="AP52" s="340">
        <f>VLOOKUP(C52,Theory!B55:AJ123,35,FALSE)</f>
        <v>6</v>
      </c>
      <c r="AQ52" s="340">
        <f>VLOOKUP(C52,Theory!B55:AK123,36,FALSE)</f>
        <v>0</v>
      </c>
      <c r="AR52" s="340">
        <f>VLOOKUP(C52,Theory!B55:AL123,37,FALSE)</f>
        <v>0</v>
      </c>
      <c r="AS52" s="340">
        <f>VLOOKUP(C52,Theory!B55:AM123,38,FALSE)</f>
        <v>0</v>
      </c>
      <c r="AT52" s="335">
        <f t="shared" si="11"/>
        <v>6</v>
      </c>
      <c r="AU52" s="340">
        <f>VLOOKUP(C52,Theory!B55:AN123,39,FALSE)</f>
        <v>6</v>
      </c>
      <c r="AV52" s="340">
        <f>VLOOKUP(C52,Theory!B55:AO123,40,FALSE)</f>
        <v>0</v>
      </c>
      <c r="AW52" s="340">
        <f>VLOOKUP(C52,Theory!B55:AP123,41,FALSE)</f>
        <v>0</v>
      </c>
      <c r="AX52" s="340">
        <f>VLOOKUP(C52,Theory!B55:AQ123,42,FALSE)</f>
        <v>0</v>
      </c>
      <c r="AY52" s="335">
        <f t="shared" si="12"/>
        <v>6</v>
      </c>
      <c r="AZ52" s="340">
        <f>VLOOKUP(C52,Theory!B55:AR123,43,FALSE)</f>
        <v>8</v>
      </c>
      <c r="BA52" s="340">
        <f>VLOOKUP(C52,Theory!B55:AS123,44,FALSE)</f>
        <v>0</v>
      </c>
      <c r="BB52" s="340">
        <f>VLOOKUP(C52,Theory!B55:AT123,45,FALSE)</f>
        <v>0</v>
      </c>
      <c r="BC52" s="340">
        <f>VLOOKUP(C52,Theory!B55:AU123,46,FALSE)</f>
        <v>0</v>
      </c>
      <c r="BD52" s="340">
        <f>VLOOKUP(C52,Theory!B55:AV123,47,FALSE)</f>
        <v>0</v>
      </c>
      <c r="BE52" s="340">
        <f>VLOOKUP(C52,Theory!B55:AW123,48,FALSE)</f>
        <v>0</v>
      </c>
      <c r="BF52" s="340">
        <f>VLOOKUP(C52,Theory!B55:AX123,49,FALSE)</f>
        <v>0</v>
      </c>
      <c r="BG52" s="340">
        <f>VLOOKUP(C52,Theory!B55:AY123,50,FALSE)</f>
        <v>0</v>
      </c>
      <c r="BH52" s="335">
        <f t="shared" si="13"/>
        <v>8</v>
      </c>
      <c r="BI52" s="340">
        <f>VLOOKUP(C52,Theory!B55:AZ123,51,FALSE)</f>
        <v>0</v>
      </c>
      <c r="BJ52" s="340">
        <f>VLOOKUP(C52,Theory!B55:BA123,52,FALSE)</f>
        <v>0</v>
      </c>
      <c r="BK52" s="340">
        <f>VLOOKUP(C52,Theory!B55:BB123,53,FALSE)</f>
        <v>0</v>
      </c>
      <c r="BL52" s="340">
        <f>VLOOKUP(C52,Theory!B55:BC123,54,FALSE)</f>
        <v>0</v>
      </c>
      <c r="BM52" s="340">
        <f>VLOOKUP(C52,Theory!B55:BD123,55,FALSE)</f>
        <v>0</v>
      </c>
      <c r="BN52" s="340">
        <f>VLOOKUP(C52,Theory!B55:BE123,56,FALSE)</f>
        <v>0</v>
      </c>
      <c r="BO52" s="340">
        <f>VLOOKUP(C52,Theory!B55:BF123,57,FALSE)</f>
        <v>0</v>
      </c>
      <c r="BP52" s="340">
        <f>VLOOKUP(C52,Theory!B55:BG123,58,FALSE)</f>
        <v>0</v>
      </c>
      <c r="BQ52" s="335">
        <f t="shared" si="14"/>
        <v>0</v>
      </c>
      <c r="BR52" s="340">
        <f>VLOOKUP(C52,Theory!B55:BH123,59,FALSE)</f>
        <v>0</v>
      </c>
      <c r="BS52" s="340">
        <f>VLOOKUP(C52,Theory!B55:BI123,60,FALSE)</f>
        <v>0</v>
      </c>
      <c r="BT52" s="340">
        <f>VLOOKUP(C52,Theory!B55:BJ123,61,FALSE)</f>
        <v>0</v>
      </c>
      <c r="BU52" s="340">
        <f>VLOOKUP(C52,Theory!B55:BK123,62,FALSE)</f>
        <v>0</v>
      </c>
      <c r="BV52" s="340">
        <f>VLOOKUP(C52,Theory!B55:BL123,63,FALSE)</f>
        <v>0</v>
      </c>
      <c r="BW52" s="340">
        <f>VLOOKUP(C52,Theory!B55:BM123,64,FALSE)</f>
        <v>0</v>
      </c>
      <c r="BX52" s="340">
        <f>VLOOKUP(C52,Theory!B55:BN123,65,FALSE)</f>
        <v>0</v>
      </c>
      <c r="BY52" s="340">
        <f>VLOOKUP(C52,Theory!B55:BO123,66,FALSE)</f>
        <v>0</v>
      </c>
      <c r="BZ52" s="335">
        <f t="shared" si="15"/>
        <v>0</v>
      </c>
      <c r="CA52" s="333">
        <f t="shared" si="1"/>
        <v>20</v>
      </c>
      <c r="CB52" s="340">
        <f>VLOOKUP(C52,Theory!B55:BP123,67,FALSE)</f>
        <v>9</v>
      </c>
      <c r="CC52" s="340">
        <f>VLOOKUP(C52,Theory!B55:BQ123,68,FALSE)</f>
        <v>0</v>
      </c>
      <c r="CD52" s="340">
        <f>VLOOKUP(C52,Theory!B55:BR123,69,FALSE)</f>
        <v>0</v>
      </c>
      <c r="CE52" s="340">
        <f>VLOOKUP(C52,Theory!B55:BS123,70,FALSE)</f>
        <v>0</v>
      </c>
      <c r="CF52" s="335">
        <f t="shared" si="16"/>
        <v>9</v>
      </c>
      <c r="CG52" s="341">
        <f>VLOOKUP(C52,Theory!B55:BT123,71,FALSE)</f>
        <v>8</v>
      </c>
      <c r="CH52" s="341">
        <f>VLOOKUP(C52,Theory!B55:BU123,72,FALSE)</f>
        <v>0</v>
      </c>
      <c r="CI52" s="341">
        <f>VLOOKUP(C52,Theory!B55:BV123,73,FALSE)</f>
        <v>0</v>
      </c>
      <c r="CJ52" s="341">
        <f>VLOOKUP(C52,Theory!B55:BW123,74,FALSE)</f>
        <v>0</v>
      </c>
      <c r="CK52" s="335">
        <f t="shared" si="17"/>
        <v>8</v>
      </c>
      <c r="CL52" s="340">
        <f>VLOOKUP(C52,Theory!B55:BX123,75,FALSE)</f>
        <v>0</v>
      </c>
      <c r="CM52" s="342">
        <f>VLOOKUP(C52,Theory!B55:BY123,76,FALSE)</f>
        <v>0</v>
      </c>
      <c r="CN52" s="342">
        <f>VLOOKUP(C52,Theory!B55:BZ123,77,FALSE)</f>
        <v>0</v>
      </c>
      <c r="CO52" s="342">
        <f>VLOOKUP(C52,Theory!B55:CA123,78,FALSE)</f>
        <v>0</v>
      </c>
      <c r="CP52" s="340">
        <f>VLOOKUP(C52,Theory!B55:CB123,79,FALSE)</f>
        <v>9</v>
      </c>
      <c r="CQ52" s="340">
        <f>VLOOKUP(C52,Theory!B55:CC123,80,FALSE)</f>
        <v>0</v>
      </c>
      <c r="CR52" s="340">
        <f>VLOOKUP(C52,Theory!B55:CD123,81,FALSE)</f>
        <v>0</v>
      </c>
      <c r="CS52" s="340">
        <f>VLOOKUP(C52,Theory!B55:CE123,82,FALSE)</f>
        <v>0</v>
      </c>
      <c r="CT52" s="335">
        <f t="shared" si="18"/>
        <v>9</v>
      </c>
      <c r="CU52" s="341">
        <f>VLOOKUP(C52,Theory!B55:CF123,83,FALSE)</f>
        <v>0</v>
      </c>
      <c r="CV52" s="342">
        <f>VLOOKUP(C52,Theory!B55:CG123,84,FALSE)</f>
        <v>0</v>
      </c>
      <c r="CW52" s="342">
        <f>VLOOKUP(C52,Theory!B55:CH123,85,FALSE)</f>
        <v>0</v>
      </c>
      <c r="CX52" s="342">
        <f>VLOOKUP(C52,Theory!B55:CI123,86,FALSE)</f>
        <v>0</v>
      </c>
      <c r="CY52" s="341">
        <f>VLOOKUP(C52,Theory!B55:CJ123,87,FALSE)</f>
        <v>8</v>
      </c>
      <c r="CZ52" s="341">
        <f>VLOOKUP(C52,Theory!B55:CK123,88,FALSE)</f>
        <v>0</v>
      </c>
      <c r="DA52" s="341">
        <f>VLOOKUP(C52,Theory!B55:CL123,89,FALSE)</f>
        <v>0</v>
      </c>
      <c r="DB52" s="341">
        <f>VLOOKUP(C52,Theory!B55:CM123,90,FALSE)</f>
        <v>0</v>
      </c>
      <c r="DC52" s="335">
        <f t="shared" si="19"/>
        <v>8</v>
      </c>
      <c r="DD52" s="340">
        <f>VLOOKUP(C52,Theory!B55:CN123,91,FALSE)</f>
        <v>9</v>
      </c>
      <c r="DE52" s="342">
        <f>VLOOKUP(C52,Theory!B55:CO123,92,FALSE)</f>
        <v>0</v>
      </c>
      <c r="DF52" s="342">
        <f>VLOOKUP(C52,Theory!B55:CP123,93,FALSE)</f>
        <v>0</v>
      </c>
      <c r="DG52" s="342">
        <f>VLOOKUP(C52,Theory!B55:CQ123,94,FALSE)</f>
        <v>0</v>
      </c>
      <c r="DH52" s="340">
        <f>VLOOKUP(C52,Theory!B55:CR123,95,FALSE)</f>
        <v>0</v>
      </c>
      <c r="DI52" s="340">
        <f>VLOOKUP(C52,Theory!B55:CS123,96,FALSE)</f>
        <v>0</v>
      </c>
      <c r="DJ52" s="340">
        <f>VLOOKUP(C52,Theory!B55:CT123,97,FALSE)</f>
        <v>0</v>
      </c>
      <c r="DK52" s="340">
        <f>VLOOKUP(C52,Theory!B55:CU123,98,FALSE)</f>
        <v>0</v>
      </c>
      <c r="DL52" s="335">
        <f t="shared" si="20"/>
        <v>9</v>
      </c>
      <c r="DM52" s="265">
        <f t="shared" si="2"/>
        <v>43</v>
      </c>
      <c r="DN52" s="362">
        <f t="shared" si="40"/>
        <v>21</v>
      </c>
      <c r="DO52" s="362">
        <f t="shared" si="41"/>
        <v>20</v>
      </c>
      <c r="DP52" s="362">
        <f t="shared" si="42"/>
        <v>43</v>
      </c>
      <c r="DQ52" s="343">
        <f t="shared" si="43"/>
        <v>13</v>
      </c>
      <c r="DR52" s="343">
        <f t="shared" si="44"/>
        <v>12</v>
      </c>
      <c r="DS52" s="343">
        <f t="shared" si="45"/>
        <v>26</v>
      </c>
      <c r="DT52" s="328">
        <f t="shared" si="36"/>
        <v>17</v>
      </c>
      <c r="DU52" s="326">
        <f>VLOOKUP(C52,Theory!B55:CV123,99,FALSE)</f>
        <v>10</v>
      </c>
      <c r="DV52" s="326">
        <f>VLOOKUP(C52,Theory!B55:CW123,100,FALSE)</f>
        <v>10</v>
      </c>
      <c r="DW52" s="331">
        <f t="shared" si="27"/>
        <v>20</v>
      </c>
      <c r="DX52" s="266">
        <f t="shared" si="3"/>
        <v>37</v>
      </c>
      <c r="DY52" s="363">
        <f t="shared" si="4"/>
        <v>22</v>
      </c>
      <c r="DZ52" s="344">
        <f>VLOOKUP(C52,Lab!B47:D116,3,FALSE)</f>
        <v>0</v>
      </c>
      <c r="EA52" s="345">
        <f>VLOOKUP(C52,Lab!B47:E116,4,FALSE)</f>
        <v>0</v>
      </c>
      <c r="EB52" s="345">
        <f>VLOOKUP(C52,Lab!B47:F116,5,FALSE)</f>
        <v>0</v>
      </c>
      <c r="EC52" s="329">
        <f t="shared" si="37"/>
        <v>0</v>
      </c>
      <c r="ED52" s="346">
        <f>VLOOKUP(C52,Lab!B47:G116,6,FALSE)</f>
        <v>0</v>
      </c>
      <c r="EE52" s="346">
        <f>VLOOKUP(C52,Lab!B47:H116,7,FALSE)</f>
        <v>0</v>
      </c>
      <c r="EF52" s="347">
        <f>VLOOKUP(C52,Lab!B47:I116,8,FALSE)</f>
        <v>0</v>
      </c>
      <c r="EG52" s="330">
        <f t="shared" si="38"/>
        <v>0</v>
      </c>
      <c r="EH52" s="390">
        <f t="shared" si="28"/>
        <v>0</v>
      </c>
      <c r="EI52" s="349">
        <f t="shared" si="29"/>
        <v>0</v>
      </c>
      <c r="EJ52" s="391">
        <f t="shared" si="5"/>
        <v>22</v>
      </c>
      <c r="EK52" s="258">
        <v>34</v>
      </c>
      <c r="EM52" s="350">
        <f>VLOOKUP(C52,Theory!B55:DL123,114,FALSE)</f>
        <v>0</v>
      </c>
      <c r="EN52" s="350">
        <f>VLOOKUP(C52,Theory!B55:DM123,115,FALSE)</f>
        <v>0</v>
      </c>
      <c r="EO52" s="350">
        <f>VLOOKUP(C52,Theory!B55:DN123,116,FALSE)</f>
        <v>0</v>
      </c>
      <c r="EP52" s="350">
        <f>VLOOKUP(C52,Theory!B55:DO121,117,FALSE)</f>
        <v>0</v>
      </c>
      <c r="EQ52" s="350">
        <f>VLOOKUP(C52,Theory!B55:DP121,118,FALSE)</f>
        <v>0</v>
      </c>
      <c r="ER52" s="351">
        <f>VLOOKUP(C52,Theory!B55:DQ121,119,FALSE)</f>
        <v>0</v>
      </c>
      <c r="ES52" s="327">
        <f>VLOOKUP(C52,Theory!B55:DR121,120,FALSE)</f>
        <v>0</v>
      </c>
      <c r="ET52" s="348">
        <f t="shared" si="39"/>
        <v>0</v>
      </c>
      <c r="EU52" s="352"/>
      <c r="EV52" s="352"/>
      <c r="EW52" s="352"/>
      <c r="EX52" s="352"/>
      <c r="EY52" s="352"/>
      <c r="EZ52" s="352"/>
      <c r="FA52" s="352"/>
      <c r="FB52" s="352"/>
      <c r="FC52" s="352"/>
      <c r="FD52" s="352"/>
    </row>
    <row r="53" spans="1:160" ht="16.2" thickBot="1" x14ac:dyDescent="0.35">
      <c r="A53" s="64">
        <v>40</v>
      </c>
      <c r="B53" s="17" t="str">
        <f>Theory!C56</f>
        <v>SHASHANK L S</v>
      </c>
      <c r="C53" s="16" t="str">
        <f>Theory!B56</f>
        <v>1DS22AI406</v>
      </c>
      <c r="D53" s="334">
        <f>VLOOKUP(C53,Theory!B56:D124,3,FALSE)</f>
        <v>6</v>
      </c>
      <c r="E53" s="334">
        <f>VLOOKUP(C53,Theory!B56:E124,4,FALSE)</f>
        <v>0</v>
      </c>
      <c r="F53" s="334">
        <f>VLOOKUP(C53,Theory!B56:F124,5,FALSE)</f>
        <v>0</v>
      </c>
      <c r="G53" s="334">
        <f>VLOOKUP(C53,Theory!B56:G124,6,FALSE)</f>
        <v>0</v>
      </c>
      <c r="H53" s="335">
        <f t="shared" si="6"/>
        <v>6</v>
      </c>
      <c r="I53" s="338">
        <f>VLOOKUP(C53,Theory!B56:H124,7,FALSE)</f>
        <v>6</v>
      </c>
      <c r="J53" s="337">
        <f>VLOOKUP(C53,Theory!B56:I124,8,FALSE)</f>
        <v>0</v>
      </c>
      <c r="K53" s="337">
        <f>VLOOKUP(C53,Theory!B56:J124,9,FALSE)</f>
        <v>0</v>
      </c>
      <c r="L53" s="337">
        <f>VLOOKUP(C53,Theory!B56:K124,10,FALSE)</f>
        <v>0</v>
      </c>
      <c r="M53" s="335">
        <f t="shared" si="7"/>
        <v>6</v>
      </c>
      <c r="N53" s="336">
        <f>VLOOKUP(C53,Theory!B56:L124,11,FALSE)</f>
        <v>5</v>
      </c>
      <c r="O53" s="336">
        <f>VLOOKUP(C53,Theory!B56:M124,12,FALSE)</f>
        <v>0</v>
      </c>
      <c r="P53" s="336">
        <f>VLOOKUP(C53,Theory!B56:N124,13,FALSE)</f>
        <v>0</v>
      </c>
      <c r="Q53" s="336">
        <f>VLOOKUP(C53,Theory!B56:O124,14,FALSE)</f>
        <v>0</v>
      </c>
      <c r="R53" s="337">
        <f>VLOOKUP(C53,Theory!B56:P124,15,FALSE)</f>
        <v>0</v>
      </c>
      <c r="S53" s="337">
        <f>VLOOKUP(C53,Theory!B56:Q124,16,FALSE)</f>
        <v>0</v>
      </c>
      <c r="T53" s="337">
        <f>VLOOKUP(C53,Theory!B56:R124,17,FALSE)</f>
        <v>0</v>
      </c>
      <c r="U53" s="337">
        <f>VLOOKUP(C53,Theory!B56:S124,18,FALSE)</f>
        <v>0</v>
      </c>
      <c r="V53" s="335">
        <f t="shared" si="8"/>
        <v>5</v>
      </c>
      <c r="W53" s="334">
        <f>VLOOKUP(C53,Theory!B56:T124,19,FALSE)</f>
        <v>0</v>
      </c>
      <c r="X53" s="334">
        <f>VLOOKUP(C53,Theory!B56:U124,20,FALSE)</f>
        <v>0</v>
      </c>
      <c r="Y53" s="334">
        <f>VLOOKUP(C53,Theory!B56:V124,21,FALSE)</f>
        <v>0</v>
      </c>
      <c r="Z53" s="334">
        <f>VLOOKUP(C53,Theory!B56:W124,22,FALSE)</f>
        <v>0</v>
      </c>
      <c r="AA53" s="338">
        <f>VLOOKUP(C53,Theory!B56:X124,23,FALSE)</f>
        <v>8</v>
      </c>
      <c r="AB53" s="338">
        <f>VLOOKUP(C53,Theory!B56:Y124,24,FALSE)</f>
        <v>0</v>
      </c>
      <c r="AC53" s="338">
        <f>VLOOKUP(C53,Theory!B56:Z124,25,FALSE)</f>
        <v>0</v>
      </c>
      <c r="AD53" s="338">
        <f>VLOOKUP(C53,Theory!B56:AA124,26,FALSE)</f>
        <v>0</v>
      </c>
      <c r="AE53" s="335">
        <f t="shared" si="9"/>
        <v>8</v>
      </c>
      <c r="AF53" s="334">
        <f>VLOOKUP(C53,Theory!B56:AB124,27,FALSE)</f>
        <v>6</v>
      </c>
      <c r="AG53" s="334">
        <f>VLOOKUP(C53,Theory!B56:AC124,28,FALSE)</f>
        <v>0</v>
      </c>
      <c r="AH53" s="334">
        <f>VLOOKUP(C53,Theory!B56:AD124,29,FALSE)</f>
        <v>0</v>
      </c>
      <c r="AI53" s="334">
        <f>VLOOKUP(C53,Theory!B56:AE124,30,FALSE)</f>
        <v>0</v>
      </c>
      <c r="AJ53" s="339">
        <f>VLOOKUP(C53,Theory!B56:AF124,31,FALSE)</f>
        <v>0</v>
      </c>
      <c r="AK53" s="339">
        <f>VLOOKUP(C53,Theory!B56:AG124,32,FALSE)</f>
        <v>0</v>
      </c>
      <c r="AL53" s="339">
        <f>VLOOKUP(C53,Theory!B56:AH124,33,FALSE)</f>
        <v>0</v>
      </c>
      <c r="AM53" s="339">
        <f>VLOOKUP(C53,Theory!B56:AI124,34,FALSE)</f>
        <v>0</v>
      </c>
      <c r="AN53" s="335">
        <f t="shared" si="10"/>
        <v>6</v>
      </c>
      <c r="AO53" s="333">
        <f t="shared" si="0"/>
        <v>31</v>
      </c>
      <c r="AP53" s="340">
        <f>VLOOKUP(C53,Theory!B56:AJ124,35,FALSE)</f>
        <v>6</v>
      </c>
      <c r="AQ53" s="340">
        <f>VLOOKUP(C53,Theory!B56:AK124,36,FALSE)</f>
        <v>0</v>
      </c>
      <c r="AR53" s="340">
        <f>VLOOKUP(C53,Theory!B56:AL124,37,FALSE)</f>
        <v>0</v>
      </c>
      <c r="AS53" s="340">
        <f>VLOOKUP(C53,Theory!B56:AM124,38,FALSE)</f>
        <v>0</v>
      </c>
      <c r="AT53" s="335">
        <f t="shared" si="11"/>
        <v>6</v>
      </c>
      <c r="AU53" s="340">
        <f>VLOOKUP(C53,Theory!B56:AN124,39,FALSE)</f>
        <v>7</v>
      </c>
      <c r="AV53" s="340">
        <f>VLOOKUP(C53,Theory!B56:AO124,40,FALSE)</f>
        <v>0</v>
      </c>
      <c r="AW53" s="340">
        <f>VLOOKUP(C53,Theory!B56:AP124,41,FALSE)</f>
        <v>0</v>
      </c>
      <c r="AX53" s="340">
        <f>VLOOKUP(C53,Theory!B56:AQ124,42,FALSE)</f>
        <v>0</v>
      </c>
      <c r="AY53" s="335">
        <f t="shared" si="12"/>
        <v>7</v>
      </c>
      <c r="AZ53" s="340">
        <f>VLOOKUP(C53,Theory!B56:AR124,43,FALSE)</f>
        <v>8</v>
      </c>
      <c r="BA53" s="340">
        <f>VLOOKUP(C53,Theory!B56:AS124,44,FALSE)</f>
        <v>0</v>
      </c>
      <c r="BB53" s="340">
        <f>VLOOKUP(C53,Theory!B56:AT124,45,FALSE)</f>
        <v>0</v>
      </c>
      <c r="BC53" s="340">
        <f>VLOOKUP(C53,Theory!B56:AU124,46,FALSE)</f>
        <v>0</v>
      </c>
      <c r="BD53" s="340">
        <f>VLOOKUP(C53,Theory!B56:AV124,47,FALSE)</f>
        <v>0</v>
      </c>
      <c r="BE53" s="340">
        <f>VLOOKUP(C53,Theory!B56:AW124,48,FALSE)</f>
        <v>0</v>
      </c>
      <c r="BF53" s="340">
        <f>VLOOKUP(C53,Theory!B56:AX124,49,FALSE)</f>
        <v>0</v>
      </c>
      <c r="BG53" s="340">
        <f>VLOOKUP(C53,Theory!B56:AY124,50,FALSE)</f>
        <v>0</v>
      </c>
      <c r="BH53" s="335">
        <f t="shared" si="13"/>
        <v>8</v>
      </c>
      <c r="BI53" s="340">
        <f>VLOOKUP(C53,Theory!B56:AZ124,51,FALSE)</f>
        <v>0</v>
      </c>
      <c r="BJ53" s="340">
        <f>VLOOKUP(C53,Theory!B56:BA124,52,FALSE)</f>
        <v>0</v>
      </c>
      <c r="BK53" s="340">
        <f>VLOOKUP(C53,Theory!B56:BB124,53,FALSE)</f>
        <v>0</v>
      </c>
      <c r="BL53" s="340">
        <f>VLOOKUP(C53,Theory!B56:BC124,54,FALSE)</f>
        <v>0</v>
      </c>
      <c r="BM53" s="340">
        <f>VLOOKUP(C53,Theory!B56:BD124,55,FALSE)</f>
        <v>7</v>
      </c>
      <c r="BN53" s="340">
        <f>VLOOKUP(C53,Theory!B56:BE124,56,FALSE)</f>
        <v>0</v>
      </c>
      <c r="BO53" s="340">
        <f>VLOOKUP(C53,Theory!B56:BF124,57,FALSE)</f>
        <v>0</v>
      </c>
      <c r="BP53" s="340">
        <f>VLOOKUP(C53,Theory!B56:BG124,58,FALSE)</f>
        <v>0</v>
      </c>
      <c r="BQ53" s="335">
        <f t="shared" si="14"/>
        <v>7</v>
      </c>
      <c r="BR53" s="340">
        <f>VLOOKUP(C53,Theory!B56:BH124,59,FALSE)</f>
        <v>8</v>
      </c>
      <c r="BS53" s="340">
        <f>VLOOKUP(C53,Theory!B56:BI124,60,FALSE)</f>
        <v>0</v>
      </c>
      <c r="BT53" s="340">
        <f>VLOOKUP(C53,Theory!B56:BJ124,61,FALSE)</f>
        <v>0</v>
      </c>
      <c r="BU53" s="340">
        <f>VLOOKUP(C53,Theory!B56:BK124,62,FALSE)</f>
        <v>0</v>
      </c>
      <c r="BV53" s="340">
        <f>VLOOKUP(C53,Theory!B56:BL124,63,FALSE)</f>
        <v>0</v>
      </c>
      <c r="BW53" s="340">
        <f>VLOOKUP(C53,Theory!B56:BM124,64,FALSE)</f>
        <v>0</v>
      </c>
      <c r="BX53" s="340">
        <f>VLOOKUP(C53,Theory!B56:BN124,65,FALSE)</f>
        <v>0</v>
      </c>
      <c r="BY53" s="340">
        <f>VLOOKUP(C53,Theory!B56:BO124,66,FALSE)</f>
        <v>0</v>
      </c>
      <c r="BZ53" s="335">
        <f t="shared" si="15"/>
        <v>8</v>
      </c>
      <c r="CA53" s="333">
        <f t="shared" si="1"/>
        <v>36</v>
      </c>
      <c r="CB53" s="340">
        <f>VLOOKUP(C53,Theory!B56:BP124,67,FALSE)</f>
        <v>8</v>
      </c>
      <c r="CC53" s="340">
        <f>VLOOKUP(C53,Theory!B56:BQ124,68,FALSE)</f>
        <v>0</v>
      </c>
      <c r="CD53" s="340">
        <f>VLOOKUP(C53,Theory!B56:BR124,69,FALSE)</f>
        <v>0</v>
      </c>
      <c r="CE53" s="340">
        <f>VLOOKUP(C53,Theory!B56:BS124,70,FALSE)</f>
        <v>0</v>
      </c>
      <c r="CF53" s="335">
        <f t="shared" si="16"/>
        <v>8</v>
      </c>
      <c r="CG53" s="341">
        <f>VLOOKUP(C53,Theory!B56:BT124,71,FALSE)</f>
        <v>7</v>
      </c>
      <c r="CH53" s="341">
        <f>VLOOKUP(C53,Theory!B56:BU124,72,FALSE)</f>
        <v>0</v>
      </c>
      <c r="CI53" s="341">
        <f>VLOOKUP(C53,Theory!B56:BV124,73,FALSE)</f>
        <v>0</v>
      </c>
      <c r="CJ53" s="341">
        <f>VLOOKUP(C53,Theory!B56:BW124,74,FALSE)</f>
        <v>0</v>
      </c>
      <c r="CK53" s="335">
        <f t="shared" si="17"/>
        <v>7</v>
      </c>
      <c r="CL53" s="340">
        <f>VLOOKUP(C53,Theory!B56:BX124,75,FALSE)</f>
        <v>7</v>
      </c>
      <c r="CM53" s="342">
        <f>VLOOKUP(C53,Theory!B56:BY124,76,FALSE)</f>
        <v>0</v>
      </c>
      <c r="CN53" s="342">
        <f>VLOOKUP(C53,Theory!B56:BZ124,77,FALSE)</f>
        <v>0</v>
      </c>
      <c r="CO53" s="342">
        <f>VLOOKUP(C53,Theory!B56:CA124,78,FALSE)</f>
        <v>0</v>
      </c>
      <c r="CP53" s="340">
        <f>VLOOKUP(C53,Theory!B56:CB124,79,FALSE)</f>
        <v>0</v>
      </c>
      <c r="CQ53" s="340">
        <f>VLOOKUP(C53,Theory!B56:CC124,80,FALSE)</f>
        <v>0</v>
      </c>
      <c r="CR53" s="340">
        <f>VLOOKUP(C53,Theory!B56:CD124,81,FALSE)</f>
        <v>0</v>
      </c>
      <c r="CS53" s="340">
        <f>VLOOKUP(C53,Theory!B56:CE124,82,FALSE)</f>
        <v>0</v>
      </c>
      <c r="CT53" s="335">
        <f t="shared" si="18"/>
        <v>7</v>
      </c>
      <c r="CU53" s="341">
        <f>VLOOKUP(C53,Theory!B56:CF124,83,FALSE)</f>
        <v>8</v>
      </c>
      <c r="CV53" s="342">
        <f>VLOOKUP(C53,Theory!B56:CG124,84,FALSE)</f>
        <v>0</v>
      </c>
      <c r="CW53" s="342">
        <f>VLOOKUP(C53,Theory!B56:CH124,85,FALSE)</f>
        <v>0</v>
      </c>
      <c r="CX53" s="342">
        <f>VLOOKUP(C53,Theory!B56:CI124,86,FALSE)</f>
        <v>0</v>
      </c>
      <c r="CY53" s="341">
        <f>VLOOKUP(C53,Theory!B56:CJ124,87,FALSE)</f>
        <v>0</v>
      </c>
      <c r="CZ53" s="341">
        <f>VLOOKUP(C53,Theory!B56:CK124,88,FALSE)</f>
        <v>0</v>
      </c>
      <c r="DA53" s="341">
        <f>VLOOKUP(C53,Theory!B56:CL124,89,FALSE)</f>
        <v>0</v>
      </c>
      <c r="DB53" s="341">
        <f>VLOOKUP(C53,Theory!B56:CM124,90,FALSE)</f>
        <v>0</v>
      </c>
      <c r="DC53" s="335">
        <f t="shared" si="19"/>
        <v>8</v>
      </c>
      <c r="DD53" s="340">
        <f>VLOOKUP(C53,Theory!B56:CN124,91,FALSE)</f>
        <v>0</v>
      </c>
      <c r="DE53" s="342">
        <f>VLOOKUP(C53,Theory!B56:CO124,92,FALSE)</f>
        <v>0</v>
      </c>
      <c r="DF53" s="342">
        <f>VLOOKUP(C53,Theory!B56:CP124,93,FALSE)</f>
        <v>0</v>
      </c>
      <c r="DG53" s="342">
        <f>VLOOKUP(C53,Theory!B56:CQ124,94,FALSE)</f>
        <v>0</v>
      </c>
      <c r="DH53" s="340">
        <f>VLOOKUP(C53,Theory!B56:CR124,95,FALSE)</f>
        <v>9</v>
      </c>
      <c r="DI53" s="340">
        <f>VLOOKUP(C53,Theory!B56:CS124,96,FALSE)</f>
        <v>0</v>
      </c>
      <c r="DJ53" s="340">
        <f>VLOOKUP(C53,Theory!B56:CT124,97,FALSE)</f>
        <v>0</v>
      </c>
      <c r="DK53" s="340">
        <f>VLOOKUP(C53,Theory!B56:CU124,98,FALSE)</f>
        <v>0</v>
      </c>
      <c r="DL53" s="335">
        <f t="shared" si="20"/>
        <v>9</v>
      </c>
      <c r="DM53" s="265">
        <f t="shared" si="2"/>
        <v>39</v>
      </c>
      <c r="DN53" s="362">
        <f t="shared" si="40"/>
        <v>31</v>
      </c>
      <c r="DO53" s="362">
        <f t="shared" si="41"/>
        <v>36</v>
      </c>
      <c r="DP53" s="362">
        <f t="shared" si="42"/>
        <v>39</v>
      </c>
      <c r="DQ53" s="343">
        <f t="shared" si="43"/>
        <v>19</v>
      </c>
      <c r="DR53" s="343">
        <f t="shared" si="44"/>
        <v>22</v>
      </c>
      <c r="DS53" s="343">
        <f t="shared" si="45"/>
        <v>23</v>
      </c>
      <c r="DT53" s="328">
        <f t="shared" si="36"/>
        <v>21</v>
      </c>
      <c r="DU53" s="326">
        <f>VLOOKUP(C53,Theory!B56:CV124,99,FALSE)</f>
        <v>10</v>
      </c>
      <c r="DV53" s="326">
        <f>VLOOKUP(C53,Theory!B56:CW124,100,FALSE)</f>
        <v>10</v>
      </c>
      <c r="DW53" s="331">
        <f t="shared" si="27"/>
        <v>20</v>
      </c>
      <c r="DX53" s="266">
        <f t="shared" si="3"/>
        <v>41</v>
      </c>
      <c r="DY53" s="363">
        <f t="shared" si="4"/>
        <v>25</v>
      </c>
      <c r="DZ53" s="344">
        <f>VLOOKUP(C53,Lab!B48:D117,3,FALSE)</f>
        <v>0</v>
      </c>
      <c r="EA53" s="345">
        <f>VLOOKUP(C53,Lab!B48:E117,4,FALSE)</f>
        <v>0</v>
      </c>
      <c r="EB53" s="345">
        <f>VLOOKUP(C53,Lab!B48:F117,5,FALSE)</f>
        <v>0</v>
      </c>
      <c r="EC53" s="329">
        <f t="shared" si="37"/>
        <v>0</v>
      </c>
      <c r="ED53" s="346">
        <f>VLOOKUP(C53,Lab!B48:G117,6,FALSE)</f>
        <v>0</v>
      </c>
      <c r="EE53" s="346">
        <f>VLOOKUP(C53,Lab!B48:H117,7,FALSE)</f>
        <v>0</v>
      </c>
      <c r="EF53" s="347">
        <f>VLOOKUP(C53,Lab!B48:I117,8,FALSE)</f>
        <v>0</v>
      </c>
      <c r="EG53" s="330">
        <f t="shared" si="38"/>
        <v>0</v>
      </c>
      <c r="EH53" s="390">
        <f t="shared" si="28"/>
        <v>0</v>
      </c>
      <c r="EI53" s="349">
        <f t="shared" si="29"/>
        <v>0</v>
      </c>
      <c r="EJ53" s="391">
        <f t="shared" si="5"/>
        <v>25</v>
      </c>
      <c r="EK53" s="258">
        <v>39</v>
      </c>
      <c r="EM53" s="350">
        <f>VLOOKUP(C53,Theory!B56:DL124,114,FALSE)</f>
        <v>0</v>
      </c>
      <c r="EN53" s="350">
        <f>VLOOKUP(C53,Theory!B56:DM124,115,FALSE)</f>
        <v>0</v>
      </c>
      <c r="EO53" s="350">
        <f>VLOOKUP(C53,Theory!B56:DN124,116,FALSE)</f>
        <v>0</v>
      </c>
      <c r="EP53" s="350">
        <f>VLOOKUP(C53,Theory!B56:DO122,117,FALSE)</f>
        <v>0</v>
      </c>
      <c r="EQ53" s="350">
        <f>VLOOKUP(C53,Theory!B56:DP122,118,FALSE)</f>
        <v>0</v>
      </c>
      <c r="ER53" s="351">
        <f>VLOOKUP(C53,Theory!B56:DQ122,119,FALSE)</f>
        <v>0</v>
      </c>
      <c r="ES53" s="327">
        <f>VLOOKUP(C53,Theory!B56:DR122,120,FALSE)</f>
        <v>0</v>
      </c>
      <c r="ET53" s="348">
        <f t="shared" si="39"/>
        <v>0</v>
      </c>
      <c r="EU53" s="352"/>
      <c r="EV53" s="352"/>
      <c r="EW53" s="352"/>
      <c r="EX53" s="352"/>
      <c r="EY53" s="352"/>
      <c r="EZ53" s="352"/>
      <c r="FA53" s="352"/>
      <c r="FB53" s="352"/>
      <c r="FC53" s="352"/>
      <c r="FD53" s="352"/>
    </row>
    <row r="54" spans="1:160" ht="16.2" thickBot="1" x14ac:dyDescent="0.35">
      <c r="A54" s="64">
        <v>41</v>
      </c>
      <c r="B54" s="17">
        <f>Theory!C57</f>
        <v>0</v>
      </c>
      <c r="C54" s="16">
        <f>Theory!B57</f>
        <v>0</v>
      </c>
      <c r="D54" s="334" t="e">
        <f>VLOOKUP(C54,Theory!B57:D125,3,FALSE)</f>
        <v>#N/A</v>
      </c>
      <c r="E54" s="334" t="e">
        <f>VLOOKUP(C54,Theory!B57:E125,4,FALSE)</f>
        <v>#N/A</v>
      </c>
      <c r="F54" s="334" t="e">
        <f>VLOOKUP(C54,Theory!B57:F125,5,FALSE)</f>
        <v>#N/A</v>
      </c>
      <c r="G54" s="334" t="e">
        <f>VLOOKUP(C54,Theory!B57:G125,6,FALSE)</f>
        <v>#N/A</v>
      </c>
      <c r="H54" s="335" t="e">
        <f t="shared" si="6"/>
        <v>#N/A</v>
      </c>
      <c r="I54" s="338" t="e">
        <f>VLOOKUP(C54,Theory!B57:H125,7,FALSE)</f>
        <v>#N/A</v>
      </c>
      <c r="J54" s="337" t="e">
        <f>VLOOKUP(C54,Theory!B57:I125,8,FALSE)</f>
        <v>#N/A</v>
      </c>
      <c r="K54" s="337" t="e">
        <f>VLOOKUP(C54,Theory!B57:J125,9,FALSE)</f>
        <v>#N/A</v>
      </c>
      <c r="L54" s="337" t="e">
        <f>VLOOKUP(C54,Theory!B57:K125,10,FALSE)</f>
        <v>#N/A</v>
      </c>
      <c r="M54" s="335" t="e">
        <f t="shared" si="7"/>
        <v>#N/A</v>
      </c>
      <c r="N54" s="336" t="e">
        <f>VLOOKUP(C54,Theory!B57:L125,11,FALSE)</f>
        <v>#N/A</v>
      </c>
      <c r="O54" s="336" t="e">
        <f>VLOOKUP(C54,Theory!B57:M125,12,FALSE)</f>
        <v>#N/A</v>
      </c>
      <c r="P54" s="336" t="e">
        <f>VLOOKUP(C54,Theory!B57:N125,13,FALSE)</f>
        <v>#N/A</v>
      </c>
      <c r="Q54" s="336" t="e">
        <f>VLOOKUP(C54,Theory!B57:O125,14,FALSE)</f>
        <v>#N/A</v>
      </c>
      <c r="R54" s="337" t="e">
        <f>VLOOKUP(C54,Theory!B57:P125,15,FALSE)</f>
        <v>#N/A</v>
      </c>
      <c r="S54" s="337" t="e">
        <f>VLOOKUP(C54,Theory!B57:Q125,16,FALSE)</f>
        <v>#N/A</v>
      </c>
      <c r="T54" s="337" t="e">
        <f>VLOOKUP(C54,Theory!B57:R125,17,FALSE)</f>
        <v>#N/A</v>
      </c>
      <c r="U54" s="337" t="e">
        <f>VLOOKUP(C54,Theory!B57:S125,18,FALSE)</f>
        <v>#N/A</v>
      </c>
      <c r="V54" s="335" t="e">
        <f t="shared" si="8"/>
        <v>#N/A</v>
      </c>
      <c r="W54" s="334" t="e">
        <f>VLOOKUP(C54,Theory!B57:T125,19,FALSE)</f>
        <v>#N/A</v>
      </c>
      <c r="X54" s="334" t="e">
        <f>VLOOKUP(C54,Theory!B57:U125,20,FALSE)</f>
        <v>#N/A</v>
      </c>
      <c r="Y54" s="334" t="e">
        <f>VLOOKUP(C54,Theory!B57:V125,21,FALSE)</f>
        <v>#N/A</v>
      </c>
      <c r="Z54" s="334" t="e">
        <f>VLOOKUP(C54,Theory!B57:W125,22,FALSE)</f>
        <v>#N/A</v>
      </c>
      <c r="AA54" s="338" t="e">
        <f>VLOOKUP(C54,Theory!B57:X125,23,FALSE)</f>
        <v>#N/A</v>
      </c>
      <c r="AB54" s="338" t="e">
        <f>VLOOKUP(C54,Theory!B57:Y125,24,FALSE)</f>
        <v>#N/A</v>
      </c>
      <c r="AC54" s="338" t="e">
        <f>VLOOKUP(C54,Theory!B57:Z125,25,FALSE)</f>
        <v>#N/A</v>
      </c>
      <c r="AD54" s="338" t="e">
        <f>VLOOKUP(C54,Theory!B57:AA125,26,FALSE)</f>
        <v>#N/A</v>
      </c>
      <c r="AE54" s="335" t="e">
        <f t="shared" si="9"/>
        <v>#N/A</v>
      </c>
      <c r="AF54" s="334" t="e">
        <f>VLOOKUP(C54,Theory!B57:AB125,27,FALSE)</f>
        <v>#N/A</v>
      </c>
      <c r="AG54" s="334" t="e">
        <f>VLOOKUP(C54,Theory!B57:AC125,28,FALSE)</f>
        <v>#N/A</v>
      </c>
      <c r="AH54" s="334" t="e">
        <f>VLOOKUP(C54,Theory!B57:AD125,29,FALSE)</f>
        <v>#N/A</v>
      </c>
      <c r="AI54" s="334" t="e">
        <f>VLOOKUP(C54,Theory!B57:AE125,30,FALSE)</f>
        <v>#N/A</v>
      </c>
      <c r="AJ54" s="339" t="e">
        <f>VLOOKUP(C54,Theory!B57:AF125,31,FALSE)</f>
        <v>#N/A</v>
      </c>
      <c r="AK54" s="339" t="e">
        <f>VLOOKUP(C54,Theory!B57:AG125,32,FALSE)</f>
        <v>#N/A</v>
      </c>
      <c r="AL54" s="339" t="e">
        <f>VLOOKUP(C54,Theory!B57:AH125,33,FALSE)</f>
        <v>#N/A</v>
      </c>
      <c r="AM54" s="339" t="e">
        <f>VLOOKUP(C54,Theory!B57:AI125,34,FALSE)</f>
        <v>#N/A</v>
      </c>
      <c r="AN54" s="335" t="e">
        <f t="shared" si="10"/>
        <v>#N/A</v>
      </c>
      <c r="AO54" s="333" t="e">
        <f t="shared" si="0"/>
        <v>#N/A</v>
      </c>
      <c r="AP54" s="340" t="e">
        <f>VLOOKUP(C54,Theory!B57:AJ125,35,FALSE)</f>
        <v>#N/A</v>
      </c>
      <c r="AQ54" s="340" t="e">
        <f>VLOOKUP(C54,Theory!B57:AK125,36,FALSE)</f>
        <v>#N/A</v>
      </c>
      <c r="AR54" s="340" t="e">
        <f>VLOOKUP(C54,Theory!B57:AL125,37,FALSE)</f>
        <v>#N/A</v>
      </c>
      <c r="AS54" s="340" t="e">
        <f>VLOOKUP(C54,Theory!B57:AM125,38,FALSE)</f>
        <v>#N/A</v>
      </c>
      <c r="AT54" s="335" t="e">
        <f t="shared" si="11"/>
        <v>#N/A</v>
      </c>
      <c r="AU54" s="340" t="e">
        <f>VLOOKUP(C54,Theory!B57:AN125,39,FALSE)</f>
        <v>#N/A</v>
      </c>
      <c r="AV54" s="340" t="e">
        <f>VLOOKUP(C54,Theory!B57:AO125,40,FALSE)</f>
        <v>#N/A</v>
      </c>
      <c r="AW54" s="340" t="e">
        <f>VLOOKUP(C54,Theory!B57:AP125,41,FALSE)</f>
        <v>#N/A</v>
      </c>
      <c r="AX54" s="340" t="e">
        <f>VLOOKUP(C54,Theory!B57:AQ125,42,FALSE)</f>
        <v>#N/A</v>
      </c>
      <c r="AY54" s="335" t="e">
        <f t="shared" si="12"/>
        <v>#N/A</v>
      </c>
      <c r="AZ54" s="340" t="e">
        <f>VLOOKUP(C54,Theory!B57:AR125,43,FALSE)</f>
        <v>#N/A</v>
      </c>
      <c r="BA54" s="340" t="e">
        <f>VLOOKUP(C54,Theory!B57:AS125,44,FALSE)</f>
        <v>#N/A</v>
      </c>
      <c r="BB54" s="340" t="e">
        <f>VLOOKUP(C54,Theory!B57:AT125,45,FALSE)</f>
        <v>#N/A</v>
      </c>
      <c r="BC54" s="340" t="e">
        <f>VLOOKUP(C54,Theory!B57:AU125,46,FALSE)</f>
        <v>#N/A</v>
      </c>
      <c r="BD54" s="340" t="e">
        <f>VLOOKUP(C54,Theory!B57:AV125,47,FALSE)</f>
        <v>#N/A</v>
      </c>
      <c r="BE54" s="340" t="e">
        <f>VLOOKUP(C54,Theory!B57:AW125,48,FALSE)</f>
        <v>#N/A</v>
      </c>
      <c r="BF54" s="340" t="e">
        <f>VLOOKUP(C54,Theory!B57:AX125,49,FALSE)</f>
        <v>#N/A</v>
      </c>
      <c r="BG54" s="340" t="e">
        <f>VLOOKUP(C54,Theory!B57:AY125,50,FALSE)</f>
        <v>#N/A</v>
      </c>
      <c r="BH54" s="335" t="e">
        <f t="shared" si="13"/>
        <v>#N/A</v>
      </c>
      <c r="BI54" s="340" t="e">
        <f>VLOOKUP(C54,Theory!B57:AZ125,51,FALSE)</f>
        <v>#N/A</v>
      </c>
      <c r="BJ54" s="340" t="e">
        <f>VLOOKUP(C54,Theory!B57:BA125,52,FALSE)</f>
        <v>#N/A</v>
      </c>
      <c r="BK54" s="340" t="e">
        <f>VLOOKUP(C54,Theory!B57:BB125,53,FALSE)</f>
        <v>#N/A</v>
      </c>
      <c r="BL54" s="340" t="e">
        <f>VLOOKUP(C54,Theory!B57:BC125,54,FALSE)</f>
        <v>#N/A</v>
      </c>
      <c r="BM54" s="340" t="e">
        <f>VLOOKUP(C54,Theory!B57:BD125,55,FALSE)</f>
        <v>#N/A</v>
      </c>
      <c r="BN54" s="340" t="e">
        <f>VLOOKUP(C54,Theory!B57:BE125,56,FALSE)</f>
        <v>#N/A</v>
      </c>
      <c r="BO54" s="340" t="e">
        <f>VLOOKUP(C54,Theory!B57:BF125,57,FALSE)</f>
        <v>#N/A</v>
      </c>
      <c r="BP54" s="340" t="e">
        <f>VLOOKUP(C54,Theory!B57:BG125,58,FALSE)</f>
        <v>#N/A</v>
      </c>
      <c r="BQ54" s="335" t="e">
        <f t="shared" si="14"/>
        <v>#N/A</v>
      </c>
      <c r="BR54" s="340" t="e">
        <f>VLOOKUP(C54,Theory!B57:BH125,59,FALSE)</f>
        <v>#N/A</v>
      </c>
      <c r="BS54" s="340" t="e">
        <f>VLOOKUP(C54,Theory!B57:BI125,60,FALSE)</f>
        <v>#N/A</v>
      </c>
      <c r="BT54" s="340" t="e">
        <f>VLOOKUP(C54,Theory!B57:BJ125,61,FALSE)</f>
        <v>#N/A</v>
      </c>
      <c r="BU54" s="340" t="e">
        <f>VLOOKUP(C54,Theory!B57:BK125,62,FALSE)</f>
        <v>#N/A</v>
      </c>
      <c r="BV54" s="340" t="e">
        <f>VLOOKUP(C54,Theory!B57:BL125,63,FALSE)</f>
        <v>#N/A</v>
      </c>
      <c r="BW54" s="340" t="e">
        <f>VLOOKUP(C54,Theory!B57:BM125,64,FALSE)</f>
        <v>#N/A</v>
      </c>
      <c r="BX54" s="340" t="e">
        <f>VLOOKUP(C54,Theory!B57:BN125,65,FALSE)</f>
        <v>#N/A</v>
      </c>
      <c r="BY54" s="340" t="e">
        <f>VLOOKUP(C54,Theory!B57:BO125,66,FALSE)</f>
        <v>#N/A</v>
      </c>
      <c r="BZ54" s="335" t="e">
        <f t="shared" si="15"/>
        <v>#N/A</v>
      </c>
      <c r="CA54" s="333" t="e">
        <f t="shared" si="1"/>
        <v>#N/A</v>
      </c>
      <c r="CB54" s="340" t="e">
        <f>VLOOKUP(C54,Theory!B57:BP125,67,FALSE)</f>
        <v>#N/A</v>
      </c>
      <c r="CC54" s="340" t="e">
        <f>VLOOKUP(C54,Theory!B57:BQ125,68,FALSE)</f>
        <v>#N/A</v>
      </c>
      <c r="CD54" s="340" t="e">
        <f>VLOOKUP(C54,Theory!B57:BR125,69,FALSE)</f>
        <v>#N/A</v>
      </c>
      <c r="CE54" s="340" t="e">
        <f>VLOOKUP(C54,Theory!B57:BS125,70,FALSE)</f>
        <v>#N/A</v>
      </c>
      <c r="CF54" s="335" t="e">
        <f t="shared" si="16"/>
        <v>#N/A</v>
      </c>
      <c r="CG54" s="341" t="e">
        <f>VLOOKUP(C54,Theory!B57:BT125,71,FALSE)</f>
        <v>#N/A</v>
      </c>
      <c r="CH54" s="341" t="e">
        <f>VLOOKUP(C54,Theory!B57:BU125,72,FALSE)</f>
        <v>#N/A</v>
      </c>
      <c r="CI54" s="341" t="e">
        <f>VLOOKUP(C54,Theory!B57:BV125,73,FALSE)</f>
        <v>#N/A</v>
      </c>
      <c r="CJ54" s="341" t="e">
        <f>VLOOKUP(C54,Theory!B57:BW125,74,FALSE)</f>
        <v>#N/A</v>
      </c>
      <c r="CK54" s="335" t="e">
        <f t="shared" si="17"/>
        <v>#N/A</v>
      </c>
      <c r="CL54" s="340" t="e">
        <f>VLOOKUP(C54,Theory!B57:BX125,75,FALSE)</f>
        <v>#N/A</v>
      </c>
      <c r="CM54" s="342" t="e">
        <f>VLOOKUP(C54,Theory!B57:BY125,76,FALSE)</f>
        <v>#N/A</v>
      </c>
      <c r="CN54" s="342" t="e">
        <f>VLOOKUP(C54,Theory!B57:BZ125,77,FALSE)</f>
        <v>#N/A</v>
      </c>
      <c r="CO54" s="342" t="e">
        <f>VLOOKUP(C54,Theory!B57:CA125,78,FALSE)</f>
        <v>#N/A</v>
      </c>
      <c r="CP54" s="340" t="e">
        <f>VLOOKUP(C54,Theory!B57:CB125,79,FALSE)</f>
        <v>#N/A</v>
      </c>
      <c r="CQ54" s="340" t="e">
        <f>VLOOKUP(C54,Theory!B57:CC125,80,FALSE)</f>
        <v>#N/A</v>
      </c>
      <c r="CR54" s="340" t="e">
        <f>VLOOKUP(C54,Theory!B57:CD125,81,FALSE)</f>
        <v>#N/A</v>
      </c>
      <c r="CS54" s="340" t="e">
        <f>VLOOKUP(C54,Theory!B57:CE125,82,FALSE)</f>
        <v>#N/A</v>
      </c>
      <c r="CT54" s="335" t="e">
        <f t="shared" si="18"/>
        <v>#N/A</v>
      </c>
      <c r="CU54" s="341" t="e">
        <f>VLOOKUP(C54,Theory!B57:CF125,83,FALSE)</f>
        <v>#N/A</v>
      </c>
      <c r="CV54" s="342" t="e">
        <f>VLOOKUP(C54,Theory!B57:CG125,84,FALSE)</f>
        <v>#N/A</v>
      </c>
      <c r="CW54" s="342" t="e">
        <f>VLOOKUP(C54,Theory!B57:CH125,85,FALSE)</f>
        <v>#N/A</v>
      </c>
      <c r="CX54" s="342" t="e">
        <f>VLOOKUP(C54,Theory!B57:CI125,86,FALSE)</f>
        <v>#N/A</v>
      </c>
      <c r="CY54" s="341" t="e">
        <f>VLOOKUP(C54,Theory!B57:CJ125,87,FALSE)</f>
        <v>#N/A</v>
      </c>
      <c r="CZ54" s="341" t="e">
        <f>VLOOKUP(C54,Theory!B57:CK125,88,FALSE)</f>
        <v>#N/A</v>
      </c>
      <c r="DA54" s="341" t="e">
        <f>VLOOKUP(C54,Theory!B57:CL125,89,FALSE)</f>
        <v>#N/A</v>
      </c>
      <c r="DB54" s="341" t="e">
        <f>VLOOKUP(C54,Theory!B57:CM125,90,FALSE)</f>
        <v>#N/A</v>
      </c>
      <c r="DC54" s="335" t="e">
        <f t="shared" si="19"/>
        <v>#N/A</v>
      </c>
      <c r="DD54" s="340" t="e">
        <f>VLOOKUP(C54,Theory!B57:CN125,91,FALSE)</f>
        <v>#N/A</v>
      </c>
      <c r="DE54" s="342" t="e">
        <f>VLOOKUP(C54,Theory!B57:CO125,92,FALSE)</f>
        <v>#N/A</v>
      </c>
      <c r="DF54" s="342" t="e">
        <f>VLOOKUP(C54,Theory!B57:CP125,93,FALSE)</f>
        <v>#N/A</v>
      </c>
      <c r="DG54" s="342" t="e">
        <f>VLOOKUP(C54,Theory!B57:CQ125,94,FALSE)</f>
        <v>#N/A</v>
      </c>
      <c r="DH54" s="340" t="e">
        <f>VLOOKUP(C54,Theory!B57:CR125,95,FALSE)</f>
        <v>#N/A</v>
      </c>
      <c r="DI54" s="340" t="e">
        <f>VLOOKUP(C54,Theory!B57:CS125,96,FALSE)</f>
        <v>#N/A</v>
      </c>
      <c r="DJ54" s="340" t="e">
        <f>VLOOKUP(C54,Theory!B57:CT125,97,FALSE)</f>
        <v>#N/A</v>
      </c>
      <c r="DK54" s="340" t="e">
        <f>VLOOKUP(C54,Theory!B57:CU125,98,FALSE)</f>
        <v>#N/A</v>
      </c>
      <c r="DL54" s="335" t="e">
        <f t="shared" si="20"/>
        <v>#N/A</v>
      </c>
      <c r="DM54" s="265" t="e">
        <f t="shared" si="2"/>
        <v>#N/A</v>
      </c>
      <c r="DN54" s="362" t="e">
        <f t="shared" si="40"/>
        <v>#N/A</v>
      </c>
      <c r="DO54" s="362" t="e">
        <f t="shared" si="41"/>
        <v>#N/A</v>
      </c>
      <c r="DP54" s="362" t="e">
        <f t="shared" si="42"/>
        <v>#N/A</v>
      </c>
      <c r="DQ54" s="343" t="e">
        <f t="shared" si="43"/>
        <v>#N/A</v>
      </c>
      <c r="DR54" s="343" t="e">
        <f t="shared" si="44"/>
        <v>#N/A</v>
      </c>
      <c r="DS54" s="343" t="e">
        <f t="shared" si="45"/>
        <v>#N/A</v>
      </c>
      <c r="DT54" s="328" t="e">
        <f t="shared" si="36"/>
        <v>#N/A</v>
      </c>
      <c r="DU54" s="326" t="e">
        <f>VLOOKUP(C54,Theory!B57:CV125,99,FALSE)</f>
        <v>#N/A</v>
      </c>
      <c r="DV54" s="326" t="e">
        <f>VLOOKUP(C54,Theory!B57:CW125,100,FALSE)</f>
        <v>#N/A</v>
      </c>
      <c r="DW54" s="331" t="e">
        <f t="shared" si="27"/>
        <v>#N/A</v>
      </c>
      <c r="DX54" s="266" t="e">
        <f t="shared" si="3"/>
        <v>#N/A</v>
      </c>
      <c r="DY54" s="363" t="e">
        <f t="shared" si="4"/>
        <v>#N/A</v>
      </c>
      <c r="DZ54" s="344">
        <f>VLOOKUP(C54,Lab!B49:D118,3,FALSE)</f>
        <v>0</v>
      </c>
      <c r="EA54" s="345">
        <f>VLOOKUP(C54,Lab!B49:E118,4,FALSE)</f>
        <v>0</v>
      </c>
      <c r="EB54" s="345">
        <f>VLOOKUP(C54,Lab!B49:F118,5,FALSE)</f>
        <v>0</v>
      </c>
      <c r="EC54" s="329">
        <f t="shared" si="37"/>
        <v>0</v>
      </c>
      <c r="ED54" s="346">
        <f>VLOOKUP(C54,Lab!B49:G118,6,FALSE)</f>
        <v>0</v>
      </c>
      <c r="EE54" s="346">
        <f>VLOOKUP(C54,Lab!B49:H118,7,FALSE)</f>
        <v>0</v>
      </c>
      <c r="EF54" s="347">
        <f>VLOOKUP(C54,Lab!B49:I118,8,FALSE)</f>
        <v>0</v>
      </c>
      <c r="EG54" s="330">
        <f t="shared" si="38"/>
        <v>0</v>
      </c>
      <c r="EH54" s="390">
        <f t="shared" si="28"/>
        <v>0</v>
      </c>
      <c r="EI54" s="349">
        <f t="shared" si="29"/>
        <v>0</v>
      </c>
      <c r="EJ54" s="391" t="e">
        <f t="shared" si="5"/>
        <v>#N/A</v>
      </c>
      <c r="EK54" s="258">
        <v>0</v>
      </c>
      <c r="EM54" s="350" t="e">
        <f>VLOOKUP(C54,Theory!B57:DL125,114,FALSE)</f>
        <v>#N/A</v>
      </c>
      <c r="EN54" s="350" t="e">
        <f>VLOOKUP(C54,Theory!B57:DM125,115,FALSE)</f>
        <v>#N/A</v>
      </c>
      <c r="EO54" s="350" t="e">
        <f>VLOOKUP(C54,Theory!B57:DN125,116,FALSE)</f>
        <v>#N/A</v>
      </c>
      <c r="EP54" s="350" t="e">
        <f>VLOOKUP(C54,Theory!B57:DO123,117,FALSE)</f>
        <v>#N/A</v>
      </c>
      <c r="EQ54" s="350" t="e">
        <f>VLOOKUP(C54,Theory!B57:DP123,118,FALSE)</f>
        <v>#N/A</v>
      </c>
      <c r="ER54" s="351" t="e">
        <f>VLOOKUP(C54,Theory!B57:DQ123,119,FALSE)</f>
        <v>#N/A</v>
      </c>
      <c r="ES54" s="327" t="e">
        <f>VLOOKUP(C54,Theory!B57:DR123,120,FALSE)</f>
        <v>#N/A</v>
      </c>
      <c r="ET54" s="348" t="e">
        <f t="shared" si="39"/>
        <v>#N/A</v>
      </c>
      <c r="EU54" s="352"/>
      <c r="EV54" s="352"/>
      <c r="EW54" s="352"/>
      <c r="EX54" s="352"/>
      <c r="EY54" s="352"/>
      <c r="EZ54" s="352"/>
      <c r="FA54" s="352"/>
      <c r="FB54" s="352"/>
      <c r="FC54" s="352"/>
      <c r="FD54" s="352"/>
    </row>
    <row r="55" spans="1:160" ht="16.2" thickBot="1" x14ac:dyDescent="0.35">
      <c r="A55" s="64">
        <v>42</v>
      </c>
      <c r="B55" s="17">
        <f>Theory!C58</f>
        <v>0</v>
      </c>
      <c r="C55" s="16">
        <f>Theory!B58</f>
        <v>0</v>
      </c>
      <c r="D55" s="334" t="e">
        <f>VLOOKUP(C55,Theory!B58:D126,3,FALSE)</f>
        <v>#N/A</v>
      </c>
      <c r="E55" s="334" t="e">
        <f>VLOOKUP(C55,Theory!B58:E126,4,FALSE)</f>
        <v>#N/A</v>
      </c>
      <c r="F55" s="334" t="e">
        <f>VLOOKUP(C55,Theory!B58:F126,5,FALSE)</f>
        <v>#N/A</v>
      </c>
      <c r="G55" s="334" t="e">
        <f>VLOOKUP(C55,Theory!B58:G126,6,FALSE)</f>
        <v>#N/A</v>
      </c>
      <c r="H55" s="335" t="e">
        <f t="shared" si="6"/>
        <v>#N/A</v>
      </c>
      <c r="I55" s="338" t="e">
        <f>VLOOKUP(C55,Theory!B58:H126,7,FALSE)</f>
        <v>#N/A</v>
      </c>
      <c r="J55" s="337" t="e">
        <f>VLOOKUP(C55,Theory!B58:I126,8,FALSE)</f>
        <v>#N/A</v>
      </c>
      <c r="K55" s="337" t="e">
        <f>VLOOKUP(C55,Theory!B58:J126,9,FALSE)</f>
        <v>#N/A</v>
      </c>
      <c r="L55" s="337" t="e">
        <f>VLOOKUP(C55,Theory!B58:K126,10,FALSE)</f>
        <v>#N/A</v>
      </c>
      <c r="M55" s="335" t="e">
        <f t="shared" si="7"/>
        <v>#N/A</v>
      </c>
      <c r="N55" s="336" t="e">
        <f>VLOOKUP(C55,Theory!B58:L126,11,FALSE)</f>
        <v>#N/A</v>
      </c>
      <c r="O55" s="336" t="e">
        <f>VLOOKUP(C55,Theory!B58:M126,12,FALSE)</f>
        <v>#N/A</v>
      </c>
      <c r="P55" s="336" t="e">
        <f>VLOOKUP(C55,Theory!B58:N126,13,FALSE)</f>
        <v>#N/A</v>
      </c>
      <c r="Q55" s="336" t="e">
        <f>VLOOKUP(C55,Theory!B58:O126,14,FALSE)</f>
        <v>#N/A</v>
      </c>
      <c r="R55" s="337" t="e">
        <f>VLOOKUP(C55,Theory!B58:P126,15,FALSE)</f>
        <v>#N/A</v>
      </c>
      <c r="S55" s="337" t="e">
        <f>VLOOKUP(C55,Theory!B58:Q126,16,FALSE)</f>
        <v>#N/A</v>
      </c>
      <c r="T55" s="337" t="e">
        <f>VLOOKUP(C55,Theory!B58:R126,17,FALSE)</f>
        <v>#N/A</v>
      </c>
      <c r="U55" s="337" t="e">
        <f>VLOOKUP(C55,Theory!B58:S126,18,FALSE)</f>
        <v>#N/A</v>
      </c>
      <c r="V55" s="335" t="e">
        <f t="shared" si="8"/>
        <v>#N/A</v>
      </c>
      <c r="W55" s="334" t="e">
        <f>VLOOKUP(C55,Theory!B58:T126,19,FALSE)</f>
        <v>#N/A</v>
      </c>
      <c r="X55" s="334" t="e">
        <f>VLOOKUP(C55,Theory!B58:U126,20,FALSE)</f>
        <v>#N/A</v>
      </c>
      <c r="Y55" s="334" t="e">
        <f>VLOOKUP(C55,Theory!B58:V126,21,FALSE)</f>
        <v>#N/A</v>
      </c>
      <c r="Z55" s="334" t="e">
        <f>VLOOKUP(C55,Theory!B58:W126,22,FALSE)</f>
        <v>#N/A</v>
      </c>
      <c r="AA55" s="338" t="e">
        <f>VLOOKUP(C55,Theory!B58:X126,23,FALSE)</f>
        <v>#N/A</v>
      </c>
      <c r="AB55" s="338" t="e">
        <f>VLOOKUP(C55,Theory!B58:Y126,24,FALSE)</f>
        <v>#N/A</v>
      </c>
      <c r="AC55" s="338" t="e">
        <f>VLOOKUP(C55,Theory!B58:Z126,25,FALSE)</f>
        <v>#N/A</v>
      </c>
      <c r="AD55" s="338" t="e">
        <f>VLOOKUP(C55,Theory!B58:AA126,26,FALSE)</f>
        <v>#N/A</v>
      </c>
      <c r="AE55" s="335" t="e">
        <f t="shared" si="9"/>
        <v>#N/A</v>
      </c>
      <c r="AF55" s="334" t="e">
        <f>VLOOKUP(C55,Theory!B58:AB126,27,FALSE)</f>
        <v>#N/A</v>
      </c>
      <c r="AG55" s="334" t="e">
        <f>VLOOKUP(C55,Theory!B58:AC126,28,FALSE)</f>
        <v>#N/A</v>
      </c>
      <c r="AH55" s="334" t="e">
        <f>VLOOKUP(C55,Theory!B58:AD126,29,FALSE)</f>
        <v>#N/A</v>
      </c>
      <c r="AI55" s="334" t="e">
        <f>VLOOKUP(C55,Theory!B58:AE126,30,FALSE)</f>
        <v>#N/A</v>
      </c>
      <c r="AJ55" s="339" t="e">
        <f>VLOOKUP(C55,Theory!B58:AF126,31,FALSE)</f>
        <v>#N/A</v>
      </c>
      <c r="AK55" s="339" t="e">
        <f>VLOOKUP(C55,Theory!B58:AG126,32,FALSE)</f>
        <v>#N/A</v>
      </c>
      <c r="AL55" s="339" t="e">
        <f>VLOOKUP(C55,Theory!B58:AH126,33,FALSE)</f>
        <v>#N/A</v>
      </c>
      <c r="AM55" s="339" t="e">
        <f>VLOOKUP(C55,Theory!B58:AI126,34,FALSE)</f>
        <v>#N/A</v>
      </c>
      <c r="AN55" s="335" t="e">
        <f t="shared" si="10"/>
        <v>#N/A</v>
      </c>
      <c r="AO55" s="333" t="e">
        <f t="shared" si="0"/>
        <v>#N/A</v>
      </c>
      <c r="AP55" s="340" t="e">
        <f>VLOOKUP(C55,Theory!B58:AJ126,35,FALSE)</f>
        <v>#N/A</v>
      </c>
      <c r="AQ55" s="340" t="e">
        <f>VLOOKUP(C55,Theory!B58:AK126,36,FALSE)</f>
        <v>#N/A</v>
      </c>
      <c r="AR55" s="340" t="e">
        <f>VLOOKUP(C55,Theory!B58:AL126,37,FALSE)</f>
        <v>#N/A</v>
      </c>
      <c r="AS55" s="340" t="e">
        <f>VLOOKUP(C55,Theory!B58:AM126,38,FALSE)</f>
        <v>#N/A</v>
      </c>
      <c r="AT55" s="335" t="e">
        <f t="shared" si="11"/>
        <v>#N/A</v>
      </c>
      <c r="AU55" s="340" t="e">
        <f>VLOOKUP(C55,Theory!B58:AN126,39,FALSE)</f>
        <v>#N/A</v>
      </c>
      <c r="AV55" s="340" t="e">
        <f>VLOOKUP(C55,Theory!B58:AO126,40,FALSE)</f>
        <v>#N/A</v>
      </c>
      <c r="AW55" s="340" t="e">
        <f>VLOOKUP(C55,Theory!B58:AP126,41,FALSE)</f>
        <v>#N/A</v>
      </c>
      <c r="AX55" s="340" t="e">
        <f>VLOOKUP(C55,Theory!B58:AQ126,42,FALSE)</f>
        <v>#N/A</v>
      </c>
      <c r="AY55" s="335" t="e">
        <f t="shared" si="12"/>
        <v>#N/A</v>
      </c>
      <c r="AZ55" s="340" t="e">
        <f>VLOOKUP(C55,Theory!B58:AR126,43,FALSE)</f>
        <v>#N/A</v>
      </c>
      <c r="BA55" s="340" t="e">
        <f>VLOOKUP(C55,Theory!B58:AS126,44,FALSE)</f>
        <v>#N/A</v>
      </c>
      <c r="BB55" s="340" t="e">
        <f>VLOOKUP(C55,Theory!B58:AT126,45,FALSE)</f>
        <v>#N/A</v>
      </c>
      <c r="BC55" s="340" t="e">
        <f>VLOOKUP(C55,Theory!B58:AU126,46,FALSE)</f>
        <v>#N/A</v>
      </c>
      <c r="BD55" s="340" t="e">
        <f>VLOOKUP(C55,Theory!B58:AV126,47,FALSE)</f>
        <v>#N/A</v>
      </c>
      <c r="BE55" s="340" t="e">
        <f>VLOOKUP(C55,Theory!B58:AW126,48,FALSE)</f>
        <v>#N/A</v>
      </c>
      <c r="BF55" s="340" t="e">
        <f>VLOOKUP(C55,Theory!B58:AX126,49,FALSE)</f>
        <v>#N/A</v>
      </c>
      <c r="BG55" s="340" t="e">
        <f>VLOOKUP(C55,Theory!B58:AY126,50,FALSE)</f>
        <v>#N/A</v>
      </c>
      <c r="BH55" s="335" t="e">
        <f t="shared" si="13"/>
        <v>#N/A</v>
      </c>
      <c r="BI55" s="340" t="e">
        <f>VLOOKUP(C55,Theory!B58:AZ126,51,FALSE)</f>
        <v>#N/A</v>
      </c>
      <c r="BJ55" s="340" t="e">
        <f>VLOOKUP(C55,Theory!B58:BA126,52,FALSE)</f>
        <v>#N/A</v>
      </c>
      <c r="BK55" s="340" t="e">
        <f>VLOOKUP(C55,Theory!B58:BB126,53,FALSE)</f>
        <v>#N/A</v>
      </c>
      <c r="BL55" s="340" t="e">
        <f>VLOOKUP(C55,Theory!B58:BC126,54,FALSE)</f>
        <v>#N/A</v>
      </c>
      <c r="BM55" s="340" t="e">
        <f>VLOOKUP(C55,Theory!B58:BD126,55,FALSE)</f>
        <v>#N/A</v>
      </c>
      <c r="BN55" s="340" t="e">
        <f>VLOOKUP(C55,Theory!B58:BE126,56,FALSE)</f>
        <v>#N/A</v>
      </c>
      <c r="BO55" s="340" t="e">
        <f>VLOOKUP(C55,Theory!B58:BF126,57,FALSE)</f>
        <v>#N/A</v>
      </c>
      <c r="BP55" s="340" t="e">
        <f>VLOOKUP(C55,Theory!B58:BG126,58,FALSE)</f>
        <v>#N/A</v>
      </c>
      <c r="BQ55" s="335" t="e">
        <f t="shared" si="14"/>
        <v>#N/A</v>
      </c>
      <c r="BR55" s="340" t="e">
        <f>VLOOKUP(C55,Theory!B58:BH126,59,FALSE)</f>
        <v>#N/A</v>
      </c>
      <c r="BS55" s="340" t="e">
        <f>VLOOKUP(C55,Theory!B58:BI126,60,FALSE)</f>
        <v>#N/A</v>
      </c>
      <c r="BT55" s="340" t="e">
        <f>VLOOKUP(C55,Theory!B58:BJ126,61,FALSE)</f>
        <v>#N/A</v>
      </c>
      <c r="BU55" s="340" t="e">
        <f>VLOOKUP(C55,Theory!B58:BK126,62,FALSE)</f>
        <v>#N/A</v>
      </c>
      <c r="BV55" s="340" t="e">
        <f>VLOOKUP(C55,Theory!B58:BL126,63,FALSE)</f>
        <v>#N/A</v>
      </c>
      <c r="BW55" s="340" t="e">
        <f>VLOOKUP(C55,Theory!B58:BM126,64,FALSE)</f>
        <v>#N/A</v>
      </c>
      <c r="BX55" s="340" t="e">
        <f>VLOOKUP(C55,Theory!B58:BN126,65,FALSE)</f>
        <v>#N/A</v>
      </c>
      <c r="BY55" s="340" t="e">
        <f>VLOOKUP(C55,Theory!B58:BO126,66,FALSE)</f>
        <v>#N/A</v>
      </c>
      <c r="BZ55" s="335" t="e">
        <f t="shared" si="15"/>
        <v>#N/A</v>
      </c>
      <c r="CA55" s="333" t="e">
        <f t="shared" si="1"/>
        <v>#N/A</v>
      </c>
      <c r="CB55" s="340" t="e">
        <f>VLOOKUP(C55,Theory!B58:BP126,67,FALSE)</f>
        <v>#N/A</v>
      </c>
      <c r="CC55" s="340" t="e">
        <f>VLOOKUP(C55,Theory!B58:BQ126,68,FALSE)</f>
        <v>#N/A</v>
      </c>
      <c r="CD55" s="340" t="e">
        <f>VLOOKUP(C55,Theory!B58:BR126,69,FALSE)</f>
        <v>#N/A</v>
      </c>
      <c r="CE55" s="340" t="e">
        <f>VLOOKUP(C55,Theory!B58:BS126,70,FALSE)</f>
        <v>#N/A</v>
      </c>
      <c r="CF55" s="335" t="e">
        <f t="shared" si="16"/>
        <v>#N/A</v>
      </c>
      <c r="CG55" s="341" t="e">
        <f>VLOOKUP(C55,Theory!B58:BT126,71,FALSE)</f>
        <v>#N/A</v>
      </c>
      <c r="CH55" s="341" t="e">
        <f>VLOOKUP(C55,Theory!B58:BU126,72,FALSE)</f>
        <v>#N/A</v>
      </c>
      <c r="CI55" s="341" t="e">
        <f>VLOOKUP(C55,Theory!B58:BV126,73,FALSE)</f>
        <v>#N/A</v>
      </c>
      <c r="CJ55" s="341" t="e">
        <f>VLOOKUP(C55,Theory!B58:BW126,74,FALSE)</f>
        <v>#N/A</v>
      </c>
      <c r="CK55" s="335" t="e">
        <f t="shared" si="17"/>
        <v>#N/A</v>
      </c>
      <c r="CL55" s="340" t="e">
        <f>VLOOKUP(C55,Theory!B58:BX126,75,FALSE)</f>
        <v>#N/A</v>
      </c>
      <c r="CM55" s="342" t="e">
        <f>VLOOKUP(C55,Theory!B58:BY126,76,FALSE)</f>
        <v>#N/A</v>
      </c>
      <c r="CN55" s="342" t="e">
        <f>VLOOKUP(C55,Theory!B58:BZ126,77,FALSE)</f>
        <v>#N/A</v>
      </c>
      <c r="CO55" s="342" t="e">
        <f>VLOOKUP(C55,Theory!B58:CA126,78,FALSE)</f>
        <v>#N/A</v>
      </c>
      <c r="CP55" s="340" t="e">
        <f>VLOOKUP(C55,Theory!B58:CB126,79,FALSE)</f>
        <v>#N/A</v>
      </c>
      <c r="CQ55" s="340" t="e">
        <f>VLOOKUP(C55,Theory!B58:CC126,80,FALSE)</f>
        <v>#N/A</v>
      </c>
      <c r="CR55" s="340" t="e">
        <f>VLOOKUP(C55,Theory!B58:CD126,81,FALSE)</f>
        <v>#N/A</v>
      </c>
      <c r="CS55" s="340" t="e">
        <f>VLOOKUP(C55,Theory!B58:CE126,82,FALSE)</f>
        <v>#N/A</v>
      </c>
      <c r="CT55" s="335" t="e">
        <f t="shared" si="18"/>
        <v>#N/A</v>
      </c>
      <c r="CU55" s="341" t="e">
        <f>VLOOKUP(C55,Theory!B58:CF126,83,FALSE)</f>
        <v>#N/A</v>
      </c>
      <c r="CV55" s="342" t="e">
        <f>VLOOKUP(C55,Theory!B58:CG126,84,FALSE)</f>
        <v>#N/A</v>
      </c>
      <c r="CW55" s="342" t="e">
        <f>VLOOKUP(C55,Theory!B58:CH126,85,FALSE)</f>
        <v>#N/A</v>
      </c>
      <c r="CX55" s="342" t="e">
        <f>VLOOKUP(C55,Theory!B58:CI126,86,FALSE)</f>
        <v>#N/A</v>
      </c>
      <c r="CY55" s="341" t="e">
        <f>VLOOKUP(C55,Theory!B58:CJ126,87,FALSE)</f>
        <v>#N/A</v>
      </c>
      <c r="CZ55" s="341" t="e">
        <f>VLOOKUP(C55,Theory!B58:CK126,88,FALSE)</f>
        <v>#N/A</v>
      </c>
      <c r="DA55" s="341" t="e">
        <f>VLOOKUP(C55,Theory!B58:CL126,89,FALSE)</f>
        <v>#N/A</v>
      </c>
      <c r="DB55" s="341" t="e">
        <f>VLOOKUP(C55,Theory!B58:CM126,90,FALSE)</f>
        <v>#N/A</v>
      </c>
      <c r="DC55" s="335" t="e">
        <f t="shared" si="19"/>
        <v>#N/A</v>
      </c>
      <c r="DD55" s="340" t="e">
        <f>VLOOKUP(C55,Theory!B58:CN126,91,FALSE)</f>
        <v>#N/A</v>
      </c>
      <c r="DE55" s="342" t="e">
        <f>VLOOKUP(C55,Theory!B58:CO126,92,FALSE)</f>
        <v>#N/A</v>
      </c>
      <c r="DF55" s="342" t="e">
        <f>VLOOKUP(C55,Theory!B58:CP126,93,FALSE)</f>
        <v>#N/A</v>
      </c>
      <c r="DG55" s="342" t="e">
        <f>VLOOKUP(C55,Theory!B58:CQ126,94,FALSE)</f>
        <v>#N/A</v>
      </c>
      <c r="DH55" s="340" t="e">
        <f>VLOOKUP(C55,Theory!B58:CR126,95,FALSE)</f>
        <v>#N/A</v>
      </c>
      <c r="DI55" s="340" t="e">
        <f>VLOOKUP(C55,Theory!B58:CS126,96,FALSE)</f>
        <v>#N/A</v>
      </c>
      <c r="DJ55" s="340" t="e">
        <f>VLOOKUP(C55,Theory!B58:CT126,97,FALSE)</f>
        <v>#N/A</v>
      </c>
      <c r="DK55" s="340" t="e">
        <f>VLOOKUP(C55,Theory!B58:CU126,98,FALSE)</f>
        <v>#N/A</v>
      </c>
      <c r="DL55" s="335" t="e">
        <f t="shared" si="20"/>
        <v>#N/A</v>
      </c>
      <c r="DM55" s="265" t="e">
        <f t="shared" si="2"/>
        <v>#N/A</v>
      </c>
      <c r="DN55" s="362" t="e">
        <f t="shared" si="40"/>
        <v>#N/A</v>
      </c>
      <c r="DO55" s="362" t="e">
        <f t="shared" si="41"/>
        <v>#N/A</v>
      </c>
      <c r="DP55" s="362" t="e">
        <f t="shared" si="42"/>
        <v>#N/A</v>
      </c>
      <c r="DQ55" s="343" t="e">
        <f t="shared" si="43"/>
        <v>#N/A</v>
      </c>
      <c r="DR55" s="343" t="e">
        <f t="shared" si="44"/>
        <v>#N/A</v>
      </c>
      <c r="DS55" s="343" t="e">
        <f t="shared" si="45"/>
        <v>#N/A</v>
      </c>
      <c r="DT55" s="328" t="e">
        <f t="shared" si="36"/>
        <v>#N/A</v>
      </c>
      <c r="DU55" s="326" t="e">
        <f>VLOOKUP(C55,Theory!B58:CV126,99,FALSE)</f>
        <v>#N/A</v>
      </c>
      <c r="DV55" s="326" t="e">
        <f>VLOOKUP(C55,Theory!B58:CW126,100,FALSE)</f>
        <v>#N/A</v>
      </c>
      <c r="DW55" s="331" t="e">
        <f t="shared" si="27"/>
        <v>#N/A</v>
      </c>
      <c r="DX55" s="266" t="e">
        <f t="shared" si="3"/>
        <v>#N/A</v>
      </c>
      <c r="DY55" s="363" t="e">
        <f t="shared" si="4"/>
        <v>#N/A</v>
      </c>
      <c r="DZ55" s="344">
        <f>VLOOKUP(C55,Lab!B50:D119,3,FALSE)</f>
        <v>0</v>
      </c>
      <c r="EA55" s="345">
        <f>VLOOKUP(C55,Lab!B50:E119,4,FALSE)</f>
        <v>0</v>
      </c>
      <c r="EB55" s="345">
        <f>VLOOKUP(C55,Lab!B50:F119,5,FALSE)</f>
        <v>0</v>
      </c>
      <c r="EC55" s="329">
        <f t="shared" si="37"/>
        <v>0</v>
      </c>
      <c r="ED55" s="346">
        <f>VLOOKUP(C55,Lab!B50:G119,6,FALSE)</f>
        <v>0</v>
      </c>
      <c r="EE55" s="346">
        <f>VLOOKUP(C55,Lab!B50:H119,7,FALSE)</f>
        <v>0</v>
      </c>
      <c r="EF55" s="347">
        <f>VLOOKUP(C55,Lab!B50:I119,8,FALSE)</f>
        <v>0</v>
      </c>
      <c r="EG55" s="330">
        <f t="shared" si="38"/>
        <v>0</v>
      </c>
      <c r="EH55" s="390">
        <f t="shared" si="28"/>
        <v>0</v>
      </c>
      <c r="EI55" s="349">
        <f t="shared" si="29"/>
        <v>0</v>
      </c>
      <c r="EJ55" s="391" t="e">
        <f t="shared" si="5"/>
        <v>#N/A</v>
      </c>
      <c r="EK55" s="258">
        <v>0</v>
      </c>
      <c r="EM55" s="350" t="e">
        <f>VLOOKUP(C55,Theory!B58:DL126,114,FALSE)</f>
        <v>#N/A</v>
      </c>
      <c r="EN55" s="350" t="e">
        <f>VLOOKUP(C55,Theory!B58:DM126,115,FALSE)</f>
        <v>#N/A</v>
      </c>
      <c r="EO55" s="350" t="e">
        <f>VLOOKUP(C55,Theory!B58:DN126,116,FALSE)</f>
        <v>#N/A</v>
      </c>
      <c r="EP55" s="350" t="e">
        <f>VLOOKUP(C55,Theory!B58:DO124,117,FALSE)</f>
        <v>#N/A</v>
      </c>
      <c r="EQ55" s="350" t="e">
        <f>VLOOKUP(C55,Theory!B58:DP124,118,FALSE)</f>
        <v>#N/A</v>
      </c>
      <c r="ER55" s="351" t="e">
        <f>VLOOKUP(C55,Theory!B58:DQ124,119,FALSE)</f>
        <v>#N/A</v>
      </c>
      <c r="ES55" s="327" t="e">
        <f>VLOOKUP(C55,Theory!B58:DR124,120,FALSE)</f>
        <v>#N/A</v>
      </c>
      <c r="ET55" s="348" t="e">
        <f t="shared" si="39"/>
        <v>#N/A</v>
      </c>
      <c r="EU55" s="352"/>
      <c r="EV55" s="352"/>
      <c r="EW55" s="352"/>
      <c r="EX55" s="352"/>
      <c r="EY55" s="352"/>
      <c r="EZ55" s="352"/>
      <c r="FA55" s="352"/>
      <c r="FB55" s="352"/>
      <c r="FC55" s="352"/>
      <c r="FD55" s="352"/>
    </row>
    <row r="56" spans="1:160" ht="16.2" thickBot="1" x14ac:dyDescent="0.35">
      <c r="A56" s="64">
        <v>43</v>
      </c>
      <c r="B56" s="17">
        <f>Theory!C59</f>
        <v>0</v>
      </c>
      <c r="C56" s="16">
        <f>Theory!B59</f>
        <v>0</v>
      </c>
      <c r="D56" s="334" t="e">
        <f>VLOOKUP(C56,Theory!B59:D127,3,FALSE)</f>
        <v>#N/A</v>
      </c>
      <c r="E56" s="334" t="e">
        <f>VLOOKUP(C56,Theory!B59:E127,4,FALSE)</f>
        <v>#N/A</v>
      </c>
      <c r="F56" s="334" t="e">
        <f>VLOOKUP(C56,Theory!B59:F127,5,FALSE)</f>
        <v>#N/A</v>
      </c>
      <c r="G56" s="334" t="e">
        <f>VLOOKUP(C56,Theory!B59:G127,6,FALSE)</f>
        <v>#N/A</v>
      </c>
      <c r="H56" s="335" t="e">
        <f t="shared" si="6"/>
        <v>#N/A</v>
      </c>
      <c r="I56" s="338" t="e">
        <f>VLOOKUP(C56,Theory!B59:H127,7,FALSE)</f>
        <v>#N/A</v>
      </c>
      <c r="J56" s="337" t="e">
        <f>VLOOKUP(C56,Theory!B59:I127,8,FALSE)</f>
        <v>#N/A</v>
      </c>
      <c r="K56" s="337" t="e">
        <f>VLOOKUP(C56,Theory!B59:J127,9,FALSE)</f>
        <v>#N/A</v>
      </c>
      <c r="L56" s="337" t="e">
        <f>VLOOKUP(C56,Theory!B59:K127,10,FALSE)</f>
        <v>#N/A</v>
      </c>
      <c r="M56" s="335" t="e">
        <f t="shared" si="7"/>
        <v>#N/A</v>
      </c>
      <c r="N56" s="336" t="e">
        <f>VLOOKUP(C56,Theory!B59:L127,11,FALSE)</f>
        <v>#N/A</v>
      </c>
      <c r="O56" s="336" t="e">
        <f>VLOOKUP(C56,Theory!B59:M127,12,FALSE)</f>
        <v>#N/A</v>
      </c>
      <c r="P56" s="336" t="e">
        <f>VLOOKUP(C56,Theory!B59:N127,13,FALSE)</f>
        <v>#N/A</v>
      </c>
      <c r="Q56" s="336" t="e">
        <f>VLOOKUP(C56,Theory!B59:O127,14,FALSE)</f>
        <v>#N/A</v>
      </c>
      <c r="R56" s="337" t="e">
        <f>VLOOKUP(C56,Theory!B59:P127,15,FALSE)</f>
        <v>#N/A</v>
      </c>
      <c r="S56" s="337" t="e">
        <f>VLOOKUP(C56,Theory!B59:Q127,16,FALSE)</f>
        <v>#N/A</v>
      </c>
      <c r="T56" s="337" t="e">
        <f>VLOOKUP(C56,Theory!B59:R127,17,FALSE)</f>
        <v>#N/A</v>
      </c>
      <c r="U56" s="337" t="e">
        <f>VLOOKUP(C56,Theory!B59:S127,18,FALSE)</f>
        <v>#N/A</v>
      </c>
      <c r="V56" s="335" t="e">
        <f t="shared" si="8"/>
        <v>#N/A</v>
      </c>
      <c r="W56" s="334" t="e">
        <f>VLOOKUP(C56,Theory!B59:T127,19,FALSE)</f>
        <v>#N/A</v>
      </c>
      <c r="X56" s="334" t="e">
        <f>VLOOKUP(C56,Theory!B59:U127,20,FALSE)</f>
        <v>#N/A</v>
      </c>
      <c r="Y56" s="334" t="e">
        <f>VLOOKUP(C56,Theory!B59:V127,21,FALSE)</f>
        <v>#N/A</v>
      </c>
      <c r="Z56" s="334" t="e">
        <f>VLOOKUP(C56,Theory!B59:W127,22,FALSE)</f>
        <v>#N/A</v>
      </c>
      <c r="AA56" s="338" t="e">
        <f>VLOOKUP(C56,Theory!B59:X127,23,FALSE)</f>
        <v>#N/A</v>
      </c>
      <c r="AB56" s="338" t="e">
        <f>VLOOKUP(C56,Theory!B59:Y127,24,FALSE)</f>
        <v>#N/A</v>
      </c>
      <c r="AC56" s="338" t="e">
        <f>VLOOKUP(C56,Theory!B59:Z127,25,FALSE)</f>
        <v>#N/A</v>
      </c>
      <c r="AD56" s="338" t="e">
        <f>VLOOKUP(C56,Theory!B59:AA127,26,FALSE)</f>
        <v>#N/A</v>
      </c>
      <c r="AE56" s="335" t="e">
        <f t="shared" si="9"/>
        <v>#N/A</v>
      </c>
      <c r="AF56" s="334" t="e">
        <f>VLOOKUP(C56,Theory!B59:AB127,27,FALSE)</f>
        <v>#N/A</v>
      </c>
      <c r="AG56" s="334" t="e">
        <f>VLOOKUP(C56,Theory!B59:AC127,28,FALSE)</f>
        <v>#N/A</v>
      </c>
      <c r="AH56" s="334" t="e">
        <f>VLOOKUP(C56,Theory!B59:AD127,29,FALSE)</f>
        <v>#N/A</v>
      </c>
      <c r="AI56" s="334" t="e">
        <f>VLOOKUP(C56,Theory!B59:AE127,30,FALSE)</f>
        <v>#N/A</v>
      </c>
      <c r="AJ56" s="339" t="e">
        <f>VLOOKUP(C56,Theory!B59:AF127,31,FALSE)</f>
        <v>#N/A</v>
      </c>
      <c r="AK56" s="339" t="e">
        <f>VLOOKUP(C56,Theory!B59:AG127,32,FALSE)</f>
        <v>#N/A</v>
      </c>
      <c r="AL56" s="339" t="e">
        <f>VLOOKUP(C56,Theory!B59:AH127,33,FALSE)</f>
        <v>#N/A</v>
      </c>
      <c r="AM56" s="339" t="e">
        <f>VLOOKUP(C56,Theory!B59:AI127,34,FALSE)</f>
        <v>#N/A</v>
      </c>
      <c r="AN56" s="335" t="e">
        <f t="shared" si="10"/>
        <v>#N/A</v>
      </c>
      <c r="AO56" s="333" t="e">
        <f t="shared" si="0"/>
        <v>#N/A</v>
      </c>
      <c r="AP56" s="340" t="e">
        <f>VLOOKUP(C56,Theory!B59:AJ127,35,FALSE)</f>
        <v>#N/A</v>
      </c>
      <c r="AQ56" s="340" t="e">
        <f>VLOOKUP(C56,Theory!B59:AK127,36,FALSE)</f>
        <v>#N/A</v>
      </c>
      <c r="AR56" s="340" t="e">
        <f>VLOOKUP(C56,Theory!B59:AL127,37,FALSE)</f>
        <v>#N/A</v>
      </c>
      <c r="AS56" s="340" t="e">
        <f>VLOOKUP(C56,Theory!B59:AM127,38,FALSE)</f>
        <v>#N/A</v>
      </c>
      <c r="AT56" s="335" t="e">
        <f t="shared" si="11"/>
        <v>#N/A</v>
      </c>
      <c r="AU56" s="340" t="e">
        <f>VLOOKUP(C56,Theory!B59:AN127,39,FALSE)</f>
        <v>#N/A</v>
      </c>
      <c r="AV56" s="340" t="e">
        <f>VLOOKUP(C56,Theory!B59:AO127,40,FALSE)</f>
        <v>#N/A</v>
      </c>
      <c r="AW56" s="340" t="e">
        <f>VLOOKUP(C56,Theory!B59:AP127,41,FALSE)</f>
        <v>#N/A</v>
      </c>
      <c r="AX56" s="340" t="e">
        <f>VLOOKUP(C56,Theory!B59:AQ127,42,FALSE)</f>
        <v>#N/A</v>
      </c>
      <c r="AY56" s="335" t="e">
        <f t="shared" si="12"/>
        <v>#N/A</v>
      </c>
      <c r="AZ56" s="340" t="e">
        <f>VLOOKUP(C56,Theory!B59:AR127,43,FALSE)</f>
        <v>#N/A</v>
      </c>
      <c r="BA56" s="340" t="e">
        <f>VLOOKUP(C56,Theory!B59:AS127,44,FALSE)</f>
        <v>#N/A</v>
      </c>
      <c r="BB56" s="340" t="e">
        <f>VLOOKUP(C56,Theory!B59:AT127,45,FALSE)</f>
        <v>#N/A</v>
      </c>
      <c r="BC56" s="340" t="e">
        <f>VLOOKUP(C56,Theory!B59:AU127,46,FALSE)</f>
        <v>#N/A</v>
      </c>
      <c r="BD56" s="340" t="e">
        <f>VLOOKUP(C56,Theory!B59:AV127,47,FALSE)</f>
        <v>#N/A</v>
      </c>
      <c r="BE56" s="340" t="e">
        <f>VLOOKUP(C56,Theory!B59:AW127,48,FALSE)</f>
        <v>#N/A</v>
      </c>
      <c r="BF56" s="340" t="e">
        <f>VLOOKUP(C56,Theory!B59:AX127,49,FALSE)</f>
        <v>#N/A</v>
      </c>
      <c r="BG56" s="340" t="e">
        <f>VLOOKUP(C56,Theory!B59:AY127,50,FALSE)</f>
        <v>#N/A</v>
      </c>
      <c r="BH56" s="335" t="e">
        <f t="shared" si="13"/>
        <v>#N/A</v>
      </c>
      <c r="BI56" s="340" t="e">
        <f>VLOOKUP(C56,Theory!B59:AZ127,51,FALSE)</f>
        <v>#N/A</v>
      </c>
      <c r="BJ56" s="340" t="e">
        <f>VLOOKUP(C56,Theory!B59:BA127,52,FALSE)</f>
        <v>#N/A</v>
      </c>
      <c r="BK56" s="340" t="e">
        <f>VLOOKUP(C56,Theory!B59:BB127,53,FALSE)</f>
        <v>#N/A</v>
      </c>
      <c r="BL56" s="340" t="e">
        <f>VLOOKUP(C56,Theory!B59:BC127,54,FALSE)</f>
        <v>#N/A</v>
      </c>
      <c r="BM56" s="340" t="e">
        <f>VLOOKUP(C56,Theory!B59:BD127,55,FALSE)</f>
        <v>#N/A</v>
      </c>
      <c r="BN56" s="340" t="e">
        <f>VLOOKUP(C56,Theory!B59:BE127,56,FALSE)</f>
        <v>#N/A</v>
      </c>
      <c r="BO56" s="340" t="e">
        <f>VLOOKUP(C56,Theory!B59:BF127,57,FALSE)</f>
        <v>#N/A</v>
      </c>
      <c r="BP56" s="340" t="e">
        <f>VLOOKUP(C56,Theory!B59:BG127,58,FALSE)</f>
        <v>#N/A</v>
      </c>
      <c r="BQ56" s="335" t="e">
        <f t="shared" si="14"/>
        <v>#N/A</v>
      </c>
      <c r="BR56" s="340" t="e">
        <f>VLOOKUP(C56,Theory!B59:BH127,59,FALSE)</f>
        <v>#N/A</v>
      </c>
      <c r="BS56" s="340" t="e">
        <f>VLOOKUP(C56,Theory!B59:BI127,60,FALSE)</f>
        <v>#N/A</v>
      </c>
      <c r="BT56" s="340" t="e">
        <f>VLOOKUP(C56,Theory!B59:BJ127,61,FALSE)</f>
        <v>#N/A</v>
      </c>
      <c r="BU56" s="340" t="e">
        <f>VLOOKUP(C56,Theory!B59:BK127,62,FALSE)</f>
        <v>#N/A</v>
      </c>
      <c r="BV56" s="340" t="e">
        <f>VLOOKUP(C56,Theory!B59:BL127,63,FALSE)</f>
        <v>#N/A</v>
      </c>
      <c r="BW56" s="340" t="e">
        <f>VLOOKUP(C56,Theory!B59:BM127,64,FALSE)</f>
        <v>#N/A</v>
      </c>
      <c r="BX56" s="340" t="e">
        <f>VLOOKUP(C56,Theory!B59:BN127,65,FALSE)</f>
        <v>#N/A</v>
      </c>
      <c r="BY56" s="340" t="e">
        <f>VLOOKUP(C56,Theory!B59:BO127,66,FALSE)</f>
        <v>#N/A</v>
      </c>
      <c r="BZ56" s="335" t="e">
        <f t="shared" si="15"/>
        <v>#N/A</v>
      </c>
      <c r="CA56" s="333" t="e">
        <f t="shared" si="1"/>
        <v>#N/A</v>
      </c>
      <c r="CB56" s="340" t="e">
        <f>VLOOKUP(C56,Theory!B59:BP127,67,FALSE)</f>
        <v>#N/A</v>
      </c>
      <c r="CC56" s="340" t="e">
        <f>VLOOKUP(C56,Theory!B59:BQ127,68,FALSE)</f>
        <v>#N/A</v>
      </c>
      <c r="CD56" s="340" t="e">
        <f>VLOOKUP(C56,Theory!B59:BR127,69,FALSE)</f>
        <v>#N/A</v>
      </c>
      <c r="CE56" s="340" t="e">
        <f>VLOOKUP(C56,Theory!B59:BS127,70,FALSE)</f>
        <v>#N/A</v>
      </c>
      <c r="CF56" s="335" t="e">
        <f t="shared" si="16"/>
        <v>#N/A</v>
      </c>
      <c r="CG56" s="341" t="e">
        <f>VLOOKUP(C56,Theory!B59:BT127,71,FALSE)</f>
        <v>#N/A</v>
      </c>
      <c r="CH56" s="341" t="e">
        <f>VLOOKUP(C56,Theory!B59:BU127,72,FALSE)</f>
        <v>#N/A</v>
      </c>
      <c r="CI56" s="341" t="e">
        <f>VLOOKUP(C56,Theory!B59:BV127,73,FALSE)</f>
        <v>#N/A</v>
      </c>
      <c r="CJ56" s="341" t="e">
        <f>VLOOKUP(C56,Theory!B59:BW127,74,FALSE)</f>
        <v>#N/A</v>
      </c>
      <c r="CK56" s="335" t="e">
        <f t="shared" si="17"/>
        <v>#N/A</v>
      </c>
      <c r="CL56" s="340" t="e">
        <f>VLOOKUP(C56,Theory!B59:BX127,75,FALSE)</f>
        <v>#N/A</v>
      </c>
      <c r="CM56" s="342" t="e">
        <f>VLOOKUP(C56,Theory!B59:BY127,76,FALSE)</f>
        <v>#N/A</v>
      </c>
      <c r="CN56" s="342" t="e">
        <f>VLOOKUP(C56,Theory!B59:BZ127,77,FALSE)</f>
        <v>#N/A</v>
      </c>
      <c r="CO56" s="342" t="e">
        <f>VLOOKUP(C56,Theory!B59:CA127,78,FALSE)</f>
        <v>#N/A</v>
      </c>
      <c r="CP56" s="340" t="e">
        <f>VLOOKUP(C56,Theory!B59:CB127,79,FALSE)</f>
        <v>#N/A</v>
      </c>
      <c r="CQ56" s="340" t="e">
        <f>VLOOKUP(C56,Theory!B59:CC127,80,FALSE)</f>
        <v>#N/A</v>
      </c>
      <c r="CR56" s="340" t="e">
        <f>VLOOKUP(C56,Theory!B59:CD127,81,FALSE)</f>
        <v>#N/A</v>
      </c>
      <c r="CS56" s="340" t="e">
        <f>VLOOKUP(C56,Theory!B59:CE127,82,FALSE)</f>
        <v>#N/A</v>
      </c>
      <c r="CT56" s="335" t="e">
        <f t="shared" si="18"/>
        <v>#N/A</v>
      </c>
      <c r="CU56" s="341" t="e">
        <f>VLOOKUP(C56,Theory!B59:CF127,83,FALSE)</f>
        <v>#N/A</v>
      </c>
      <c r="CV56" s="342" t="e">
        <f>VLOOKUP(C56,Theory!B59:CG127,84,FALSE)</f>
        <v>#N/A</v>
      </c>
      <c r="CW56" s="342" t="e">
        <f>VLOOKUP(C56,Theory!B59:CH127,85,FALSE)</f>
        <v>#N/A</v>
      </c>
      <c r="CX56" s="342" t="e">
        <f>VLOOKUP(C56,Theory!B59:CI127,86,FALSE)</f>
        <v>#N/A</v>
      </c>
      <c r="CY56" s="341" t="e">
        <f>VLOOKUP(C56,Theory!B59:CJ127,87,FALSE)</f>
        <v>#N/A</v>
      </c>
      <c r="CZ56" s="341" t="e">
        <f>VLOOKUP(C56,Theory!B59:CK127,88,FALSE)</f>
        <v>#N/A</v>
      </c>
      <c r="DA56" s="341" t="e">
        <f>VLOOKUP(C56,Theory!B59:CL127,89,FALSE)</f>
        <v>#N/A</v>
      </c>
      <c r="DB56" s="341" t="e">
        <f>VLOOKUP(C56,Theory!B59:CM127,90,FALSE)</f>
        <v>#N/A</v>
      </c>
      <c r="DC56" s="335" t="e">
        <f t="shared" si="19"/>
        <v>#N/A</v>
      </c>
      <c r="DD56" s="340" t="e">
        <f>VLOOKUP(C56,Theory!B59:CN127,91,FALSE)</f>
        <v>#N/A</v>
      </c>
      <c r="DE56" s="342" t="e">
        <f>VLOOKUP(C56,Theory!B59:CO127,92,FALSE)</f>
        <v>#N/A</v>
      </c>
      <c r="DF56" s="342" t="e">
        <f>VLOOKUP(C56,Theory!B59:CP127,93,FALSE)</f>
        <v>#N/A</v>
      </c>
      <c r="DG56" s="342" t="e">
        <f>VLOOKUP(C56,Theory!B59:CQ127,94,FALSE)</f>
        <v>#N/A</v>
      </c>
      <c r="DH56" s="340" t="e">
        <f>VLOOKUP(C56,Theory!B59:CR127,95,FALSE)</f>
        <v>#N/A</v>
      </c>
      <c r="DI56" s="340" t="e">
        <f>VLOOKUP(C56,Theory!B59:CS127,96,FALSE)</f>
        <v>#N/A</v>
      </c>
      <c r="DJ56" s="340" t="e">
        <f>VLOOKUP(C56,Theory!B59:CT127,97,FALSE)</f>
        <v>#N/A</v>
      </c>
      <c r="DK56" s="340" t="e">
        <f>VLOOKUP(C56,Theory!B59:CU127,98,FALSE)</f>
        <v>#N/A</v>
      </c>
      <c r="DL56" s="335" t="e">
        <f t="shared" si="20"/>
        <v>#N/A</v>
      </c>
      <c r="DM56" s="265" t="e">
        <f t="shared" si="2"/>
        <v>#N/A</v>
      </c>
      <c r="DN56" s="362" t="e">
        <f t="shared" si="40"/>
        <v>#N/A</v>
      </c>
      <c r="DO56" s="362" t="e">
        <f t="shared" si="41"/>
        <v>#N/A</v>
      </c>
      <c r="DP56" s="362" t="e">
        <f t="shared" si="42"/>
        <v>#N/A</v>
      </c>
      <c r="DQ56" s="343" t="e">
        <f t="shared" si="43"/>
        <v>#N/A</v>
      </c>
      <c r="DR56" s="343" t="e">
        <f t="shared" si="44"/>
        <v>#N/A</v>
      </c>
      <c r="DS56" s="343" t="e">
        <f t="shared" si="45"/>
        <v>#N/A</v>
      </c>
      <c r="DT56" s="328" t="e">
        <f t="shared" si="36"/>
        <v>#N/A</v>
      </c>
      <c r="DU56" s="326" t="e">
        <f>VLOOKUP(C56,Theory!B59:CV127,99,FALSE)</f>
        <v>#N/A</v>
      </c>
      <c r="DV56" s="326" t="e">
        <f>VLOOKUP(C56,Theory!B59:CW127,100,FALSE)</f>
        <v>#N/A</v>
      </c>
      <c r="DW56" s="331" t="e">
        <f t="shared" si="27"/>
        <v>#N/A</v>
      </c>
      <c r="DX56" s="266" t="e">
        <f t="shared" si="3"/>
        <v>#N/A</v>
      </c>
      <c r="DY56" s="363" t="e">
        <f t="shared" si="4"/>
        <v>#N/A</v>
      </c>
      <c r="DZ56" s="344">
        <f>VLOOKUP(C56,Lab!B51:D120,3,FALSE)</f>
        <v>0</v>
      </c>
      <c r="EA56" s="345">
        <f>VLOOKUP(C56,Lab!B51:E120,4,FALSE)</f>
        <v>0</v>
      </c>
      <c r="EB56" s="345">
        <f>VLOOKUP(C56,Lab!B51:F120,5,FALSE)</f>
        <v>0</v>
      </c>
      <c r="EC56" s="329">
        <f t="shared" si="37"/>
        <v>0</v>
      </c>
      <c r="ED56" s="346">
        <f>VLOOKUP(C56,Lab!B51:G120,6,FALSE)</f>
        <v>0</v>
      </c>
      <c r="EE56" s="346">
        <f>VLOOKUP(C56,Lab!B51:H120,7,FALSE)</f>
        <v>0</v>
      </c>
      <c r="EF56" s="347">
        <f>VLOOKUP(C56,Lab!B51:I120,8,FALSE)</f>
        <v>0</v>
      </c>
      <c r="EG56" s="330">
        <f t="shared" si="38"/>
        <v>0</v>
      </c>
      <c r="EH56" s="390">
        <f t="shared" si="28"/>
        <v>0</v>
      </c>
      <c r="EI56" s="349">
        <f t="shared" si="29"/>
        <v>0</v>
      </c>
      <c r="EJ56" s="391" t="e">
        <f t="shared" si="5"/>
        <v>#N/A</v>
      </c>
      <c r="EK56" s="258">
        <v>0</v>
      </c>
      <c r="EM56" s="350" t="e">
        <f>VLOOKUP(C56,Theory!B59:DL127,114,FALSE)</f>
        <v>#N/A</v>
      </c>
      <c r="EN56" s="350" t="e">
        <f>VLOOKUP(C56,Theory!B59:DM127,115,FALSE)</f>
        <v>#N/A</v>
      </c>
      <c r="EO56" s="350" t="e">
        <f>VLOOKUP(C56,Theory!B59:DN127,116,FALSE)</f>
        <v>#N/A</v>
      </c>
      <c r="EP56" s="350" t="e">
        <f>VLOOKUP(C56,Theory!B59:DO125,117,FALSE)</f>
        <v>#N/A</v>
      </c>
      <c r="EQ56" s="350" t="e">
        <f>VLOOKUP(C56,Theory!B59:DP125,118,FALSE)</f>
        <v>#N/A</v>
      </c>
      <c r="ER56" s="351" t="e">
        <f>VLOOKUP(C56,Theory!B59:DQ125,119,FALSE)</f>
        <v>#N/A</v>
      </c>
      <c r="ES56" s="327" t="e">
        <f>VLOOKUP(C56,Theory!B59:DR125,120,FALSE)</f>
        <v>#N/A</v>
      </c>
      <c r="ET56" s="348" t="e">
        <f t="shared" si="39"/>
        <v>#N/A</v>
      </c>
      <c r="EU56" s="352"/>
      <c r="EV56" s="352"/>
      <c r="EW56" s="352"/>
      <c r="EX56" s="352"/>
      <c r="EY56" s="352"/>
      <c r="EZ56" s="352"/>
      <c r="FA56" s="352"/>
      <c r="FB56" s="352"/>
      <c r="FC56" s="352"/>
      <c r="FD56" s="352"/>
    </row>
    <row r="57" spans="1:160" ht="16.2" thickBot="1" x14ac:dyDescent="0.35">
      <c r="A57" s="64">
        <v>44</v>
      </c>
      <c r="B57" s="17">
        <f>Theory!C60</f>
        <v>0</v>
      </c>
      <c r="C57" s="16">
        <f>Theory!B60</f>
        <v>0</v>
      </c>
      <c r="D57" s="334" t="e">
        <f>VLOOKUP(C57,Theory!B60:D128,3,FALSE)</f>
        <v>#N/A</v>
      </c>
      <c r="E57" s="334" t="e">
        <f>VLOOKUP(C57,Theory!B60:E128,4,FALSE)</f>
        <v>#N/A</v>
      </c>
      <c r="F57" s="334" t="e">
        <f>VLOOKUP(C57,Theory!B60:F128,5,FALSE)</f>
        <v>#N/A</v>
      </c>
      <c r="G57" s="334" t="e">
        <f>VLOOKUP(C57,Theory!B60:G128,6,FALSE)</f>
        <v>#N/A</v>
      </c>
      <c r="H57" s="335" t="e">
        <f t="shared" si="6"/>
        <v>#N/A</v>
      </c>
      <c r="I57" s="338" t="e">
        <f>VLOOKUP(C57,Theory!B60:H128,7,FALSE)</f>
        <v>#N/A</v>
      </c>
      <c r="J57" s="337" t="e">
        <f>VLOOKUP(C57,Theory!B60:I128,8,FALSE)</f>
        <v>#N/A</v>
      </c>
      <c r="K57" s="337" t="e">
        <f>VLOOKUP(C57,Theory!B60:J128,9,FALSE)</f>
        <v>#N/A</v>
      </c>
      <c r="L57" s="337" t="e">
        <f>VLOOKUP(C57,Theory!B60:K128,10,FALSE)</f>
        <v>#N/A</v>
      </c>
      <c r="M57" s="335" t="e">
        <f t="shared" si="7"/>
        <v>#N/A</v>
      </c>
      <c r="N57" s="336" t="e">
        <f>VLOOKUP(C57,Theory!B60:L128,11,FALSE)</f>
        <v>#N/A</v>
      </c>
      <c r="O57" s="336" t="e">
        <f>VLOOKUP(C57,Theory!B60:M128,12,FALSE)</f>
        <v>#N/A</v>
      </c>
      <c r="P57" s="336" t="e">
        <f>VLOOKUP(C57,Theory!B60:N128,13,FALSE)</f>
        <v>#N/A</v>
      </c>
      <c r="Q57" s="336" t="e">
        <f>VLOOKUP(C57,Theory!B60:O128,14,FALSE)</f>
        <v>#N/A</v>
      </c>
      <c r="R57" s="337" t="e">
        <f>VLOOKUP(C57,Theory!B60:P128,15,FALSE)</f>
        <v>#N/A</v>
      </c>
      <c r="S57" s="337" t="e">
        <f>VLOOKUP(C57,Theory!B60:Q128,16,FALSE)</f>
        <v>#N/A</v>
      </c>
      <c r="T57" s="337" t="e">
        <f>VLOOKUP(C57,Theory!B60:R128,17,FALSE)</f>
        <v>#N/A</v>
      </c>
      <c r="U57" s="337" t="e">
        <f>VLOOKUP(C57,Theory!B60:S128,18,FALSE)</f>
        <v>#N/A</v>
      </c>
      <c r="V57" s="335" t="e">
        <f t="shared" si="8"/>
        <v>#N/A</v>
      </c>
      <c r="W57" s="334" t="e">
        <f>VLOOKUP(C57,Theory!B60:T128,19,FALSE)</f>
        <v>#N/A</v>
      </c>
      <c r="X57" s="334" t="e">
        <f>VLOOKUP(C57,Theory!B60:U128,20,FALSE)</f>
        <v>#N/A</v>
      </c>
      <c r="Y57" s="334" t="e">
        <f>VLOOKUP(C57,Theory!B60:V128,21,FALSE)</f>
        <v>#N/A</v>
      </c>
      <c r="Z57" s="334" t="e">
        <f>VLOOKUP(C57,Theory!B60:W128,22,FALSE)</f>
        <v>#N/A</v>
      </c>
      <c r="AA57" s="338" t="e">
        <f>VLOOKUP(C57,Theory!B60:X128,23,FALSE)</f>
        <v>#N/A</v>
      </c>
      <c r="AB57" s="338" t="e">
        <f>VLOOKUP(C57,Theory!B60:Y128,24,FALSE)</f>
        <v>#N/A</v>
      </c>
      <c r="AC57" s="338" t="e">
        <f>VLOOKUP(C57,Theory!B60:Z128,25,FALSE)</f>
        <v>#N/A</v>
      </c>
      <c r="AD57" s="338" t="e">
        <f>VLOOKUP(C57,Theory!B60:AA128,26,FALSE)</f>
        <v>#N/A</v>
      </c>
      <c r="AE57" s="335" t="e">
        <f t="shared" si="9"/>
        <v>#N/A</v>
      </c>
      <c r="AF57" s="334" t="e">
        <f>VLOOKUP(C57,Theory!B60:AB128,27,FALSE)</f>
        <v>#N/A</v>
      </c>
      <c r="AG57" s="334" t="e">
        <f>VLOOKUP(C57,Theory!B60:AC128,28,FALSE)</f>
        <v>#N/A</v>
      </c>
      <c r="AH57" s="334" t="e">
        <f>VLOOKUP(C57,Theory!B60:AD128,29,FALSE)</f>
        <v>#N/A</v>
      </c>
      <c r="AI57" s="334" t="e">
        <f>VLOOKUP(C57,Theory!B60:AE128,30,FALSE)</f>
        <v>#N/A</v>
      </c>
      <c r="AJ57" s="339" t="e">
        <f>VLOOKUP(C57,Theory!B60:AF128,31,FALSE)</f>
        <v>#N/A</v>
      </c>
      <c r="AK57" s="339" t="e">
        <f>VLOOKUP(C57,Theory!B60:AG128,32,FALSE)</f>
        <v>#N/A</v>
      </c>
      <c r="AL57" s="339" t="e">
        <f>VLOOKUP(C57,Theory!B60:AH128,33,FALSE)</f>
        <v>#N/A</v>
      </c>
      <c r="AM57" s="339" t="e">
        <f>VLOOKUP(C57,Theory!B60:AI128,34,FALSE)</f>
        <v>#N/A</v>
      </c>
      <c r="AN57" s="335" t="e">
        <f t="shared" si="10"/>
        <v>#N/A</v>
      </c>
      <c r="AO57" s="333" t="e">
        <f t="shared" si="0"/>
        <v>#N/A</v>
      </c>
      <c r="AP57" s="340" t="e">
        <f>VLOOKUP(C57,Theory!B60:AJ128,35,FALSE)</f>
        <v>#N/A</v>
      </c>
      <c r="AQ57" s="340" t="e">
        <f>VLOOKUP(C57,Theory!B60:AK128,36,FALSE)</f>
        <v>#N/A</v>
      </c>
      <c r="AR57" s="340" t="e">
        <f>VLOOKUP(C57,Theory!B60:AL128,37,FALSE)</f>
        <v>#N/A</v>
      </c>
      <c r="AS57" s="340" t="e">
        <f>VLOOKUP(C57,Theory!B60:AM128,38,FALSE)</f>
        <v>#N/A</v>
      </c>
      <c r="AT57" s="335" t="e">
        <f t="shared" si="11"/>
        <v>#N/A</v>
      </c>
      <c r="AU57" s="340" t="e">
        <f>VLOOKUP(C57,Theory!B60:AN128,39,FALSE)</f>
        <v>#N/A</v>
      </c>
      <c r="AV57" s="340" t="e">
        <f>VLOOKUP(C57,Theory!B60:AO128,40,FALSE)</f>
        <v>#N/A</v>
      </c>
      <c r="AW57" s="340" t="e">
        <f>VLOOKUP(C57,Theory!B60:AP128,41,FALSE)</f>
        <v>#N/A</v>
      </c>
      <c r="AX57" s="340" t="e">
        <f>VLOOKUP(C57,Theory!B60:AQ128,42,FALSE)</f>
        <v>#N/A</v>
      </c>
      <c r="AY57" s="335" t="e">
        <f t="shared" si="12"/>
        <v>#N/A</v>
      </c>
      <c r="AZ57" s="340" t="e">
        <f>VLOOKUP(C57,Theory!B60:AR128,43,FALSE)</f>
        <v>#N/A</v>
      </c>
      <c r="BA57" s="340" t="e">
        <f>VLOOKUP(C57,Theory!B60:AS128,44,FALSE)</f>
        <v>#N/A</v>
      </c>
      <c r="BB57" s="340" t="e">
        <f>VLOOKUP(C57,Theory!B60:AT128,45,FALSE)</f>
        <v>#N/A</v>
      </c>
      <c r="BC57" s="340" t="e">
        <f>VLOOKUP(C57,Theory!B60:AU128,46,FALSE)</f>
        <v>#N/A</v>
      </c>
      <c r="BD57" s="340" t="e">
        <f>VLOOKUP(C57,Theory!B60:AV128,47,FALSE)</f>
        <v>#N/A</v>
      </c>
      <c r="BE57" s="340" t="e">
        <f>VLOOKUP(C57,Theory!B60:AW128,48,FALSE)</f>
        <v>#N/A</v>
      </c>
      <c r="BF57" s="340" t="e">
        <f>VLOOKUP(C57,Theory!B60:AX128,49,FALSE)</f>
        <v>#N/A</v>
      </c>
      <c r="BG57" s="340" t="e">
        <f>VLOOKUP(C57,Theory!B60:AY128,50,FALSE)</f>
        <v>#N/A</v>
      </c>
      <c r="BH57" s="335" t="e">
        <f t="shared" si="13"/>
        <v>#N/A</v>
      </c>
      <c r="BI57" s="340" t="e">
        <f>VLOOKUP(C57,Theory!B60:AZ128,51,FALSE)</f>
        <v>#N/A</v>
      </c>
      <c r="BJ57" s="340" t="e">
        <f>VLOOKUP(C57,Theory!B60:BA128,52,FALSE)</f>
        <v>#N/A</v>
      </c>
      <c r="BK57" s="340" t="e">
        <f>VLOOKUP(C57,Theory!B60:BB128,53,FALSE)</f>
        <v>#N/A</v>
      </c>
      <c r="BL57" s="340" t="e">
        <f>VLOOKUP(C57,Theory!B60:BC128,54,FALSE)</f>
        <v>#N/A</v>
      </c>
      <c r="BM57" s="340" t="e">
        <f>VLOOKUP(C57,Theory!B60:BD128,55,FALSE)</f>
        <v>#N/A</v>
      </c>
      <c r="BN57" s="340" t="e">
        <f>VLOOKUP(C57,Theory!B60:BE128,56,FALSE)</f>
        <v>#N/A</v>
      </c>
      <c r="BO57" s="340" t="e">
        <f>VLOOKUP(C57,Theory!B60:BF128,57,FALSE)</f>
        <v>#N/A</v>
      </c>
      <c r="BP57" s="340" t="e">
        <f>VLOOKUP(C57,Theory!B60:BG128,58,FALSE)</f>
        <v>#N/A</v>
      </c>
      <c r="BQ57" s="335" t="e">
        <f t="shared" si="14"/>
        <v>#N/A</v>
      </c>
      <c r="BR57" s="340" t="e">
        <f>VLOOKUP(C57,Theory!B60:BH128,59,FALSE)</f>
        <v>#N/A</v>
      </c>
      <c r="BS57" s="340" t="e">
        <f>VLOOKUP(C57,Theory!B60:BI128,60,FALSE)</f>
        <v>#N/A</v>
      </c>
      <c r="BT57" s="340" t="e">
        <f>VLOOKUP(C57,Theory!B60:BJ128,61,FALSE)</f>
        <v>#N/A</v>
      </c>
      <c r="BU57" s="340" t="e">
        <f>VLOOKUP(C57,Theory!B60:BK128,62,FALSE)</f>
        <v>#N/A</v>
      </c>
      <c r="BV57" s="340" t="e">
        <f>VLOOKUP(C57,Theory!B60:BL128,63,FALSE)</f>
        <v>#N/A</v>
      </c>
      <c r="BW57" s="340" t="e">
        <f>VLOOKUP(C57,Theory!B60:BM128,64,FALSE)</f>
        <v>#N/A</v>
      </c>
      <c r="BX57" s="340" t="e">
        <f>VLOOKUP(C57,Theory!B60:BN128,65,FALSE)</f>
        <v>#N/A</v>
      </c>
      <c r="BY57" s="340" t="e">
        <f>VLOOKUP(C57,Theory!B60:BO128,66,FALSE)</f>
        <v>#N/A</v>
      </c>
      <c r="BZ57" s="335" t="e">
        <f t="shared" si="15"/>
        <v>#N/A</v>
      </c>
      <c r="CA57" s="333" t="e">
        <f t="shared" si="1"/>
        <v>#N/A</v>
      </c>
      <c r="CB57" s="340" t="e">
        <f>VLOOKUP(C57,Theory!B60:BP128,67,FALSE)</f>
        <v>#N/A</v>
      </c>
      <c r="CC57" s="340" t="e">
        <f>VLOOKUP(C57,Theory!B60:BQ128,68,FALSE)</f>
        <v>#N/A</v>
      </c>
      <c r="CD57" s="340" t="e">
        <f>VLOOKUP(C57,Theory!B60:BR128,69,FALSE)</f>
        <v>#N/A</v>
      </c>
      <c r="CE57" s="340" t="e">
        <f>VLOOKUP(C57,Theory!B60:BS128,70,FALSE)</f>
        <v>#N/A</v>
      </c>
      <c r="CF57" s="335" t="e">
        <f t="shared" si="16"/>
        <v>#N/A</v>
      </c>
      <c r="CG57" s="341" t="e">
        <f>VLOOKUP(C57,Theory!B60:BT128,71,FALSE)</f>
        <v>#N/A</v>
      </c>
      <c r="CH57" s="341" t="e">
        <f>VLOOKUP(C57,Theory!B60:BU128,72,FALSE)</f>
        <v>#N/A</v>
      </c>
      <c r="CI57" s="341" t="e">
        <f>VLOOKUP(C57,Theory!B60:BV128,73,FALSE)</f>
        <v>#N/A</v>
      </c>
      <c r="CJ57" s="341" t="e">
        <f>VLOOKUP(C57,Theory!B60:BW128,74,FALSE)</f>
        <v>#N/A</v>
      </c>
      <c r="CK57" s="335" t="e">
        <f t="shared" si="17"/>
        <v>#N/A</v>
      </c>
      <c r="CL57" s="340" t="e">
        <f>VLOOKUP(C57,Theory!B60:BX128,75,FALSE)</f>
        <v>#N/A</v>
      </c>
      <c r="CM57" s="342" t="e">
        <f>VLOOKUP(C57,Theory!B60:BY128,76,FALSE)</f>
        <v>#N/A</v>
      </c>
      <c r="CN57" s="342" t="e">
        <f>VLOOKUP(C57,Theory!B60:BZ128,77,FALSE)</f>
        <v>#N/A</v>
      </c>
      <c r="CO57" s="342" t="e">
        <f>VLOOKUP(C57,Theory!B60:CA128,78,FALSE)</f>
        <v>#N/A</v>
      </c>
      <c r="CP57" s="340" t="e">
        <f>VLOOKUP(C57,Theory!B60:CB128,79,FALSE)</f>
        <v>#N/A</v>
      </c>
      <c r="CQ57" s="340" t="e">
        <f>VLOOKUP(C57,Theory!B60:CC128,80,FALSE)</f>
        <v>#N/A</v>
      </c>
      <c r="CR57" s="340" t="e">
        <f>VLOOKUP(C57,Theory!B60:CD128,81,FALSE)</f>
        <v>#N/A</v>
      </c>
      <c r="CS57" s="340" t="e">
        <f>VLOOKUP(C57,Theory!B60:CE128,82,FALSE)</f>
        <v>#N/A</v>
      </c>
      <c r="CT57" s="335" t="e">
        <f t="shared" si="18"/>
        <v>#N/A</v>
      </c>
      <c r="CU57" s="341" t="e">
        <f>VLOOKUP(C57,Theory!B60:CF128,83,FALSE)</f>
        <v>#N/A</v>
      </c>
      <c r="CV57" s="342" t="e">
        <f>VLOOKUP(C57,Theory!B60:CG128,84,FALSE)</f>
        <v>#N/A</v>
      </c>
      <c r="CW57" s="342" t="e">
        <f>VLOOKUP(C57,Theory!B60:CH128,85,FALSE)</f>
        <v>#N/A</v>
      </c>
      <c r="CX57" s="342" t="e">
        <f>VLOOKUP(C57,Theory!B60:CI128,86,FALSE)</f>
        <v>#N/A</v>
      </c>
      <c r="CY57" s="341" t="e">
        <f>VLOOKUP(C57,Theory!B60:CJ128,87,FALSE)</f>
        <v>#N/A</v>
      </c>
      <c r="CZ57" s="341" t="e">
        <f>VLOOKUP(C57,Theory!B60:CK128,88,FALSE)</f>
        <v>#N/A</v>
      </c>
      <c r="DA57" s="341" t="e">
        <f>VLOOKUP(C57,Theory!B60:CL128,89,FALSE)</f>
        <v>#N/A</v>
      </c>
      <c r="DB57" s="341" t="e">
        <f>VLOOKUP(C57,Theory!B60:CM128,90,FALSE)</f>
        <v>#N/A</v>
      </c>
      <c r="DC57" s="335" t="e">
        <f t="shared" si="19"/>
        <v>#N/A</v>
      </c>
      <c r="DD57" s="340" t="e">
        <f>VLOOKUP(C57,Theory!B60:CN128,91,FALSE)</f>
        <v>#N/A</v>
      </c>
      <c r="DE57" s="342" t="e">
        <f>VLOOKUP(C57,Theory!B60:CO128,92,FALSE)</f>
        <v>#N/A</v>
      </c>
      <c r="DF57" s="342" t="e">
        <f>VLOOKUP(C57,Theory!B60:CP128,93,FALSE)</f>
        <v>#N/A</v>
      </c>
      <c r="DG57" s="342" t="e">
        <f>VLOOKUP(C57,Theory!B60:CQ128,94,FALSE)</f>
        <v>#N/A</v>
      </c>
      <c r="DH57" s="340" t="e">
        <f>VLOOKUP(C57,Theory!B60:CR128,95,FALSE)</f>
        <v>#N/A</v>
      </c>
      <c r="DI57" s="340" t="e">
        <f>VLOOKUP(C57,Theory!B60:CS128,96,FALSE)</f>
        <v>#N/A</v>
      </c>
      <c r="DJ57" s="340" t="e">
        <f>VLOOKUP(C57,Theory!B60:CT128,97,FALSE)</f>
        <v>#N/A</v>
      </c>
      <c r="DK57" s="340" t="e">
        <f>VLOOKUP(C57,Theory!B60:CU128,98,FALSE)</f>
        <v>#N/A</v>
      </c>
      <c r="DL57" s="335" t="e">
        <f t="shared" si="20"/>
        <v>#N/A</v>
      </c>
      <c r="DM57" s="265" t="e">
        <f t="shared" si="2"/>
        <v>#N/A</v>
      </c>
      <c r="DN57" s="362" t="e">
        <f t="shared" si="40"/>
        <v>#N/A</v>
      </c>
      <c r="DO57" s="362" t="e">
        <f t="shared" si="41"/>
        <v>#N/A</v>
      </c>
      <c r="DP57" s="362" t="e">
        <f t="shared" si="42"/>
        <v>#N/A</v>
      </c>
      <c r="DQ57" s="343" t="e">
        <f t="shared" si="43"/>
        <v>#N/A</v>
      </c>
      <c r="DR57" s="343" t="e">
        <f t="shared" si="44"/>
        <v>#N/A</v>
      </c>
      <c r="DS57" s="343" t="e">
        <f t="shared" si="45"/>
        <v>#N/A</v>
      </c>
      <c r="DT57" s="328" t="e">
        <f t="shared" si="36"/>
        <v>#N/A</v>
      </c>
      <c r="DU57" s="326" t="e">
        <f>VLOOKUP(C57,Theory!B60:CV128,99,FALSE)</f>
        <v>#N/A</v>
      </c>
      <c r="DV57" s="326" t="e">
        <f>VLOOKUP(C57,Theory!B60:CW128,100,FALSE)</f>
        <v>#N/A</v>
      </c>
      <c r="DW57" s="331" t="e">
        <f t="shared" si="27"/>
        <v>#N/A</v>
      </c>
      <c r="DX57" s="266" t="e">
        <f t="shared" si="3"/>
        <v>#N/A</v>
      </c>
      <c r="DY57" s="363" t="e">
        <f t="shared" si="4"/>
        <v>#N/A</v>
      </c>
      <c r="DZ57" s="344">
        <f>VLOOKUP(C57,Lab!B52:D121,3,FALSE)</f>
        <v>0</v>
      </c>
      <c r="EA57" s="345">
        <f>VLOOKUP(C57,Lab!B52:E121,4,FALSE)</f>
        <v>0</v>
      </c>
      <c r="EB57" s="345">
        <f>VLOOKUP(C57,Lab!B52:F121,5,FALSE)</f>
        <v>0</v>
      </c>
      <c r="EC57" s="329">
        <f t="shared" si="37"/>
        <v>0</v>
      </c>
      <c r="ED57" s="346">
        <f>VLOOKUP(C57,Lab!B52:G121,6,FALSE)</f>
        <v>0</v>
      </c>
      <c r="EE57" s="346">
        <f>VLOOKUP(C57,Lab!B52:H121,7,FALSE)</f>
        <v>0</v>
      </c>
      <c r="EF57" s="347">
        <f>VLOOKUP(C57,Lab!B52:I121,8,FALSE)</f>
        <v>0</v>
      </c>
      <c r="EG57" s="330">
        <f t="shared" si="38"/>
        <v>0</v>
      </c>
      <c r="EH57" s="390">
        <f t="shared" si="28"/>
        <v>0</v>
      </c>
      <c r="EI57" s="349">
        <f t="shared" si="29"/>
        <v>0</v>
      </c>
      <c r="EJ57" s="391" t="e">
        <f t="shared" si="5"/>
        <v>#N/A</v>
      </c>
      <c r="EK57" s="258">
        <v>0</v>
      </c>
      <c r="EM57" s="350" t="e">
        <f>VLOOKUP(C57,Theory!B60:DL128,114,FALSE)</f>
        <v>#N/A</v>
      </c>
      <c r="EN57" s="350" t="e">
        <f>VLOOKUP(C57,Theory!B60:DM128,115,FALSE)</f>
        <v>#N/A</v>
      </c>
      <c r="EO57" s="350" t="e">
        <f>VLOOKUP(C57,Theory!B60:DN128,116,FALSE)</f>
        <v>#N/A</v>
      </c>
      <c r="EP57" s="350" t="e">
        <f>VLOOKUP(C57,Theory!B60:DO126,117,FALSE)</f>
        <v>#N/A</v>
      </c>
      <c r="EQ57" s="350" t="e">
        <f>VLOOKUP(C57,Theory!B60:DP126,118,FALSE)</f>
        <v>#N/A</v>
      </c>
      <c r="ER57" s="351" t="e">
        <f>VLOOKUP(C57,Theory!B60:DQ126,119,FALSE)</f>
        <v>#N/A</v>
      </c>
      <c r="ES57" s="327" t="e">
        <f>VLOOKUP(C57,Theory!B60:DR126,120,FALSE)</f>
        <v>#N/A</v>
      </c>
      <c r="ET57" s="348" t="e">
        <f t="shared" si="39"/>
        <v>#N/A</v>
      </c>
      <c r="EU57" s="352"/>
      <c r="EV57" s="352"/>
      <c r="EW57" s="352"/>
      <c r="EX57" s="352"/>
      <c r="EY57" s="352"/>
      <c r="EZ57" s="352"/>
      <c r="FA57" s="352"/>
      <c r="FB57" s="352"/>
      <c r="FC57" s="352"/>
      <c r="FD57" s="352"/>
    </row>
    <row r="58" spans="1:160" ht="16.2" thickBot="1" x14ac:dyDescent="0.35">
      <c r="A58" s="64">
        <v>45</v>
      </c>
      <c r="B58" s="17">
        <f>Theory!C61</f>
        <v>0</v>
      </c>
      <c r="C58" s="16">
        <f>Theory!B61</f>
        <v>0</v>
      </c>
      <c r="D58" s="334" t="e">
        <f>VLOOKUP(C58,Theory!B61:D129,3,FALSE)</f>
        <v>#N/A</v>
      </c>
      <c r="E58" s="334" t="e">
        <f>VLOOKUP(C58,Theory!B61:E129,4,FALSE)</f>
        <v>#N/A</v>
      </c>
      <c r="F58" s="334" t="e">
        <f>VLOOKUP(C58,Theory!B61:F129,5,FALSE)</f>
        <v>#N/A</v>
      </c>
      <c r="G58" s="334" t="e">
        <f>VLOOKUP(C58,Theory!B61:G129,6,FALSE)</f>
        <v>#N/A</v>
      </c>
      <c r="H58" s="335" t="e">
        <f t="shared" si="6"/>
        <v>#N/A</v>
      </c>
      <c r="I58" s="338" t="e">
        <f>VLOOKUP(C58,Theory!B61:H129,7,FALSE)</f>
        <v>#N/A</v>
      </c>
      <c r="J58" s="337" t="e">
        <f>VLOOKUP(C58,Theory!B61:I129,8,FALSE)</f>
        <v>#N/A</v>
      </c>
      <c r="K58" s="337" t="e">
        <f>VLOOKUP(C58,Theory!B61:J129,9,FALSE)</f>
        <v>#N/A</v>
      </c>
      <c r="L58" s="337" t="e">
        <f>VLOOKUP(C58,Theory!B61:K129,10,FALSE)</f>
        <v>#N/A</v>
      </c>
      <c r="M58" s="335" t="e">
        <f t="shared" si="7"/>
        <v>#N/A</v>
      </c>
      <c r="N58" s="336" t="e">
        <f>VLOOKUP(C58,Theory!B61:L129,11,FALSE)</f>
        <v>#N/A</v>
      </c>
      <c r="O58" s="336" t="e">
        <f>VLOOKUP(C58,Theory!B61:M129,12,FALSE)</f>
        <v>#N/A</v>
      </c>
      <c r="P58" s="336" t="e">
        <f>VLOOKUP(C58,Theory!B61:N129,13,FALSE)</f>
        <v>#N/A</v>
      </c>
      <c r="Q58" s="336" t="e">
        <f>VLOOKUP(C58,Theory!B61:O129,14,FALSE)</f>
        <v>#N/A</v>
      </c>
      <c r="R58" s="337" t="e">
        <f>VLOOKUP(C58,Theory!B61:P129,15,FALSE)</f>
        <v>#N/A</v>
      </c>
      <c r="S58" s="337" t="e">
        <f>VLOOKUP(C58,Theory!B61:Q129,16,FALSE)</f>
        <v>#N/A</v>
      </c>
      <c r="T58" s="337" t="e">
        <f>VLOOKUP(C58,Theory!B61:R129,17,FALSE)</f>
        <v>#N/A</v>
      </c>
      <c r="U58" s="337" t="e">
        <f>VLOOKUP(C58,Theory!B61:S129,18,FALSE)</f>
        <v>#N/A</v>
      </c>
      <c r="V58" s="335" t="e">
        <f t="shared" si="8"/>
        <v>#N/A</v>
      </c>
      <c r="W58" s="334" t="e">
        <f>VLOOKUP(C58,Theory!B61:T129,19,FALSE)</f>
        <v>#N/A</v>
      </c>
      <c r="X58" s="334" t="e">
        <f>VLOOKUP(C58,Theory!B61:U129,20,FALSE)</f>
        <v>#N/A</v>
      </c>
      <c r="Y58" s="334" t="e">
        <f>VLOOKUP(C58,Theory!B61:V129,21,FALSE)</f>
        <v>#N/A</v>
      </c>
      <c r="Z58" s="334" t="e">
        <f>VLOOKUP(C58,Theory!B61:W129,22,FALSE)</f>
        <v>#N/A</v>
      </c>
      <c r="AA58" s="338" t="e">
        <f>VLOOKUP(C58,Theory!B61:X129,23,FALSE)</f>
        <v>#N/A</v>
      </c>
      <c r="AB58" s="338" t="e">
        <f>VLOOKUP(C58,Theory!B61:Y129,24,FALSE)</f>
        <v>#N/A</v>
      </c>
      <c r="AC58" s="338" t="e">
        <f>VLOOKUP(C58,Theory!B61:Z129,25,FALSE)</f>
        <v>#N/A</v>
      </c>
      <c r="AD58" s="338" t="e">
        <f>VLOOKUP(C58,Theory!B61:AA129,26,FALSE)</f>
        <v>#N/A</v>
      </c>
      <c r="AE58" s="335" t="e">
        <f t="shared" si="9"/>
        <v>#N/A</v>
      </c>
      <c r="AF58" s="334" t="e">
        <f>VLOOKUP(C58,Theory!B61:AB129,27,FALSE)</f>
        <v>#N/A</v>
      </c>
      <c r="AG58" s="334" t="e">
        <f>VLOOKUP(C58,Theory!B61:AC129,28,FALSE)</f>
        <v>#N/A</v>
      </c>
      <c r="AH58" s="334" t="e">
        <f>VLOOKUP(C58,Theory!B61:AD129,29,FALSE)</f>
        <v>#N/A</v>
      </c>
      <c r="AI58" s="334" t="e">
        <f>VLOOKUP(C58,Theory!B61:AE129,30,FALSE)</f>
        <v>#N/A</v>
      </c>
      <c r="AJ58" s="339" t="e">
        <f>VLOOKUP(C58,Theory!B61:AF129,31,FALSE)</f>
        <v>#N/A</v>
      </c>
      <c r="AK58" s="339" t="e">
        <f>VLOOKUP(C58,Theory!B61:AG129,32,FALSE)</f>
        <v>#N/A</v>
      </c>
      <c r="AL58" s="339" t="e">
        <f>VLOOKUP(C58,Theory!B61:AH129,33,FALSE)</f>
        <v>#N/A</v>
      </c>
      <c r="AM58" s="339" t="e">
        <f>VLOOKUP(C58,Theory!B61:AI129,34,FALSE)</f>
        <v>#N/A</v>
      </c>
      <c r="AN58" s="335" t="e">
        <f t="shared" si="10"/>
        <v>#N/A</v>
      </c>
      <c r="AO58" s="333" t="e">
        <f t="shared" si="0"/>
        <v>#N/A</v>
      </c>
      <c r="AP58" s="340" t="e">
        <f>VLOOKUP(C58,Theory!B61:AJ129,35,FALSE)</f>
        <v>#N/A</v>
      </c>
      <c r="AQ58" s="340" t="e">
        <f>VLOOKUP(C58,Theory!B61:AK129,36,FALSE)</f>
        <v>#N/A</v>
      </c>
      <c r="AR58" s="340" t="e">
        <f>VLOOKUP(C58,Theory!B61:AL129,37,FALSE)</f>
        <v>#N/A</v>
      </c>
      <c r="AS58" s="340" t="e">
        <f>VLOOKUP(C58,Theory!B61:AM129,38,FALSE)</f>
        <v>#N/A</v>
      </c>
      <c r="AT58" s="335" t="e">
        <f t="shared" si="11"/>
        <v>#N/A</v>
      </c>
      <c r="AU58" s="340" t="e">
        <f>VLOOKUP(C58,Theory!B61:AN129,39,FALSE)</f>
        <v>#N/A</v>
      </c>
      <c r="AV58" s="340" t="e">
        <f>VLOOKUP(C58,Theory!B61:AO129,40,FALSE)</f>
        <v>#N/A</v>
      </c>
      <c r="AW58" s="340" t="e">
        <f>VLOOKUP(C58,Theory!B61:AP129,41,FALSE)</f>
        <v>#N/A</v>
      </c>
      <c r="AX58" s="340" t="e">
        <f>VLOOKUP(C58,Theory!B61:AQ129,42,FALSE)</f>
        <v>#N/A</v>
      </c>
      <c r="AY58" s="335" t="e">
        <f t="shared" si="12"/>
        <v>#N/A</v>
      </c>
      <c r="AZ58" s="340" t="e">
        <f>VLOOKUP(C58,Theory!B61:AR129,43,FALSE)</f>
        <v>#N/A</v>
      </c>
      <c r="BA58" s="340" t="e">
        <f>VLOOKUP(C58,Theory!B61:AS129,44,FALSE)</f>
        <v>#N/A</v>
      </c>
      <c r="BB58" s="340" t="e">
        <f>VLOOKUP(C58,Theory!B61:AT129,45,FALSE)</f>
        <v>#N/A</v>
      </c>
      <c r="BC58" s="340" t="e">
        <f>VLOOKUP(C58,Theory!B61:AU129,46,FALSE)</f>
        <v>#N/A</v>
      </c>
      <c r="BD58" s="340" t="e">
        <f>VLOOKUP(C58,Theory!B61:AV129,47,FALSE)</f>
        <v>#N/A</v>
      </c>
      <c r="BE58" s="340" t="e">
        <f>VLOOKUP(C58,Theory!B61:AW129,48,FALSE)</f>
        <v>#N/A</v>
      </c>
      <c r="BF58" s="340" t="e">
        <f>VLOOKUP(C58,Theory!B61:AX129,49,FALSE)</f>
        <v>#N/A</v>
      </c>
      <c r="BG58" s="340" t="e">
        <f>VLOOKUP(C58,Theory!B61:AY129,50,FALSE)</f>
        <v>#N/A</v>
      </c>
      <c r="BH58" s="335" t="e">
        <f t="shared" si="13"/>
        <v>#N/A</v>
      </c>
      <c r="BI58" s="340" t="e">
        <f>VLOOKUP(C58,Theory!B61:AZ129,51,FALSE)</f>
        <v>#N/A</v>
      </c>
      <c r="BJ58" s="340" t="e">
        <f>VLOOKUP(C58,Theory!B61:BA129,52,FALSE)</f>
        <v>#N/A</v>
      </c>
      <c r="BK58" s="340" t="e">
        <f>VLOOKUP(C58,Theory!B61:BB129,53,FALSE)</f>
        <v>#N/A</v>
      </c>
      <c r="BL58" s="340" t="e">
        <f>VLOOKUP(C58,Theory!B61:BC129,54,FALSE)</f>
        <v>#N/A</v>
      </c>
      <c r="BM58" s="340" t="e">
        <f>VLOOKUP(C58,Theory!B61:BD129,55,FALSE)</f>
        <v>#N/A</v>
      </c>
      <c r="BN58" s="340" t="e">
        <f>VLOOKUP(C58,Theory!B61:BE129,56,FALSE)</f>
        <v>#N/A</v>
      </c>
      <c r="BO58" s="340" t="e">
        <f>VLOOKUP(C58,Theory!B61:BF129,57,FALSE)</f>
        <v>#N/A</v>
      </c>
      <c r="BP58" s="340" t="e">
        <f>VLOOKUP(C58,Theory!B61:BG129,58,FALSE)</f>
        <v>#N/A</v>
      </c>
      <c r="BQ58" s="335" t="e">
        <f t="shared" si="14"/>
        <v>#N/A</v>
      </c>
      <c r="BR58" s="340" t="e">
        <f>VLOOKUP(C58,Theory!B61:BH129,59,FALSE)</f>
        <v>#N/A</v>
      </c>
      <c r="BS58" s="340" t="e">
        <f>VLOOKUP(C58,Theory!B61:BI129,60,FALSE)</f>
        <v>#N/A</v>
      </c>
      <c r="BT58" s="340" t="e">
        <f>VLOOKUP(C58,Theory!B61:BJ129,61,FALSE)</f>
        <v>#N/A</v>
      </c>
      <c r="BU58" s="340" t="e">
        <f>VLOOKUP(C58,Theory!B61:BK129,62,FALSE)</f>
        <v>#N/A</v>
      </c>
      <c r="BV58" s="340" t="e">
        <f>VLOOKUP(C58,Theory!B61:BL129,63,FALSE)</f>
        <v>#N/A</v>
      </c>
      <c r="BW58" s="340" t="e">
        <f>VLOOKUP(C58,Theory!B61:BM129,64,FALSE)</f>
        <v>#N/A</v>
      </c>
      <c r="BX58" s="340" t="e">
        <f>VLOOKUP(C58,Theory!B61:BN129,65,FALSE)</f>
        <v>#N/A</v>
      </c>
      <c r="BY58" s="340" t="e">
        <f>VLOOKUP(C58,Theory!B61:BO129,66,FALSE)</f>
        <v>#N/A</v>
      </c>
      <c r="BZ58" s="335" t="e">
        <f t="shared" si="15"/>
        <v>#N/A</v>
      </c>
      <c r="CA58" s="333" t="e">
        <f t="shared" si="1"/>
        <v>#N/A</v>
      </c>
      <c r="CB58" s="340" t="e">
        <f>VLOOKUP(C58,Theory!B61:BP129,67,FALSE)</f>
        <v>#N/A</v>
      </c>
      <c r="CC58" s="340" t="e">
        <f>VLOOKUP(C58,Theory!B61:BQ129,68,FALSE)</f>
        <v>#N/A</v>
      </c>
      <c r="CD58" s="340" t="e">
        <f>VLOOKUP(C58,Theory!B61:BR129,69,FALSE)</f>
        <v>#N/A</v>
      </c>
      <c r="CE58" s="340" t="e">
        <f>VLOOKUP(C58,Theory!B61:BS129,70,FALSE)</f>
        <v>#N/A</v>
      </c>
      <c r="CF58" s="335" t="e">
        <f t="shared" si="16"/>
        <v>#N/A</v>
      </c>
      <c r="CG58" s="341" t="e">
        <f>VLOOKUP(C58,Theory!B61:BT129,71,FALSE)</f>
        <v>#N/A</v>
      </c>
      <c r="CH58" s="341" t="e">
        <f>VLOOKUP(C58,Theory!B61:BU129,72,FALSE)</f>
        <v>#N/A</v>
      </c>
      <c r="CI58" s="341" t="e">
        <f>VLOOKUP(C58,Theory!B61:BV129,73,FALSE)</f>
        <v>#N/A</v>
      </c>
      <c r="CJ58" s="341" t="e">
        <f>VLOOKUP(C58,Theory!B61:BW129,74,FALSE)</f>
        <v>#N/A</v>
      </c>
      <c r="CK58" s="335" t="e">
        <f t="shared" si="17"/>
        <v>#N/A</v>
      </c>
      <c r="CL58" s="340" t="e">
        <f>VLOOKUP(C58,Theory!B61:BX129,75,FALSE)</f>
        <v>#N/A</v>
      </c>
      <c r="CM58" s="342" t="e">
        <f>VLOOKUP(C58,Theory!B61:BY129,76,FALSE)</f>
        <v>#N/A</v>
      </c>
      <c r="CN58" s="342" t="e">
        <f>VLOOKUP(C58,Theory!B61:BZ129,77,FALSE)</f>
        <v>#N/A</v>
      </c>
      <c r="CO58" s="342" t="e">
        <f>VLOOKUP(C58,Theory!B61:CA129,78,FALSE)</f>
        <v>#N/A</v>
      </c>
      <c r="CP58" s="340" t="e">
        <f>VLOOKUP(C58,Theory!B61:CB129,79,FALSE)</f>
        <v>#N/A</v>
      </c>
      <c r="CQ58" s="340" t="e">
        <f>VLOOKUP(C58,Theory!B61:CC129,80,FALSE)</f>
        <v>#N/A</v>
      </c>
      <c r="CR58" s="340" t="e">
        <f>VLOOKUP(C58,Theory!B61:CD129,81,FALSE)</f>
        <v>#N/A</v>
      </c>
      <c r="CS58" s="340" t="e">
        <f>VLOOKUP(C58,Theory!B61:CE129,82,FALSE)</f>
        <v>#N/A</v>
      </c>
      <c r="CT58" s="335" t="e">
        <f t="shared" si="18"/>
        <v>#N/A</v>
      </c>
      <c r="CU58" s="341" t="e">
        <f>VLOOKUP(C58,Theory!B61:CF129,83,FALSE)</f>
        <v>#N/A</v>
      </c>
      <c r="CV58" s="342" t="e">
        <f>VLOOKUP(C58,Theory!B61:CG129,84,FALSE)</f>
        <v>#N/A</v>
      </c>
      <c r="CW58" s="342" t="e">
        <f>VLOOKUP(C58,Theory!B61:CH129,85,FALSE)</f>
        <v>#N/A</v>
      </c>
      <c r="CX58" s="342" t="e">
        <f>VLOOKUP(C58,Theory!B61:CI129,86,FALSE)</f>
        <v>#N/A</v>
      </c>
      <c r="CY58" s="341" t="e">
        <f>VLOOKUP(C58,Theory!B61:CJ129,87,FALSE)</f>
        <v>#N/A</v>
      </c>
      <c r="CZ58" s="341" t="e">
        <f>VLOOKUP(C58,Theory!B61:CK129,88,FALSE)</f>
        <v>#N/A</v>
      </c>
      <c r="DA58" s="341" t="e">
        <f>VLOOKUP(C58,Theory!B61:CL129,89,FALSE)</f>
        <v>#N/A</v>
      </c>
      <c r="DB58" s="341" t="e">
        <f>VLOOKUP(C58,Theory!B61:CM129,90,FALSE)</f>
        <v>#N/A</v>
      </c>
      <c r="DC58" s="335" t="e">
        <f t="shared" si="19"/>
        <v>#N/A</v>
      </c>
      <c r="DD58" s="340" t="e">
        <f>VLOOKUP(C58,Theory!B61:CN129,91,FALSE)</f>
        <v>#N/A</v>
      </c>
      <c r="DE58" s="342" t="e">
        <f>VLOOKUP(C58,Theory!B61:CO129,92,FALSE)</f>
        <v>#N/A</v>
      </c>
      <c r="DF58" s="342" t="e">
        <f>VLOOKUP(C58,Theory!B61:CP129,93,FALSE)</f>
        <v>#N/A</v>
      </c>
      <c r="DG58" s="342" t="e">
        <f>VLOOKUP(C58,Theory!B61:CQ129,94,FALSE)</f>
        <v>#N/A</v>
      </c>
      <c r="DH58" s="340" t="e">
        <f>VLOOKUP(C58,Theory!B61:CR129,95,FALSE)</f>
        <v>#N/A</v>
      </c>
      <c r="DI58" s="340" t="e">
        <f>VLOOKUP(C58,Theory!B61:CS129,96,FALSE)</f>
        <v>#N/A</v>
      </c>
      <c r="DJ58" s="340" t="e">
        <f>VLOOKUP(C58,Theory!B61:CT129,97,FALSE)</f>
        <v>#N/A</v>
      </c>
      <c r="DK58" s="340" t="e">
        <f>VLOOKUP(C58,Theory!B61:CU129,98,FALSE)</f>
        <v>#N/A</v>
      </c>
      <c r="DL58" s="335" t="e">
        <f t="shared" si="20"/>
        <v>#N/A</v>
      </c>
      <c r="DM58" s="265" t="e">
        <f t="shared" si="2"/>
        <v>#N/A</v>
      </c>
      <c r="DN58" s="362" t="e">
        <f t="shared" si="40"/>
        <v>#N/A</v>
      </c>
      <c r="DO58" s="362" t="e">
        <f t="shared" si="41"/>
        <v>#N/A</v>
      </c>
      <c r="DP58" s="362" t="e">
        <f t="shared" si="42"/>
        <v>#N/A</v>
      </c>
      <c r="DQ58" s="343" t="e">
        <f t="shared" si="43"/>
        <v>#N/A</v>
      </c>
      <c r="DR58" s="343" t="e">
        <f t="shared" si="44"/>
        <v>#N/A</v>
      </c>
      <c r="DS58" s="343" t="e">
        <f t="shared" si="45"/>
        <v>#N/A</v>
      </c>
      <c r="DT58" s="328" t="e">
        <f t="shared" si="36"/>
        <v>#N/A</v>
      </c>
      <c r="DU58" s="326" t="e">
        <f>VLOOKUP(C58,Theory!B61:CV129,99,FALSE)</f>
        <v>#N/A</v>
      </c>
      <c r="DV58" s="326" t="e">
        <f>VLOOKUP(C58,Theory!B61:CW129,100,FALSE)</f>
        <v>#N/A</v>
      </c>
      <c r="DW58" s="331" t="e">
        <f t="shared" si="27"/>
        <v>#N/A</v>
      </c>
      <c r="DX58" s="266" t="e">
        <f t="shared" si="3"/>
        <v>#N/A</v>
      </c>
      <c r="DY58" s="363" t="e">
        <f t="shared" si="4"/>
        <v>#N/A</v>
      </c>
      <c r="DZ58" s="344">
        <f>VLOOKUP(C58,Lab!B53:D122,3,FALSE)</f>
        <v>0</v>
      </c>
      <c r="EA58" s="345">
        <f>VLOOKUP(C58,Lab!B53:E122,4,FALSE)</f>
        <v>0</v>
      </c>
      <c r="EB58" s="345">
        <f>VLOOKUP(C58,Lab!B53:F122,5,FALSE)</f>
        <v>0</v>
      </c>
      <c r="EC58" s="329">
        <f t="shared" si="37"/>
        <v>0</v>
      </c>
      <c r="ED58" s="346">
        <f>VLOOKUP(C58,Lab!B53:G122,6,FALSE)</f>
        <v>0</v>
      </c>
      <c r="EE58" s="346">
        <f>VLOOKUP(C58,Lab!B53:H122,7,FALSE)</f>
        <v>0</v>
      </c>
      <c r="EF58" s="347">
        <f>VLOOKUP(C58,Lab!B53:I122,8,FALSE)</f>
        <v>0</v>
      </c>
      <c r="EG58" s="330">
        <f t="shared" si="38"/>
        <v>0</v>
      </c>
      <c r="EH58" s="390">
        <f t="shared" si="28"/>
        <v>0</v>
      </c>
      <c r="EI58" s="349">
        <f t="shared" si="29"/>
        <v>0</v>
      </c>
      <c r="EJ58" s="391" t="e">
        <f t="shared" si="5"/>
        <v>#N/A</v>
      </c>
      <c r="EK58" s="258">
        <v>0</v>
      </c>
      <c r="EM58" s="350" t="e">
        <f>VLOOKUP(C58,Theory!B61:DL129,114,FALSE)</f>
        <v>#N/A</v>
      </c>
      <c r="EN58" s="350" t="e">
        <f>VLOOKUP(C58,Theory!B61:DM129,115,FALSE)</f>
        <v>#N/A</v>
      </c>
      <c r="EO58" s="350" t="e">
        <f>VLOOKUP(C58,Theory!B61:DN129,116,FALSE)</f>
        <v>#N/A</v>
      </c>
      <c r="EP58" s="350" t="e">
        <f>VLOOKUP(C58,Theory!B61:DO127,117,FALSE)</f>
        <v>#N/A</v>
      </c>
      <c r="EQ58" s="350" t="e">
        <f>VLOOKUP(C58,Theory!B61:DP127,118,FALSE)</f>
        <v>#N/A</v>
      </c>
      <c r="ER58" s="351" t="e">
        <f>VLOOKUP(C58,Theory!B61:DQ127,119,FALSE)</f>
        <v>#N/A</v>
      </c>
      <c r="ES58" s="327" t="e">
        <f>VLOOKUP(C58,Theory!B61:DR127,120,FALSE)</f>
        <v>#N/A</v>
      </c>
      <c r="ET58" s="348" t="e">
        <f t="shared" si="39"/>
        <v>#N/A</v>
      </c>
      <c r="EU58" s="352"/>
      <c r="EV58" s="352"/>
      <c r="EW58" s="352"/>
      <c r="EX58" s="352"/>
      <c r="EY58" s="352"/>
      <c r="EZ58" s="352"/>
      <c r="FA58" s="352"/>
      <c r="FB58" s="352"/>
      <c r="FC58" s="352"/>
      <c r="FD58" s="352"/>
    </row>
    <row r="59" spans="1:160" ht="16.2" thickBot="1" x14ac:dyDescent="0.35">
      <c r="A59" s="64">
        <v>46</v>
      </c>
      <c r="B59" s="17">
        <f>Theory!C62</f>
        <v>0</v>
      </c>
      <c r="C59" s="16">
        <f>Theory!B62</f>
        <v>0</v>
      </c>
      <c r="D59" s="334" t="e">
        <f>VLOOKUP(C59,Theory!B62:D130,3,FALSE)</f>
        <v>#N/A</v>
      </c>
      <c r="E59" s="334" t="e">
        <f>VLOOKUP(C59,Theory!B62:E130,4,FALSE)</f>
        <v>#N/A</v>
      </c>
      <c r="F59" s="334" t="e">
        <f>VLOOKUP(C59,Theory!B62:F130,5,FALSE)</f>
        <v>#N/A</v>
      </c>
      <c r="G59" s="334" t="e">
        <f>VLOOKUP(C59,Theory!B62:G130,6,FALSE)</f>
        <v>#N/A</v>
      </c>
      <c r="H59" s="335" t="e">
        <f t="shared" si="6"/>
        <v>#N/A</v>
      </c>
      <c r="I59" s="338" t="e">
        <f>VLOOKUP(C59,Theory!B62:H130,7,FALSE)</f>
        <v>#N/A</v>
      </c>
      <c r="J59" s="337" t="e">
        <f>VLOOKUP(C59,Theory!B62:I130,8,FALSE)</f>
        <v>#N/A</v>
      </c>
      <c r="K59" s="337" t="e">
        <f>VLOOKUP(C59,Theory!B62:J130,9,FALSE)</f>
        <v>#N/A</v>
      </c>
      <c r="L59" s="337" t="e">
        <f>VLOOKUP(C59,Theory!B62:K130,10,FALSE)</f>
        <v>#N/A</v>
      </c>
      <c r="M59" s="335" t="e">
        <f t="shared" si="7"/>
        <v>#N/A</v>
      </c>
      <c r="N59" s="336" t="e">
        <f>VLOOKUP(C59,Theory!B62:L130,11,FALSE)</f>
        <v>#N/A</v>
      </c>
      <c r="O59" s="336" t="e">
        <f>VLOOKUP(C59,Theory!B62:M130,12,FALSE)</f>
        <v>#N/A</v>
      </c>
      <c r="P59" s="336" t="e">
        <f>VLOOKUP(C59,Theory!B62:N130,13,FALSE)</f>
        <v>#N/A</v>
      </c>
      <c r="Q59" s="336" t="e">
        <f>VLOOKUP(C59,Theory!B62:O130,14,FALSE)</f>
        <v>#N/A</v>
      </c>
      <c r="R59" s="337" t="e">
        <f>VLOOKUP(C59,Theory!B62:P130,15,FALSE)</f>
        <v>#N/A</v>
      </c>
      <c r="S59" s="337" t="e">
        <f>VLOOKUP(C59,Theory!B62:Q130,16,FALSE)</f>
        <v>#N/A</v>
      </c>
      <c r="T59" s="337" t="e">
        <f>VLOOKUP(C59,Theory!B62:R130,17,FALSE)</f>
        <v>#N/A</v>
      </c>
      <c r="U59" s="337" t="e">
        <f>VLOOKUP(C59,Theory!B62:S130,18,FALSE)</f>
        <v>#N/A</v>
      </c>
      <c r="V59" s="335" t="e">
        <f t="shared" si="8"/>
        <v>#N/A</v>
      </c>
      <c r="W59" s="334" t="e">
        <f>VLOOKUP(C59,Theory!B62:T130,19,FALSE)</f>
        <v>#N/A</v>
      </c>
      <c r="X59" s="334" t="e">
        <f>VLOOKUP(C59,Theory!B62:U130,20,FALSE)</f>
        <v>#N/A</v>
      </c>
      <c r="Y59" s="334" t="e">
        <f>VLOOKUP(C59,Theory!B62:V130,21,FALSE)</f>
        <v>#N/A</v>
      </c>
      <c r="Z59" s="334" t="e">
        <f>VLOOKUP(C59,Theory!B62:W130,22,FALSE)</f>
        <v>#N/A</v>
      </c>
      <c r="AA59" s="338" t="e">
        <f>VLOOKUP(C59,Theory!B62:X130,23,FALSE)</f>
        <v>#N/A</v>
      </c>
      <c r="AB59" s="338" t="e">
        <f>VLOOKUP(C59,Theory!B62:Y130,24,FALSE)</f>
        <v>#N/A</v>
      </c>
      <c r="AC59" s="338" t="e">
        <f>VLOOKUP(C59,Theory!B62:Z130,25,FALSE)</f>
        <v>#N/A</v>
      </c>
      <c r="AD59" s="338" t="e">
        <f>VLOOKUP(C59,Theory!B62:AA130,26,FALSE)</f>
        <v>#N/A</v>
      </c>
      <c r="AE59" s="335" t="e">
        <f t="shared" si="9"/>
        <v>#N/A</v>
      </c>
      <c r="AF59" s="334" t="e">
        <f>VLOOKUP(C59,Theory!B62:AB130,27,FALSE)</f>
        <v>#N/A</v>
      </c>
      <c r="AG59" s="334" t="e">
        <f>VLOOKUP(C59,Theory!B62:AC130,28,FALSE)</f>
        <v>#N/A</v>
      </c>
      <c r="AH59" s="334" t="e">
        <f>VLOOKUP(C59,Theory!B62:AD130,29,FALSE)</f>
        <v>#N/A</v>
      </c>
      <c r="AI59" s="334" t="e">
        <f>VLOOKUP(C59,Theory!B62:AE130,30,FALSE)</f>
        <v>#N/A</v>
      </c>
      <c r="AJ59" s="339" t="e">
        <f>VLOOKUP(C59,Theory!B62:AF130,31,FALSE)</f>
        <v>#N/A</v>
      </c>
      <c r="AK59" s="339" t="e">
        <f>VLOOKUP(C59,Theory!B62:AG130,32,FALSE)</f>
        <v>#N/A</v>
      </c>
      <c r="AL59" s="339" t="e">
        <f>VLOOKUP(C59,Theory!B62:AH130,33,FALSE)</f>
        <v>#N/A</v>
      </c>
      <c r="AM59" s="339" t="e">
        <f>VLOOKUP(C59,Theory!B62:AI130,34,FALSE)</f>
        <v>#N/A</v>
      </c>
      <c r="AN59" s="335" t="e">
        <f t="shared" si="10"/>
        <v>#N/A</v>
      </c>
      <c r="AO59" s="333" t="e">
        <f t="shared" si="0"/>
        <v>#N/A</v>
      </c>
      <c r="AP59" s="340" t="e">
        <f>VLOOKUP(C59,Theory!B62:AJ130,35,FALSE)</f>
        <v>#N/A</v>
      </c>
      <c r="AQ59" s="340" t="e">
        <f>VLOOKUP(C59,Theory!B62:AK130,36,FALSE)</f>
        <v>#N/A</v>
      </c>
      <c r="AR59" s="340" t="e">
        <f>VLOOKUP(C59,Theory!B62:AL130,37,FALSE)</f>
        <v>#N/A</v>
      </c>
      <c r="AS59" s="340" t="e">
        <f>VLOOKUP(C59,Theory!B62:AM130,38,FALSE)</f>
        <v>#N/A</v>
      </c>
      <c r="AT59" s="335" t="e">
        <f t="shared" si="11"/>
        <v>#N/A</v>
      </c>
      <c r="AU59" s="340" t="e">
        <f>VLOOKUP(C59,Theory!B62:AN130,39,FALSE)</f>
        <v>#N/A</v>
      </c>
      <c r="AV59" s="340" t="e">
        <f>VLOOKUP(C59,Theory!B62:AO130,40,FALSE)</f>
        <v>#N/A</v>
      </c>
      <c r="AW59" s="340" t="e">
        <f>VLOOKUP(C59,Theory!B62:AP130,41,FALSE)</f>
        <v>#N/A</v>
      </c>
      <c r="AX59" s="340" t="e">
        <f>VLOOKUP(C59,Theory!B62:AQ130,42,FALSE)</f>
        <v>#N/A</v>
      </c>
      <c r="AY59" s="335" t="e">
        <f t="shared" si="12"/>
        <v>#N/A</v>
      </c>
      <c r="AZ59" s="340" t="e">
        <f>VLOOKUP(C59,Theory!B62:AR130,43,FALSE)</f>
        <v>#N/A</v>
      </c>
      <c r="BA59" s="340" t="e">
        <f>VLOOKUP(C59,Theory!B62:AS130,44,FALSE)</f>
        <v>#N/A</v>
      </c>
      <c r="BB59" s="340" t="e">
        <f>VLOOKUP(C59,Theory!B62:AT130,45,FALSE)</f>
        <v>#N/A</v>
      </c>
      <c r="BC59" s="340" t="e">
        <f>VLOOKUP(C59,Theory!B62:AU130,46,FALSE)</f>
        <v>#N/A</v>
      </c>
      <c r="BD59" s="340" t="e">
        <f>VLOOKUP(C59,Theory!B62:AV130,47,FALSE)</f>
        <v>#N/A</v>
      </c>
      <c r="BE59" s="340" t="e">
        <f>VLOOKUP(C59,Theory!B62:AW130,48,FALSE)</f>
        <v>#N/A</v>
      </c>
      <c r="BF59" s="340" t="e">
        <f>VLOOKUP(C59,Theory!B62:AX130,49,FALSE)</f>
        <v>#N/A</v>
      </c>
      <c r="BG59" s="340" t="e">
        <f>VLOOKUP(C59,Theory!B62:AY130,50,FALSE)</f>
        <v>#N/A</v>
      </c>
      <c r="BH59" s="335" t="e">
        <f t="shared" si="13"/>
        <v>#N/A</v>
      </c>
      <c r="BI59" s="340" t="e">
        <f>VLOOKUP(C59,Theory!B62:AZ130,51,FALSE)</f>
        <v>#N/A</v>
      </c>
      <c r="BJ59" s="340" t="e">
        <f>VLOOKUP(C59,Theory!B62:BA130,52,FALSE)</f>
        <v>#N/A</v>
      </c>
      <c r="BK59" s="340" t="e">
        <f>VLOOKUP(C59,Theory!B62:BB130,53,FALSE)</f>
        <v>#N/A</v>
      </c>
      <c r="BL59" s="340" t="e">
        <f>VLOOKUP(C59,Theory!B62:BC130,54,FALSE)</f>
        <v>#N/A</v>
      </c>
      <c r="BM59" s="340" t="e">
        <f>VLOOKUP(C59,Theory!B62:BD130,55,FALSE)</f>
        <v>#N/A</v>
      </c>
      <c r="BN59" s="340" t="e">
        <f>VLOOKUP(C59,Theory!B62:BE130,56,FALSE)</f>
        <v>#N/A</v>
      </c>
      <c r="BO59" s="340" t="e">
        <f>VLOOKUP(C59,Theory!B62:BF130,57,FALSE)</f>
        <v>#N/A</v>
      </c>
      <c r="BP59" s="340" t="e">
        <f>VLOOKUP(C59,Theory!B62:BG130,58,FALSE)</f>
        <v>#N/A</v>
      </c>
      <c r="BQ59" s="335" t="e">
        <f t="shared" si="14"/>
        <v>#N/A</v>
      </c>
      <c r="BR59" s="340" t="e">
        <f>VLOOKUP(C59,Theory!B62:BH130,59,FALSE)</f>
        <v>#N/A</v>
      </c>
      <c r="BS59" s="340" t="e">
        <f>VLOOKUP(C59,Theory!B62:BI130,60,FALSE)</f>
        <v>#N/A</v>
      </c>
      <c r="BT59" s="340" t="e">
        <f>VLOOKUP(C59,Theory!B62:BJ130,61,FALSE)</f>
        <v>#N/A</v>
      </c>
      <c r="BU59" s="340" t="e">
        <f>VLOOKUP(C59,Theory!B62:BK130,62,FALSE)</f>
        <v>#N/A</v>
      </c>
      <c r="BV59" s="340" t="e">
        <f>VLOOKUP(C59,Theory!B62:BL130,63,FALSE)</f>
        <v>#N/A</v>
      </c>
      <c r="BW59" s="340" t="e">
        <f>VLOOKUP(C59,Theory!B62:BM130,64,FALSE)</f>
        <v>#N/A</v>
      </c>
      <c r="BX59" s="340" t="e">
        <f>VLOOKUP(C59,Theory!B62:BN130,65,FALSE)</f>
        <v>#N/A</v>
      </c>
      <c r="BY59" s="340" t="e">
        <f>VLOOKUP(C59,Theory!B62:BO130,66,FALSE)</f>
        <v>#N/A</v>
      </c>
      <c r="BZ59" s="335" t="e">
        <f t="shared" si="15"/>
        <v>#N/A</v>
      </c>
      <c r="CA59" s="333" t="e">
        <f t="shared" si="1"/>
        <v>#N/A</v>
      </c>
      <c r="CB59" s="340" t="e">
        <f>VLOOKUP(C59,Theory!B62:BP130,67,FALSE)</f>
        <v>#N/A</v>
      </c>
      <c r="CC59" s="340" t="e">
        <f>VLOOKUP(C59,Theory!B62:BQ130,68,FALSE)</f>
        <v>#N/A</v>
      </c>
      <c r="CD59" s="340" t="e">
        <f>VLOOKUP(C59,Theory!B62:BR130,69,FALSE)</f>
        <v>#N/A</v>
      </c>
      <c r="CE59" s="340" t="e">
        <f>VLOOKUP(C59,Theory!B62:BS130,70,FALSE)</f>
        <v>#N/A</v>
      </c>
      <c r="CF59" s="335" t="e">
        <f t="shared" si="16"/>
        <v>#N/A</v>
      </c>
      <c r="CG59" s="341" t="e">
        <f>VLOOKUP(C59,Theory!B62:BT130,71,FALSE)</f>
        <v>#N/A</v>
      </c>
      <c r="CH59" s="341" t="e">
        <f>VLOOKUP(C59,Theory!B62:BU130,72,FALSE)</f>
        <v>#N/A</v>
      </c>
      <c r="CI59" s="341" t="e">
        <f>VLOOKUP(C59,Theory!B62:BV130,73,FALSE)</f>
        <v>#N/A</v>
      </c>
      <c r="CJ59" s="341" t="e">
        <f>VLOOKUP(C59,Theory!B62:BW130,74,FALSE)</f>
        <v>#N/A</v>
      </c>
      <c r="CK59" s="335" t="e">
        <f t="shared" si="17"/>
        <v>#N/A</v>
      </c>
      <c r="CL59" s="340" t="e">
        <f>VLOOKUP(C59,Theory!B62:BX130,75,FALSE)</f>
        <v>#N/A</v>
      </c>
      <c r="CM59" s="342" t="e">
        <f>VLOOKUP(C59,Theory!B62:BY130,76,FALSE)</f>
        <v>#N/A</v>
      </c>
      <c r="CN59" s="342" t="e">
        <f>VLOOKUP(C59,Theory!B62:BZ130,77,FALSE)</f>
        <v>#N/A</v>
      </c>
      <c r="CO59" s="342" t="e">
        <f>VLOOKUP(C59,Theory!B62:CA130,78,FALSE)</f>
        <v>#N/A</v>
      </c>
      <c r="CP59" s="340" t="e">
        <f>VLOOKUP(C59,Theory!B62:CB130,79,FALSE)</f>
        <v>#N/A</v>
      </c>
      <c r="CQ59" s="340" t="e">
        <f>VLOOKUP(C59,Theory!B62:CC130,80,FALSE)</f>
        <v>#N/A</v>
      </c>
      <c r="CR59" s="340" t="e">
        <f>VLOOKUP(C59,Theory!B62:CD130,81,FALSE)</f>
        <v>#N/A</v>
      </c>
      <c r="CS59" s="340" t="e">
        <f>VLOOKUP(C59,Theory!B62:CE130,82,FALSE)</f>
        <v>#N/A</v>
      </c>
      <c r="CT59" s="335" t="e">
        <f t="shared" si="18"/>
        <v>#N/A</v>
      </c>
      <c r="CU59" s="341" t="e">
        <f>VLOOKUP(C59,Theory!B62:CF130,83,FALSE)</f>
        <v>#N/A</v>
      </c>
      <c r="CV59" s="342" t="e">
        <f>VLOOKUP(C59,Theory!B62:CG130,84,FALSE)</f>
        <v>#N/A</v>
      </c>
      <c r="CW59" s="342" t="e">
        <f>VLOOKUP(C59,Theory!B62:CH130,85,FALSE)</f>
        <v>#N/A</v>
      </c>
      <c r="CX59" s="342" t="e">
        <f>VLOOKUP(C59,Theory!B62:CI130,86,FALSE)</f>
        <v>#N/A</v>
      </c>
      <c r="CY59" s="341" t="e">
        <f>VLOOKUP(C59,Theory!B62:CJ130,87,FALSE)</f>
        <v>#N/A</v>
      </c>
      <c r="CZ59" s="341" t="e">
        <f>VLOOKUP(C59,Theory!B62:CK130,88,FALSE)</f>
        <v>#N/A</v>
      </c>
      <c r="DA59" s="341" t="e">
        <f>VLOOKUP(C59,Theory!B62:CL130,89,FALSE)</f>
        <v>#N/A</v>
      </c>
      <c r="DB59" s="341" t="e">
        <f>VLOOKUP(C59,Theory!B62:CM130,90,FALSE)</f>
        <v>#N/A</v>
      </c>
      <c r="DC59" s="335" t="e">
        <f t="shared" si="19"/>
        <v>#N/A</v>
      </c>
      <c r="DD59" s="340" t="e">
        <f>VLOOKUP(C59,Theory!B62:CN130,91,FALSE)</f>
        <v>#N/A</v>
      </c>
      <c r="DE59" s="342" t="e">
        <f>VLOOKUP(C59,Theory!B62:CO130,92,FALSE)</f>
        <v>#N/A</v>
      </c>
      <c r="DF59" s="342" t="e">
        <f>VLOOKUP(C59,Theory!B62:CP130,93,FALSE)</f>
        <v>#N/A</v>
      </c>
      <c r="DG59" s="342" t="e">
        <f>VLOOKUP(C59,Theory!B62:CQ130,94,FALSE)</f>
        <v>#N/A</v>
      </c>
      <c r="DH59" s="340" t="e">
        <f>VLOOKUP(C59,Theory!B62:CR130,95,FALSE)</f>
        <v>#N/A</v>
      </c>
      <c r="DI59" s="340" t="e">
        <f>VLOOKUP(C59,Theory!B62:CS130,96,FALSE)</f>
        <v>#N/A</v>
      </c>
      <c r="DJ59" s="340" t="e">
        <f>VLOOKUP(C59,Theory!B62:CT130,97,FALSE)</f>
        <v>#N/A</v>
      </c>
      <c r="DK59" s="340" t="e">
        <f>VLOOKUP(C59,Theory!B62:CU130,98,FALSE)</f>
        <v>#N/A</v>
      </c>
      <c r="DL59" s="335" t="e">
        <f t="shared" si="20"/>
        <v>#N/A</v>
      </c>
      <c r="DM59" s="265" t="e">
        <f t="shared" si="2"/>
        <v>#N/A</v>
      </c>
      <c r="DN59" s="362" t="e">
        <f t="shared" si="40"/>
        <v>#N/A</v>
      </c>
      <c r="DO59" s="362" t="e">
        <f t="shared" si="41"/>
        <v>#N/A</v>
      </c>
      <c r="DP59" s="362" t="e">
        <f t="shared" si="42"/>
        <v>#N/A</v>
      </c>
      <c r="DQ59" s="343" t="e">
        <f t="shared" si="43"/>
        <v>#N/A</v>
      </c>
      <c r="DR59" s="343" t="e">
        <f t="shared" si="44"/>
        <v>#N/A</v>
      </c>
      <c r="DS59" s="343" t="e">
        <f t="shared" si="45"/>
        <v>#N/A</v>
      </c>
      <c r="DT59" s="328" t="e">
        <f t="shared" si="36"/>
        <v>#N/A</v>
      </c>
      <c r="DU59" s="326" t="e">
        <f>VLOOKUP(C59,Theory!B62:CV130,99,FALSE)</f>
        <v>#N/A</v>
      </c>
      <c r="DV59" s="326" t="e">
        <f>VLOOKUP(C59,Theory!B62:CW130,100,FALSE)</f>
        <v>#N/A</v>
      </c>
      <c r="DW59" s="331" t="e">
        <f t="shared" si="27"/>
        <v>#N/A</v>
      </c>
      <c r="DX59" s="266" t="e">
        <f t="shared" si="3"/>
        <v>#N/A</v>
      </c>
      <c r="DY59" s="363" t="e">
        <f t="shared" si="4"/>
        <v>#N/A</v>
      </c>
      <c r="DZ59" s="344">
        <f>VLOOKUP(C59,Lab!B54:D123,3,FALSE)</f>
        <v>0</v>
      </c>
      <c r="EA59" s="345">
        <f>VLOOKUP(C59,Lab!B54:E123,4,FALSE)</f>
        <v>0</v>
      </c>
      <c r="EB59" s="345">
        <f>VLOOKUP(C59,Lab!B54:F123,5,FALSE)</f>
        <v>0</v>
      </c>
      <c r="EC59" s="329">
        <f t="shared" si="37"/>
        <v>0</v>
      </c>
      <c r="ED59" s="346">
        <f>VLOOKUP(C59,Lab!B54:G123,6,FALSE)</f>
        <v>0</v>
      </c>
      <c r="EE59" s="346">
        <f>VLOOKUP(C59,Lab!B54:H123,7,FALSE)</f>
        <v>0</v>
      </c>
      <c r="EF59" s="347">
        <f>VLOOKUP(C59,Lab!B54:I123,8,FALSE)</f>
        <v>0</v>
      </c>
      <c r="EG59" s="330">
        <f t="shared" si="38"/>
        <v>0</v>
      </c>
      <c r="EH59" s="390">
        <f t="shared" si="28"/>
        <v>0</v>
      </c>
      <c r="EI59" s="349">
        <f t="shared" si="29"/>
        <v>0</v>
      </c>
      <c r="EJ59" s="391" t="e">
        <f t="shared" si="5"/>
        <v>#N/A</v>
      </c>
      <c r="EK59" s="258">
        <v>0</v>
      </c>
      <c r="EM59" s="350" t="e">
        <f>VLOOKUP(C59,Theory!B62:DL130,114,FALSE)</f>
        <v>#N/A</v>
      </c>
      <c r="EN59" s="350" t="e">
        <f>VLOOKUP(C59,Theory!B62:DM130,115,FALSE)</f>
        <v>#N/A</v>
      </c>
      <c r="EO59" s="350" t="e">
        <f>VLOOKUP(C59,Theory!B62:DN130,116,FALSE)</f>
        <v>#N/A</v>
      </c>
      <c r="EP59" s="350" t="e">
        <f>VLOOKUP(C59,Theory!B62:DO128,117,FALSE)</f>
        <v>#N/A</v>
      </c>
      <c r="EQ59" s="350" t="e">
        <f>VLOOKUP(C59,Theory!B62:DP128,118,FALSE)</f>
        <v>#N/A</v>
      </c>
      <c r="ER59" s="351" t="e">
        <f>VLOOKUP(C59,Theory!B62:DQ128,119,FALSE)</f>
        <v>#N/A</v>
      </c>
      <c r="ES59" s="327" t="e">
        <f>VLOOKUP(C59,Theory!B62:DR128,120,FALSE)</f>
        <v>#N/A</v>
      </c>
      <c r="ET59" s="348" t="e">
        <f t="shared" si="39"/>
        <v>#N/A</v>
      </c>
      <c r="EU59" s="352"/>
      <c r="EV59" s="352"/>
      <c r="EW59" s="352"/>
      <c r="EX59" s="352"/>
      <c r="EY59" s="352"/>
      <c r="EZ59" s="352"/>
      <c r="FA59" s="352"/>
      <c r="FB59" s="352"/>
      <c r="FC59" s="352"/>
      <c r="FD59" s="352"/>
    </row>
    <row r="60" spans="1:160" ht="16.2" thickBot="1" x14ac:dyDescent="0.35">
      <c r="A60" s="64">
        <v>47</v>
      </c>
      <c r="B60" s="17">
        <f>Theory!C63</f>
        <v>0</v>
      </c>
      <c r="C60" s="16">
        <f>Theory!B63</f>
        <v>0</v>
      </c>
      <c r="D60" s="334" t="e">
        <f>VLOOKUP(C60,Theory!B63:D131,3,FALSE)</f>
        <v>#N/A</v>
      </c>
      <c r="E60" s="334" t="e">
        <f>VLOOKUP(C60,Theory!B63:E131,4,FALSE)</f>
        <v>#N/A</v>
      </c>
      <c r="F60" s="334" t="e">
        <f>VLOOKUP(C60,Theory!B63:F131,5,FALSE)</f>
        <v>#N/A</v>
      </c>
      <c r="G60" s="334" t="e">
        <f>VLOOKUP(C60,Theory!B63:G131,6,FALSE)</f>
        <v>#N/A</v>
      </c>
      <c r="H60" s="335" t="e">
        <f t="shared" si="6"/>
        <v>#N/A</v>
      </c>
      <c r="I60" s="338" t="e">
        <f>VLOOKUP(C60,Theory!B63:H131,7,FALSE)</f>
        <v>#N/A</v>
      </c>
      <c r="J60" s="337" t="e">
        <f>VLOOKUP(C60,Theory!B63:I131,8,FALSE)</f>
        <v>#N/A</v>
      </c>
      <c r="K60" s="337" t="e">
        <f>VLOOKUP(C60,Theory!B63:J131,9,FALSE)</f>
        <v>#N/A</v>
      </c>
      <c r="L60" s="337" t="e">
        <f>VLOOKUP(C60,Theory!B63:K131,10,FALSE)</f>
        <v>#N/A</v>
      </c>
      <c r="M60" s="335" t="e">
        <f t="shared" si="7"/>
        <v>#N/A</v>
      </c>
      <c r="N60" s="336" t="e">
        <f>VLOOKUP(C60,Theory!B63:L131,11,FALSE)</f>
        <v>#N/A</v>
      </c>
      <c r="O60" s="336" t="e">
        <f>VLOOKUP(C60,Theory!B63:M131,12,FALSE)</f>
        <v>#N/A</v>
      </c>
      <c r="P60" s="336" t="e">
        <f>VLOOKUP(C60,Theory!B63:N131,13,FALSE)</f>
        <v>#N/A</v>
      </c>
      <c r="Q60" s="336" t="e">
        <f>VLOOKUP(C60,Theory!B63:O131,14,FALSE)</f>
        <v>#N/A</v>
      </c>
      <c r="R60" s="337" t="e">
        <f>VLOOKUP(C60,Theory!B63:P131,15,FALSE)</f>
        <v>#N/A</v>
      </c>
      <c r="S60" s="337" t="e">
        <f>VLOOKUP(C60,Theory!B63:Q131,16,FALSE)</f>
        <v>#N/A</v>
      </c>
      <c r="T60" s="337" t="e">
        <f>VLOOKUP(C60,Theory!B63:R131,17,FALSE)</f>
        <v>#N/A</v>
      </c>
      <c r="U60" s="337" t="e">
        <f>VLOOKUP(C60,Theory!B63:S131,18,FALSE)</f>
        <v>#N/A</v>
      </c>
      <c r="V60" s="335" t="e">
        <f t="shared" si="8"/>
        <v>#N/A</v>
      </c>
      <c r="W60" s="334" t="e">
        <f>VLOOKUP(C60,Theory!B63:T131,19,FALSE)</f>
        <v>#N/A</v>
      </c>
      <c r="X60" s="334" t="e">
        <f>VLOOKUP(C60,Theory!B63:U131,20,FALSE)</f>
        <v>#N/A</v>
      </c>
      <c r="Y60" s="334" t="e">
        <f>VLOOKUP(C60,Theory!B63:V131,21,FALSE)</f>
        <v>#N/A</v>
      </c>
      <c r="Z60" s="334" t="e">
        <f>VLOOKUP(C60,Theory!B63:W131,22,FALSE)</f>
        <v>#N/A</v>
      </c>
      <c r="AA60" s="338" t="e">
        <f>VLOOKUP(C60,Theory!B63:X131,23,FALSE)</f>
        <v>#N/A</v>
      </c>
      <c r="AB60" s="338" t="e">
        <f>VLOOKUP(C60,Theory!B63:Y131,24,FALSE)</f>
        <v>#N/A</v>
      </c>
      <c r="AC60" s="338" t="e">
        <f>VLOOKUP(C60,Theory!B63:Z131,25,FALSE)</f>
        <v>#N/A</v>
      </c>
      <c r="AD60" s="338" t="e">
        <f>VLOOKUP(C60,Theory!B63:AA131,26,FALSE)</f>
        <v>#N/A</v>
      </c>
      <c r="AE60" s="335" t="e">
        <f t="shared" si="9"/>
        <v>#N/A</v>
      </c>
      <c r="AF60" s="334" t="e">
        <f>VLOOKUP(C60,Theory!B63:AB131,27,FALSE)</f>
        <v>#N/A</v>
      </c>
      <c r="AG60" s="334" t="e">
        <f>VLOOKUP(C60,Theory!B63:AC131,28,FALSE)</f>
        <v>#N/A</v>
      </c>
      <c r="AH60" s="334" t="e">
        <f>VLOOKUP(C60,Theory!B63:AD131,29,FALSE)</f>
        <v>#N/A</v>
      </c>
      <c r="AI60" s="334" t="e">
        <f>VLOOKUP(C60,Theory!B63:AE131,30,FALSE)</f>
        <v>#N/A</v>
      </c>
      <c r="AJ60" s="339" t="e">
        <f>VLOOKUP(C60,Theory!B63:AF131,31,FALSE)</f>
        <v>#N/A</v>
      </c>
      <c r="AK60" s="339" t="e">
        <f>VLOOKUP(C60,Theory!B63:AG131,32,FALSE)</f>
        <v>#N/A</v>
      </c>
      <c r="AL60" s="339" t="e">
        <f>VLOOKUP(C60,Theory!B63:AH131,33,FALSE)</f>
        <v>#N/A</v>
      </c>
      <c r="AM60" s="339" t="e">
        <f>VLOOKUP(C60,Theory!B63:AI131,34,FALSE)</f>
        <v>#N/A</v>
      </c>
      <c r="AN60" s="335" t="e">
        <f t="shared" si="10"/>
        <v>#N/A</v>
      </c>
      <c r="AO60" s="333" t="e">
        <f t="shared" si="0"/>
        <v>#N/A</v>
      </c>
      <c r="AP60" s="340" t="e">
        <f>VLOOKUP(C60,Theory!B63:AJ131,35,FALSE)</f>
        <v>#N/A</v>
      </c>
      <c r="AQ60" s="340" t="e">
        <f>VLOOKUP(C60,Theory!B63:AK131,36,FALSE)</f>
        <v>#N/A</v>
      </c>
      <c r="AR60" s="340" t="e">
        <f>VLOOKUP(C60,Theory!B63:AL131,37,FALSE)</f>
        <v>#N/A</v>
      </c>
      <c r="AS60" s="340" t="e">
        <f>VLOOKUP(C60,Theory!B63:AM131,38,FALSE)</f>
        <v>#N/A</v>
      </c>
      <c r="AT60" s="335" t="e">
        <f t="shared" si="11"/>
        <v>#N/A</v>
      </c>
      <c r="AU60" s="340" t="e">
        <f>VLOOKUP(C60,Theory!B63:AN131,39,FALSE)</f>
        <v>#N/A</v>
      </c>
      <c r="AV60" s="340" t="e">
        <f>VLOOKUP(C60,Theory!B63:AO131,40,FALSE)</f>
        <v>#N/A</v>
      </c>
      <c r="AW60" s="340" t="e">
        <f>VLOOKUP(C60,Theory!B63:AP131,41,FALSE)</f>
        <v>#N/A</v>
      </c>
      <c r="AX60" s="340" t="e">
        <f>VLOOKUP(C60,Theory!B63:AQ131,42,FALSE)</f>
        <v>#N/A</v>
      </c>
      <c r="AY60" s="335" t="e">
        <f t="shared" si="12"/>
        <v>#N/A</v>
      </c>
      <c r="AZ60" s="340" t="e">
        <f>VLOOKUP(C60,Theory!B63:AR131,43,FALSE)</f>
        <v>#N/A</v>
      </c>
      <c r="BA60" s="340" t="e">
        <f>VLOOKUP(C60,Theory!B63:AS131,44,FALSE)</f>
        <v>#N/A</v>
      </c>
      <c r="BB60" s="340" t="e">
        <f>VLOOKUP(C60,Theory!B63:AT131,45,FALSE)</f>
        <v>#N/A</v>
      </c>
      <c r="BC60" s="340" t="e">
        <f>VLOOKUP(C60,Theory!B63:AU131,46,FALSE)</f>
        <v>#N/A</v>
      </c>
      <c r="BD60" s="340" t="e">
        <f>VLOOKUP(C60,Theory!B63:AV131,47,FALSE)</f>
        <v>#N/A</v>
      </c>
      <c r="BE60" s="340" t="e">
        <f>VLOOKUP(C60,Theory!B63:AW131,48,FALSE)</f>
        <v>#N/A</v>
      </c>
      <c r="BF60" s="340" t="e">
        <f>VLOOKUP(C60,Theory!B63:AX131,49,FALSE)</f>
        <v>#N/A</v>
      </c>
      <c r="BG60" s="340" t="e">
        <f>VLOOKUP(C60,Theory!B63:AY131,50,FALSE)</f>
        <v>#N/A</v>
      </c>
      <c r="BH60" s="335" t="e">
        <f t="shared" si="13"/>
        <v>#N/A</v>
      </c>
      <c r="BI60" s="340" t="e">
        <f>VLOOKUP(C60,Theory!B63:AZ131,51,FALSE)</f>
        <v>#N/A</v>
      </c>
      <c r="BJ60" s="340" t="e">
        <f>VLOOKUP(C60,Theory!B63:BA131,52,FALSE)</f>
        <v>#N/A</v>
      </c>
      <c r="BK60" s="340" t="e">
        <f>VLOOKUP(C60,Theory!B63:BB131,53,FALSE)</f>
        <v>#N/A</v>
      </c>
      <c r="BL60" s="340" t="e">
        <f>VLOOKUP(C60,Theory!B63:BC131,54,FALSE)</f>
        <v>#N/A</v>
      </c>
      <c r="BM60" s="340" t="e">
        <f>VLOOKUP(C60,Theory!B63:BD131,55,FALSE)</f>
        <v>#N/A</v>
      </c>
      <c r="BN60" s="340" t="e">
        <f>VLOOKUP(C60,Theory!B63:BE131,56,FALSE)</f>
        <v>#N/A</v>
      </c>
      <c r="BO60" s="340" t="e">
        <f>VLOOKUP(C60,Theory!B63:BF131,57,FALSE)</f>
        <v>#N/A</v>
      </c>
      <c r="BP60" s="340" t="e">
        <f>VLOOKUP(C60,Theory!B63:BG131,58,FALSE)</f>
        <v>#N/A</v>
      </c>
      <c r="BQ60" s="335" t="e">
        <f t="shared" si="14"/>
        <v>#N/A</v>
      </c>
      <c r="BR60" s="340" t="e">
        <f>VLOOKUP(C60,Theory!B63:BH131,59,FALSE)</f>
        <v>#N/A</v>
      </c>
      <c r="BS60" s="340" t="e">
        <f>VLOOKUP(C60,Theory!B63:BI131,60,FALSE)</f>
        <v>#N/A</v>
      </c>
      <c r="BT60" s="340" t="e">
        <f>VLOOKUP(C60,Theory!B63:BJ131,61,FALSE)</f>
        <v>#N/A</v>
      </c>
      <c r="BU60" s="340" t="e">
        <f>VLOOKUP(C60,Theory!B63:BK131,62,FALSE)</f>
        <v>#N/A</v>
      </c>
      <c r="BV60" s="340" t="e">
        <f>VLOOKUP(C60,Theory!B63:BL131,63,FALSE)</f>
        <v>#N/A</v>
      </c>
      <c r="BW60" s="340" t="e">
        <f>VLOOKUP(C60,Theory!B63:BM131,64,FALSE)</f>
        <v>#N/A</v>
      </c>
      <c r="BX60" s="340" t="e">
        <f>VLOOKUP(C60,Theory!B63:BN131,65,FALSE)</f>
        <v>#N/A</v>
      </c>
      <c r="BY60" s="340" t="e">
        <f>VLOOKUP(C60,Theory!B63:BO131,66,FALSE)</f>
        <v>#N/A</v>
      </c>
      <c r="BZ60" s="335" t="e">
        <f t="shared" si="15"/>
        <v>#N/A</v>
      </c>
      <c r="CA60" s="333" t="e">
        <f t="shared" si="1"/>
        <v>#N/A</v>
      </c>
      <c r="CB60" s="340" t="e">
        <f>VLOOKUP(C60,Theory!B63:BP131,67,FALSE)</f>
        <v>#N/A</v>
      </c>
      <c r="CC60" s="340" t="e">
        <f>VLOOKUP(C60,Theory!B63:BQ131,68,FALSE)</f>
        <v>#N/A</v>
      </c>
      <c r="CD60" s="340" t="e">
        <f>VLOOKUP(C60,Theory!B63:BR131,69,FALSE)</f>
        <v>#N/A</v>
      </c>
      <c r="CE60" s="340" t="e">
        <f>VLOOKUP(C60,Theory!B63:BS131,70,FALSE)</f>
        <v>#N/A</v>
      </c>
      <c r="CF60" s="335" t="e">
        <f t="shared" si="16"/>
        <v>#N/A</v>
      </c>
      <c r="CG60" s="341" t="e">
        <f>VLOOKUP(C60,Theory!B63:BT131,71,FALSE)</f>
        <v>#N/A</v>
      </c>
      <c r="CH60" s="341" t="e">
        <f>VLOOKUP(C60,Theory!B63:BU131,72,FALSE)</f>
        <v>#N/A</v>
      </c>
      <c r="CI60" s="341" t="e">
        <f>VLOOKUP(C60,Theory!B63:BV131,73,FALSE)</f>
        <v>#N/A</v>
      </c>
      <c r="CJ60" s="341" t="e">
        <f>VLOOKUP(C60,Theory!B63:BW131,74,FALSE)</f>
        <v>#N/A</v>
      </c>
      <c r="CK60" s="335" t="e">
        <f t="shared" si="17"/>
        <v>#N/A</v>
      </c>
      <c r="CL60" s="340" t="e">
        <f>VLOOKUP(C60,Theory!B63:BX131,75,FALSE)</f>
        <v>#N/A</v>
      </c>
      <c r="CM60" s="342" t="e">
        <f>VLOOKUP(C60,Theory!B63:BY131,76,FALSE)</f>
        <v>#N/A</v>
      </c>
      <c r="CN60" s="342" t="e">
        <f>VLOOKUP(C60,Theory!B63:BZ131,77,FALSE)</f>
        <v>#N/A</v>
      </c>
      <c r="CO60" s="342" t="e">
        <f>VLOOKUP(C60,Theory!B63:CA131,78,FALSE)</f>
        <v>#N/A</v>
      </c>
      <c r="CP60" s="340" t="e">
        <f>VLOOKUP(C60,Theory!B63:CB131,79,FALSE)</f>
        <v>#N/A</v>
      </c>
      <c r="CQ60" s="340" t="e">
        <f>VLOOKUP(C60,Theory!B63:CC131,80,FALSE)</f>
        <v>#N/A</v>
      </c>
      <c r="CR60" s="340" t="e">
        <f>VLOOKUP(C60,Theory!B63:CD131,81,FALSE)</f>
        <v>#N/A</v>
      </c>
      <c r="CS60" s="340" t="e">
        <f>VLOOKUP(C60,Theory!B63:CE131,82,FALSE)</f>
        <v>#N/A</v>
      </c>
      <c r="CT60" s="335" t="e">
        <f t="shared" si="18"/>
        <v>#N/A</v>
      </c>
      <c r="CU60" s="341" t="e">
        <f>VLOOKUP(C60,Theory!B63:CF131,83,FALSE)</f>
        <v>#N/A</v>
      </c>
      <c r="CV60" s="342" t="e">
        <f>VLOOKUP(C60,Theory!B63:CG131,84,FALSE)</f>
        <v>#N/A</v>
      </c>
      <c r="CW60" s="342" t="e">
        <f>VLOOKUP(C60,Theory!B63:CH131,85,FALSE)</f>
        <v>#N/A</v>
      </c>
      <c r="CX60" s="342" t="e">
        <f>VLOOKUP(C60,Theory!B63:CI131,86,FALSE)</f>
        <v>#N/A</v>
      </c>
      <c r="CY60" s="341" t="e">
        <f>VLOOKUP(C60,Theory!B63:CJ131,87,FALSE)</f>
        <v>#N/A</v>
      </c>
      <c r="CZ60" s="341" t="e">
        <f>VLOOKUP(C60,Theory!B63:CK131,88,FALSE)</f>
        <v>#N/A</v>
      </c>
      <c r="DA60" s="341" t="e">
        <f>VLOOKUP(C60,Theory!B63:CL131,89,FALSE)</f>
        <v>#N/A</v>
      </c>
      <c r="DB60" s="341" t="e">
        <f>VLOOKUP(C60,Theory!B63:CM131,90,FALSE)</f>
        <v>#N/A</v>
      </c>
      <c r="DC60" s="335" t="e">
        <f t="shared" si="19"/>
        <v>#N/A</v>
      </c>
      <c r="DD60" s="340" t="e">
        <f>VLOOKUP(C60,Theory!B63:CN131,91,FALSE)</f>
        <v>#N/A</v>
      </c>
      <c r="DE60" s="342" t="e">
        <f>VLOOKUP(C60,Theory!B63:CO131,92,FALSE)</f>
        <v>#N/A</v>
      </c>
      <c r="DF60" s="342" t="e">
        <f>VLOOKUP(C60,Theory!B63:CP131,93,FALSE)</f>
        <v>#N/A</v>
      </c>
      <c r="DG60" s="342" t="e">
        <f>VLOOKUP(C60,Theory!B63:CQ131,94,FALSE)</f>
        <v>#N/A</v>
      </c>
      <c r="DH60" s="340" t="e">
        <f>VLOOKUP(C60,Theory!B63:CR131,95,FALSE)</f>
        <v>#N/A</v>
      </c>
      <c r="DI60" s="340" t="e">
        <f>VLOOKUP(C60,Theory!B63:CS131,96,FALSE)</f>
        <v>#N/A</v>
      </c>
      <c r="DJ60" s="340" t="e">
        <f>VLOOKUP(C60,Theory!B63:CT131,97,FALSE)</f>
        <v>#N/A</v>
      </c>
      <c r="DK60" s="340" t="e">
        <f>VLOOKUP(C60,Theory!B63:CU131,98,FALSE)</f>
        <v>#N/A</v>
      </c>
      <c r="DL60" s="335" t="e">
        <f t="shared" si="20"/>
        <v>#N/A</v>
      </c>
      <c r="DM60" s="265" t="e">
        <f t="shared" si="2"/>
        <v>#N/A</v>
      </c>
      <c r="DN60" s="362" t="e">
        <f t="shared" si="40"/>
        <v>#N/A</v>
      </c>
      <c r="DO60" s="362" t="e">
        <f t="shared" si="41"/>
        <v>#N/A</v>
      </c>
      <c r="DP60" s="362" t="e">
        <f t="shared" si="42"/>
        <v>#N/A</v>
      </c>
      <c r="DQ60" s="343" t="e">
        <f t="shared" si="43"/>
        <v>#N/A</v>
      </c>
      <c r="DR60" s="343" t="e">
        <f t="shared" si="44"/>
        <v>#N/A</v>
      </c>
      <c r="DS60" s="343" t="e">
        <f t="shared" si="45"/>
        <v>#N/A</v>
      </c>
      <c r="DT60" s="328" t="e">
        <f t="shared" si="36"/>
        <v>#N/A</v>
      </c>
      <c r="DU60" s="326" t="e">
        <f>VLOOKUP(C60,Theory!B63:CV131,99,FALSE)</f>
        <v>#N/A</v>
      </c>
      <c r="DV60" s="326" t="e">
        <f>VLOOKUP(C60,Theory!B63:CW131,100,FALSE)</f>
        <v>#N/A</v>
      </c>
      <c r="DW60" s="331" t="e">
        <f t="shared" si="27"/>
        <v>#N/A</v>
      </c>
      <c r="DX60" s="266" t="e">
        <f t="shared" si="3"/>
        <v>#N/A</v>
      </c>
      <c r="DY60" s="363" t="e">
        <f t="shared" si="4"/>
        <v>#N/A</v>
      </c>
      <c r="DZ60" s="344">
        <f>VLOOKUP(C60,Lab!B55:D124,3,FALSE)</f>
        <v>0</v>
      </c>
      <c r="EA60" s="345">
        <f>VLOOKUP(C60,Lab!B55:E124,4,FALSE)</f>
        <v>0</v>
      </c>
      <c r="EB60" s="345">
        <f>VLOOKUP(C60,Lab!B55:F124,5,FALSE)</f>
        <v>0</v>
      </c>
      <c r="EC60" s="329">
        <f t="shared" si="37"/>
        <v>0</v>
      </c>
      <c r="ED60" s="346">
        <f>VLOOKUP(C60,Lab!B55:G124,6,FALSE)</f>
        <v>0</v>
      </c>
      <c r="EE60" s="346">
        <f>VLOOKUP(C60,Lab!B55:H124,7,FALSE)</f>
        <v>0</v>
      </c>
      <c r="EF60" s="347">
        <f>VLOOKUP(C60,Lab!B55:I124,8,FALSE)</f>
        <v>0</v>
      </c>
      <c r="EG60" s="330">
        <f t="shared" si="38"/>
        <v>0</v>
      </c>
      <c r="EH60" s="390">
        <f t="shared" si="28"/>
        <v>0</v>
      </c>
      <c r="EI60" s="349">
        <f t="shared" si="29"/>
        <v>0</v>
      </c>
      <c r="EJ60" s="391" t="e">
        <f t="shared" si="5"/>
        <v>#N/A</v>
      </c>
      <c r="EK60" s="258">
        <v>0</v>
      </c>
      <c r="EM60" s="350" t="e">
        <f>VLOOKUP(C60,Theory!B63:DL131,114,FALSE)</f>
        <v>#N/A</v>
      </c>
      <c r="EN60" s="350" t="e">
        <f>VLOOKUP(C60,Theory!B63:DM131,115,FALSE)</f>
        <v>#N/A</v>
      </c>
      <c r="EO60" s="350" t="e">
        <f>VLOOKUP(C60,Theory!B63:DN131,116,FALSE)</f>
        <v>#N/A</v>
      </c>
      <c r="EP60" s="350" t="e">
        <f>VLOOKUP(C60,Theory!B63:DO129,117,FALSE)</f>
        <v>#N/A</v>
      </c>
      <c r="EQ60" s="350" t="e">
        <f>VLOOKUP(C60,Theory!B63:DP129,118,FALSE)</f>
        <v>#N/A</v>
      </c>
      <c r="ER60" s="351" t="e">
        <f>VLOOKUP(C60,Theory!B63:DQ129,119,FALSE)</f>
        <v>#N/A</v>
      </c>
      <c r="ES60" s="327" t="e">
        <f>VLOOKUP(C60,Theory!B63:DR129,120,FALSE)</f>
        <v>#N/A</v>
      </c>
      <c r="ET60" s="348" t="e">
        <f t="shared" si="39"/>
        <v>#N/A</v>
      </c>
      <c r="EU60" s="352"/>
      <c r="EV60" s="352"/>
      <c r="EW60" s="352"/>
      <c r="EX60" s="352"/>
      <c r="EY60" s="352"/>
      <c r="EZ60" s="352"/>
      <c r="FA60" s="352"/>
      <c r="FB60" s="352"/>
      <c r="FC60" s="352"/>
      <c r="FD60" s="352"/>
    </row>
    <row r="61" spans="1:160" ht="16.2" thickBot="1" x14ac:dyDescent="0.35">
      <c r="A61" s="64">
        <v>48</v>
      </c>
      <c r="B61" s="17">
        <f>Theory!C64</f>
        <v>0</v>
      </c>
      <c r="C61" s="16">
        <f>Theory!B64</f>
        <v>0</v>
      </c>
      <c r="D61" s="334" t="e">
        <f>VLOOKUP(C61,Theory!B64:D132,3,FALSE)</f>
        <v>#N/A</v>
      </c>
      <c r="E61" s="334" t="e">
        <f>VLOOKUP(C61,Theory!B64:E132,4,FALSE)</f>
        <v>#N/A</v>
      </c>
      <c r="F61" s="334" t="e">
        <f>VLOOKUP(C61,Theory!B64:F132,5,FALSE)</f>
        <v>#N/A</v>
      </c>
      <c r="G61" s="334" t="e">
        <f>VLOOKUP(C61,Theory!B64:G132,6,FALSE)</f>
        <v>#N/A</v>
      </c>
      <c r="H61" s="335" t="e">
        <f t="shared" si="6"/>
        <v>#N/A</v>
      </c>
      <c r="I61" s="338" t="e">
        <f>VLOOKUP(C61,Theory!B64:H132,7,FALSE)</f>
        <v>#N/A</v>
      </c>
      <c r="J61" s="337" t="e">
        <f>VLOOKUP(C61,Theory!B64:I132,8,FALSE)</f>
        <v>#N/A</v>
      </c>
      <c r="K61" s="337" t="e">
        <f>VLOOKUP(C61,Theory!B64:J132,9,FALSE)</f>
        <v>#N/A</v>
      </c>
      <c r="L61" s="337" t="e">
        <f>VLOOKUP(C61,Theory!B64:K132,10,FALSE)</f>
        <v>#N/A</v>
      </c>
      <c r="M61" s="335" t="e">
        <f t="shared" si="7"/>
        <v>#N/A</v>
      </c>
      <c r="N61" s="336" t="e">
        <f>VLOOKUP(C61,Theory!B64:L132,11,FALSE)</f>
        <v>#N/A</v>
      </c>
      <c r="O61" s="336" t="e">
        <f>VLOOKUP(C61,Theory!B64:M132,12,FALSE)</f>
        <v>#N/A</v>
      </c>
      <c r="P61" s="336" t="e">
        <f>VLOOKUP(C61,Theory!B64:N132,13,FALSE)</f>
        <v>#N/A</v>
      </c>
      <c r="Q61" s="336" t="e">
        <f>VLOOKUP(C61,Theory!B64:O132,14,FALSE)</f>
        <v>#N/A</v>
      </c>
      <c r="R61" s="337" t="e">
        <f>VLOOKUP(C61,Theory!B64:P132,15,FALSE)</f>
        <v>#N/A</v>
      </c>
      <c r="S61" s="337" t="e">
        <f>VLOOKUP(C61,Theory!B64:Q132,16,FALSE)</f>
        <v>#N/A</v>
      </c>
      <c r="T61" s="337" t="e">
        <f>VLOOKUP(C61,Theory!B64:R132,17,FALSE)</f>
        <v>#N/A</v>
      </c>
      <c r="U61" s="337" t="e">
        <f>VLOOKUP(C61,Theory!B64:S132,18,FALSE)</f>
        <v>#N/A</v>
      </c>
      <c r="V61" s="335" t="e">
        <f t="shared" si="8"/>
        <v>#N/A</v>
      </c>
      <c r="W61" s="334" t="e">
        <f>VLOOKUP(C61,Theory!B64:T132,19,FALSE)</f>
        <v>#N/A</v>
      </c>
      <c r="X61" s="334" t="e">
        <f>VLOOKUP(C61,Theory!B64:U132,20,FALSE)</f>
        <v>#N/A</v>
      </c>
      <c r="Y61" s="334" t="e">
        <f>VLOOKUP(C61,Theory!B64:V132,21,FALSE)</f>
        <v>#N/A</v>
      </c>
      <c r="Z61" s="334" t="e">
        <f>VLOOKUP(C61,Theory!B64:W132,22,FALSE)</f>
        <v>#N/A</v>
      </c>
      <c r="AA61" s="338" t="e">
        <f>VLOOKUP(C61,Theory!B64:X132,23,FALSE)</f>
        <v>#N/A</v>
      </c>
      <c r="AB61" s="338" t="e">
        <f>VLOOKUP(C61,Theory!B64:Y132,24,FALSE)</f>
        <v>#N/A</v>
      </c>
      <c r="AC61" s="338" t="e">
        <f>VLOOKUP(C61,Theory!B64:Z132,25,FALSE)</f>
        <v>#N/A</v>
      </c>
      <c r="AD61" s="338" t="e">
        <f>VLOOKUP(C61,Theory!B64:AA132,26,FALSE)</f>
        <v>#N/A</v>
      </c>
      <c r="AE61" s="335" t="e">
        <f t="shared" si="9"/>
        <v>#N/A</v>
      </c>
      <c r="AF61" s="334" t="e">
        <f>VLOOKUP(C61,Theory!B64:AB132,27,FALSE)</f>
        <v>#N/A</v>
      </c>
      <c r="AG61" s="334" t="e">
        <f>VLOOKUP(C61,Theory!B64:AC132,28,FALSE)</f>
        <v>#N/A</v>
      </c>
      <c r="AH61" s="334" t="e">
        <f>VLOOKUP(C61,Theory!B64:AD132,29,FALSE)</f>
        <v>#N/A</v>
      </c>
      <c r="AI61" s="334" t="e">
        <f>VLOOKUP(C61,Theory!B64:AE132,30,FALSE)</f>
        <v>#N/A</v>
      </c>
      <c r="AJ61" s="339" t="e">
        <f>VLOOKUP(C61,Theory!B64:AF132,31,FALSE)</f>
        <v>#N/A</v>
      </c>
      <c r="AK61" s="339" t="e">
        <f>VLOOKUP(C61,Theory!B64:AG132,32,FALSE)</f>
        <v>#N/A</v>
      </c>
      <c r="AL61" s="339" t="e">
        <f>VLOOKUP(C61,Theory!B64:AH132,33,FALSE)</f>
        <v>#N/A</v>
      </c>
      <c r="AM61" s="339" t="e">
        <f>VLOOKUP(C61,Theory!B64:AI132,34,FALSE)</f>
        <v>#N/A</v>
      </c>
      <c r="AN61" s="335" t="e">
        <f t="shared" si="10"/>
        <v>#N/A</v>
      </c>
      <c r="AO61" s="333" t="e">
        <f t="shared" si="0"/>
        <v>#N/A</v>
      </c>
      <c r="AP61" s="340" t="e">
        <f>VLOOKUP(C61,Theory!B64:AJ132,35,FALSE)</f>
        <v>#N/A</v>
      </c>
      <c r="AQ61" s="340" t="e">
        <f>VLOOKUP(C61,Theory!B64:AK132,36,FALSE)</f>
        <v>#N/A</v>
      </c>
      <c r="AR61" s="340" t="e">
        <f>VLOOKUP(C61,Theory!B64:AL132,37,FALSE)</f>
        <v>#N/A</v>
      </c>
      <c r="AS61" s="340" t="e">
        <f>VLOOKUP(C61,Theory!B64:AM132,38,FALSE)</f>
        <v>#N/A</v>
      </c>
      <c r="AT61" s="335" t="e">
        <f t="shared" si="11"/>
        <v>#N/A</v>
      </c>
      <c r="AU61" s="340" t="e">
        <f>VLOOKUP(C61,Theory!B64:AN132,39,FALSE)</f>
        <v>#N/A</v>
      </c>
      <c r="AV61" s="340" t="e">
        <f>VLOOKUP(C61,Theory!B64:AO132,40,FALSE)</f>
        <v>#N/A</v>
      </c>
      <c r="AW61" s="340" t="e">
        <f>VLOOKUP(C61,Theory!B64:AP132,41,FALSE)</f>
        <v>#N/A</v>
      </c>
      <c r="AX61" s="340" t="e">
        <f>VLOOKUP(C61,Theory!B64:AQ132,42,FALSE)</f>
        <v>#N/A</v>
      </c>
      <c r="AY61" s="335" t="e">
        <f t="shared" si="12"/>
        <v>#N/A</v>
      </c>
      <c r="AZ61" s="340" t="e">
        <f>VLOOKUP(C61,Theory!B64:AR132,43,FALSE)</f>
        <v>#N/A</v>
      </c>
      <c r="BA61" s="340" t="e">
        <f>VLOOKUP(C61,Theory!B64:AS132,44,FALSE)</f>
        <v>#N/A</v>
      </c>
      <c r="BB61" s="340" t="e">
        <f>VLOOKUP(C61,Theory!B64:AT132,45,FALSE)</f>
        <v>#N/A</v>
      </c>
      <c r="BC61" s="340" t="e">
        <f>VLOOKUP(C61,Theory!B64:AU132,46,FALSE)</f>
        <v>#N/A</v>
      </c>
      <c r="BD61" s="340" t="e">
        <f>VLOOKUP(C61,Theory!B64:AV132,47,FALSE)</f>
        <v>#N/A</v>
      </c>
      <c r="BE61" s="340" t="e">
        <f>VLOOKUP(C61,Theory!B64:AW132,48,FALSE)</f>
        <v>#N/A</v>
      </c>
      <c r="BF61" s="340" t="e">
        <f>VLOOKUP(C61,Theory!B64:AX132,49,FALSE)</f>
        <v>#N/A</v>
      </c>
      <c r="BG61" s="340" t="e">
        <f>VLOOKUP(C61,Theory!B64:AY132,50,FALSE)</f>
        <v>#N/A</v>
      </c>
      <c r="BH61" s="335" t="e">
        <f t="shared" si="13"/>
        <v>#N/A</v>
      </c>
      <c r="BI61" s="340" t="e">
        <f>VLOOKUP(C61,Theory!B64:AZ132,51,FALSE)</f>
        <v>#N/A</v>
      </c>
      <c r="BJ61" s="340" t="e">
        <f>VLOOKUP(C61,Theory!B64:BA132,52,FALSE)</f>
        <v>#N/A</v>
      </c>
      <c r="BK61" s="340" t="e">
        <f>VLOOKUP(C61,Theory!B64:BB132,53,FALSE)</f>
        <v>#N/A</v>
      </c>
      <c r="BL61" s="340" t="e">
        <f>VLOOKUP(C61,Theory!B64:BC132,54,FALSE)</f>
        <v>#N/A</v>
      </c>
      <c r="BM61" s="340" t="e">
        <f>VLOOKUP(C61,Theory!B64:BD132,55,FALSE)</f>
        <v>#N/A</v>
      </c>
      <c r="BN61" s="340" t="e">
        <f>VLOOKUP(C61,Theory!B64:BE132,56,FALSE)</f>
        <v>#N/A</v>
      </c>
      <c r="BO61" s="340" t="e">
        <f>VLOOKUP(C61,Theory!B64:BF132,57,FALSE)</f>
        <v>#N/A</v>
      </c>
      <c r="BP61" s="340" t="e">
        <f>VLOOKUP(C61,Theory!B64:BG132,58,FALSE)</f>
        <v>#N/A</v>
      </c>
      <c r="BQ61" s="335" t="e">
        <f t="shared" si="14"/>
        <v>#N/A</v>
      </c>
      <c r="BR61" s="340" t="e">
        <f>VLOOKUP(C61,Theory!B64:BH132,59,FALSE)</f>
        <v>#N/A</v>
      </c>
      <c r="BS61" s="340" t="e">
        <f>VLOOKUP(C61,Theory!B64:BI132,60,FALSE)</f>
        <v>#N/A</v>
      </c>
      <c r="BT61" s="340" t="e">
        <f>VLOOKUP(C61,Theory!B64:BJ132,61,FALSE)</f>
        <v>#N/A</v>
      </c>
      <c r="BU61" s="340" t="e">
        <f>VLOOKUP(C61,Theory!B64:BK132,62,FALSE)</f>
        <v>#N/A</v>
      </c>
      <c r="BV61" s="340" t="e">
        <f>VLOOKUP(C61,Theory!B64:BL132,63,FALSE)</f>
        <v>#N/A</v>
      </c>
      <c r="BW61" s="340" t="e">
        <f>VLOOKUP(C61,Theory!B64:BM132,64,FALSE)</f>
        <v>#N/A</v>
      </c>
      <c r="BX61" s="340" t="e">
        <f>VLOOKUP(C61,Theory!B64:BN132,65,FALSE)</f>
        <v>#N/A</v>
      </c>
      <c r="BY61" s="340" t="e">
        <f>VLOOKUP(C61,Theory!B64:BO132,66,FALSE)</f>
        <v>#N/A</v>
      </c>
      <c r="BZ61" s="335" t="e">
        <f t="shared" si="15"/>
        <v>#N/A</v>
      </c>
      <c r="CA61" s="333" t="e">
        <f t="shared" si="1"/>
        <v>#N/A</v>
      </c>
      <c r="CB61" s="340" t="e">
        <f>VLOOKUP(C61,Theory!B64:BP132,67,FALSE)</f>
        <v>#N/A</v>
      </c>
      <c r="CC61" s="340" t="e">
        <f>VLOOKUP(C61,Theory!B64:BQ132,68,FALSE)</f>
        <v>#N/A</v>
      </c>
      <c r="CD61" s="340" t="e">
        <f>VLOOKUP(C61,Theory!B64:BR132,69,FALSE)</f>
        <v>#N/A</v>
      </c>
      <c r="CE61" s="340" t="e">
        <f>VLOOKUP(C61,Theory!B64:BS132,70,FALSE)</f>
        <v>#N/A</v>
      </c>
      <c r="CF61" s="335" t="e">
        <f t="shared" si="16"/>
        <v>#N/A</v>
      </c>
      <c r="CG61" s="341" t="e">
        <f>VLOOKUP(C61,Theory!B64:BT132,71,FALSE)</f>
        <v>#N/A</v>
      </c>
      <c r="CH61" s="341" t="e">
        <f>VLOOKUP(C61,Theory!B64:BU132,72,FALSE)</f>
        <v>#N/A</v>
      </c>
      <c r="CI61" s="341" t="e">
        <f>VLOOKUP(C61,Theory!B64:BV132,73,FALSE)</f>
        <v>#N/A</v>
      </c>
      <c r="CJ61" s="341" t="e">
        <f>VLOOKUP(C61,Theory!B64:BW132,74,FALSE)</f>
        <v>#N/A</v>
      </c>
      <c r="CK61" s="335" t="e">
        <f t="shared" si="17"/>
        <v>#N/A</v>
      </c>
      <c r="CL61" s="340" t="e">
        <f>VLOOKUP(C61,Theory!B64:BX132,75,FALSE)</f>
        <v>#N/A</v>
      </c>
      <c r="CM61" s="342" t="e">
        <f>VLOOKUP(C61,Theory!B64:BY132,76,FALSE)</f>
        <v>#N/A</v>
      </c>
      <c r="CN61" s="342" t="e">
        <f>VLOOKUP(C61,Theory!B64:BZ132,77,FALSE)</f>
        <v>#N/A</v>
      </c>
      <c r="CO61" s="342" t="e">
        <f>VLOOKUP(C61,Theory!B64:CA132,78,FALSE)</f>
        <v>#N/A</v>
      </c>
      <c r="CP61" s="340" t="e">
        <f>VLOOKUP(C61,Theory!B64:CB132,79,FALSE)</f>
        <v>#N/A</v>
      </c>
      <c r="CQ61" s="340" t="e">
        <f>VLOOKUP(C61,Theory!B64:CC132,80,FALSE)</f>
        <v>#N/A</v>
      </c>
      <c r="CR61" s="340" t="e">
        <f>VLOOKUP(C61,Theory!B64:CD132,81,FALSE)</f>
        <v>#N/A</v>
      </c>
      <c r="CS61" s="340" t="e">
        <f>VLOOKUP(C61,Theory!B64:CE132,82,FALSE)</f>
        <v>#N/A</v>
      </c>
      <c r="CT61" s="335" t="e">
        <f t="shared" si="18"/>
        <v>#N/A</v>
      </c>
      <c r="CU61" s="341" t="e">
        <f>VLOOKUP(C61,Theory!B64:CF132,83,FALSE)</f>
        <v>#N/A</v>
      </c>
      <c r="CV61" s="342" t="e">
        <f>VLOOKUP(C61,Theory!B64:CG132,84,FALSE)</f>
        <v>#N/A</v>
      </c>
      <c r="CW61" s="342" t="e">
        <f>VLOOKUP(C61,Theory!B64:CH132,85,FALSE)</f>
        <v>#N/A</v>
      </c>
      <c r="CX61" s="342" t="e">
        <f>VLOOKUP(C61,Theory!B64:CI132,86,FALSE)</f>
        <v>#N/A</v>
      </c>
      <c r="CY61" s="341" t="e">
        <f>VLOOKUP(C61,Theory!B64:CJ132,87,FALSE)</f>
        <v>#N/A</v>
      </c>
      <c r="CZ61" s="341" t="e">
        <f>VLOOKUP(C61,Theory!B64:CK132,88,FALSE)</f>
        <v>#N/A</v>
      </c>
      <c r="DA61" s="341" t="e">
        <f>VLOOKUP(C61,Theory!B64:CL132,89,FALSE)</f>
        <v>#N/A</v>
      </c>
      <c r="DB61" s="341" t="e">
        <f>VLOOKUP(C61,Theory!B64:CM132,90,FALSE)</f>
        <v>#N/A</v>
      </c>
      <c r="DC61" s="335" t="e">
        <f t="shared" si="19"/>
        <v>#N/A</v>
      </c>
      <c r="DD61" s="340" t="e">
        <f>VLOOKUP(C61,Theory!B64:CN132,91,FALSE)</f>
        <v>#N/A</v>
      </c>
      <c r="DE61" s="342" t="e">
        <f>VLOOKUP(C61,Theory!B64:CO132,92,FALSE)</f>
        <v>#N/A</v>
      </c>
      <c r="DF61" s="342" t="e">
        <f>VLOOKUP(C61,Theory!B64:CP132,93,FALSE)</f>
        <v>#N/A</v>
      </c>
      <c r="DG61" s="342" t="e">
        <f>VLOOKUP(C61,Theory!B64:CQ132,94,FALSE)</f>
        <v>#N/A</v>
      </c>
      <c r="DH61" s="340" t="e">
        <f>VLOOKUP(C61,Theory!B64:CR132,95,FALSE)</f>
        <v>#N/A</v>
      </c>
      <c r="DI61" s="340" t="e">
        <f>VLOOKUP(C61,Theory!B64:CS132,96,FALSE)</f>
        <v>#N/A</v>
      </c>
      <c r="DJ61" s="340" t="e">
        <f>VLOOKUP(C61,Theory!B64:CT132,97,FALSE)</f>
        <v>#N/A</v>
      </c>
      <c r="DK61" s="340" t="e">
        <f>VLOOKUP(C61,Theory!B64:CU132,98,FALSE)</f>
        <v>#N/A</v>
      </c>
      <c r="DL61" s="335" t="e">
        <f t="shared" si="20"/>
        <v>#N/A</v>
      </c>
      <c r="DM61" s="265" t="e">
        <f t="shared" si="2"/>
        <v>#N/A</v>
      </c>
      <c r="DN61" s="362" t="e">
        <f t="shared" si="40"/>
        <v>#N/A</v>
      </c>
      <c r="DO61" s="362" t="e">
        <f t="shared" si="41"/>
        <v>#N/A</v>
      </c>
      <c r="DP61" s="362" t="e">
        <f t="shared" si="42"/>
        <v>#N/A</v>
      </c>
      <c r="DQ61" s="343" t="e">
        <f t="shared" si="43"/>
        <v>#N/A</v>
      </c>
      <c r="DR61" s="343" t="e">
        <f t="shared" si="44"/>
        <v>#N/A</v>
      </c>
      <c r="DS61" s="343" t="e">
        <f t="shared" si="45"/>
        <v>#N/A</v>
      </c>
      <c r="DT61" s="328" t="e">
        <f t="shared" si="36"/>
        <v>#N/A</v>
      </c>
      <c r="DU61" s="326" t="e">
        <f>VLOOKUP(C61,Theory!B64:CV132,99,FALSE)</f>
        <v>#N/A</v>
      </c>
      <c r="DV61" s="326" t="e">
        <f>VLOOKUP(C61,Theory!B64:CW132,100,FALSE)</f>
        <v>#N/A</v>
      </c>
      <c r="DW61" s="331" t="e">
        <f t="shared" si="27"/>
        <v>#N/A</v>
      </c>
      <c r="DX61" s="266" t="e">
        <f t="shared" si="3"/>
        <v>#N/A</v>
      </c>
      <c r="DY61" s="363" t="e">
        <f t="shared" si="4"/>
        <v>#N/A</v>
      </c>
      <c r="DZ61" s="344">
        <f>VLOOKUP(C61,Lab!B56:D125,3,FALSE)</f>
        <v>0</v>
      </c>
      <c r="EA61" s="345">
        <f>VLOOKUP(C61,Lab!B56:E125,4,FALSE)</f>
        <v>0</v>
      </c>
      <c r="EB61" s="345">
        <f>VLOOKUP(C61,Lab!B56:F125,5,FALSE)</f>
        <v>0</v>
      </c>
      <c r="EC61" s="329">
        <f t="shared" si="37"/>
        <v>0</v>
      </c>
      <c r="ED61" s="346">
        <f>VLOOKUP(C61,Lab!B56:G125,6,FALSE)</f>
        <v>0</v>
      </c>
      <c r="EE61" s="346">
        <f>VLOOKUP(C61,Lab!B56:H125,7,FALSE)</f>
        <v>0</v>
      </c>
      <c r="EF61" s="347">
        <f>VLOOKUP(C61,Lab!B56:I125,8,FALSE)</f>
        <v>0</v>
      </c>
      <c r="EG61" s="330">
        <f t="shared" si="38"/>
        <v>0</v>
      </c>
      <c r="EH61" s="390">
        <f t="shared" si="28"/>
        <v>0</v>
      </c>
      <c r="EI61" s="349">
        <f t="shared" si="29"/>
        <v>0</v>
      </c>
      <c r="EJ61" s="391" t="e">
        <f t="shared" si="5"/>
        <v>#N/A</v>
      </c>
      <c r="EK61" s="258">
        <v>0</v>
      </c>
      <c r="EM61" s="350" t="e">
        <f>VLOOKUP(C61,Theory!B64:DL132,114,FALSE)</f>
        <v>#N/A</v>
      </c>
      <c r="EN61" s="350" t="e">
        <f>VLOOKUP(C61,Theory!B64:DM132,115,FALSE)</f>
        <v>#N/A</v>
      </c>
      <c r="EO61" s="350" t="e">
        <f>VLOOKUP(C61,Theory!B64:DN132,116,FALSE)</f>
        <v>#N/A</v>
      </c>
      <c r="EP61" s="350" t="e">
        <f>VLOOKUP(C61,Theory!B64:DO130,117,FALSE)</f>
        <v>#N/A</v>
      </c>
      <c r="EQ61" s="350" t="e">
        <f>VLOOKUP(C61,Theory!B64:DP130,118,FALSE)</f>
        <v>#N/A</v>
      </c>
      <c r="ER61" s="351" t="e">
        <f>VLOOKUP(C61,Theory!B64:DQ130,119,FALSE)</f>
        <v>#N/A</v>
      </c>
      <c r="ES61" s="327" t="e">
        <f>VLOOKUP(C61,Theory!B64:DR130,120,FALSE)</f>
        <v>#N/A</v>
      </c>
      <c r="ET61" s="348" t="e">
        <f t="shared" si="39"/>
        <v>#N/A</v>
      </c>
      <c r="EU61" s="352"/>
      <c r="EV61" s="352"/>
      <c r="EW61" s="352"/>
      <c r="EX61" s="352"/>
      <c r="EY61" s="352"/>
      <c r="EZ61" s="352"/>
      <c r="FA61" s="352"/>
      <c r="FB61" s="352"/>
      <c r="FC61" s="352"/>
      <c r="FD61" s="352"/>
    </row>
    <row r="62" spans="1:160" ht="16.2" thickBot="1" x14ac:dyDescent="0.35">
      <c r="A62" s="64">
        <v>49</v>
      </c>
      <c r="B62" s="17">
        <f>Theory!C65</f>
        <v>0</v>
      </c>
      <c r="C62" s="16">
        <f>Theory!B65</f>
        <v>0</v>
      </c>
      <c r="D62" s="334" t="e">
        <f>VLOOKUP(C62,Theory!B65:D133,3,FALSE)</f>
        <v>#N/A</v>
      </c>
      <c r="E62" s="334" t="e">
        <f>VLOOKUP(C62,Theory!B65:E133,4,FALSE)</f>
        <v>#N/A</v>
      </c>
      <c r="F62" s="334" t="e">
        <f>VLOOKUP(C62,Theory!B65:F133,5,FALSE)</f>
        <v>#N/A</v>
      </c>
      <c r="G62" s="334" t="e">
        <f>VLOOKUP(C62,Theory!B65:G133,6,FALSE)</f>
        <v>#N/A</v>
      </c>
      <c r="H62" s="335" t="e">
        <f t="shared" si="6"/>
        <v>#N/A</v>
      </c>
      <c r="I62" s="338" t="e">
        <f>VLOOKUP(C62,Theory!B65:H133,7,FALSE)</f>
        <v>#N/A</v>
      </c>
      <c r="J62" s="337" t="e">
        <f>VLOOKUP(C62,Theory!B65:I133,8,FALSE)</f>
        <v>#N/A</v>
      </c>
      <c r="K62" s="337" t="e">
        <f>VLOOKUP(C62,Theory!B65:J133,9,FALSE)</f>
        <v>#N/A</v>
      </c>
      <c r="L62" s="337" t="e">
        <f>VLOOKUP(C62,Theory!B65:K133,10,FALSE)</f>
        <v>#N/A</v>
      </c>
      <c r="M62" s="335" t="e">
        <f t="shared" si="7"/>
        <v>#N/A</v>
      </c>
      <c r="N62" s="336" t="e">
        <f>VLOOKUP(C62,Theory!B65:L133,11,FALSE)</f>
        <v>#N/A</v>
      </c>
      <c r="O62" s="336" t="e">
        <f>VLOOKUP(C62,Theory!B65:M133,12,FALSE)</f>
        <v>#N/A</v>
      </c>
      <c r="P62" s="336" t="e">
        <f>VLOOKUP(C62,Theory!B65:N133,13,FALSE)</f>
        <v>#N/A</v>
      </c>
      <c r="Q62" s="336" t="e">
        <f>VLOOKUP(C62,Theory!B65:O133,14,FALSE)</f>
        <v>#N/A</v>
      </c>
      <c r="R62" s="337" t="e">
        <f>VLOOKUP(C62,Theory!B65:P133,15,FALSE)</f>
        <v>#N/A</v>
      </c>
      <c r="S62" s="337" t="e">
        <f>VLOOKUP(C62,Theory!B65:Q133,16,FALSE)</f>
        <v>#N/A</v>
      </c>
      <c r="T62" s="337" t="e">
        <f>VLOOKUP(C62,Theory!B65:R133,17,FALSE)</f>
        <v>#N/A</v>
      </c>
      <c r="U62" s="337" t="e">
        <f>VLOOKUP(C62,Theory!B65:S133,18,FALSE)</f>
        <v>#N/A</v>
      </c>
      <c r="V62" s="335" t="e">
        <f t="shared" si="8"/>
        <v>#N/A</v>
      </c>
      <c r="W62" s="334" t="e">
        <f>VLOOKUP(C62,Theory!B65:T133,19,FALSE)</f>
        <v>#N/A</v>
      </c>
      <c r="X62" s="334" t="e">
        <f>VLOOKUP(C62,Theory!B65:U133,20,FALSE)</f>
        <v>#N/A</v>
      </c>
      <c r="Y62" s="334" t="e">
        <f>VLOOKUP(C62,Theory!B65:V133,21,FALSE)</f>
        <v>#N/A</v>
      </c>
      <c r="Z62" s="334" t="e">
        <f>VLOOKUP(C62,Theory!B65:W133,22,FALSE)</f>
        <v>#N/A</v>
      </c>
      <c r="AA62" s="338" t="e">
        <f>VLOOKUP(C62,Theory!B65:X133,23,FALSE)</f>
        <v>#N/A</v>
      </c>
      <c r="AB62" s="338" t="e">
        <f>VLOOKUP(C62,Theory!B65:Y133,24,FALSE)</f>
        <v>#N/A</v>
      </c>
      <c r="AC62" s="338" t="e">
        <f>VLOOKUP(C62,Theory!B65:Z133,25,FALSE)</f>
        <v>#N/A</v>
      </c>
      <c r="AD62" s="338" t="e">
        <f>VLOOKUP(C62,Theory!B65:AA133,26,FALSE)</f>
        <v>#N/A</v>
      </c>
      <c r="AE62" s="335" t="e">
        <f t="shared" si="9"/>
        <v>#N/A</v>
      </c>
      <c r="AF62" s="334" t="e">
        <f>VLOOKUP(C62,Theory!B65:AB133,27,FALSE)</f>
        <v>#N/A</v>
      </c>
      <c r="AG62" s="334" t="e">
        <f>VLOOKUP(C62,Theory!B65:AC133,28,FALSE)</f>
        <v>#N/A</v>
      </c>
      <c r="AH62" s="334" t="e">
        <f>VLOOKUP(C62,Theory!B65:AD133,29,FALSE)</f>
        <v>#N/A</v>
      </c>
      <c r="AI62" s="334" t="e">
        <f>VLOOKUP(C62,Theory!B65:AE133,30,FALSE)</f>
        <v>#N/A</v>
      </c>
      <c r="AJ62" s="339" t="e">
        <f>VLOOKUP(C62,Theory!B65:AF133,31,FALSE)</f>
        <v>#N/A</v>
      </c>
      <c r="AK62" s="339" t="e">
        <f>VLOOKUP(C62,Theory!B65:AG133,32,FALSE)</f>
        <v>#N/A</v>
      </c>
      <c r="AL62" s="339" t="e">
        <f>VLOOKUP(C62,Theory!B65:AH133,33,FALSE)</f>
        <v>#N/A</v>
      </c>
      <c r="AM62" s="339" t="e">
        <f>VLOOKUP(C62,Theory!B65:AI133,34,FALSE)</f>
        <v>#N/A</v>
      </c>
      <c r="AN62" s="335" t="e">
        <f t="shared" si="10"/>
        <v>#N/A</v>
      </c>
      <c r="AO62" s="333" t="e">
        <f t="shared" si="0"/>
        <v>#N/A</v>
      </c>
      <c r="AP62" s="340" t="e">
        <f>VLOOKUP(C62,Theory!B65:AJ133,35,FALSE)</f>
        <v>#N/A</v>
      </c>
      <c r="AQ62" s="340" t="e">
        <f>VLOOKUP(C62,Theory!B65:AK133,36,FALSE)</f>
        <v>#N/A</v>
      </c>
      <c r="AR62" s="340" t="e">
        <f>VLOOKUP(C62,Theory!B65:AL133,37,FALSE)</f>
        <v>#N/A</v>
      </c>
      <c r="AS62" s="340" t="e">
        <f>VLOOKUP(C62,Theory!B65:AM133,38,FALSE)</f>
        <v>#N/A</v>
      </c>
      <c r="AT62" s="335" t="e">
        <f t="shared" si="11"/>
        <v>#N/A</v>
      </c>
      <c r="AU62" s="340" t="e">
        <f>VLOOKUP(C62,Theory!B65:AN133,39,FALSE)</f>
        <v>#N/A</v>
      </c>
      <c r="AV62" s="340" t="e">
        <f>VLOOKUP(C62,Theory!B65:AO133,40,FALSE)</f>
        <v>#N/A</v>
      </c>
      <c r="AW62" s="340" t="e">
        <f>VLOOKUP(C62,Theory!B65:AP133,41,FALSE)</f>
        <v>#N/A</v>
      </c>
      <c r="AX62" s="340" t="e">
        <f>VLOOKUP(C62,Theory!B65:AQ133,42,FALSE)</f>
        <v>#N/A</v>
      </c>
      <c r="AY62" s="335" t="e">
        <f t="shared" si="12"/>
        <v>#N/A</v>
      </c>
      <c r="AZ62" s="340" t="e">
        <f>VLOOKUP(C62,Theory!B65:AR133,43,FALSE)</f>
        <v>#N/A</v>
      </c>
      <c r="BA62" s="340" t="e">
        <f>VLOOKUP(C62,Theory!B65:AS133,44,FALSE)</f>
        <v>#N/A</v>
      </c>
      <c r="BB62" s="340" t="e">
        <f>VLOOKUP(C62,Theory!B65:AT133,45,FALSE)</f>
        <v>#N/A</v>
      </c>
      <c r="BC62" s="340" t="e">
        <f>VLOOKUP(C62,Theory!B65:AU133,46,FALSE)</f>
        <v>#N/A</v>
      </c>
      <c r="BD62" s="340" t="e">
        <f>VLOOKUP(C62,Theory!B65:AV133,47,FALSE)</f>
        <v>#N/A</v>
      </c>
      <c r="BE62" s="340" t="e">
        <f>VLOOKUP(C62,Theory!B65:AW133,48,FALSE)</f>
        <v>#N/A</v>
      </c>
      <c r="BF62" s="340" t="e">
        <f>VLOOKUP(C62,Theory!B65:AX133,49,FALSE)</f>
        <v>#N/A</v>
      </c>
      <c r="BG62" s="340" t="e">
        <f>VLOOKUP(C62,Theory!B65:AY133,50,FALSE)</f>
        <v>#N/A</v>
      </c>
      <c r="BH62" s="335" t="e">
        <f t="shared" si="13"/>
        <v>#N/A</v>
      </c>
      <c r="BI62" s="340" t="e">
        <f>VLOOKUP(C62,Theory!B65:AZ133,51,FALSE)</f>
        <v>#N/A</v>
      </c>
      <c r="BJ62" s="340" t="e">
        <f>VLOOKUP(C62,Theory!B65:BA133,52,FALSE)</f>
        <v>#N/A</v>
      </c>
      <c r="BK62" s="340" t="e">
        <f>VLOOKUP(C62,Theory!B65:BB133,53,FALSE)</f>
        <v>#N/A</v>
      </c>
      <c r="BL62" s="340" t="e">
        <f>VLOOKUP(C62,Theory!B65:BC133,54,FALSE)</f>
        <v>#N/A</v>
      </c>
      <c r="BM62" s="340" t="e">
        <f>VLOOKUP(C62,Theory!B65:BD133,55,FALSE)</f>
        <v>#N/A</v>
      </c>
      <c r="BN62" s="340" t="e">
        <f>VLOOKUP(C62,Theory!B65:BE133,56,FALSE)</f>
        <v>#N/A</v>
      </c>
      <c r="BO62" s="340" t="e">
        <f>VLOOKUP(C62,Theory!B65:BF133,57,FALSE)</f>
        <v>#N/A</v>
      </c>
      <c r="BP62" s="340" t="e">
        <f>VLOOKUP(C62,Theory!B65:BG133,58,FALSE)</f>
        <v>#N/A</v>
      </c>
      <c r="BQ62" s="335" t="e">
        <f t="shared" si="14"/>
        <v>#N/A</v>
      </c>
      <c r="BR62" s="340" t="e">
        <f>VLOOKUP(C62,Theory!B65:BH133,59,FALSE)</f>
        <v>#N/A</v>
      </c>
      <c r="BS62" s="340" t="e">
        <f>VLOOKUP(C62,Theory!B65:BI133,60,FALSE)</f>
        <v>#N/A</v>
      </c>
      <c r="BT62" s="340" t="e">
        <f>VLOOKUP(C62,Theory!B65:BJ133,61,FALSE)</f>
        <v>#N/A</v>
      </c>
      <c r="BU62" s="340" t="e">
        <f>VLOOKUP(C62,Theory!B65:BK133,62,FALSE)</f>
        <v>#N/A</v>
      </c>
      <c r="BV62" s="340" t="e">
        <f>VLOOKUP(C62,Theory!B65:BL133,63,FALSE)</f>
        <v>#N/A</v>
      </c>
      <c r="BW62" s="340" t="e">
        <f>VLOOKUP(C62,Theory!B65:BM133,64,FALSE)</f>
        <v>#N/A</v>
      </c>
      <c r="BX62" s="340" t="e">
        <f>VLOOKUP(C62,Theory!B65:BN133,65,FALSE)</f>
        <v>#N/A</v>
      </c>
      <c r="BY62" s="340" t="e">
        <f>VLOOKUP(C62,Theory!B65:BO133,66,FALSE)</f>
        <v>#N/A</v>
      </c>
      <c r="BZ62" s="335" t="e">
        <f t="shared" si="15"/>
        <v>#N/A</v>
      </c>
      <c r="CA62" s="333" t="e">
        <f t="shared" si="1"/>
        <v>#N/A</v>
      </c>
      <c r="CB62" s="340" t="e">
        <f>VLOOKUP(C62,Theory!B65:BP133,67,FALSE)</f>
        <v>#N/A</v>
      </c>
      <c r="CC62" s="340" t="e">
        <f>VLOOKUP(C62,Theory!B65:BQ133,68,FALSE)</f>
        <v>#N/A</v>
      </c>
      <c r="CD62" s="340" t="e">
        <f>VLOOKUP(C62,Theory!B65:BR133,69,FALSE)</f>
        <v>#N/A</v>
      </c>
      <c r="CE62" s="340" t="e">
        <f>VLOOKUP(C62,Theory!B65:BS133,70,FALSE)</f>
        <v>#N/A</v>
      </c>
      <c r="CF62" s="335" t="e">
        <f t="shared" si="16"/>
        <v>#N/A</v>
      </c>
      <c r="CG62" s="341" t="e">
        <f>VLOOKUP(C62,Theory!B65:BT133,71,FALSE)</f>
        <v>#N/A</v>
      </c>
      <c r="CH62" s="341" t="e">
        <f>VLOOKUP(C62,Theory!B65:BU133,72,FALSE)</f>
        <v>#N/A</v>
      </c>
      <c r="CI62" s="341" t="e">
        <f>VLOOKUP(C62,Theory!B65:BV133,73,FALSE)</f>
        <v>#N/A</v>
      </c>
      <c r="CJ62" s="341" t="e">
        <f>VLOOKUP(C62,Theory!B65:BW133,74,FALSE)</f>
        <v>#N/A</v>
      </c>
      <c r="CK62" s="335" t="e">
        <f t="shared" si="17"/>
        <v>#N/A</v>
      </c>
      <c r="CL62" s="340" t="e">
        <f>VLOOKUP(C62,Theory!B65:BX133,75,FALSE)</f>
        <v>#N/A</v>
      </c>
      <c r="CM62" s="342" t="e">
        <f>VLOOKUP(C62,Theory!B65:BY133,76,FALSE)</f>
        <v>#N/A</v>
      </c>
      <c r="CN62" s="342" t="e">
        <f>VLOOKUP(C62,Theory!B65:BZ133,77,FALSE)</f>
        <v>#N/A</v>
      </c>
      <c r="CO62" s="342" t="e">
        <f>VLOOKUP(C62,Theory!B65:CA133,78,FALSE)</f>
        <v>#N/A</v>
      </c>
      <c r="CP62" s="340" t="e">
        <f>VLOOKUP(C62,Theory!B65:CB133,79,FALSE)</f>
        <v>#N/A</v>
      </c>
      <c r="CQ62" s="340" t="e">
        <f>VLOOKUP(C62,Theory!B65:CC133,80,FALSE)</f>
        <v>#N/A</v>
      </c>
      <c r="CR62" s="340" t="e">
        <f>VLOOKUP(C62,Theory!B65:CD133,81,FALSE)</f>
        <v>#N/A</v>
      </c>
      <c r="CS62" s="340" t="e">
        <f>VLOOKUP(C62,Theory!B65:CE133,82,FALSE)</f>
        <v>#N/A</v>
      </c>
      <c r="CT62" s="335" t="e">
        <f t="shared" si="18"/>
        <v>#N/A</v>
      </c>
      <c r="CU62" s="341" t="e">
        <f>VLOOKUP(C62,Theory!B65:CF133,83,FALSE)</f>
        <v>#N/A</v>
      </c>
      <c r="CV62" s="342" t="e">
        <f>VLOOKUP(C62,Theory!B65:CG133,84,FALSE)</f>
        <v>#N/A</v>
      </c>
      <c r="CW62" s="342" t="e">
        <f>VLOOKUP(C62,Theory!B65:CH133,85,FALSE)</f>
        <v>#N/A</v>
      </c>
      <c r="CX62" s="342" t="e">
        <f>VLOOKUP(C62,Theory!B65:CI133,86,FALSE)</f>
        <v>#N/A</v>
      </c>
      <c r="CY62" s="341" t="e">
        <f>VLOOKUP(C62,Theory!B65:CJ133,87,FALSE)</f>
        <v>#N/A</v>
      </c>
      <c r="CZ62" s="341" t="e">
        <f>VLOOKUP(C62,Theory!B65:CK133,88,FALSE)</f>
        <v>#N/A</v>
      </c>
      <c r="DA62" s="341" t="e">
        <f>VLOOKUP(C62,Theory!B65:CL133,89,FALSE)</f>
        <v>#N/A</v>
      </c>
      <c r="DB62" s="341" t="e">
        <f>VLOOKUP(C62,Theory!B65:CM133,90,FALSE)</f>
        <v>#N/A</v>
      </c>
      <c r="DC62" s="335" t="e">
        <f t="shared" si="19"/>
        <v>#N/A</v>
      </c>
      <c r="DD62" s="340" t="e">
        <f>VLOOKUP(C62,Theory!B65:CN133,91,FALSE)</f>
        <v>#N/A</v>
      </c>
      <c r="DE62" s="342" t="e">
        <f>VLOOKUP(C62,Theory!B65:CO133,92,FALSE)</f>
        <v>#N/A</v>
      </c>
      <c r="DF62" s="342" t="e">
        <f>VLOOKUP(C62,Theory!B65:CP133,93,FALSE)</f>
        <v>#N/A</v>
      </c>
      <c r="DG62" s="342" t="e">
        <f>VLOOKUP(C62,Theory!B65:CQ133,94,FALSE)</f>
        <v>#N/A</v>
      </c>
      <c r="DH62" s="340" t="e">
        <f>VLOOKUP(C62,Theory!B65:CR133,95,FALSE)</f>
        <v>#N/A</v>
      </c>
      <c r="DI62" s="340" t="e">
        <f>VLOOKUP(C62,Theory!B65:CS133,96,FALSE)</f>
        <v>#N/A</v>
      </c>
      <c r="DJ62" s="340" t="e">
        <f>VLOOKUP(C62,Theory!B65:CT133,97,FALSE)</f>
        <v>#N/A</v>
      </c>
      <c r="DK62" s="340" t="e">
        <f>VLOOKUP(C62,Theory!B65:CU133,98,FALSE)</f>
        <v>#N/A</v>
      </c>
      <c r="DL62" s="335" t="e">
        <f t="shared" si="20"/>
        <v>#N/A</v>
      </c>
      <c r="DM62" s="265" t="e">
        <f t="shared" si="2"/>
        <v>#N/A</v>
      </c>
      <c r="DN62" s="362" t="e">
        <f t="shared" si="40"/>
        <v>#N/A</v>
      </c>
      <c r="DO62" s="362" t="e">
        <f t="shared" si="41"/>
        <v>#N/A</v>
      </c>
      <c r="DP62" s="362" t="e">
        <f t="shared" si="42"/>
        <v>#N/A</v>
      </c>
      <c r="DQ62" s="343" t="e">
        <f t="shared" si="43"/>
        <v>#N/A</v>
      </c>
      <c r="DR62" s="343" t="e">
        <f t="shared" si="44"/>
        <v>#N/A</v>
      </c>
      <c r="DS62" s="343" t="e">
        <f t="shared" si="45"/>
        <v>#N/A</v>
      </c>
      <c r="DT62" s="328" t="e">
        <f t="shared" si="36"/>
        <v>#N/A</v>
      </c>
      <c r="DU62" s="326" t="e">
        <f>VLOOKUP(C62,Theory!B65:CV133,99,FALSE)</f>
        <v>#N/A</v>
      </c>
      <c r="DV62" s="326" t="e">
        <f>VLOOKUP(C62,Theory!B65:CW133,100,FALSE)</f>
        <v>#N/A</v>
      </c>
      <c r="DW62" s="331" t="e">
        <f t="shared" si="27"/>
        <v>#N/A</v>
      </c>
      <c r="DX62" s="266" t="e">
        <f t="shared" si="3"/>
        <v>#N/A</v>
      </c>
      <c r="DY62" s="363" t="e">
        <f t="shared" si="4"/>
        <v>#N/A</v>
      </c>
      <c r="DZ62" s="344">
        <f>VLOOKUP(C62,Lab!B57:D126,3,FALSE)</f>
        <v>0</v>
      </c>
      <c r="EA62" s="345">
        <f>VLOOKUP(C62,Lab!B57:E126,4,FALSE)</f>
        <v>0</v>
      </c>
      <c r="EB62" s="345">
        <f>VLOOKUP(C62,Lab!B57:F126,5,FALSE)</f>
        <v>0</v>
      </c>
      <c r="EC62" s="329">
        <f t="shared" si="37"/>
        <v>0</v>
      </c>
      <c r="ED62" s="346">
        <f>VLOOKUP(C62,Lab!B57:G126,6,FALSE)</f>
        <v>0</v>
      </c>
      <c r="EE62" s="346">
        <f>VLOOKUP(C62,Lab!B57:H126,7,FALSE)</f>
        <v>0</v>
      </c>
      <c r="EF62" s="347">
        <f>VLOOKUP(C62,Lab!B57:I126,8,FALSE)</f>
        <v>0</v>
      </c>
      <c r="EG62" s="330">
        <f t="shared" si="38"/>
        <v>0</v>
      </c>
      <c r="EH62" s="390">
        <f t="shared" si="28"/>
        <v>0</v>
      </c>
      <c r="EI62" s="349">
        <f t="shared" si="29"/>
        <v>0</v>
      </c>
      <c r="EJ62" s="391" t="e">
        <f t="shared" si="5"/>
        <v>#N/A</v>
      </c>
      <c r="EK62" s="258">
        <v>0</v>
      </c>
      <c r="EM62" s="350" t="e">
        <f>VLOOKUP(C62,Theory!B65:DL133,114,FALSE)</f>
        <v>#N/A</v>
      </c>
      <c r="EN62" s="350" t="e">
        <f>VLOOKUP(C62,Theory!B65:DM133,115,FALSE)</f>
        <v>#N/A</v>
      </c>
      <c r="EO62" s="350" t="e">
        <f>VLOOKUP(C62,Theory!B65:DN133,116,FALSE)</f>
        <v>#N/A</v>
      </c>
      <c r="EP62" s="350" t="e">
        <f>VLOOKUP(C62,Theory!B65:DO131,117,FALSE)</f>
        <v>#N/A</v>
      </c>
      <c r="EQ62" s="350" t="e">
        <f>VLOOKUP(C62,Theory!B65:DP131,118,FALSE)</f>
        <v>#N/A</v>
      </c>
      <c r="ER62" s="351" t="e">
        <f>VLOOKUP(C62,Theory!B65:DQ131,119,FALSE)</f>
        <v>#N/A</v>
      </c>
      <c r="ES62" s="327" t="e">
        <f>VLOOKUP(C62,Theory!B65:DR131,120,FALSE)</f>
        <v>#N/A</v>
      </c>
      <c r="ET62" s="348" t="e">
        <f t="shared" si="39"/>
        <v>#N/A</v>
      </c>
      <c r="EU62" s="352"/>
      <c r="EV62" s="352"/>
      <c r="EW62" s="352"/>
      <c r="EX62" s="352"/>
      <c r="EY62" s="352"/>
      <c r="EZ62" s="352"/>
      <c r="FA62" s="352"/>
      <c r="FB62" s="352"/>
      <c r="FC62" s="352"/>
      <c r="FD62" s="352"/>
    </row>
    <row r="63" spans="1:160" ht="16.2" thickBot="1" x14ac:dyDescent="0.35">
      <c r="A63" s="64">
        <v>50</v>
      </c>
      <c r="B63" s="17">
        <f>Theory!C66</f>
        <v>0</v>
      </c>
      <c r="C63" s="16">
        <f>Theory!B66</f>
        <v>0</v>
      </c>
      <c r="D63" s="334" t="e">
        <f>VLOOKUP(C63,Theory!B66:D134,3,FALSE)</f>
        <v>#N/A</v>
      </c>
      <c r="E63" s="334" t="e">
        <f>VLOOKUP(C63,Theory!B66:E134,4,FALSE)</f>
        <v>#N/A</v>
      </c>
      <c r="F63" s="334" t="e">
        <f>VLOOKUP(C63,Theory!B66:F134,5,FALSE)</f>
        <v>#N/A</v>
      </c>
      <c r="G63" s="334" t="e">
        <f>VLOOKUP(C63,Theory!B66:G134,6,FALSE)</f>
        <v>#N/A</v>
      </c>
      <c r="H63" s="335" t="e">
        <f t="shared" si="6"/>
        <v>#N/A</v>
      </c>
      <c r="I63" s="338" t="e">
        <f>VLOOKUP(C63,Theory!B66:H134,7,FALSE)</f>
        <v>#N/A</v>
      </c>
      <c r="J63" s="337" t="e">
        <f>VLOOKUP(C63,Theory!B66:I134,8,FALSE)</f>
        <v>#N/A</v>
      </c>
      <c r="K63" s="337" t="e">
        <f>VLOOKUP(C63,Theory!B66:J134,9,FALSE)</f>
        <v>#N/A</v>
      </c>
      <c r="L63" s="337" t="e">
        <f>VLOOKUP(C63,Theory!B66:K134,10,FALSE)</f>
        <v>#N/A</v>
      </c>
      <c r="M63" s="335" t="e">
        <f t="shared" si="7"/>
        <v>#N/A</v>
      </c>
      <c r="N63" s="336" t="e">
        <f>VLOOKUP(C63,Theory!B66:L134,11,FALSE)</f>
        <v>#N/A</v>
      </c>
      <c r="O63" s="336" t="e">
        <f>VLOOKUP(C63,Theory!B66:M134,12,FALSE)</f>
        <v>#N/A</v>
      </c>
      <c r="P63" s="336" t="e">
        <f>VLOOKUP(C63,Theory!B66:N134,13,FALSE)</f>
        <v>#N/A</v>
      </c>
      <c r="Q63" s="336" t="e">
        <f>VLOOKUP(C63,Theory!B66:O134,14,FALSE)</f>
        <v>#N/A</v>
      </c>
      <c r="R63" s="337" t="e">
        <f>VLOOKUP(C63,Theory!B66:P134,15,FALSE)</f>
        <v>#N/A</v>
      </c>
      <c r="S63" s="337" t="e">
        <f>VLOOKUP(C63,Theory!B66:Q134,16,FALSE)</f>
        <v>#N/A</v>
      </c>
      <c r="T63" s="337" t="e">
        <f>VLOOKUP(C63,Theory!B66:R134,17,FALSE)</f>
        <v>#N/A</v>
      </c>
      <c r="U63" s="337" t="e">
        <f>VLOOKUP(C63,Theory!B66:S134,18,FALSE)</f>
        <v>#N/A</v>
      </c>
      <c r="V63" s="335" t="e">
        <f t="shared" si="8"/>
        <v>#N/A</v>
      </c>
      <c r="W63" s="334" t="e">
        <f>VLOOKUP(C63,Theory!B66:T134,19,FALSE)</f>
        <v>#N/A</v>
      </c>
      <c r="X63" s="334" t="e">
        <f>VLOOKUP(C63,Theory!B66:U134,20,FALSE)</f>
        <v>#N/A</v>
      </c>
      <c r="Y63" s="334" t="e">
        <f>VLOOKUP(C63,Theory!B66:V134,21,FALSE)</f>
        <v>#N/A</v>
      </c>
      <c r="Z63" s="334" t="e">
        <f>VLOOKUP(C63,Theory!B66:W134,22,FALSE)</f>
        <v>#N/A</v>
      </c>
      <c r="AA63" s="338" t="e">
        <f>VLOOKUP(C63,Theory!B66:X134,23,FALSE)</f>
        <v>#N/A</v>
      </c>
      <c r="AB63" s="338" t="e">
        <f>VLOOKUP(C63,Theory!B66:Y134,24,FALSE)</f>
        <v>#N/A</v>
      </c>
      <c r="AC63" s="338" t="e">
        <f>VLOOKUP(C63,Theory!B66:Z134,25,FALSE)</f>
        <v>#N/A</v>
      </c>
      <c r="AD63" s="338" t="e">
        <f>VLOOKUP(C63,Theory!B66:AA134,26,FALSE)</f>
        <v>#N/A</v>
      </c>
      <c r="AE63" s="335" t="e">
        <f t="shared" si="9"/>
        <v>#N/A</v>
      </c>
      <c r="AF63" s="334" t="e">
        <f>VLOOKUP(C63,Theory!B66:AB134,27,FALSE)</f>
        <v>#N/A</v>
      </c>
      <c r="AG63" s="334" t="e">
        <f>VLOOKUP(C63,Theory!B66:AC134,28,FALSE)</f>
        <v>#N/A</v>
      </c>
      <c r="AH63" s="334" t="e">
        <f>VLOOKUP(C63,Theory!B66:AD134,29,FALSE)</f>
        <v>#N/A</v>
      </c>
      <c r="AI63" s="334" t="e">
        <f>VLOOKUP(C63,Theory!B66:AE134,30,FALSE)</f>
        <v>#N/A</v>
      </c>
      <c r="AJ63" s="339" t="e">
        <f>VLOOKUP(C63,Theory!B66:AF134,31,FALSE)</f>
        <v>#N/A</v>
      </c>
      <c r="AK63" s="339" t="e">
        <f>VLOOKUP(C63,Theory!B66:AG134,32,FALSE)</f>
        <v>#N/A</v>
      </c>
      <c r="AL63" s="339" t="e">
        <f>VLOOKUP(C63,Theory!B66:AH134,33,FALSE)</f>
        <v>#N/A</v>
      </c>
      <c r="AM63" s="339" t="e">
        <f>VLOOKUP(C63,Theory!B66:AI134,34,FALSE)</f>
        <v>#N/A</v>
      </c>
      <c r="AN63" s="335" t="e">
        <f t="shared" si="10"/>
        <v>#N/A</v>
      </c>
      <c r="AO63" s="333" t="e">
        <f t="shared" si="0"/>
        <v>#N/A</v>
      </c>
      <c r="AP63" s="340" t="e">
        <f>VLOOKUP(C63,Theory!B66:AJ134,35,FALSE)</f>
        <v>#N/A</v>
      </c>
      <c r="AQ63" s="340" t="e">
        <f>VLOOKUP(C63,Theory!B66:AK134,36,FALSE)</f>
        <v>#N/A</v>
      </c>
      <c r="AR63" s="340" t="e">
        <f>VLOOKUP(C63,Theory!B66:AL134,37,FALSE)</f>
        <v>#N/A</v>
      </c>
      <c r="AS63" s="340" t="e">
        <f>VLOOKUP(C63,Theory!B66:AM134,38,FALSE)</f>
        <v>#N/A</v>
      </c>
      <c r="AT63" s="335" t="e">
        <f t="shared" si="11"/>
        <v>#N/A</v>
      </c>
      <c r="AU63" s="340" t="e">
        <f>VLOOKUP(C63,Theory!B66:AN134,39,FALSE)</f>
        <v>#N/A</v>
      </c>
      <c r="AV63" s="340" t="e">
        <f>VLOOKUP(C63,Theory!B66:AO134,40,FALSE)</f>
        <v>#N/A</v>
      </c>
      <c r="AW63" s="340" t="e">
        <f>VLOOKUP(C63,Theory!B66:AP134,41,FALSE)</f>
        <v>#N/A</v>
      </c>
      <c r="AX63" s="340" t="e">
        <f>VLOOKUP(C63,Theory!B66:AQ134,42,FALSE)</f>
        <v>#N/A</v>
      </c>
      <c r="AY63" s="335" t="e">
        <f t="shared" si="12"/>
        <v>#N/A</v>
      </c>
      <c r="AZ63" s="340" t="e">
        <f>VLOOKUP(C63,Theory!B66:AR134,43,FALSE)</f>
        <v>#N/A</v>
      </c>
      <c r="BA63" s="340" t="e">
        <f>VLOOKUP(C63,Theory!B66:AS134,44,FALSE)</f>
        <v>#N/A</v>
      </c>
      <c r="BB63" s="340" t="e">
        <f>VLOOKUP(C63,Theory!B66:AT134,45,FALSE)</f>
        <v>#N/A</v>
      </c>
      <c r="BC63" s="340" t="e">
        <f>VLOOKUP(C63,Theory!B66:AU134,46,FALSE)</f>
        <v>#N/A</v>
      </c>
      <c r="BD63" s="340" t="e">
        <f>VLOOKUP(C63,Theory!B66:AV134,47,FALSE)</f>
        <v>#N/A</v>
      </c>
      <c r="BE63" s="340" t="e">
        <f>VLOOKUP(C63,Theory!B66:AW134,48,FALSE)</f>
        <v>#N/A</v>
      </c>
      <c r="BF63" s="340" t="e">
        <f>VLOOKUP(C63,Theory!B66:AX134,49,FALSE)</f>
        <v>#N/A</v>
      </c>
      <c r="BG63" s="340" t="e">
        <f>VLOOKUP(C63,Theory!B66:AY134,50,FALSE)</f>
        <v>#N/A</v>
      </c>
      <c r="BH63" s="335" t="e">
        <f t="shared" si="13"/>
        <v>#N/A</v>
      </c>
      <c r="BI63" s="340" t="e">
        <f>VLOOKUP(C63,Theory!B66:AZ134,51,FALSE)</f>
        <v>#N/A</v>
      </c>
      <c r="BJ63" s="340" t="e">
        <f>VLOOKUP(C63,Theory!B66:BA134,52,FALSE)</f>
        <v>#N/A</v>
      </c>
      <c r="BK63" s="340" t="e">
        <f>VLOOKUP(C63,Theory!B66:BB134,53,FALSE)</f>
        <v>#N/A</v>
      </c>
      <c r="BL63" s="340" t="e">
        <f>VLOOKUP(C63,Theory!B66:BC134,54,FALSE)</f>
        <v>#N/A</v>
      </c>
      <c r="BM63" s="340" t="e">
        <f>VLOOKUP(C63,Theory!B66:BD134,55,FALSE)</f>
        <v>#N/A</v>
      </c>
      <c r="BN63" s="340" t="e">
        <f>VLOOKUP(C63,Theory!B66:BE134,56,FALSE)</f>
        <v>#N/A</v>
      </c>
      <c r="BO63" s="340" t="e">
        <f>VLOOKUP(C63,Theory!B66:BF134,57,FALSE)</f>
        <v>#N/A</v>
      </c>
      <c r="BP63" s="340" t="e">
        <f>VLOOKUP(C63,Theory!B66:BG134,58,FALSE)</f>
        <v>#N/A</v>
      </c>
      <c r="BQ63" s="335" t="e">
        <f t="shared" si="14"/>
        <v>#N/A</v>
      </c>
      <c r="BR63" s="340" t="e">
        <f>VLOOKUP(C63,Theory!B66:BH134,59,FALSE)</f>
        <v>#N/A</v>
      </c>
      <c r="BS63" s="340" t="e">
        <f>VLOOKUP(C63,Theory!B66:BI134,60,FALSE)</f>
        <v>#N/A</v>
      </c>
      <c r="BT63" s="340" t="e">
        <f>VLOOKUP(C63,Theory!B66:BJ134,61,FALSE)</f>
        <v>#N/A</v>
      </c>
      <c r="BU63" s="340" t="e">
        <f>VLOOKUP(C63,Theory!B66:BK134,62,FALSE)</f>
        <v>#N/A</v>
      </c>
      <c r="BV63" s="340" t="e">
        <f>VLOOKUP(C63,Theory!B66:BL134,63,FALSE)</f>
        <v>#N/A</v>
      </c>
      <c r="BW63" s="340" t="e">
        <f>VLOOKUP(C63,Theory!B66:BM134,64,FALSE)</f>
        <v>#N/A</v>
      </c>
      <c r="BX63" s="340" t="e">
        <f>VLOOKUP(C63,Theory!B66:BN134,65,FALSE)</f>
        <v>#N/A</v>
      </c>
      <c r="BY63" s="340" t="e">
        <f>VLOOKUP(C63,Theory!B66:BO134,66,FALSE)</f>
        <v>#N/A</v>
      </c>
      <c r="BZ63" s="335" t="e">
        <f t="shared" si="15"/>
        <v>#N/A</v>
      </c>
      <c r="CA63" s="333" t="e">
        <f t="shared" si="1"/>
        <v>#N/A</v>
      </c>
      <c r="CB63" s="340" t="e">
        <f>VLOOKUP(C63,Theory!B66:BP134,67,FALSE)</f>
        <v>#N/A</v>
      </c>
      <c r="CC63" s="340" t="e">
        <f>VLOOKUP(C63,Theory!B66:BQ134,68,FALSE)</f>
        <v>#N/A</v>
      </c>
      <c r="CD63" s="340" t="e">
        <f>VLOOKUP(C63,Theory!B66:BR134,69,FALSE)</f>
        <v>#N/A</v>
      </c>
      <c r="CE63" s="340" t="e">
        <f>VLOOKUP(C63,Theory!B66:BS134,70,FALSE)</f>
        <v>#N/A</v>
      </c>
      <c r="CF63" s="335" t="e">
        <f t="shared" si="16"/>
        <v>#N/A</v>
      </c>
      <c r="CG63" s="341" t="e">
        <f>VLOOKUP(C63,Theory!B66:BT134,71,FALSE)</f>
        <v>#N/A</v>
      </c>
      <c r="CH63" s="341" t="e">
        <f>VLOOKUP(C63,Theory!B66:BU134,72,FALSE)</f>
        <v>#N/A</v>
      </c>
      <c r="CI63" s="341" t="e">
        <f>VLOOKUP(C63,Theory!B66:BV134,73,FALSE)</f>
        <v>#N/A</v>
      </c>
      <c r="CJ63" s="341" t="e">
        <f>VLOOKUP(C63,Theory!B66:BW134,74,FALSE)</f>
        <v>#N/A</v>
      </c>
      <c r="CK63" s="335" t="e">
        <f t="shared" si="17"/>
        <v>#N/A</v>
      </c>
      <c r="CL63" s="340" t="e">
        <f>VLOOKUP(C63,Theory!B66:BX134,75,FALSE)</f>
        <v>#N/A</v>
      </c>
      <c r="CM63" s="342" t="e">
        <f>VLOOKUP(C63,Theory!B66:BY134,76,FALSE)</f>
        <v>#N/A</v>
      </c>
      <c r="CN63" s="342" t="e">
        <f>VLOOKUP(C63,Theory!B66:BZ134,77,FALSE)</f>
        <v>#N/A</v>
      </c>
      <c r="CO63" s="342" t="e">
        <f>VLOOKUP(C63,Theory!B66:CA134,78,FALSE)</f>
        <v>#N/A</v>
      </c>
      <c r="CP63" s="340" t="e">
        <f>VLOOKUP(C63,Theory!B66:CB134,79,FALSE)</f>
        <v>#N/A</v>
      </c>
      <c r="CQ63" s="340" t="e">
        <f>VLOOKUP(C63,Theory!B66:CC134,80,FALSE)</f>
        <v>#N/A</v>
      </c>
      <c r="CR63" s="340" t="e">
        <f>VLOOKUP(C63,Theory!B66:CD134,81,FALSE)</f>
        <v>#N/A</v>
      </c>
      <c r="CS63" s="340" t="e">
        <f>VLOOKUP(C63,Theory!B66:CE134,82,FALSE)</f>
        <v>#N/A</v>
      </c>
      <c r="CT63" s="335" t="e">
        <f t="shared" si="18"/>
        <v>#N/A</v>
      </c>
      <c r="CU63" s="341" t="e">
        <f>VLOOKUP(C63,Theory!B66:CF134,83,FALSE)</f>
        <v>#N/A</v>
      </c>
      <c r="CV63" s="342" t="e">
        <f>VLOOKUP(C63,Theory!B66:CG134,84,FALSE)</f>
        <v>#N/A</v>
      </c>
      <c r="CW63" s="342" t="e">
        <f>VLOOKUP(C63,Theory!B66:CH134,85,FALSE)</f>
        <v>#N/A</v>
      </c>
      <c r="CX63" s="342" t="e">
        <f>VLOOKUP(C63,Theory!B66:CI134,86,FALSE)</f>
        <v>#N/A</v>
      </c>
      <c r="CY63" s="341" t="e">
        <f>VLOOKUP(C63,Theory!B66:CJ134,87,FALSE)</f>
        <v>#N/A</v>
      </c>
      <c r="CZ63" s="341" t="e">
        <f>VLOOKUP(C63,Theory!B66:CK134,88,FALSE)</f>
        <v>#N/A</v>
      </c>
      <c r="DA63" s="341" t="e">
        <f>VLOOKUP(C63,Theory!B66:CL134,89,FALSE)</f>
        <v>#N/A</v>
      </c>
      <c r="DB63" s="341" t="e">
        <f>VLOOKUP(C63,Theory!B66:CM134,90,FALSE)</f>
        <v>#N/A</v>
      </c>
      <c r="DC63" s="335" t="e">
        <f t="shared" si="19"/>
        <v>#N/A</v>
      </c>
      <c r="DD63" s="340" t="e">
        <f>VLOOKUP(C63,Theory!B66:CN134,91,FALSE)</f>
        <v>#N/A</v>
      </c>
      <c r="DE63" s="342" t="e">
        <f>VLOOKUP(C63,Theory!B66:CO134,92,FALSE)</f>
        <v>#N/A</v>
      </c>
      <c r="DF63" s="342" t="e">
        <f>VLOOKUP(C63,Theory!B66:CP134,93,FALSE)</f>
        <v>#N/A</v>
      </c>
      <c r="DG63" s="342" t="e">
        <f>VLOOKUP(C63,Theory!B66:CQ134,94,FALSE)</f>
        <v>#N/A</v>
      </c>
      <c r="DH63" s="340" t="e">
        <f>VLOOKUP(C63,Theory!B66:CR134,95,FALSE)</f>
        <v>#N/A</v>
      </c>
      <c r="DI63" s="340" t="e">
        <f>VLOOKUP(C63,Theory!B66:CS134,96,FALSE)</f>
        <v>#N/A</v>
      </c>
      <c r="DJ63" s="340" t="e">
        <f>VLOOKUP(C63,Theory!B66:CT134,97,FALSE)</f>
        <v>#N/A</v>
      </c>
      <c r="DK63" s="340" t="e">
        <f>VLOOKUP(C63,Theory!B66:CU134,98,FALSE)</f>
        <v>#N/A</v>
      </c>
      <c r="DL63" s="335" t="e">
        <f t="shared" si="20"/>
        <v>#N/A</v>
      </c>
      <c r="DM63" s="265" t="e">
        <f t="shared" si="2"/>
        <v>#N/A</v>
      </c>
      <c r="DN63" s="362" t="e">
        <f t="shared" si="40"/>
        <v>#N/A</v>
      </c>
      <c r="DO63" s="362" t="e">
        <f t="shared" si="41"/>
        <v>#N/A</v>
      </c>
      <c r="DP63" s="362" t="e">
        <f t="shared" si="42"/>
        <v>#N/A</v>
      </c>
      <c r="DQ63" s="343" t="e">
        <f t="shared" si="43"/>
        <v>#N/A</v>
      </c>
      <c r="DR63" s="343" t="e">
        <f t="shared" si="44"/>
        <v>#N/A</v>
      </c>
      <c r="DS63" s="343" t="e">
        <f t="shared" si="45"/>
        <v>#N/A</v>
      </c>
      <c r="DT63" s="328" t="e">
        <f t="shared" si="36"/>
        <v>#N/A</v>
      </c>
      <c r="DU63" s="326" t="e">
        <f>VLOOKUP(C63,Theory!B66:CV134,99,FALSE)</f>
        <v>#N/A</v>
      </c>
      <c r="DV63" s="326" t="e">
        <f>VLOOKUP(C63,Theory!B66:CW134,100,FALSE)</f>
        <v>#N/A</v>
      </c>
      <c r="DW63" s="331" t="e">
        <f t="shared" si="27"/>
        <v>#N/A</v>
      </c>
      <c r="DX63" s="266" t="e">
        <f t="shared" si="3"/>
        <v>#N/A</v>
      </c>
      <c r="DY63" s="363" t="e">
        <f t="shared" si="4"/>
        <v>#N/A</v>
      </c>
      <c r="DZ63" s="344">
        <f>VLOOKUP(C63,Lab!B58:D127,3,FALSE)</f>
        <v>0</v>
      </c>
      <c r="EA63" s="345">
        <f>VLOOKUP(C63,Lab!B58:E127,4,FALSE)</f>
        <v>0</v>
      </c>
      <c r="EB63" s="345">
        <f>VLOOKUP(C63,Lab!B58:F127,5,FALSE)</f>
        <v>0</v>
      </c>
      <c r="EC63" s="329">
        <f t="shared" si="37"/>
        <v>0</v>
      </c>
      <c r="ED63" s="346">
        <f>VLOOKUP(C63,Lab!B58:G127,6,FALSE)</f>
        <v>0</v>
      </c>
      <c r="EE63" s="346">
        <f>VLOOKUP(C63,Lab!B58:H127,7,FALSE)</f>
        <v>0</v>
      </c>
      <c r="EF63" s="347">
        <f>VLOOKUP(C63,Lab!B58:I127,8,FALSE)</f>
        <v>0</v>
      </c>
      <c r="EG63" s="330">
        <f t="shared" si="38"/>
        <v>0</v>
      </c>
      <c r="EH63" s="390">
        <f t="shared" si="28"/>
        <v>0</v>
      </c>
      <c r="EI63" s="349">
        <f t="shared" si="29"/>
        <v>0</v>
      </c>
      <c r="EJ63" s="391" t="e">
        <f t="shared" si="5"/>
        <v>#N/A</v>
      </c>
      <c r="EK63" s="258">
        <v>0</v>
      </c>
      <c r="EM63" s="350" t="e">
        <f>VLOOKUP(C63,Theory!B66:DL134,114,FALSE)</f>
        <v>#N/A</v>
      </c>
      <c r="EN63" s="350" t="e">
        <f>VLOOKUP(C63,Theory!B66:DM134,115,FALSE)</f>
        <v>#N/A</v>
      </c>
      <c r="EO63" s="350" t="e">
        <f>VLOOKUP(C63,Theory!B66:DN134,116,FALSE)</f>
        <v>#N/A</v>
      </c>
      <c r="EP63" s="350" t="e">
        <f>VLOOKUP(C63,Theory!B66:DO132,117,FALSE)</f>
        <v>#N/A</v>
      </c>
      <c r="EQ63" s="350" t="e">
        <f>VLOOKUP(C63,Theory!B66:DP132,118,FALSE)</f>
        <v>#N/A</v>
      </c>
      <c r="ER63" s="351" t="e">
        <f>VLOOKUP(C63,Theory!B66:DQ132,119,FALSE)</f>
        <v>#N/A</v>
      </c>
      <c r="ES63" s="327" t="e">
        <f>VLOOKUP(C63,Theory!B66:DR132,120,FALSE)</f>
        <v>#N/A</v>
      </c>
      <c r="ET63" s="348" t="e">
        <f t="shared" si="39"/>
        <v>#N/A</v>
      </c>
      <c r="EU63" s="352"/>
      <c r="EV63" s="352"/>
      <c r="EW63" s="352"/>
      <c r="EX63" s="352"/>
      <c r="EY63" s="352"/>
      <c r="EZ63" s="352"/>
      <c r="FA63" s="352"/>
      <c r="FB63" s="352"/>
      <c r="FC63" s="352"/>
      <c r="FD63" s="352"/>
    </row>
    <row r="64" spans="1:160" ht="16.2" thickBot="1" x14ac:dyDescent="0.35">
      <c r="A64" s="64">
        <v>51</v>
      </c>
      <c r="B64" s="17">
        <f>Theory!C67</f>
        <v>0</v>
      </c>
      <c r="C64" s="16">
        <f>Theory!B67</f>
        <v>0</v>
      </c>
      <c r="D64" s="334" t="e">
        <f>VLOOKUP(C64,Theory!B67:D135,3,FALSE)</f>
        <v>#N/A</v>
      </c>
      <c r="E64" s="334" t="e">
        <f>VLOOKUP(C64,Theory!B67:E135,4,FALSE)</f>
        <v>#N/A</v>
      </c>
      <c r="F64" s="334" t="e">
        <f>VLOOKUP(C64,Theory!B67:F135,5,FALSE)</f>
        <v>#N/A</v>
      </c>
      <c r="G64" s="334" t="e">
        <f>VLOOKUP(C64,Theory!B67:G135,6,FALSE)</f>
        <v>#N/A</v>
      </c>
      <c r="H64" s="335" t="e">
        <f t="shared" si="6"/>
        <v>#N/A</v>
      </c>
      <c r="I64" s="338" t="e">
        <f>VLOOKUP(C64,Theory!B67:H135,7,FALSE)</f>
        <v>#N/A</v>
      </c>
      <c r="J64" s="337" t="e">
        <f>VLOOKUP(C64,Theory!B67:I135,8,FALSE)</f>
        <v>#N/A</v>
      </c>
      <c r="K64" s="337" t="e">
        <f>VLOOKUP(C64,Theory!B67:J135,9,FALSE)</f>
        <v>#N/A</v>
      </c>
      <c r="L64" s="337" t="e">
        <f>VLOOKUP(C64,Theory!B67:K135,10,FALSE)</f>
        <v>#N/A</v>
      </c>
      <c r="M64" s="335" t="e">
        <f t="shared" si="7"/>
        <v>#N/A</v>
      </c>
      <c r="N64" s="336" t="e">
        <f>VLOOKUP(C64,Theory!B67:L135,11,FALSE)</f>
        <v>#N/A</v>
      </c>
      <c r="O64" s="336" t="e">
        <f>VLOOKUP(C64,Theory!B67:M135,12,FALSE)</f>
        <v>#N/A</v>
      </c>
      <c r="P64" s="336" t="e">
        <f>VLOOKUP(C64,Theory!B67:N135,13,FALSE)</f>
        <v>#N/A</v>
      </c>
      <c r="Q64" s="336" t="e">
        <f>VLOOKUP(C64,Theory!B67:O135,14,FALSE)</f>
        <v>#N/A</v>
      </c>
      <c r="R64" s="337" t="e">
        <f>VLOOKUP(C64,Theory!B67:P135,15,FALSE)</f>
        <v>#N/A</v>
      </c>
      <c r="S64" s="337" t="e">
        <f>VLOOKUP(C64,Theory!B67:Q135,16,FALSE)</f>
        <v>#N/A</v>
      </c>
      <c r="T64" s="337" t="e">
        <f>VLOOKUP(C64,Theory!B67:R135,17,FALSE)</f>
        <v>#N/A</v>
      </c>
      <c r="U64" s="337" t="e">
        <f>VLOOKUP(C64,Theory!B67:S135,18,FALSE)</f>
        <v>#N/A</v>
      </c>
      <c r="V64" s="335" t="e">
        <f t="shared" si="8"/>
        <v>#N/A</v>
      </c>
      <c r="W64" s="334" t="e">
        <f>VLOOKUP(C64,Theory!B67:T135,19,FALSE)</f>
        <v>#N/A</v>
      </c>
      <c r="X64" s="334" t="e">
        <f>VLOOKUP(C64,Theory!B67:U135,20,FALSE)</f>
        <v>#N/A</v>
      </c>
      <c r="Y64" s="334" t="e">
        <f>VLOOKUP(C64,Theory!B67:V135,21,FALSE)</f>
        <v>#N/A</v>
      </c>
      <c r="Z64" s="334" t="e">
        <f>VLOOKUP(C64,Theory!B67:W135,22,FALSE)</f>
        <v>#N/A</v>
      </c>
      <c r="AA64" s="338" t="e">
        <f>VLOOKUP(C64,Theory!B67:X135,23,FALSE)</f>
        <v>#N/A</v>
      </c>
      <c r="AB64" s="338" t="e">
        <f>VLOOKUP(C64,Theory!B67:Y135,24,FALSE)</f>
        <v>#N/A</v>
      </c>
      <c r="AC64" s="338" t="e">
        <f>VLOOKUP(C64,Theory!B67:Z135,25,FALSE)</f>
        <v>#N/A</v>
      </c>
      <c r="AD64" s="338" t="e">
        <f>VLOOKUP(C64,Theory!B67:AA135,26,FALSE)</f>
        <v>#N/A</v>
      </c>
      <c r="AE64" s="335" t="e">
        <f t="shared" si="9"/>
        <v>#N/A</v>
      </c>
      <c r="AF64" s="334" t="e">
        <f>VLOOKUP(C64,Theory!B67:AB135,27,FALSE)</f>
        <v>#N/A</v>
      </c>
      <c r="AG64" s="334" t="e">
        <f>VLOOKUP(C64,Theory!B67:AC135,28,FALSE)</f>
        <v>#N/A</v>
      </c>
      <c r="AH64" s="334" t="e">
        <f>VLOOKUP(C64,Theory!B67:AD135,29,FALSE)</f>
        <v>#N/A</v>
      </c>
      <c r="AI64" s="334" t="e">
        <f>VLOOKUP(C64,Theory!B67:AE135,30,FALSE)</f>
        <v>#N/A</v>
      </c>
      <c r="AJ64" s="339" t="e">
        <f>VLOOKUP(C64,Theory!B67:AF135,31,FALSE)</f>
        <v>#N/A</v>
      </c>
      <c r="AK64" s="339" t="e">
        <f>VLOOKUP(C64,Theory!B67:AG135,32,FALSE)</f>
        <v>#N/A</v>
      </c>
      <c r="AL64" s="339" t="e">
        <f>VLOOKUP(C64,Theory!B67:AH135,33,FALSE)</f>
        <v>#N/A</v>
      </c>
      <c r="AM64" s="339" t="e">
        <f>VLOOKUP(C64,Theory!B67:AI135,34,FALSE)</f>
        <v>#N/A</v>
      </c>
      <c r="AN64" s="335" t="e">
        <f t="shared" si="10"/>
        <v>#N/A</v>
      </c>
      <c r="AO64" s="333" t="e">
        <f t="shared" si="0"/>
        <v>#N/A</v>
      </c>
      <c r="AP64" s="340" t="e">
        <f>VLOOKUP(C64,Theory!B67:AJ135,35,FALSE)</f>
        <v>#N/A</v>
      </c>
      <c r="AQ64" s="340" t="e">
        <f>VLOOKUP(C64,Theory!B67:AK135,36,FALSE)</f>
        <v>#N/A</v>
      </c>
      <c r="AR64" s="340" t="e">
        <f>VLOOKUP(C64,Theory!B67:AL135,37,FALSE)</f>
        <v>#N/A</v>
      </c>
      <c r="AS64" s="340" t="e">
        <f>VLOOKUP(C64,Theory!B67:AM135,38,FALSE)</f>
        <v>#N/A</v>
      </c>
      <c r="AT64" s="335" t="e">
        <f t="shared" si="11"/>
        <v>#N/A</v>
      </c>
      <c r="AU64" s="340" t="e">
        <f>VLOOKUP(C64,Theory!B67:AN135,39,FALSE)</f>
        <v>#N/A</v>
      </c>
      <c r="AV64" s="340" t="e">
        <f>VLOOKUP(C64,Theory!B67:AO135,40,FALSE)</f>
        <v>#N/A</v>
      </c>
      <c r="AW64" s="340" t="e">
        <f>VLOOKUP(C64,Theory!B67:AP135,41,FALSE)</f>
        <v>#N/A</v>
      </c>
      <c r="AX64" s="340" t="e">
        <f>VLOOKUP(C64,Theory!B67:AQ135,42,FALSE)</f>
        <v>#N/A</v>
      </c>
      <c r="AY64" s="335" t="e">
        <f t="shared" si="12"/>
        <v>#N/A</v>
      </c>
      <c r="AZ64" s="340" t="e">
        <f>VLOOKUP(C64,Theory!B67:AR135,43,FALSE)</f>
        <v>#N/A</v>
      </c>
      <c r="BA64" s="340" t="e">
        <f>VLOOKUP(C64,Theory!B67:AS135,44,FALSE)</f>
        <v>#N/A</v>
      </c>
      <c r="BB64" s="340" t="e">
        <f>VLOOKUP(C64,Theory!B67:AT135,45,FALSE)</f>
        <v>#N/A</v>
      </c>
      <c r="BC64" s="340" t="e">
        <f>VLOOKUP(C64,Theory!B67:AU135,46,FALSE)</f>
        <v>#N/A</v>
      </c>
      <c r="BD64" s="340" t="e">
        <f>VLOOKUP(C64,Theory!B67:AV135,47,FALSE)</f>
        <v>#N/A</v>
      </c>
      <c r="BE64" s="340" t="e">
        <f>VLOOKUP(C64,Theory!B67:AW135,48,FALSE)</f>
        <v>#N/A</v>
      </c>
      <c r="BF64" s="340" t="e">
        <f>VLOOKUP(C64,Theory!B67:AX135,49,FALSE)</f>
        <v>#N/A</v>
      </c>
      <c r="BG64" s="340" t="e">
        <f>VLOOKUP(C64,Theory!B67:AY135,50,FALSE)</f>
        <v>#N/A</v>
      </c>
      <c r="BH64" s="335" t="e">
        <f t="shared" si="13"/>
        <v>#N/A</v>
      </c>
      <c r="BI64" s="340" t="e">
        <f>VLOOKUP(C64,Theory!B67:AZ135,51,FALSE)</f>
        <v>#N/A</v>
      </c>
      <c r="BJ64" s="340" t="e">
        <f>VLOOKUP(C64,Theory!B67:BA135,52,FALSE)</f>
        <v>#N/A</v>
      </c>
      <c r="BK64" s="340" t="e">
        <f>VLOOKUP(C64,Theory!B67:BB135,53,FALSE)</f>
        <v>#N/A</v>
      </c>
      <c r="BL64" s="340" t="e">
        <f>VLOOKUP(C64,Theory!B67:BC135,54,FALSE)</f>
        <v>#N/A</v>
      </c>
      <c r="BM64" s="340" t="e">
        <f>VLOOKUP(C64,Theory!B67:BD135,55,FALSE)</f>
        <v>#N/A</v>
      </c>
      <c r="BN64" s="340" t="e">
        <f>VLOOKUP(C64,Theory!B67:BE135,56,FALSE)</f>
        <v>#N/A</v>
      </c>
      <c r="BO64" s="340" t="e">
        <f>VLOOKUP(C64,Theory!B67:BF135,57,FALSE)</f>
        <v>#N/A</v>
      </c>
      <c r="BP64" s="340" t="e">
        <f>VLOOKUP(C64,Theory!B67:BG135,58,FALSE)</f>
        <v>#N/A</v>
      </c>
      <c r="BQ64" s="335" t="e">
        <f t="shared" si="14"/>
        <v>#N/A</v>
      </c>
      <c r="BR64" s="340" t="e">
        <f>VLOOKUP(C64,Theory!B67:BH135,59,FALSE)</f>
        <v>#N/A</v>
      </c>
      <c r="BS64" s="340" t="e">
        <f>VLOOKUP(C64,Theory!B67:BI135,60,FALSE)</f>
        <v>#N/A</v>
      </c>
      <c r="BT64" s="340" t="e">
        <f>VLOOKUP(C64,Theory!B67:BJ135,61,FALSE)</f>
        <v>#N/A</v>
      </c>
      <c r="BU64" s="340" t="e">
        <f>VLOOKUP(C64,Theory!B67:BK135,62,FALSE)</f>
        <v>#N/A</v>
      </c>
      <c r="BV64" s="340" t="e">
        <f>VLOOKUP(C64,Theory!B67:BL135,63,FALSE)</f>
        <v>#N/A</v>
      </c>
      <c r="BW64" s="340" t="e">
        <f>VLOOKUP(C64,Theory!B67:BM135,64,FALSE)</f>
        <v>#N/A</v>
      </c>
      <c r="BX64" s="340" t="e">
        <f>VLOOKUP(C64,Theory!B67:BN135,65,FALSE)</f>
        <v>#N/A</v>
      </c>
      <c r="BY64" s="340" t="e">
        <f>VLOOKUP(C64,Theory!B67:BO135,66,FALSE)</f>
        <v>#N/A</v>
      </c>
      <c r="BZ64" s="335" t="e">
        <f t="shared" si="15"/>
        <v>#N/A</v>
      </c>
      <c r="CA64" s="333" t="e">
        <f t="shared" si="1"/>
        <v>#N/A</v>
      </c>
      <c r="CB64" s="340" t="e">
        <f>VLOOKUP(C64,Theory!B67:BP135,67,FALSE)</f>
        <v>#N/A</v>
      </c>
      <c r="CC64" s="340" t="e">
        <f>VLOOKUP(C64,Theory!B67:BQ135,68,FALSE)</f>
        <v>#N/A</v>
      </c>
      <c r="CD64" s="340" t="e">
        <f>VLOOKUP(C64,Theory!B67:BR135,69,FALSE)</f>
        <v>#N/A</v>
      </c>
      <c r="CE64" s="340" t="e">
        <f>VLOOKUP(C64,Theory!B67:BS135,70,FALSE)</f>
        <v>#N/A</v>
      </c>
      <c r="CF64" s="335" t="e">
        <f t="shared" si="16"/>
        <v>#N/A</v>
      </c>
      <c r="CG64" s="341" t="e">
        <f>VLOOKUP(C64,Theory!B67:BT135,71,FALSE)</f>
        <v>#N/A</v>
      </c>
      <c r="CH64" s="341" t="e">
        <f>VLOOKUP(C64,Theory!B67:BU135,72,FALSE)</f>
        <v>#N/A</v>
      </c>
      <c r="CI64" s="341" t="e">
        <f>VLOOKUP(C64,Theory!B67:BV135,73,FALSE)</f>
        <v>#N/A</v>
      </c>
      <c r="CJ64" s="341" t="e">
        <f>VLOOKUP(C64,Theory!B67:BW135,74,FALSE)</f>
        <v>#N/A</v>
      </c>
      <c r="CK64" s="335" t="e">
        <f t="shared" si="17"/>
        <v>#N/A</v>
      </c>
      <c r="CL64" s="340" t="e">
        <f>VLOOKUP(C64,Theory!B67:BX135,75,FALSE)</f>
        <v>#N/A</v>
      </c>
      <c r="CM64" s="342" t="e">
        <f>VLOOKUP(C64,Theory!B67:BY135,76,FALSE)</f>
        <v>#N/A</v>
      </c>
      <c r="CN64" s="342" t="e">
        <f>VLOOKUP(C64,Theory!B67:BZ135,77,FALSE)</f>
        <v>#N/A</v>
      </c>
      <c r="CO64" s="342" t="e">
        <f>VLOOKUP(C64,Theory!B67:CA135,78,FALSE)</f>
        <v>#N/A</v>
      </c>
      <c r="CP64" s="340" t="e">
        <f>VLOOKUP(C64,Theory!B67:CB135,79,FALSE)</f>
        <v>#N/A</v>
      </c>
      <c r="CQ64" s="340" t="e">
        <f>VLOOKUP(C64,Theory!B67:CC135,80,FALSE)</f>
        <v>#N/A</v>
      </c>
      <c r="CR64" s="340" t="e">
        <f>VLOOKUP(C64,Theory!B67:CD135,81,FALSE)</f>
        <v>#N/A</v>
      </c>
      <c r="CS64" s="340" t="e">
        <f>VLOOKUP(C64,Theory!B67:CE135,82,FALSE)</f>
        <v>#N/A</v>
      </c>
      <c r="CT64" s="335" t="e">
        <f t="shared" si="18"/>
        <v>#N/A</v>
      </c>
      <c r="CU64" s="341" t="e">
        <f>VLOOKUP(C64,Theory!B67:CF135,83,FALSE)</f>
        <v>#N/A</v>
      </c>
      <c r="CV64" s="342" t="e">
        <f>VLOOKUP(C64,Theory!B67:CG135,84,FALSE)</f>
        <v>#N/A</v>
      </c>
      <c r="CW64" s="342" t="e">
        <f>VLOOKUP(C64,Theory!B67:CH135,85,FALSE)</f>
        <v>#N/A</v>
      </c>
      <c r="CX64" s="342" t="e">
        <f>VLOOKUP(C64,Theory!B67:CI135,86,FALSE)</f>
        <v>#N/A</v>
      </c>
      <c r="CY64" s="341" t="e">
        <f>VLOOKUP(C64,Theory!B67:CJ135,87,FALSE)</f>
        <v>#N/A</v>
      </c>
      <c r="CZ64" s="341" t="e">
        <f>VLOOKUP(C64,Theory!B67:CK135,88,FALSE)</f>
        <v>#N/A</v>
      </c>
      <c r="DA64" s="341" t="e">
        <f>VLOOKUP(C64,Theory!B67:CL135,89,FALSE)</f>
        <v>#N/A</v>
      </c>
      <c r="DB64" s="341" t="e">
        <f>VLOOKUP(C64,Theory!B67:CM135,90,FALSE)</f>
        <v>#N/A</v>
      </c>
      <c r="DC64" s="335" t="e">
        <f t="shared" si="19"/>
        <v>#N/A</v>
      </c>
      <c r="DD64" s="340" t="e">
        <f>VLOOKUP(C64,Theory!B67:CN135,91,FALSE)</f>
        <v>#N/A</v>
      </c>
      <c r="DE64" s="342" t="e">
        <f>VLOOKUP(C64,Theory!B67:CO135,92,FALSE)</f>
        <v>#N/A</v>
      </c>
      <c r="DF64" s="342" t="e">
        <f>VLOOKUP(C64,Theory!B67:CP135,93,FALSE)</f>
        <v>#N/A</v>
      </c>
      <c r="DG64" s="342" t="e">
        <f>VLOOKUP(C64,Theory!B67:CQ135,94,FALSE)</f>
        <v>#N/A</v>
      </c>
      <c r="DH64" s="340" t="e">
        <f>VLOOKUP(C64,Theory!B67:CR135,95,FALSE)</f>
        <v>#N/A</v>
      </c>
      <c r="DI64" s="340" t="e">
        <f>VLOOKUP(C64,Theory!B67:CS135,96,FALSE)</f>
        <v>#N/A</v>
      </c>
      <c r="DJ64" s="340" t="e">
        <f>VLOOKUP(C64,Theory!B67:CT135,97,FALSE)</f>
        <v>#N/A</v>
      </c>
      <c r="DK64" s="340" t="e">
        <f>VLOOKUP(C64,Theory!B67:CU135,98,FALSE)</f>
        <v>#N/A</v>
      </c>
      <c r="DL64" s="335" t="e">
        <f t="shared" si="20"/>
        <v>#N/A</v>
      </c>
      <c r="DM64" s="265" t="e">
        <f t="shared" si="2"/>
        <v>#N/A</v>
      </c>
      <c r="DN64" s="362" t="e">
        <f t="shared" si="40"/>
        <v>#N/A</v>
      </c>
      <c r="DO64" s="362" t="e">
        <f t="shared" si="41"/>
        <v>#N/A</v>
      </c>
      <c r="DP64" s="362" t="e">
        <f t="shared" si="42"/>
        <v>#N/A</v>
      </c>
      <c r="DQ64" s="343" t="e">
        <f t="shared" si="43"/>
        <v>#N/A</v>
      </c>
      <c r="DR64" s="343" t="e">
        <f t="shared" si="44"/>
        <v>#N/A</v>
      </c>
      <c r="DS64" s="343" t="e">
        <f t="shared" si="45"/>
        <v>#N/A</v>
      </c>
      <c r="DT64" s="328" t="e">
        <f t="shared" si="36"/>
        <v>#N/A</v>
      </c>
      <c r="DU64" s="326" t="e">
        <f>VLOOKUP(C64,Theory!B67:CV135,99,FALSE)</f>
        <v>#N/A</v>
      </c>
      <c r="DV64" s="326" t="e">
        <f>VLOOKUP(C64,Theory!B67:CW135,100,FALSE)</f>
        <v>#N/A</v>
      </c>
      <c r="DW64" s="331" t="e">
        <f t="shared" si="27"/>
        <v>#N/A</v>
      </c>
      <c r="DX64" s="266" t="e">
        <f t="shared" si="3"/>
        <v>#N/A</v>
      </c>
      <c r="DY64" s="363" t="e">
        <f t="shared" si="4"/>
        <v>#N/A</v>
      </c>
      <c r="DZ64" s="344">
        <f>VLOOKUP(C64,Lab!B59:D128,3,FALSE)</f>
        <v>0</v>
      </c>
      <c r="EA64" s="345">
        <f>VLOOKUP(C64,Lab!B59:E128,4,FALSE)</f>
        <v>0</v>
      </c>
      <c r="EB64" s="345">
        <f>VLOOKUP(C64,Lab!B59:F128,5,FALSE)</f>
        <v>0</v>
      </c>
      <c r="EC64" s="329">
        <f t="shared" si="37"/>
        <v>0</v>
      </c>
      <c r="ED64" s="346">
        <f>VLOOKUP(C64,Lab!B59:G128,6,FALSE)</f>
        <v>0</v>
      </c>
      <c r="EE64" s="346">
        <f>VLOOKUP(C64,Lab!B59:H128,7,FALSE)</f>
        <v>0</v>
      </c>
      <c r="EF64" s="347">
        <f>VLOOKUP(C64,Lab!B59:I128,8,FALSE)</f>
        <v>0</v>
      </c>
      <c r="EG64" s="330">
        <f t="shared" si="38"/>
        <v>0</v>
      </c>
      <c r="EH64" s="390">
        <f t="shared" si="28"/>
        <v>0</v>
      </c>
      <c r="EI64" s="349">
        <f t="shared" si="29"/>
        <v>0</v>
      </c>
      <c r="EJ64" s="391" t="e">
        <f t="shared" si="5"/>
        <v>#N/A</v>
      </c>
      <c r="EK64" s="258">
        <v>0</v>
      </c>
      <c r="EM64" s="350" t="e">
        <f>VLOOKUP(C64,Theory!B67:DL135,114,FALSE)</f>
        <v>#N/A</v>
      </c>
      <c r="EN64" s="350" t="e">
        <f>VLOOKUP(C64,Theory!B67:DM135,115,FALSE)</f>
        <v>#N/A</v>
      </c>
      <c r="EO64" s="350" t="e">
        <f>VLOOKUP(C64,Theory!B67:DN135,116,FALSE)</f>
        <v>#N/A</v>
      </c>
      <c r="EP64" s="350" t="e">
        <f>VLOOKUP(C64,Theory!B67:DO133,117,FALSE)</f>
        <v>#N/A</v>
      </c>
      <c r="EQ64" s="350" t="e">
        <f>VLOOKUP(C64,Theory!B67:DP133,118,FALSE)</f>
        <v>#N/A</v>
      </c>
      <c r="ER64" s="351" t="e">
        <f>VLOOKUP(C64,Theory!B67:DQ133,119,FALSE)</f>
        <v>#N/A</v>
      </c>
      <c r="ES64" s="327" t="e">
        <f>VLOOKUP(C64,Theory!B67:DR133,120,FALSE)</f>
        <v>#N/A</v>
      </c>
      <c r="ET64" s="348" t="e">
        <f t="shared" si="39"/>
        <v>#N/A</v>
      </c>
      <c r="EU64" s="352"/>
      <c r="EV64" s="352"/>
      <c r="EW64" s="352"/>
      <c r="EX64" s="352"/>
      <c r="EY64" s="352"/>
      <c r="EZ64" s="352"/>
      <c r="FA64" s="352"/>
      <c r="FB64" s="352"/>
      <c r="FC64" s="352"/>
      <c r="FD64" s="352"/>
    </row>
    <row r="65" spans="1:160" ht="16.2" thickBot="1" x14ac:dyDescent="0.35">
      <c r="A65" s="64">
        <v>52</v>
      </c>
      <c r="B65" s="17">
        <f>Theory!C68</f>
        <v>0</v>
      </c>
      <c r="C65" s="16">
        <f>Theory!B68</f>
        <v>0</v>
      </c>
      <c r="D65" s="334" t="e">
        <f>VLOOKUP(C65,Theory!B68:D136,3,FALSE)</f>
        <v>#N/A</v>
      </c>
      <c r="E65" s="334" t="e">
        <f>VLOOKUP(C65,Theory!B68:E136,4,FALSE)</f>
        <v>#N/A</v>
      </c>
      <c r="F65" s="334" t="e">
        <f>VLOOKUP(C65,Theory!B68:F136,5,FALSE)</f>
        <v>#N/A</v>
      </c>
      <c r="G65" s="334" t="e">
        <f>VLOOKUP(C65,Theory!B68:G136,6,FALSE)</f>
        <v>#N/A</v>
      </c>
      <c r="H65" s="335" t="e">
        <f t="shared" si="6"/>
        <v>#N/A</v>
      </c>
      <c r="I65" s="338" t="e">
        <f>VLOOKUP(C65,Theory!B68:H136,7,FALSE)</f>
        <v>#N/A</v>
      </c>
      <c r="J65" s="337" t="e">
        <f>VLOOKUP(C65,Theory!B68:I136,8,FALSE)</f>
        <v>#N/A</v>
      </c>
      <c r="K65" s="337" t="e">
        <f>VLOOKUP(C65,Theory!B68:J136,9,FALSE)</f>
        <v>#N/A</v>
      </c>
      <c r="L65" s="337" t="e">
        <f>VLOOKUP(C65,Theory!B68:K136,10,FALSE)</f>
        <v>#N/A</v>
      </c>
      <c r="M65" s="335" t="e">
        <f t="shared" si="7"/>
        <v>#N/A</v>
      </c>
      <c r="N65" s="336" t="e">
        <f>VLOOKUP(C65,Theory!B68:L136,11,FALSE)</f>
        <v>#N/A</v>
      </c>
      <c r="O65" s="336" t="e">
        <f>VLOOKUP(C65,Theory!B68:M136,12,FALSE)</f>
        <v>#N/A</v>
      </c>
      <c r="P65" s="336" t="e">
        <f>VLOOKUP(C65,Theory!B68:N136,13,FALSE)</f>
        <v>#N/A</v>
      </c>
      <c r="Q65" s="336" t="e">
        <f>VLOOKUP(C65,Theory!B68:O136,14,FALSE)</f>
        <v>#N/A</v>
      </c>
      <c r="R65" s="337" t="e">
        <f>VLOOKUP(C65,Theory!B68:P136,15,FALSE)</f>
        <v>#N/A</v>
      </c>
      <c r="S65" s="337" t="e">
        <f>VLOOKUP(C65,Theory!B68:Q136,16,FALSE)</f>
        <v>#N/A</v>
      </c>
      <c r="T65" s="337" t="e">
        <f>VLOOKUP(C65,Theory!B68:R136,17,FALSE)</f>
        <v>#N/A</v>
      </c>
      <c r="U65" s="337" t="e">
        <f>VLOOKUP(C65,Theory!B68:S136,18,FALSE)</f>
        <v>#N/A</v>
      </c>
      <c r="V65" s="335" t="e">
        <f t="shared" si="8"/>
        <v>#N/A</v>
      </c>
      <c r="W65" s="334" t="e">
        <f>VLOOKUP(C65,Theory!B68:T136,19,FALSE)</f>
        <v>#N/A</v>
      </c>
      <c r="X65" s="334" t="e">
        <f>VLOOKUP(C65,Theory!B68:U136,20,FALSE)</f>
        <v>#N/A</v>
      </c>
      <c r="Y65" s="334" t="e">
        <f>VLOOKUP(C65,Theory!B68:V136,21,FALSE)</f>
        <v>#N/A</v>
      </c>
      <c r="Z65" s="334" t="e">
        <f>VLOOKUP(C65,Theory!B68:W136,22,FALSE)</f>
        <v>#N/A</v>
      </c>
      <c r="AA65" s="338" t="e">
        <f>VLOOKUP(C65,Theory!B68:X136,23,FALSE)</f>
        <v>#N/A</v>
      </c>
      <c r="AB65" s="338" t="e">
        <f>VLOOKUP(C65,Theory!B68:Y136,24,FALSE)</f>
        <v>#N/A</v>
      </c>
      <c r="AC65" s="338" t="e">
        <f>VLOOKUP(C65,Theory!B68:Z136,25,FALSE)</f>
        <v>#N/A</v>
      </c>
      <c r="AD65" s="338" t="e">
        <f>VLOOKUP(C65,Theory!B68:AA136,26,FALSE)</f>
        <v>#N/A</v>
      </c>
      <c r="AE65" s="335" t="e">
        <f t="shared" si="9"/>
        <v>#N/A</v>
      </c>
      <c r="AF65" s="334" t="e">
        <f>VLOOKUP(C65,Theory!B68:AB136,27,FALSE)</f>
        <v>#N/A</v>
      </c>
      <c r="AG65" s="334" t="e">
        <f>VLOOKUP(C65,Theory!B68:AC136,28,FALSE)</f>
        <v>#N/A</v>
      </c>
      <c r="AH65" s="334" t="e">
        <f>VLOOKUP(C65,Theory!B68:AD136,29,FALSE)</f>
        <v>#N/A</v>
      </c>
      <c r="AI65" s="334" t="e">
        <f>VLOOKUP(C65,Theory!B68:AE136,30,FALSE)</f>
        <v>#N/A</v>
      </c>
      <c r="AJ65" s="339" t="e">
        <f>VLOOKUP(C65,Theory!B68:AF136,31,FALSE)</f>
        <v>#N/A</v>
      </c>
      <c r="AK65" s="339" t="e">
        <f>VLOOKUP(C65,Theory!B68:AG136,32,FALSE)</f>
        <v>#N/A</v>
      </c>
      <c r="AL65" s="339" t="e">
        <f>VLOOKUP(C65,Theory!B68:AH136,33,FALSE)</f>
        <v>#N/A</v>
      </c>
      <c r="AM65" s="339" t="e">
        <f>VLOOKUP(C65,Theory!B68:AI136,34,FALSE)</f>
        <v>#N/A</v>
      </c>
      <c r="AN65" s="335" t="e">
        <f t="shared" si="10"/>
        <v>#N/A</v>
      </c>
      <c r="AO65" s="333" t="e">
        <f t="shared" si="0"/>
        <v>#N/A</v>
      </c>
      <c r="AP65" s="340" t="e">
        <f>VLOOKUP(C65,Theory!B68:AJ136,35,FALSE)</f>
        <v>#N/A</v>
      </c>
      <c r="AQ65" s="340" t="e">
        <f>VLOOKUP(C65,Theory!B68:AK136,36,FALSE)</f>
        <v>#N/A</v>
      </c>
      <c r="AR65" s="340" t="e">
        <f>VLOOKUP(C65,Theory!B68:AL136,37,FALSE)</f>
        <v>#N/A</v>
      </c>
      <c r="AS65" s="340" t="e">
        <f>VLOOKUP(C65,Theory!B68:AM136,38,FALSE)</f>
        <v>#N/A</v>
      </c>
      <c r="AT65" s="335" t="e">
        <f t="shared" si="11"/>
        <v>#N/A</v>
      </c>
      <c r="AU65" s="340" t="e">
        <f>VLOOKUP(C65,Theory!B68:AN136,39,FALSE)</f>
        <v>#N/A</v>
      </c>
      <c r="AV65" s="340" t="e">
        <f>VLOOKUP(C65,Theory!B68:AO136,40,FALSE)</f>
        <v>#N/A</v>
      </c>
      <c r="AW65" s="340" t="e">
        <f>VLOOKUP(C65,Theory!B68:AP136,41,FALSE)</f>
        <v>#N/A</v>
      </c>
      <c r="AX65" s="340" t="e">
        <f>VLOOKUP(C65,Theory!B68:AQ136,42,FALSE)</f>
        <v>#N/A</v>
      </c>
      <c r="AY65" s="335" t="e">
        <f t="shared" si="12"/>
        <v>#N/A</v>
      </c>
      <c r="AZ65" s="340" t="e">
        <f>VLOOKUP(C65,Theory!B68:AR136,43,FALSE)</f>
        <v>#N/A</v>
      </c>
      <c r="BA65" s="340" t="e">
        <f>VLOOKUP(C65,Theory!B68:AS136,44,FALSE)</f>
        <v>#N/A</v>
      </c>
      <c r="BB65" s="340" t="e">
        <f>VLOOKUP(C65,Theory!B68:AT136,45,FALSE)</f>
        <v>#N/A</v>
      </c>
      <c r="BC65" s="340" t="e">
        <f>VLOOKUP(C65,Theory!B68:AU136,46,FALSE)</f>
        <v>#N/A</v>
      </c>
      <c r="BD65" s="340" t="e">
        <f>VLOOKUP(C65,Theory!B68:AV136,47,FALSE)</f>
        <v>#N/A</v>
      </c>
      <c r="BE65" s="340" t="e">
        <f>VLOOKUP(C65,Theory!B68:AW136,48,FALSE)</f>
        <v>#N/A</v>
      </c>
      <c r="BF65" s="340" t="e">
        <f>VLOOKUP(C65,Theory!B68:AX136,49,FALSE)</f>
        <v>#N/A</v>
      </c>
      <c r="BG65" s="340" t="e">
        <f>VLOOKUP(C65,Theory!B68:AY136,50,FALSE)</f>
        <v>#N/A</v>
      </c>
      <c r="BH65" s="335" t="e">
        <f t="shared" si="13"/>
        <v>#N/A</v>
      </c>
      <c r="BI65" s="340" t="e">
        <f>VLOOKUP(C65,Theory!B68:AZ136,51,FALSE)</f>
        <v>#N/A</v>
      </c>
      <c r="BJ65" s="340" t="e">
        <f>VLOOKUP(C65,Theory!B68:BA136,52,FALSE)</f>
        <v>#N/A</v>
      </c>
      <c r="BK65" s="340" t="e">
        <f>VLOOKUP(C65,Theory!B68:BB136,53,FALSE)</f>
        <v>#N/A</v>
      </c>
      <c r="BL65" s="340" t="e">
        <f>VLOOKUP(C65,Theory!B68:BC136,54,FALSE)</f>
        <v>#N/A</v>
      </c>
      <c r="BM65" s="340" t="e">
        <f>VLOOKUP(C65,Theory!B68:BD136,55,FALSE)</f>
        <v>#N/A</v>
      </c>
      <c r="BN65" s="340" t="e">
        <f>VLOOKUP(C65,Theory!B68:BE136,56,FALSE)</f>
        <v>#N/A</v>
      </c>
      <c r="BO65" s="340" t="e">
        <f>VLOOKUP(C65,Theory!B68:BF136,57,FALSE)</f>
        <v>#N/A</v>
      </c>
      <c r="BP65" s="340" t="e">
        <f>VLOOKUP(C65,Theory!B68:BG136,58,FALSE)</f>
        <v>#N/A</v>
      </c>
      <c r="BQ65" s="335" t="e">
        <f t="shared" si="14"/>
        <v>#N/A</v>
      </c>
      <c r="BR65" s="340" t="e">
        <f>VLOOKUP(C65,Theory!B68:BH136,59,FALSE)</f>
        <v>#N/A</v>
      </c>
      <c r="BS65" s="340" t="e">
        <f>VLOOKUP(C65,Theory!B68:BI136,60,FALSE)</f>
        <v>#N/A</v>
      </c>
      <c r="BT65" s="340" t="e">
        <f>VLOOKUP(C65,Theory!B68:BJ136,61,FALSE)</f>
        <v>#N/A</v>
      </c>
      <c r="BU65" s="340" t="e">
        <f>VLOOKUP(C65,Theory!B68:BK136,62,FALSE)</f>
        <v>#N/A</v>
      </c>
      <c r="BV65" s="340" t="e">
        <f>VLOOKUP(C65,Theory!B68:BL136,63,FALSE)</f>
        <v>#N/A</v>
      </c>
      <c r="BW65" s="340" t="e">
        <f>VLOOKUP(C65,Theory!B68:BM136,64,FALSE)</f>
        <v>#N/A</v>
      </c>
      <c r="BX65" s="340" t="e">
        <f>VLOOKUP(C65,Theory!B68:BN136,65,FALSE)</f>
        <v>#N/A</v>
      </c>
      <c r="BY65" s="340" t="e">
        <f>VLOOKUP(C65,Theory!B68:BO136,66,FALSE)</f>
        <v>#N/A</v>
      </c>
      <c r="BZ65" s="335" t="e">
        <f t="shared" si="15"/>
        <v>#N/A</v>
      </c>
      <c r="CA65" s="333" t="e">
        <f t="shared" si="1"/>
        <v>#N/A</v>
      </c>
      <c r="CB65" s="340" t="e">
        <f>VLOOKUP(C65,Theory!B68:BP136,67,FALSE)</f>
        <v>#N/A</v>
      </c>
      <c r="CC65" s="340" t="e">
        <f>VLOOKUP(C65,Theory!B68:BQ136,68,FALSE)</f>
        <v>#N/A</v>
      </c>
      <c r="CD65" s="340" t="e">
        <f>VLOOKUP(C65,Theory!B68:BR136,69,FALSE)</f>
        <v>#N/A</v>
      </c>
      <c r="CE65" s="340" t="e">
        <f>VLOOKUP(C65,Theory!B68:BS136,70,FALSE)</f>
        <v>#N/A</v>
      </c>
      <c r="CF65" s="335" t="e">
        <f t="shared" si="16"/>
        <v>#N/A</v>
      </c>
      <c r="CG65" s="341" t="e">
        <f>VLOOKUP(C65,Theory!B68:BT136,71,FALSE)</f>
        <v>#N/A</v>
      </c>
      <c r="CH65" s="341" t="e">
        <f>VLOOKUP(C65,Theory!B68:BU136,72,FALSE)</f>
        <v>#N/A</v>
      </c>
      <c r="CI65" s="341" t="e">
        <f>VLOOKUP(C65,Theory!B68:BV136,73,FALSE)</f>
        <v>#N/A</v>
      </c>
      <c r="CJ65" s="341" t="e">
        <f>VLOOKUP(C65,Theory!B68:BW136,74,FALSE)</f>
        <v>#N/A</v>
      </c>
      <c r="CK65" s="335" t="e">
        <f t="shared" si="17"/>
        <v>#N/A</v>
      </c>
      <c r="CL65" s="340" t="e">
        <f>VLOOKUP(C65,Theory!B68:BX136,75,FALSE)</f>
        <v>#N/A</v>
      </c>
      <c r="CM65" s="342" t="e">
        <f>VLOOKUP(C65,Theory!B68:BY136,76,FALSE)</f>
        <v>#N/A</v>
      </c>
      <c r="CN65" s="342" t="e">
        <f>VLOOKUP(C65,Theory!B68:BZ136,77,FALSE)</f>
        <v>#N/A</v>
      </c>
      <c r="CO65" s="342" t="e">
        <f>VLOOKUP(C65,Theory!B68:CA136,78,FALSE)</f>
        <v>#N/A</v>
      </c>
      <c r="CP65" s="340" t="e">
        <f>VLOOKUP(C65,Theory!B68:CB136,79,FALSE)</f>
        <v>#N/A</v>
      </c>
      <c r="CQ65" s="340" t="e">
        <f>VLOOKUP(C65,Theory!B68:CC136,80,FALSE)</f>
        <v>#N/A</v>
      </c>
      <c r="CR65" s="340" t="e">
        <f>VLOOKUP(C65,Theory!B68:CD136,81,FALSE)</f>
        <v>#N/A</v>
      </c>
      <c r="CS65" s="340" t="e">
        <f>VLOOKUP(C65,Theory!B68:CE136,82,FALSE)</f>
        <v>#N/A</v>
      </c>
      <c r="CT65" s="335" t="e">
        <f t="shared" si="18"/>
        <v>#N/A</v>
      </c>
      <c r="CU65" s="341" t="e">
        <f>VLOOKUP(C65,Theory!B68:CF136,83,FALSE)</f>
        <v>#N/A</v>
      </c>
      <c r="CV65" s="342" t="e">
        <f>VLOOKUP(C65,Theory!B68:CG136,84,FALSE)</f>
        <v>#N/A</v>
      </c>
      <c r="CW65" s="342" t="e">
        <f>VLOOKUP(C65,Theory!B68:CH136,85,FALSE)</f>
        <v>#N/A</v>
      </c>
      <c r="CX65" s="342" t="e">
        <f>VLOOKUP(C65,Theory!B68:CI136,86,FALSE)</f>
        <v>#N/A</v>
      </c>
      <c r="CY65" s="341" t="e">
        <f>VLOOKUP(C65,Theory!B68:CJ136,87,FALSE)</f>
        <v>#N/A</v>
      </c>
      <c r="CZ65" s="341" t="e">
        <f>VLOOKUP(C65,Theory!B68:CK136,88,FALSE)</f>
        <v>#N/A</v>
      </c>
      <c r="DA65" s="341" t="e">
        <f>VLOOKUP(C65,Theory!B68:CL136,89,FALSE)</f>
        <v>#N/A</v>
      </c>
      <c r="DB65" s="341" t="e">
        <f>VLOOKUP(C65,Theory!B68:CM136,90,FALSE)</f>
        <v>#N/A</v>
      </c>
      <c r="DC65" s="335" t="e">
        <f t="shared" si="19"/>
        <v>#N/A</v>
      </c>
      <c r="DD65" s="340" t="e">
        <f>VLOOKUP(C65,Theory!B68:CN136,91,FALSE)</f>
        <v>#N/A</v>
      </c>
      <c r="DE65" s="342" t="e">
        <f>VLOOKUP(C65,Theory!B68:CO136,92,FALSE)</f>
        <v>#N/A</v>
      </c>
      <c r="DF65" s="342" t="e">
        <f>VLOOKUP(C65,Theory!B68:CP136,93,FALSE)</f>
        <v>#N/A</v>
      </c>
      <c r="DG65" s="342" t="e">
        <f>VLOOKUP(C65,Theory!B68:CQ136,94,FALSE)</f>
        <v>#N/A</v>
      </c>
      <c r="DH65" s="340" t="e">
        <f>VLOOKUP(C65,Theory!B68:CR136,95,FALSE)</f>
        <v>#N/A</v>
      </c>
      <c r="DI65" s="340" t="e">
        <f>VLOOKUP(C65,Theory!B68:CS136,96,FALSE)</f>
        <v>#N/A</v>
      </c>
      <c r="DJ65" s="340" t="e">
        <f>VLOOKUP(C65,Theory!B68:CT136,97,FALSE)</f>
        <v>#N/A</v>
      </c>
      <c r="DK65" s="340" t="e">
        <f>VLOOKUP(C65,Theory!B68:CU136,98,FALSE)</f>
        <v>#N/A</v>
      </c>
      <c r="DL65" s="335" t="e">
        <f t="shared" si="20"/>
        <v>#N/A</v>
      </c>
      <c r="DM65" s="265" t="e">
        <f t="shared" si="2"/>
        <v>#N/A</v>
      </c>
      <c r="DN65" s="362" t="e">
        <f t="shared" si="40"/>
        <v>#N/A</v>
      </c>
      <c r="DO65" s="362" t="e">
        <f t="shared" si="41"/>
        <v>#N/A</v>
      </c>
      <c r="DP65" s="362" t="e">
        <f t="shared" si="42"/>
        <v>#N/A</v>
      </c>
      <c r="DQ65" s="343" t="e">
        <f t="shared" si="43"/>
        <v>#N/A</v>
      </c>
      <c r="DR65" s="343" t="e">
        <f t="shared" si="44"/>
        <v>#N/A</v>
      </c>
      <c r="DS65" s="343" t="e">
        <f t="shared" si="45"/>
        <v>#N/A</v>
      </c>
      <c r="DT65" s="328" t="e">
        <f t="shared" si="36"/>
        <v>#N/A</v>
      </c>
      <c r="DU65" s="326" t="e">
        <f>VLOOKUP(C65,Theory!B68:CV136,99,FALSE)</f>
        <v>#N/A</v>
      </c>
      <c r="DV65" s="326" t="e">
        <f>VLOOKUP(C65,Theory!B68:CW136,100,FALSE)</f>
        <v>#N/A</v>
      </c>
      <c r="DW65" s="331" t="e">
        <f t="shared" si="27"/>
        <v>#N/A</v>
      </c>
      <c r="DX65" s="266" t="e">
        <f t="shared" si="3"/>
        <v>#N/A</v>
      </c>
      <c r="DY65" s="363" t="e">
        <f t="shared" si="4"/>
        <v>#N/A</v>
      </c>
      <c r="DZ65" s="344">
        <f>VLOOKUP(C65,Lab!B60:D129,3,FALSE)</f>
        <v>0</v>
      </c>
      <c r="EA65" s="345">
        <f>VLOOKUP(C65,Lab!B60:E129,4,FALSE)</f>
        <v>0</v>
      </c>
      <c r="EB65" s="345">
        <f>VLOOKUP(C65,Lab!B60:F129,5,FALSE)</f>
        <v>0</v>
      </c>
      <c r="EC65" s="329">
        <f t="shared" si="37"/>
        <v>0</v>
      </c>
      <c r="ED65" s="346">
        <f>VLOOKUP(C65,Lab!B60:G129,6,FALSE)</f>
        <v>0</v>
      </c>
      <c r="EE65" s="346">
        <f>VLOOKUP(C65,Lab!B60:H129,7,FALSE)</f>
        <v>0</v>
      </c>
      <c r="EF65" s="347">
        <f>VLOOKUP(C65,Lab!B60:I129,8,FALSE)</f>
        <v>0</v>
      </c>
      <c r="EG65" s="330">
        <f t="shared" si="38"/>
        <v>0</v>
      </c>
      <c r="EH65" s="390">
        <f t="shared" si="28"/>
        <v>0</v>
      </c>
      <c r="EI65" s="349">
        <f t="shared" si="29"/>
        <v>0</v>
      </c>
      <c r="EJ65" s="391" t="e">
        <f t="shared" si="5"/>
        <v>#N/A</v>
      </c>
      <c r="EK65" s="258">
        <v>0</v>
      </c>
      <c r="EM65" s="350" t="e">
        <f>VLOOKUP(C65,Theory!B68:DL136,114,FALSE)</f>
        <v>#N/A</v>
      </c>
      <c r="EN65" s="350" t="e">
        <f>VLOOKUP(C65,Theory!B68:DM136,115,FALSE)</f>
        <v>#N/A</v>
      </c>
      <c r="EO65" s="350" t="e">
        <f>VLOOKUP(C65,Theory!B68:DN136,116,FALSE)</f>
        <v>#N/A</v>
      </c>
      <c r="EP65" s="350" t="e">
        <f>VLOOKUP(C65,Theory!B68:DO134,117,FALSE)</f>
        <v>#N/A</v>
      </c>
      <c r="EQ65" s="350" t="e">
        <f>VLOOKUP(C65,Theory!B68:DP134,118,FALSE)</f>
        <v>#N/A</v>
      </c>
      <c r="ER65" s="351" t="e">
        <f>VLOOKUP(C65,Theory!B68:DQ134,119,FALSE)</f>
        <v>#N/A</v>
      </c>
      <c r="ES65" s="327" t="e">
        <f>VLOOKUP(C65,Theory!B68:DR134,120,FALSE)</f>
        <v>#N/A</v>
      </c>
      <c r="ET65" s="348" t="e">
        <f t="shared" si="39"/>
        <v>#N/A</v>
      </c>
      <c r="EU65" s="352"/>
      <c r="EV65" s="352"/>
      <c r="EW65" s="352"/>
      <c r="EX65" s="352"/>
      <c r="EY65" s="352"/>
      <c r="EZ65" s="352"/>
      <c r="FA65" s="352"/>
      <c r="FB65" s="352"/>
      <c r="FC65" s="352"/>
      <c r="FD65" s="352"/>
    </row>
    <row r="66" spans="1:160" ht="16.2" thickBot="1" x14ac:dyDescent="0.35">
      <c r="A66" s="64">
        <v>53</v>
      </c>
      <c r="B66" s="17">
        <f>Theory!C69</f>
        <v>0</v>
      </c>
      <c r="C66" s="16">
        <f>Theory!B69</f>
        <v>0</v>
      </c>
      <c r="D66" s="334" t="e">
        <f>VLOOKUP(C66,Theory!B69:D137,3,FALSE)</f>
        <v>#N/A</v>
      </c>
      <c r="E66" s="334" t="e">
        <f>VLOOKUP(C66,Theory!B69:E137,4,FALSE)</f>
        <v>#N/A</v>
      </c>
      <c r="F66" s="334" t="e">
        <f>VLOOKUP(C66,Theory!B69:F137,5,FALSE)</f>
        <v>#N/A</v>
      </c>
      <c r="G66" s="334" t="e">
        <f>VLOOKUP(C66,Theory!B69:G137,6,FALSE)</f>
        <v>#N/A</v>
      </c>
      <c r="H66" s="335" t="e">
        <f t="shared" si="6"/>
        <v>#N/A</v>
      </c>
      <c r="I66" s="338" t="e">
        <f>VLOOKUP(C66,Theory!B69:H137,7,FALSE)</f>
        <v>#N/A</v>
      </c>
      <c r="J66" s="337" t="e">
        <f>VLOOKUP(C66,Theory!B69:I137,8,FALSE)</f>
        <v>#N/A</v>
      </c>
      <c r="K66" s="337" t="e">
        <f>VLOOKUP(C66,Theory!B69:J137,9,FALSE)</f>
        <v>#N/A</v>
      </c>
      <c r="L66" s="337" t="e">
        <f>VLOOKUP(C66,Theory!B69:K137,10,FALSE)</f>
        <v>#N/A</v>
      </c>
      <c r="M66" s="335" t="e">
        <f t="shared" si="7"/>
        <v>#N/A</v>
      </c>
      <c r="N66" s="336" t="e">
        <f>VLOOKUP(C66,Theory!B69:L137,11,FALSE)</f>
        <v>#N/A</v>
      </c>
      <c r="O66" s="336" t="e">
        <f>VLOOKUP(C66,Theory!B69:M137,12,FALSE)</f>
        <v>#N/A</v>
      </c>
      <c r="P66" s="336" t="e">
        <f>VLOOKUP(C66,Theory!B69:N137,13,FALSE)</f>
        <v>#N/A</v>
      </c>
      <c r="Q66" s="336" t="e">
        <f>VLOOKUP(C66,Theory!B69:O137,14,FALSE)</f>
        <v>#N/A</v>
      </c>
      <c r="R66" s="337" t="e">
        <f>VLOOKUP(C66,Theory!B69:P137,15,FALSE)</f>
        <v>#N/A</v>
      </c>
      <c r="S66" s="337" t="e">
        <f>VLOOKUP(C66,Theory!B69:Q137,16,FALSE)</f>
        <v>#N/A</v>
      </c>
      <c r="T66" s="337" t="e">
        <f>VLOOKUP(C66,Theory!B69:R137,17,FALSE)</f>
        <v>#N/A</v>
      </c>
      <c r="U66" s="337" t="e">
        <f>VLOOKUP(C66,Theory!B69:S137,18,FALSE)</f>
        <v>#N/A</v>
      </c>
      <c r="V66" s="335" t="e">
        <f t="shared" si="8"/>
        <v>#N/A</v>
      </c>
      <c r="W66" s="334" t="e">
        <f>VLOOKUP(C66,Theory!B69:T137,19,FALSE)</f>
        <v>#N/A</v>
      </c>
      <c r="X66" s="334" t="e">
        <f>VLOOKUP(C66,Theory!B69:U137,20,FALSE)</f>
        <v>#N/A</v>
      </c>
      <c r="Y66" s="334" t="e">
        <f>VLOOKUP(C66,Theory!B69:V137,21,FALSE)</f>
        <v>#N/A</v>
      </c>
      <c r="Z66" s="334" t="e">
        <f>VLOOKUP(C66,Theory!B69:W137,22,FALSE)</f>
        <v>#N/A</v>
      </c>
      <c r="AA66" s="338" t="e">
        <f>VLOOKUP(C66,Theory!B69:X137,23,FALSE)</f>
        <v>#N/A</v>
      </c>
      <c r="AB66" s="338" t="e">
        <f>VLOOKUP(C66,Theory!B69:Y137,24,FALSE)</f>
        <v>#N/A</v>
      </c>
      <c r="AC66" s="338" t="e">
        <f>VLOOKUP(C66,Theory!B69:Z137,25,FALSE)</f>
        <v>#N/A</v>
      </c>
      <c r="AD66" s="338" t="e">
        <f>VLOOKUP(C66,Theory!B69:AA137,26,FALSE)</f>
        <v>#N/A</v>
      </c>
      <c r="AE66" s="335" t="e">
        <f t="shared" si="9"/>
        <v>#N/A</v>
      </c>
      <c r="AF66" s="334" t="e">
        <f>VLOOKUP(C66,Theory!B69:AB137,27,FALSE)</f>
        <v>#N/A</v>
      </c>
      <c r="AG66" s="334" t="e">
        <f>VLOOKUP(C66,Theory!B69:AC137,28,FALSE)</f>
        <v>#N/A</v>
      </c>
      <c r="AH66" s="334" t="e">
        <f>VLOOKUP(C66,Theory!B69:AD137,29,FALSE)</f>
        <v>#N/A</v>
      </c>
      <c r="AI66" s="334" t="e">
        <f>VLOOKUP(C66,Theory!B69:AE137,30,FALSE)</f>
        <v>#N/A</v>
      </c>
      <c r="AJ66" s="339" t="e">
        <f>VLOOKUP(C66,Theory!B69:AF137,31,FALSE)</f>
        <v>#N/A</v>
      </c>
      <c r="AK66" s="339" t="e">
        <f>VLOOKUP(C66,Theory!B69:AG137,32,FALSE)</f>
        <v>#N/A</v>
      </c>
      <c r="AL66" s="339" t="e">
        <f>VLOOKUP(C66,Theory!B69:AH137,33,FALSE)</f>
        <v>#N/A</v>
      </c>
      <c r="AM66" s="339" t="e">
        <f>VLOOKUP(C66,Theory!B69:AI137,34,FALSE)</f>
        <v>#N/A</v>
      </c>
      <c r="AN66" s="335" t="e">
        <f t="shared" si="10"/>
        <v>#N/A</v>
      </c>
      <c r="AO66" s="333" t="e">
        <f t="shared" si="0"/>
        <v>#N/A</v>
      </c>
      <c r="AP66" s="340" t="e">
        <f>VLOOKUP(C66,Theory!B69:AJ137,35,FALSE)</f>
        <v>#N/A</v>
      </c>
      <c r="AQ66" s="340" t="e">
        <f>VLOOKUP(C66,Theory!B69:AK137,36,FALSE)</f>
        <v>#N/A</v>
      </c>
      <c r="AR66" s="340" t="e">
        <f>VLOOKUP(C66,Theory!B69:AL137,37,FALSE)</f>
        <v>#N/A</v>
      </c>
      <c r="AS66" s="340" t="e">
        <f>VLOOKUP(C66,Theory!B69:AM137,38,FALSE)</f>
        <v>#N/A</v>
      </c>
      <c r="AT66" s="335" t="e">
        <f t="shared" si="11"/>
        <v>#N/A</v>
      </c>
      <c r="AU66" s="340" t="e">
        <f>VLOOKUP(C66,Theory!B69:AN137,39,FALSE)</f>
        <v>#N/A</v>
      </c>
      <c r="AV66" s="340" t="e">
        <f>VLOOKUP(C66,Theory!B69:AO137,40,FALSE)</f>
        <v>#N/A</v>
      </c>
      <c r="AW66" s="340" t="e">
        <f>VLOOKUP(C66,Theory!B69:AP137,41,FALSE)</f>
        <v>#N/A</v>
      </c>
      <c r="AX66" s="340" t="e">
        <f>VLOOKUP(C66,Theory!B69:AQ137,42,FALSE)</f>
        <v>#N/A</v>
      </c>
      <c r="AY66" s="335" t="e">
        <f t="shared" si="12"/>
        <v>#N/A</v>
      </c>
      <c r="AZ66" s="340" t="e">
        <f>VLOOKUP(C66,Theory!B69:AR137,43,FALSE)</f>
        <v>#N/A</v>
      </c>
      <c r="BA66" s="340" t="e">
        <f>VLOOKUP(C66,Theory!B69:AS137,44,FALSE)</f>
        <v>#N/A</v>
      </c>
      <c r="BB66" s="340" t="e">
        <f>VLOOKUP(C66,Theory!B69:AT137,45,FALSE)</f>
        <v>#N/A</v>
      </c>
      <c r="BC66" s="340" t="e">
        <f>VLOOKUP(C66,Theory!B69:AU137,46,FALSE)</f>
        <v>#N/A</v>
      </c>
      <c r="BD66" s="340" t="e">
        <f>VLOOKUP(C66,Theory!B69:AV137,47,FALSE)</f>
        <v>#N/A</v>
      </c>
      <c r="BE66" s="340" t="e">
        <f>VLOOKUP(C66,Theory!B69:AW137,48,FALSE)</f>
        <v>#N/A</v>
      </c>
      <c r="BF66" s="340" t="e">
        <f>VLOOKUP(C66,Theory!B69:AX137,49,FALSE)</f>
        <v>#N/A</v>
      </c>
      <c r="BG66" s="340" t="e">
        <f>VLOOKUP(C66,Theory!B69:AY137,50,FALSE)</f>
        <v>#N/A</v>
      </c>
      <c r="BH66" s="335" t="e">
        <f t="shared" si="13"/>
        <v>#N/A</v>
      </c>
      <c r="BI66" s="340" t="e">
        <f>VLOOKUP(C66,Theory!B69:AZ137,51,FALSE)</f>
        <v>#N/A</v>
      </c>
      <c r="BJ66" s="340" t="e">
        <f>VLOOKUP(C66,Theory!B69:BA137,52,FALSE)</f>
        <v>#N/A</v>
      </c>
      <c r="BK66" s="340" t="e">
        <f>VLOOKUP(C66,Theory!B69:BB137,53,FALSE)</f>
        <v>#N/A</v>
      </c>
      <c r="BL66" s="340" t="e">
        <f>VLOOKUP(C66,Theory!B69:BC137,54,FALSE)</f>
        <v>#N/A</v>
      </c>
      <c r="BM66" s="340" t="e">
        <f>VLOOKUP(C66,Theory!B69:BD137,55,FALSE)</f>
        <v>#N/A</v>
      </c>
      <c r="BN66" s="340" t="e">
        <f>VLOOKUP(C66,Theory!B69:BE137,56,FALSE)</f>
        <v>#N/A</v>
      </c>
      <c r="BO66" s="340" t="e">
        <f>VLOOKUP(C66,Theory!B69:BF137,57,FALSE)</f>
        <v>#N/A</v>
      </c>
      <c r="BP66" s="340" t="e">
        <f>VLOOKUP(C66,Theory!B69:BG137,58,FALSE)</f>
        <v>#N/A</v>
      </c>
      <c r="BQ66" s="335" t="e">
        <f t="shared" si="14"/>
        <v>#N/A</v>
      </c>
      <c r="BR66" s="340" t="e">
        <f>VLOOKUP(C66,Theory!B69:BH137,59,FALSE)</f>
        <v>#N/A</v>
      </c>
      <c r="BS66" s="340" t="e">
        <f>VLOOKUP(C66,Theory!B69:BI137,60,FALSE)</f>
        <v>#N/A</v>
      </c>
      <c r="BT66" s="340" t="e">
        <f>VLOOKUP(C66,Theory!B69:BJ137,61,FALSE)</f>
        <v>#N/A</v>
      </c>
      <c r="BU66" s="340" t="e">
        <f>VLOOKUP(C66,Theory!B69:BK137,62,FALSE)</f>
        <v>#N/A</v>
      </c>
      <c r="BV66" s="340" t="e">
        <f>VLOOKUP(C66,Theory!B69:BL137,63,FALSE)</f>
        <v>#N/A</v>
      </c>
      <c r="BW66" s="340" t="e">
        <f>VLOOKUP(C66,Theory!B69:BM137,64,FALSE)</f>
        <v>#N/A</v>
      </c>
      <c r="BX66" s="340" t="e">
        <f>VLOOKUP(C66,Theory!B69:BN137,65,FALSE)</f>
        <v>#N/A</v>
      </c>
      <c r="BY66" s="340" t="e">
        <f>VLOOKUP(C66,Theory!B69:BO137,66,FALSE)</f>
        <v>#N/A</v>
      </c>
      <c r="BZ66" s="335" t="e">
        <f t="shared" si="15"/>
        <v>#N/A</v>
      </c>
      <c r="CA66" s="333" t="e">
        <f t="shared" si="1"/>
        <v>#N/A</v>
      </c>
      <c r="CB66" s="340" t="e">
        <f>VLOOKUP(C66,Theory!B69:BP137,67,FALSE)</f>
        <v>#N/A</v>
      </c>
      <c r="CC66" s="340" t="e">
        <f>VLOOKUP(C66,Theory!B69:BQ137,68,FALSE)</f>
        <v>#N/A</v>
      </c>
      <c r="CD66" s="340" t="e">
        <f>VLOOKUP(C66,Theory!B69:BR137,69,FALSE)</f>
        <v>#N/A</v>
      </c>
      <c r="CE66" s="340" t="e">
        <f>VLOOKUP(C66,Theory!B69:BS137,70,FALSE)</f>
        <v>#N/A</v>
      </c>
      <c r="CF66" s="335" t="e">
        <f t="shared" si="16"/>
        <v>#N/A</v>
      </c>
      <c r="CG66" s="341" t="e">
        <f>VLOOKUP(C66,Theory!B69:BT137,71,FALSE)</f>
        <v>#N/A</v>
      </c>
      <c r="CH66" s="341" t="e">
        <f>VLOOKUP(C66,Theory!B69:BU137,72,FALSE)</f>
        <v>#N/A</v>
      </c>
      <c r="CI66" s="341" t="e">
        <f>VLOOKUP(C66,Theory!B69:BV137,73,FALSE)</f>
        <v>#N/A</v>
      </c>
      <c r="CJ66" s="341" t="e">
        <f>VLOOKUP(C66,Theory!B69:BW137,74,FALSE)</f>
        <v>#N/A</v>
      </c>
      <c r="CK66" s="335" t="e">
        <f t="shared" si="17"/>
        <v>#N/A</v>
      </c>
      <c r="CL66" s="340" t="e">
        <f>VLOOKUP(C66,Theory!B69:BX137,75,FALSE)</f>
        <v>#N/A</v>
      </c>
      <c r="CM66" s="342" t="e">
        <f>VLOOKUP(C66,Theory!B69:BY137,76,FALSE)</f>
        <v>#N/A</v>
      </c>
      <c r="CN66" s="342" t="e">
        <f>VLOOKUP(C66,Theory!B69:BZ137,77,FALSE)</f>
        <v>#N/A</v>
      </c>
      <c r="CO66" s="342" t="e">
        <f>VLOOKUP(C66,Theory!B69:CA137,78,FALSE)</f>
        <v>#N/A</v>
      </c>
      <c r="CP66" s="340" t="e">
        <f>VLOOKUP(C66,Theory!B69:CB137,79,FALSE)</f>
        <v>#N/A</v>
      </c>
      <c r="CQ66" s="340" t="e">
        <f>VLOOKUP(C66,Theory!B69:CC137,80,FALSE)</f>
        <v>#N/A</v>
      </c>
      <c r="CR66" s="340" t="e">
        <f>VLOOKUP(C66,Theory!B69:CD137,81,FALSE)</f>
        <v>#N/A</v>
      </c>
      <c r="CS66" s="340" t="e">
        <f>VLOOKUP(C66,Theory!B69:CE137,82,FALSE)</f>
        <v>#N/A</v>
      </c>
      <c r="CT66" s="335" t="e">
        <f t="shared" si="18"/>
        <v>#N/A</v>
      </c>
      <c r="CU66" s="341" t="e">
        <f>VLOOKUP(C66,Theory!B69:CF137,83,FALSE)</f>
        <v>#N/A</v>
      </c>
      <c r="CV66" s="342" t="e">
        <f>VLOOKUP(C66,Theory!B69:CG137,84,FALSE)</f>
        <v>#N/A</v>
      </c>
      <c r="CW66" s="342" t="e">
        <f>VLOOKUP(C66,Theory!B69:CH137,85,FALSE)</f>
        <v>#N/A</v>
      </c>
      <c r="CX66" s="342" t="e">
        <f>VLOOKUP(C66,Theory!B69:CI137,86,FALSE)</f>
        <v>#N/A</v>
      </c>
      <c r="CY66" s="341" t="e">
        <f>VLOOKUP(C66,Theory!B69:CJ137,87,FALSE)</f>
        <v>#N/A</v>
      </c>
      <c r="CZ66" s="341" t="e">
        <f>VLOOKUP(C66,Theory!B69:CK137,88,FALSE)</f>
        <v>#N/A</v>
      </c>
      <c r="DA66" s="341" t="e">
        <f>VLOOKUP(C66,Theory!B69:CL137,89,FALSE)</f>
        <v>#N/A</v>
      </c>
      <c r="DB66" s="341" t="e">
        <f>VLOOKUP(C66,Theory!B69:CM137,90,FALSE)</f>
        <v>#N/A</v>
      </c>
      <c r="DC66" s="335" t="e">
        <f t="shared" si="19"/>
        <v>#N/A</v>
      </c>
      <c r="DD66" s="340" t="e">
        <f>VLOOKUP(C66,Theory!B69:CN137,91,FALSE)</f>
        <v>#N/A</v>
      </c>
      <c r="DE66" s="342" t="e">
        <f>VLOOKUP(C66,Theory!B69:CO137,92,FALSE)</f>
        <v>#N/A</v>
      </c>
      <c r="DF66" s="342" t="e">
        <f>VLOOKUP(C66,Theory!B69:CP137,93,FALSE)</f>
        <v>#N/A</v>
      </c>
      <c r="DG66" s="342" t="e">
        <f>VLOOKUP(C66,Theory!B69:CQ137,94,FALSE)</f>
        <v>#N/A</v>
      </c>
      <c r="DH66" s="340" t="e">
        <f>VLOOKUP(C66,Theory!B69:CR137,95,FALSE)</f>
        <v>#N/A</v>
      </c>
      <c r="DI66" s="340" t="e">
        <f>VLOOKUP(C66,Theory!B69:CS137,96,FALSE)</f>
        <v>#N/A</v>
      </c>
      <c r="DJ66" s="340" t="e">
        <f>VLOOKUP(C66,Theory!B69:CT137,97,FALSE)</f>
        <v>#N/A</v>
      </c>
      <c r="DK66" s="340" t="e">
        <f>VLOOKUP(C66,Theory!B69:CU137,98,FALSE)</f>
        <v>#N/A</v>
      </c>
      <c r="DL66" s="335" t="e">
        <f t="shared" si="20"/>
        <v>#N/A</v>
      </c>
      <c r="DM66" s="265" t="e">
        <f t="shared" si="2"/>
        <v>#N/A</v>
      </c>
      <c r="DN66" s="362" t="e">
        <f t="shared" si="40"/>
        <v>#N/A</v>
      </c>
      <c r="DO66" s="362" t="e">
        <f t="shared" si="41"/>
        <v>#N/A</v>
      </c>
      <c r="DP66" s="362" t="e">
        <f t="shared" si="42"/>
        <v>#N/A</v>
      </c>
      <c r="DQ66" s="343" t="e">
        <f t="shared" si="43"/>
        <v>#N/A</v>
      </c>
      <c r="DR66" s="343" t="e">
        <f t="shared" si="44"/>
        <v>#N/A</v>
      </c>
      <c r="DS66" s="343" t="e">
        <f t="shared" si="45"/>
        <v>#N/A</v>
      </c>
      <c r="DT66" s="328" t="e">
        <f t="shared" si="36"/>
        <v>#N/A</v>
      </c>
      <c r="DU66" s="326" t="e">
        <f>VLOOKUP(C66,Theory!B69:CV137,99,FALSE)</f>
        <v>#N/A</v>
      </c>
      <c r="DV66" s="326" t="e">
        <f>VLOOKUP(C66,Theory!B69:CW137,100,FALSE)</f>
        <v>#N/A</v>
      </c>
      <c r="DW66" s="331" t="e">
        <f t="shared" si="27"/>
        <v>#N/A</v>
      </c>
      <c r="DX66" s="266" t="e">
        <f t="shared" si="3"/>
        <v>#N/A</v>
      </c>
      <c r="DY66" s="363" t="e">
        <f t="shared" si="4"/>
        <v>#N/A</v>
      </c>
      <c r="DZ66" s="344">
        <f>VLOOKUP(C66,Lab!B61:D130,3,FALSE)</f>
        <v>0</v>
      </c>
      <c r="EA66" s="345">
        <f>VLOOKUP(C66,Lab!B61:E130,4,FALSE)</f>
        <v>0</v>
      </c>
      <c r="EB66" s="345">
        <f>VLOOKUP(C66,Lab!B61:F130,5,FALSE)</f>
        <v>0</v>
      </c>
      <c r="EC66" s="329">
        <f t="shared" si="37"/>
        <v>0</v>
      </c>
      <c r="ED66" s="346">
        <f>VLOOKUP(C66,Lab!B61:G130,6,FALSE)</f>
        <v>0</v>
      </c>
      <c r="EE66" s="346">
        <f>VLOOKUP(C66,Lab!B61:H130,7,FALSE)</f>
        <v>0</v>
      </c>
      <c r="EF66" s="347">
        <f>VLOOKUP(C66,Lab!B61:I130,8,FALSE)</f>
        <v>0</v>
      </c>
      <c r="EG66" s="330">
        <f t="shared" si="38"/>
        <v>0</v>
      </c>
      <c r="EH66" s="390">
        <f t="shared" si="28"/>
        <v>0</v>
      </c>
      <c r="EI66" s="349">
        <f t="shared" si="29"/>
        <v>0</v>
      </c>
      <c r="EJ66" s="391" t="e">
        <f t="shared" si="5"/>
        <v>#N/A</v>
      </c>
      <c r="EK66" s="258">
        <v>0</v>
      </c>
      <c r="EM66" s="350" t="e">
        <f>VLOOKUP(C66,Theory!B69:DL137,114,FALSE)</f>
        <v>#N/A</v>
      </c>
      <c r="EN66" s="350" t="e">
        <f>VLOOKUP(C66,Theory!B69:DM137,115,FALSE)</f>
        <v>#N/A</v>
      </c>
      <c r="EO66" s="350" t="e">
        <f>VLOOKUP(C66,Theory!B69:DN137,116,FALSE)</f>
        <v>#N/A</v>
      </c>
      <c r="EP66" s="350" t="e">
        <f>VLOOKUP(C66,Theory!B69:DO135,117,FALSE)</f>
        <v>#N/A</v>
      </c>
      <c r="EQ66" s="350" t="e">
        <f>VLOOKUP(C66,Theory!B69:DP135,118,FALSE)</f>
        <v>#N/A</v>
      </c>
      <c r="ER66" s="351" t="e">
        <f>VLOOKUP(C66,Theory!B69:DQ135,119,FALSE)</f>
        <v>#N/A</v>
      </c>
      <c r="ES66" s="327" t="e">
        <f>VLOOKUP(C66,Theory!B69:DR135,120,FALSE)</f>
        <v>#N/A</v>
      </c>
      <c r="ET66" s="348" t="e">
        <f t="shared" si="39"/>
        <v>#N/A</v>
      </c>
      <c r="EU66" s="352"/>
      <c r="EV66" s="352"/>
      <c r="EW66" s="352"/>
      <c r="EX66" s="352"/>
      <c r="EY66" s="352"/>
      <c r="EZ66" s="352"/>
      <c r="FA66" s="352"/>
      <c r="FB66" s="352"/>
      <c r="FC66" s="352"/>
      <c r="FD66" s="352"/>
    </row>
    <row r="67" spans="1:160" ht="16.2" thickBot="1" x14ac:dyDescent="0.35">
      <c r="A67" s="64">
        <v>54</v>
      </c>
      <c r="B67" s="17">
        <f>Theory!C70</f>
        <v>0</v>
      </c>
      <c r="C67" s="16">
        <f>Theory!B70</f>
        <v>0</v>
      </c>
      <c r="D67" s="334" t="e">
        <f>VLOOKUP(C67,Theory!B70:D138,3,FALSE)</f>
        <v>#N/A</v>
      </c>
      <c r="E67" s="334" t="e">
        <f>VLOOKUP(C67,Theory!B70:E138,4,FALSE)</f>
        <v>#N/A</v>
      </c>
      <c r="F67" s="334" t="e">
        <f>VLOOKUP(C67,Theory!B70:F138,5,FALSE)</f>
        <v>#N/A</v>
      </c>
      <c r="G67" s="334" t="e">
        <f>VLOOKUP(C67,Theory!B70:G138,6,FALSE)</f>
        <v>#N/A</v>
      </c>
      <c r="H67" s="335" t="e">
        <f t="shared" si="6"/>
        <v>#N/A</v>
      </c>
      <c r="I67" s="338" t="e">
        <f>VLOOKUP(C67,Theory!B70:H138,7,FALSE)</f>
        <v>#N/A</v>
      </c>
      <c r="J67" s="337" t="e">
        <f>VLOOKUP(C67,Theory!B70:I138,8,FALSE)</f>
        <v>#N/A</v>
      </c>
      <c r="K67" s="337" t="e">
        <f>VLOOKUP(C67,Theory!B70:J138,9,FALSE)</f>
        <v>#N/A</v>
      </c>
      <c r="L67" s="337" t="e">
        <f>VLOOKUP(C67,Theory!B70:K138,10,FALSE)</f>
        <v>#N/A</v>
      </c>
      <c r="M67" s="335" t="e">
        <f t="shared" si="7"/>
        <v>#N/A</v>
      </c>
      <c r="N67" s="336" t="e">
        <f>VLOOKUP(C67,Theory!B70:L138,11,FALSE)</f>
        <v>#N/A</v>
      </c>
      <c r="O67" s="336" t="e">
        <f>VLOOKUP(C67,Theory!B70:M138,12,FALSE)</f>
        <v>#N/A</v>
      </c>
      <c r="P67" s="336" t="e">
        <f>VLOOKUP(C67,Theory!B70:N138,13,FALSE)</f>
        <v>#N/A</v>
      </c>
      <c r="Q67" s="336" t="e">
        <f>VLOOKUP(C67,Theory!B70:O138,14,FALSE)</f>
        <v>#N/A</v>
      </c>
      <c r="R67" s="337" t="e">
        <f>VLOOKUP(C67,Theory!B70:P138,15,FALSE)</f>
        <v>#N/A</v>
      </c>
      <c r="S67" s="337" t="e">
        <f>VLOOKUP(C67,Theory!B70:Q138,16,FALSE)</f>
        <v>#N/A</v>
      </c>
      <c r="T67" s="337" t="e">
        <f>VLOOKUP(C67,Theory!B70:R138,17,FALSE)</f>
        <v>#N/A</v>
      </c>
      <c r="U67" s="337" t="e">
        <f>VLOOKUP(C67,Theory!B70:S138,18,FALSE)</f>
        <v>#N/A</v>
      </c>
      <c r="V67" s="335" t="e">
        <f t="shared" si="8"/>
        <v>#N/A</v>
      </c>
      <c r="W67" s="334" t="e">
        <f>VLOOKUP(C67,Theory!B70:T138,19,FALSE)</f>
        <v>#N/A</v>
      </c>
      <c r="X67" s="334" t="e">
        <f>VLOOKUP(C67,Theory!B70:U138,20,FALSE)</f>
        <v>#N/A</v>
      </c>
      <c r="Y67" s="334" t="e">
        <f>VLOOKUP(C67,Theory!B70:V138,21,FALSE)</f>
        <v>#N/A</v>
      </c>
      <c r="Z67" s="334" t="e">
        <f>VLOOKUP(C67,Theory!B70:W138,22,FALSE)</f>
        <v>#N/A</v>
      </c>
      <c r="AA67" s="338" t="e">
        <f>VLOOKUP(C67,Theory!B70:X138,23,FALSE)</f>
        <v>#N/A</v>
      </c>
      <c r="AB67" s="338" t="e">
        <f>VLOOKUP(C67,Theory!B70:Y138,24,FALSE)</f>
        <v>#N/A</v>
      </c>
      <c r="AC67" s="338" t="e">
        <f>VLOOKUP(C67,Theory!B70:Z138,25,FALSE)</f>
        <v>#N/A</v>
      </c>
      <c r="AD67" s="338" t="e">
        <f>VLOOKUP(C67,Theory!B70:AA138,26,FALSE)</f>
        <v>#N/A</v>
      </c>
      <c r="AE67" s="335" t="e">
        <f t="shared" si="9"/>
        <v>#N/A</v>
      </c>
      <c r="AF67" s="334" t="e">
        <f>VLOOKUP(C67,Theory!B70:AB138,27,FALSE)</f>
        <v>#N/A</v>
      </c>
      <c r="AG67" s="334" t="e">
        <f>VLOOKUP(C67,Theory!B70:AC138,28,FALSE)</f>
        <v>#N/A</v>
      </c>
      <c r="AH67" s="334" t="e">
        <f>VLOOKUP(C67,Theory!B70:AD138,29,FALSE)</f>
        <v>#N/A</v>
      </c>
      <c r="AI67" s="334" t="e">
        <f>VLOOKUP(C67,Theory!B70:AE138,30,FALSE)</f>
        <v>#N/A</v>
      </c>
      <c r="AJ67" s="339" t="e">
        <f>VLOOKUP(C67,Theory!B70:AF138,31,FALSE)</f>
        <v>#N/A</v>
      </c>
      <c r="AK67" s="339" t="e">
        <f>VLOOKUP(C67,Theory!B70:AG138,32,FALSE)</f>
        <v>#N/A</v>
      </c>
      <c r="AL67" s="339" t="e">
        <f>VLOOKUP(C67,Theory!B70:AH138,33,FALSE)</f>
        <v>#N/A</v>
      </c>
      <c r="AM67" s="339" t="e">
        <f>VLOOKUP(C67,Theory!B70:AI138,34,FALSE)</f>
        <v>#N/A</v>
      </c>
      <c r="AN67" s="335" t="e">
        <f t="shared" si="10"/>
        <v>#N/A</v>
      </c>
      <c r="AO67" s="333" t="e">
        <f t="shared" si="0"/>
        <v>#N/A</v>
      </c>
      <c r="AP67" s="340" t="e">
        <f>VLOOKUP(C67,Theory!B70:AJ138,35,FALSE)</f>
        <v>#N/A</v>
      </c>
      <c r="AQ67" s="340" t="e">
        <f>VLOOKUP(C67,Theory!B70:AK138,36,FALSE)</f>
        <v>#N/A</v>
      </c>
      <c r="AR67" s="340" t="e">
        <f>VLOOKUP(C67,Theory!B70:AL138,37,FALSE)</f>
        <v>#N/A</v>
      </c>
      <c r="AS67" s="340" t="e">
        <f>VLOOKUP(C67,Theory!B70:AM138,38,FALSE)</f>
        <v>#N/A</v>
      </c>
      <c r="AT67" s="335" t="e">
        <f t="shared" si="11"/>
        <v>#N/A</v>
      </c>
      <c r="AU67" s="340" t="e">
        <f>VLOOKUP(C67,Theory!B70:AN138,39,FALSE)</f>
        <v>#N/A</v>
      </c>
      <c r="AV67" s="340" t="e">
        <f>VLOOKUP(C67,Theory!B70:AO138,40,FALSE)</f>
        <v>#N/A</v>
      </c>
      <c r="AW67" s="340" t="e">
        <f>VLOOKUP(C67,Theory!B70:AP138,41,FALSE)</f>
        <v>#N/A</v>
      </c>
      <c r="AX67" s="340" t="e">
        <f>VLOOKUP(C67,Theory!B70:AQ138,42,FALSE)</f>
        <v>#N/A</v>
      </c>
      <c r="AY67" s="335" t="e">
        <f t="shared" si="12"/>
        <v>#N/A</v>
      </c>
      <c r="AZ67" s="340" t="e">
        <f>VLOOKUP(C67,Theory!B70:AR138,43,FALSE)</f>
        <v>#N/A</v>
      </c>
      <c r="BA67" s="340" t="e">
        <f>VLOOKUP(C67,Theory!B70:AS138,44,FALSE)</f>
        <v>#N/A</v>
      </c>
      <c r="BB67" s="340" t="e">
        <f>VLOOKUP(C67,Theory!B70:AT138,45,FALSE)</f>
        <v>#N/A</v>
      </c>
      <c r="BC67" s="340" t="e">
        <f>VLOOKUP(C67,Theory!B70:AU138,46,FALSE)</f>
        <v>#N/A</v>
      </c>
      <c r="BD67" s="340" t="e">
        <f>VLOOKUP(C67,Theory!B70:AV138,47,FALSE)</f>
        <v>#N/A</v>
      </c>
      <c r="BE67" s="340" t="e">
        <f>VLOOKUP(C67,Theory!B70:AW138,48,FALSE)</f>
        <v>#N/A</v>
      </c>
      <c r="BF67" s="340" t="e">
        <f>VLOOKUP(C67,Theory!B70:AX138,49,FALSE)</f>
        <v>#N/A</v>
      </c>
      <c r="BG67" s="340" t="e">
        <f>VLOOKUP(C67,Theory!B70:AY138,50,FALSE)</f>
        <v>#N/A</v>
      </c>
      <c r="BH67" s="335" t="e">
        <f t="shared" si="13"/>
        <v>#N/A</v>
      </c>
      <c r="BI67" s="340" t="e">
        <f>VLOOKUP(C67,Theory!B70:AZ138,51,FALSE)</f>
        <v>#N/A</v>
      </c>
      <c r="BJ67" s="340" t="e">
        <f>VLOOKUP(C67,Theory!B70:BA138,52,FALSE)</f>
        <v>#N/A</v>
      </c>
      <c r="BK67" s="340" t="e">
        <f>VLOOKUP(C67,Theory!B70:BB138,53,FALSE)</f>
        <v>#N/A</v>
      </c>
      <c r="BL67" s="340" t="e">
        <f>VLOOKUP(C67,Theory!B70:BC138,54,FALSE)</f>
        <v>#N/A</v>
      </c>
      <c r="BM67" s="340" t="e">
        <f>VLOOKUP(C67,Theory!B70:BD138,55,FALSE)</f>
        <v>#N/A</v>
      </c>
      <c r="BN67" s="340" t="e">
        <f>VLOOKUP(C67,Theory!B70:BE138,56,FALSE)</f>
        <v>#N/A</v>
      </c>
      <c r="BO67" s="340" t="e">
        <f>VLOOKUP(C67,Theory!B70:BF138,57,FALSE)</f>
        <v>#N/A</v>
      </c>
      <c r="BP67" s="340" t="e">
        <f>VLOOKUP(C67,Theory!B70:BG138,58,FALSE)</f>
        <v>#N/A</v>
      </c>
      <c r="BQ67" s="335" t="e">
        <f t="shared" si="14"/>
        <v>#N/A</v>
      </c>
      <c r="BR67" s="340" t="e">
        <f>VLOOKUP(C67,Theory!B70:BH138,59,FALSE)</f>
        <v>#N/A</v>
      </c>
      <c r="BS67" s="340" t="e">
        <f>VLOOKUP(C67,Theory!B70:BI138,60,FALSE)</f>
        <v>#N/A</v>
      </c>
      <c r="BT67" s="340" t="e">
        <f>VLOOKUP(C67,Theory!B70:BJ138,61,FALSE)</f>
        <v>#N/A</v>
      </c>
      <c r="BU67" s="340" t="e">
        <f>VLOOKUP(C67,Theory!B70:BK138,62,FALSE)</f>
        <v>#N/A</v>
      </c>
      <c r="BV67" s="340" t="e">
        <f>VLOOKUP(C67,Theory!B70:BL138,63,FALSE)</f>
        <v>#N/A</v>
      </c>
      <c r="BW67" s="340" t="e">
        <f>VLOOKUP(C67,Theory!B70:BM138,64,FALSE)</f>
        <v>#N/A</v>
      </c>
      <c r="BX67" s="340" t="e">
        <f>VLOOKUP(C67,Theory!B70:BN138,65,FALSE)</f>
        <v>#N/A</v>
      </c>
      <c r="BY67" s="340" t="e">
        <f>VLOOKUP(C67,Theory!B70:BO138,66,FALSE)</f>
        <v>#N/A</v>
      </c>
      <c r="BZ67" s="335" t="e">
        <f t="shared" si="15"/>
        <v>#N/A</v>
      </c>
      <c r="CA67" s="333" t="e">
        <f t="shared" si="1"/>
        <v>#N/A</v>
      </c>
      <c r="CB67" s="340" t="e">
        <f>VLOOKUP(C67,Theory!B70:BP138,67,FALSE)</f>
        <v>#N/A</v>
      </c>
      <c r="CC67" s="340" t="e">
        <f>VLOOKUP(C67,Theory!B70:BQ138,68,FALSE)</f>
        <v>#N/A</v>
      </c>
      <c r="CD67" s="340" t="e">
        <f>VLOOKUP(C67,Theory!B70:BR138,69,FALSE)</f>
        <v>#N/A</v>
      </c>
      <c r="CE67" s="340" t="e">
        <f>VLOOKUP(C67,Theory!B70:BS138,70,FALSE)</f>
        <v>#N/A</v>
      </c>
      <c r="CF67" s="335" t="e">
        <f t="shared" si="16"/>
        <v>#N/A</v>
      </c>
      <c r="CG67" s="341" t="e">
        <f>VLOOKUP(C67,Theory!B70:BT138,71,FALSE)</f>
        <v>#N/A</v>
      </c>
      <c r="CH67" s="341" t="e">
        <f>VLOOKUP(C67,Theory!B70:BU138,72,FALSE)</f>
        <v>#N/A</v>
      </c>
      <c r="CI67" s="341" t="e">
        <f>VLOOKUP(C67,Theory!B70:BV138,73,FALSE)</f>
        <v>#N/A</v>
      </c>
      <c r="CJ67" s="341" t="e">
        <f>VLOOKUP(C67,Theory!B70:BW138,74,FALSE)</f>
        <v>#N/A</v>
      </c>
      <c r="CK67" s="335" t="e">
        <f t="shared" si="17"/>
        <v>#N/A</v>
      </c>
      <c r="CL67" s="340" t="e">
        <f>VLOOKUP(C67,Theory!B70:BX138,75,FALSE)</f>
        <v>#N/A</v>
      </c>
      <c r="CM67" s="342" t="e">
        <f>VLOOKUP(C67,Theory!B70:BY138,76,FALSE)</f>
        <v>#N/A</v>
      </c>
      <c r="CN67" s="342" t="e">
        <f>VLOOKUP(C67,Theory!B70:BZ138,77,FALSE)</f>
        <v>#N/A</v>
      </c>
      <c r="CO67" s="342" t="e">
        <f>VLOOKUP(C67,Theory!B70:CA138,78,FALSE)</f>
        <v>#N/A</v>
      </c>
      <c r="CP67" s="340" t="e">
        <f>VLOOKUP(C67,Theory!B70:CB138,79,FALSE)</f>
        <v>#N/A</v>
      </c>
      <c r="CQ67" s="340" t="e">
        <f>VLOOKUP(C67,Theory!B70:CC138,80,FALSE)</f>
        <v>#N/A</v>
      </c>
      <c r="CR67" s="340" t="e">
        <f>VLOOKUP(C67,Theory!B70:CD138,81,FALSE)</f>
        <v>#N/A</v>
      </c>
      <c r="CS67" s="340" t="e">
        <f>VLOOKUP(C67,Theory!B70:CE138,82,FALSE)</f>
        <v>#N/A</v>
      </c>
      <c r="CT67" s="335" t="e">
        <f t="shared" si="18"/>
        <v>#N/A</v>
      </c>
      <c r="CU67" s="341" t="e">
        <f>VLOOKUP(C67,Theory!B70:CF138,83,FALSE)</f>
        <v>#N/A</v>
      </c>
      <c r="CV67" s="342" t="e">
        <f>VLOOKUP(C67,Theory!B70:CG138,84,FALSE)</f>
        <v>#N/A</v>
      </c>
      <c r="CW67" s="342" t="e">
        <f>VLOOKUP(C67,Theory!B70:CH138,85,FALSE)</f>
        <v>#N/A</v>
      </c>
      <c r="CX67" s="342" t="e">
        <f>VLOOKUP(C67,Theory!B70:CI138,86,FALSE)</f>
        <v>#N/A</v>
      </c>
      <c r="CY67" s="341" t="e">
        <f>VLOOKUP(C67,Theory!B70:CJ138,87,FALSE)</f>
        <v>#N/A</v>
      </c>
      <c r="CZ67" s="341" t="e">
        <f>VLOOKUP(C67,Theory!B70:CK138,88,FALSE)</f>
        <v>#N/A</v>
      </c>
      <c r="DA67" s="341" t="e">
        <f>VLOOKUP(C67,Theory!B70:CL138,89,FALSE)</f>
        <v>#N/A</v>
      </c>
      <c r="DB67" s="341" t="e">
        <f>VLOOKUP(C67,Theory!B70:CM138,90,FALSE)</f>
        <v>#N/A</v>
      </c>
      <c r="DC67" s="335" t="e">
        <f t="shared" si="19"/>
        <v>#N/A</v>
      </c>
      <c r="DD67" s="340" t="e">
        <f>VLOOKUP(C67,Theory!B70:CN138,91,FALSE)</f>
        <v>#N/A</v>
      </c>
      <c r="DE67" s="342" t="e">
        <f>VLOOKUP(C67,Theory!B70:CO138,92,FALSE)</f>
        <v>#N/A</v>
      </c>
      <c r="DF67" s="342" t="e">
        <f>VLOOKUP(C67,Theory!B70:CP138,93,FALSE)</f>
        <v>#N/A</v>
      </c>
      <c r="DG67" s="342" t="e">
        <f>VLOOKUP(C67,Theory!B70:CQ138,94,FALSE)</f>
        <v>#N/A</v>
      </c>
      <c r="DH67" s="340" t="e">
        <f>VLOOKUP(C67,Theory!B70:CR138,95,FALSE)</f>
        <v>#N/A</v>
      </c>
      <c r="DI67" s="340" t="e">
        <f>VLOOKUP(C67,Theory!B70:CS138,96,FALSE)</f>
        <v>#N/A</v>
      </c>
      <c r="DJ67" s="340" t="e">
        <f>VLOOKUP(C67,Theory!B70:CT138,97,FALSE)</f>
        <v>#N/A</v>
      </c>
      <c r="DK67" s="340" t="e">
        <f>VLOOKUP(C67,Theory!B70:CU138,98,FALSE)</f>
        <v>#N/A</v>
      </c>
      <c r="DL67" s="335" t="e">
        <f t="shared" si="20"/>
        <v>#N/A</v>
      </c>
      <c r="DM67" s="265" t="e">
        <f t="shared" si="2"/>
        <v>#N/A</v>
      </c>
      <c r="DN67" s="362" t="e">
        <f t="shared" si="40"/>
        <v>#N/A</v>
      </c>
      <c r="DO67" s="362" t="e">
        <f t="shared" si="41"/>
        <v>#N/A</v>
      </c>
      <c r="DP67" s="362" t="e">
        <f t="shared" si="42"/>
        <v>#N/A</v>
      </c>
      <c r="DQ67" s="343" t="e">
        <f t="shared" si="43"/>
        <v>#N/A</v>
      </c>
      <c r="DR67" s="343" t="e">
        <f t="shared" si="44"/>
        <v>#N/A</v>
      </c>
      <c r="DS67" s="343" t="e">
        <f t="shared" si="45"/>
        <v>#N/A</v>
      </c>
      <c r="DT67" s="328" t="e">
        <f t="shared" si="36"/>
        <v>#N/A</v>
      </c>
      <c r="DU67" s="326" t="e">
        <f>VLOOKUP(C67,Theory!B70:CV138,99,FALSE)</f>
        <v>#N/A</v>
      </c>
      <c r="DV67" s="326" t="e">
        <f>VLOOKUP(C67,Theory!B70:CW138,100,FALSE)</f>
        <v>#N/A</v>
      </c>
      <c r="DW67" s="331" t="e">
        <f t="shared" si="27"/>
        <v>#N/A</v>
      </c>
      <c r="DX67" s="266" t="e">
        <f t="shared" si="3"/>
        <v>#N/A</v>
      </c>
      <c r="DY67" s="363" t="e">
        <f t="shared" si="4"/>
        <v>#N/A</v>
      </c>
      <c r="DZ67" s="344">
        <f>VLOOKUP(C67,Lab!B62:D131,3,FALSE)</f>
        <v>0</v>
      </c>
      <c r="EA67" s="345">
        <f>VLOOKUP(C67,Lab!B62:E131,4,FALSE)</f>
        <v>0</v>
      </c>
      <c r="EB67" s="345">
        <f>VLOOKUP(C67,Lab!B62:F131,5,FALSE)</f>
        <v>0</v>
      </c>
      <c r="EC67" s="329">
        <f t="shared" si="37"/>
        <v>0</v>
      </c>
      <c r="ED67" s="346">
        <f>VLOOKUP(C67,Lab!B62:G131,6,FALSE)</f>
        <v>0</v>
      </c>
      <c r="EE67" s="346">
        <f>VLOOKUP(C67,Lab!B62:H131,7,FALSE)</f>
        <v>0</v>
      </c>
      <c r="EF67" s="347">
        <f>VLOOKUP(C67,Lab!B62:I131,8,FALSE)</f>
        <v>0</v>
      </c>
      <c r="EG67" s="330">
        <f t="shared" si="38"/>
        <v>0</v>
      </c>
      <c r="EH67" s="390">
        <f t="shared" si="28"/>
        <v>0</v>
      </c>
      <c r="EI67" s="349">
        <f t="shared" si="29"/>
        <v>0</v>
      </c>
      <c r="EJ67" s="391" t="e">
        <f t="shared" si="5"/>
        <v>#N/A</v>
      </c>
      <c r="EK67" s="258">
        <v>0</v>
      </c>
      <c r="EM67" s="350" t="e">
        <f>VLOOKUP(C67,Theory!B70:DL138,114,FALSE)</f>
        <v>#N/A</v>
      </c>
      <c r="EN67" s="350" t="e">
        <f>VLOOKUP(C67,Theory!B70:DM138,115,FALSE)</f>
        <v>#N/A</v>
      </c>
      <c r="EO67" s="350" t="e">
        <f>VLOOKUP(C67,Theory!B70:DN138,116,FALSE)</f>
        <v>#N/A</v>
      </c>
      <c r="EP67" s="350" t="e">
        <f>VLOOKUP(C67,Theory!B70:DO136,117,FALSE)</f>
        <v>#N/A</v>
      </c>
      <c r="EQ67" s="350" t="e">
        <f>VLOOKUP(C67,Theory!B70:DP136,118,FALSE)</f>
        <v>#N/A</v>
      </c>
      <c r="ER67" s="351" t="e">
        <f>VLOOKUP(C67,Theory!B70:DQ136,119,FALSE)</f>
        <v>#N/A</v>
      </c>
      <c r="ES67" s="327" t="e">
        <f>VLOOKUP(C67,Theory!B70:DR136,120,FALSE)</f>
        <v>#N/A</v>
      </c>
      <c r="ET67" s="348" t="e">
        <f t="shared" si="39"/>
        <v>#N/A</v>
      </c>
      <c r="EU67" s="352"/>
      <c r="EV67" s="352"/>
      <c r="EW67" s="352"/>
      <c r="EX67" s="352"/>
      <c r="EY67" s="352"/>
      <c r="EZ67" s="352"/>
      <c r="FA67" s="352"/>
      <c r="FB67" s="352"/>
      <c r="FC67" s="352"/>
      <c r="FD67" s="352"/>
    </row>
    <row r="68" spans="1:160" ht="16.2" thickBot="1" x14ac:dyDescent="0.35">
      <c r="A68" s="64">
        <v>55</v>
      </c>
      <c r="B68" s="17">
        <f>Theory!C71</f>
        <v>0</v>
      </c>
      <c r="C68" s="16">
        <f>Theory!B71</f>
        <v>0</v>
      </c>
      <c r="D68" s="334" t="e">
        <f>VLOOKUP(C68,Theory!B71:D139,3,FALSE)</f>
        <v>#N/A</v>
      </c>
      <c r="E68" s="334" t="e">
        <f>VLOOKUP(C68,Theory!B71:E139,4,FALSE)</f>
        <v>#N/A</v>
      </c>
      <c r="F68" s="334" t="e">
        <f>VLOOKUP(C68,Theory!B71:F139,5,FALSE)</f>
        <v>#N/A</v>
      </c>
      <c r="G68" s="334" t="e">
        <f>VLOOKUP(C68,Theory!B71:G139,6,FALSE)</f>
        <v>#N/A</v>
      </c>
      <c r="H68" s="335" t="e">
        <f t="shared" si="6"/>
        <v>#N/A</v>
      </c>
      <c r="I68" s="338" t="e">
        <f>VLOOKUP(C68,Theory!B71:H139,7,FALSE)</f>
        <v>#N/A</v>
      </c>
      <c r="J68" s="337" t="e">
        <f>VLOOKUP(C68,Theory!B71:I139,8,FALSE)</f>
        <v>#N/A</v>
      </c>
      <c r="K68" s="337" t="e">
        <f>VLOOKUP(C68,Theory!B71:J139,9,FALSE)</f>
        <v>#N/A</v>
      </c>
      <c r="L68" s="337" t="e">
        <f>VLOOKUP(C68,Theory!B71:K139,10,FALSE)</f>
        <v>#N/A</v>
      </c>
      <c r="M68" s="335" t="e">
        <f t="shared" si="7"/>
        <v>#N/A</v>
      </c>
      <c r="N68" s="336" t="e">
        <f>VLOOKUP(C68,Theory!B71:L139,11,FALSE)</f>
        <v>#N/A</v>
      </c>
      <c r="O68" s="336" t="e">
        <f>VLOOKUP(C68,Theory!B71:M139,12,FALSE)</f>
        <v>#N/A</v>
      </c>
      <c r="P68" s="336" t="e">
        <f>VLOOKUP(C68,Theory!B71:N139,13,FALSE)</f>
        <v>#N/A</v>
      </c>
      <c r="Q68" s="336" t="e">
        <f>VLOOKUP(C68,Theory!B71:O139,14,FALSE)</f>
        <v>#N/A</v>
      </c>
      <c r="R68" s="337" t="e">
        <f>VLOOKUP(C68,Theory!B71:P139,15,FALSE)</f>
        <v>#N/A</v>
      </c>
      <c r="S68" s="337" t="e">
        <f>VLOOKUP(C68,Theory!B71:Q139,16,FALSE)</f>
        <v>#N/A</v>
      </c>
      <c r="T68" s="337" t="e">
        <f>VLOOKUP(C68,Theory!B71:R139,17,FALSE)</f>
        <v>#N/A</v>
      </c>
      <c r="U68" s="337" t="e">
        <f>VLOOKUP(C68,Theory!B71:S139,18,FALSE)</f>
        <v>#N/A</v>
      </c>
      <c r="V68" s="335" t="e">
        <f t="shared" si="8"/>
        <v>#N/A</v>
      </c>
      <c r="W68" s="334" t="e">
        <f>VLOOKUP(C68,Theory!B71:T139,19,FALSE)</f>
        <v>#N/A</v>
      </c>
      <c r="X68" s="334" t="e">
        <f>VLOOKUP(C68,Theory!B71:U139,20,FALSE)</f>
        <v>#N/A</v>
      </c>
      <c r="Y68" s="334" t="e">
        <f>VLOOKUP(C68,Theory!B71:V139,21,FALSE)</f>
        <v>#N/A</v>
      </c>
      <c r="Z68" s="334" t="e">
        <f>VLOOKUP(C68,Theory!B71:W139,22,FALSE)</f>
        <v>#N/A</v>
      </c>
      <c r="AA68" s="338" t="e">
        <f>VLOOKUP(C68,Theory!B71:X139,23,FALSE)</f>
        <v>#N/A</v>
      </c>
      <c r="AB68" s="338" t="e">
        <f>VLOOKUP(C68,Theory!B71:Y139,24,FALSE)</f>
        <v>#N/A</v>
      </c>
      <c r="AC68" s="338" t="e">
        <f>VLOOKUP(C68,Theory!B71:Z139,25,FALSE)</f>
        <v>#N/A</v>
      </c>
      <c r="AD68" s="338" t="e">
        <f>VLOOKUP(C68,Theory!B71:AA139,26,FALSE)</f>
        <v>#N/A</v>
      </c>
      <c r="AE68" s="335" t="e">
        <f t="shared" si="9"/>
        <v>#N/A</v>
      </c>
      <c r="AF68" s="334" t="e">
        <f>VLOOKUP(C68,Theory!B71:AB139,27,FALSE)</f>
        <v>#N/A</v>
      </c>
      <c r="AG68" s="334" t="e">
        <f>VLOOKUP(C68,Theory!B71:AC139,28,FALSE)</f>
        <v>#N/A</v>
      </c>
      <c r="AH68" s="334" t="e">
        <f>VLOOKUP(C68,Theory!B71:AD139,29,FALSE)</f>
        <v>#N/A</v>
      </c>
      <c r="AI68" s="334" t="e">
        <f>VLOOKUP(C68,Theory!B71:AE139,30,FALSE)</f>
        <v>#N/A</v>
      </c>
      <c r="AJ68" s="339" t="e">
        <f>VLOOKUP(C68,Theory!B71:AF139,31,FALSE)</f>
        <v>#N/A</v>
      </c>
      <c r="AK68" s="339" t="e">
        <f>VLOOKUP(C68,Theory!B71:AG139,32,FALSE)</f>
        <v>#N/A</v>
      </c>
      <c r="AL68" s="339" t="e">
        <f>VLOOKUP(C68,Theory!B71:AH139,33,FALSE)</f>
        <v>#N/A</v>
      </c>
      <c r="AM68" s="339" t="e">
        <f>VLOOKUP(C68,Theory!B71:AI139,34,FALSE)</f>
        <v>#N/A</v>
      </c>
      <c r="AN68" s="335" t="e">
        <f t="shared" si="10"/>
        <v>#N/A</v>
      </c>
      <c r="AO68" s="333" t="e">
        <f t="shared" si="0"/>
        <v>#N/A</v>
      </c>
      <c r="AP68" s="340" t="e">
        <f>VLOOKUP(C68,Theory!B71:AJ139,35,FALSE)</f>
        <v>#N/A</v>
      </c>
      <c r="AQ68" s="340" t="e">
        <f>VLOOKUP(C68,Theory!B71:AK139,36,FALSE)</f>
        <v>#N/A</v>
      </c>
      <c r="AR68" s="340" t="e">
        <f>VLOOKUP(C68,Theory!B71:AL139,37,FALSE)</f>
        <v>#N/A</v>
      </c>
      <c r="AS68" s="340" t="e">
        <f>VLOOKUP(C68,Theory!B71:AM139,38,FALSE)</f>
        <v>#N/A</v>
      </c>
      <c r="AT68" s="335" t="e">
        <f t="shared" si="11"/>
        <v>#N/A</v>
      </c>
      <c r="AU68" s="340" t="e">
        <f>VLOOKUP(C68,Theory!B71:AN139,39,FALSE)</f>
        <v>#N/A</v>
      </c>
      <c r="AV68" s="340" t="e">
        <f>VLOOKUP(C68,Theory!B71:AO139,40,FALSE)</f>
        <v>#N/A</v>
      </c>
      <c r="AW68" s="340" t="e">
        <f>VLOOKUP(C68,Theory!B71:AP139,41,FALSE)</f>
        <v>#N/A</v>
      </c>
      <c r="AX68" s="340" t="e">
        <f>VLOOKUP(C68,Theory!B71:AQ139,42,FALSE)</f>
        <v>#N/A</v>
      </c>
      <c r="AY68" s="335" t="e">
        <f t="shared" si="12"/>
        <v>#N/A</v>
      </c>
      <c r="AZ68" s="340" t="e">
        <f>VLOOKUP(C68,Theory!B71:AR139,43,FALSE)</f>
        <v>#N/A</v>
      </c>
      <c r="BA68" s="340" t="e">
        <f>VLOOKUP(C68,Theory!B71:AS139,44,FALSE)</f>
        <v>#N/A</v>
      </c>
      <c r="BB68" s="340" t="e">
        <f>VLOOKUP(C68,Theory!B71:AT139,45,FALSE)</f>
        <v>#N/A</v>
      </c>
      <c r="BC68" s="340" t="e">
        <f>VLOOKUP(C68,Theory!B71:AU139,46,FALSE)</f>
        <v>#N/A</v>
      </c>
      <c r="BD68" s="340" t="e">
        <f>VLOOKUP(C68,Theory!B71:AV139,47,FALSE)</f>
        <v>#N/A</v>
      </c>
      <c r="BE68" s="340" t="e">
        <f>VLOOKUP(C68,Theory!B71:AW139,48,FALSE)</f>
        <v>#N/A</v>
      </c>
      <c r="BF68" s="340" t="e">
        <f>VLOOKUP(C68,Theory!B71:AX139,49,FALSE)</f>
        <v>#N/A</v>
      </c>
      <c r="BG68" s="340" t="e">
        <f>VLOOKUP(C68,Theory!B71:AY139,50,FALSE)</f>
        <v>#N/A</v>
      </c>
      <c r="BH68" s="335" t="e">
        <f t="shared" si="13"/>
        <v>#N/A</v>
      </c>
      <c r="BI68" s="340" t="e">
        <f>VLOOKUP(C68,Theory!B71:AZ139,51,FALSE)</f>
        <v>#N/A</v>
      </c>
      <c r="BJ68" s="340" t="e">
        <f>VLOOKUP(C68,Theory!B71:BA139,52,FALSE)</f>
        <v>#N/A</v>
      </c>
      <c r="BK68" s="340" t="e">
        <f>VLOOKUP(C68,Theory!B71:BB139,53,FALSE)</f>
        <v>#N/A</v>
      </c>
      <c r="BL68" s="340" t="e">
        <f>VLOOKUP(C68,Theory!B71:BC139,54,FALSE)</f>
        <v>#N/A</v>
      </c>
      <c r="BM68" s="340" t="e">
        <f>VLOOKUP(C68,Theory!B71:BD139,55,FALSE)</f>
        <v>#N/A</v>
      </c>
      <c r="BN68" s="340" t="e">
        <f>VLOOKUP(C68,Theory!B71:BE139,56,FALSE)</f>
        <v>#N/A</v>
      </c>
      <c r="BO68" s="340" t="e">
        <f>VLOOKUP(C68,Theory!B71:BF139,57,FALSE)</f>
        <v>#N/A</v>
      </c>
      <c r="BP68" s="340" t="e">
        <f>VLOOKUP(C68,Theory!B71:BG139,58,FALSE)</f>
        <v>#N/A</v>
      </c>
      <c r="BQ68" s="335" t="e">
        <f t="shared" si="14"/>
        <v>#N/A</v>
      </c>
      <c r="BR68" s="340" t="e">
        <f>VLOOKUP(C68,Theory!B71:BH139,59,FALSE)</f>
        <v>#N/A</v>
      </c>
      <c r="BS68" s="340" t="e">
        <f>VLOOKUP(C68,Theory!B71:BI139,60,FALSE)</f>
        <v>#N/A</v>
      </c>
      <c r="BT68" s="340" t="e">
        <f>VLOOKUP(C68,Theory!B71:BJ139,61,FALSE)</f>
        <v>#N/A</v>
      </c>
      <c r="BU68" s="340" t="e">
        <f>VLOOKUP(C68,Theory!B71:BK139,62,FALSE)</f>
        <v>#N/A</v>
      </c>
      <c r="BV68" s="340" t="e">
        <f>VLOOKUP(C68,Theory!B71:BL139,63,FALSE)</f>
        <v>#N/A</v>
      </c>
      <c r="BW68" s="340" t="e">
        <f>VLOOKUP(C68,Theory!B71:BM139,64,FALSE)</f>
        <v>#N/A</v>
      </c>
      <c r="BX68" s="340" t="e">
        <f>VLOOKUP(C68,Theory!B71:BN139,65,FALSE)</f>
        <v>#N/A</v>
      </c>
      <c r="BY68" s="340" t="e">
        <f>VLOOKUP(C68,Theory!B71:BO139,66,FALSE)</f>
        <v>#N/A</v>
      </c>
      <c r="BZ68" s="335" t="e">
        <f t="shared" si="15"/>
        <v>#N/A</v>
      </c>
      <c r="CA68" s="333" t="e">
        <f t="shared" si="1"/>
        <v>#N/A</v>
      </c>
      <c r="CB68" s="340" t="e">
        <f>VLOOKUP(C68,Theory!B71:BP139,67,FALSE)</f>
        <v>#N/A</v>
      </c>
      <c r="CC68" s="340" t="e">
        <f>VLOOKUP(C68,Theory!B71:BQ139,68,FALSE)</f>
        <v>#N/A</v>
      </c>
      <c r="CD68" s="340" t="e">
        <f>VLOOKUP(C68,Theory!B71:BR139,69,FALSE)</f>
        <v>#N/A</v>
      </c>
      <c r="CE68" s="340" t="e">
        <f>VLOOKUP(C68,Theory!B71:BS139,70,FALSE)</f>
        <v>#N/A</v>
      </c>
      <c r="CF68" s="335" t="e">
        <f t="shared" si="16"/>
        <v>#N/A</v>
      </c>
      <c r="CG68" s="341" t="e">
        <f>VLOOKUP(C68,Theory!B71:BT139,71,FALSE)</f>
        <v>#N/A</v>
      </c>
      <c r="CH68" s="341" t="e">
        <f>VLOOKUP(C68,Theory!B71:BU139,72,FALSE)</f>
        <v>#N/A</v>
      </c>
      <c r="CI68" s="341" t="e">
        <f>VLOOKUP(C68,Theory!B71:BV139,73,FALSE)</f>
        <v>#N/A</v>
      </c>
      <c r="CJ68" s="341" t="e">
        <f>VLOOKUP(C68,Theory!B71:BW139,74,FALSE)</f>
        <v>#N/A</v>
      </c>
      <c r="CK68" s="335" t="e">
        <f t="shared" si="17"/>
        <v>#N/A</v>
      </c>
      <c r="CL68" s="340" t="e">
        <f>VLOOKUP(C68,Theory!B71:BX139,75,FALSE)</f>
        <v>#N/A</v>
      </c>
      <c r="CM68" s="342" t="e">
        <f>VLOOKUP(C68,Theory!B71:BY139,76,FALSE)</f>
        <v>#N/A</v>
      </c>
      <c r="CN68" s="342" t="e">
        <f>VLOOKUP(C68,Theory!B71:BZ139,77,FALSE)</f>
        <v>#N/A</v>
      </c>
      <c r="CO68" s="342" t="e">
        <f>VLOOKUP(C68,Theory!B71:CA139,78,FALSE)</f>
        <v>#N/A</v>
      </c>
      <c r="CP68" s="340" t="e">
        <f>VLOOKUP(C68,Theory!B71:CB139,79,FALSE)</f>
        <v>#N/A</v>
      </c>
      <c r="CQ68" s="340" t="e">
        <f>VLOOKUP(C68,Theory!B71:CC139,80,FALSE)</f>
        <v>#N/A</v>
      </c>
      <c r="CR68" s="340" t="e">
        <f>VLOOKUP(C68,Theory!B71:CD139,81,FALSE)</f>
        <v>#N/A</v>
      </c>
      <c r="CS68" s="340" t="e">
        <f>VLOOKUP(C68,Theory!B71:CE139,82,FALSE)</f>
        <v>#N/A</v>
      </c>
      <c r="CT68" s="335" t="e">
        <f t="shared" si="18"/>
        <v>#N/A</v>
      </c>
      <c r="CU68" s="341" t="e">
        <f>VLOOKUP(C68,Theory!B71:CF139,83,FALSE)</f>
        <v>#N/A</v>
      </c>
      <c r="CV68" s="342" t="e">
        <f>VLOOKUP(C68,Theory!B71:CG139,84,FALSE)</f>
        <v>#N/A</v>
      </c>
      <c r="CW68" s="342" t="e">
        <f>VLOOKUP(C68,Theory!B71:CH139,85,FALSE)</f>
        <v>#N/A</v>
      </c>
      <c r="CX68" s="342" t="e">
        <f>VLOOKUP(C68,Theory!B71:CI139,86,FALSE)</f>
        <v>#N/A</v>
      </c>
      <c r="CY68" s="341" t="e">
        <f>VLOOKUP(C68,Theory!B71:CJ139,87,FALSE)</f>
        <v>#N/A</v>
      </c>
      <c r="CZ68" s="341" t="e">
        <f>VLOOKUP(C68,Theory!B71:CK139,88,FALSE)</f>
        <v>#N/A</v>
      </c>
      <c r="DA68" s="341" t="e">
        <f>VLOOKUP(C68,Theory!B71:CL139,89,FALSE)</f>
        <v>#N/A</v>
      </c>
      <c r="DB68" s="341" t="e">
        <f>VLOOKUP(C68,Theory!B71:CM139,90,FALSE)</f>
        <v>#N/A</v>
      </c>
      <c r="DC68" s="335" t="e">
        <f t="shared" si="19"/>
        <v>#N/A</v>
      </c>
      <c r="DD68" s="340" t="e">
        <f>VLOOKUP(C68,Theory!B71:CN139,91,FALSE)</f>
        <v>#N/A</v>
      </c>
      <c r="DE68" s="342" t="e">
        <f>VLOOKUP(C68,Theory!B71:CO139,92,FALSE)</f>
        <v>#N/A</v>
      </c>
      <c r="DF68" s="342" t="e">
        <f>VLOOKUP(C68,Theory!B71:CP139,93,FALSE)</f>
        <v>#N/A</v>
      </c>
      <c r="DG68" s="342" t="e">
        <f>VLOOKUP(C68,Theory!B71:CQ139,94,FALSE)</f>
        <v>#N/A</v>
      </c>
      <c r="DH68" s="340" t="e">
        <f>VLOOKUP(C68,Theory!B71:CR139,95,FALSE)</f>
        <v>#N/A</v>
      </c>
      <c r="DI68" s="340" t="e">
        <f>VLOOKUP(C68,Theory!B71:CS139,96,FALSE)</f>
        <v>#N/A</v>
      </c>
      <c r="DJ68" s="340" t="e">
        <f>VLOOKUP(C68,Theory!B71:CT139,97,FALSE)</f>
        <v>#N/A</v>
      </c>
      <c r="DK68" s="340" t="e">
        <f>VLOOKUP(C68,Theory!B71:CU139,98,FALSE)</f>
        <v>#N/A</v>
      </c>
      <c r="DL68" s="335" t="e">
        <f t="shared" si="20"/>
        <v>#N/A</v>
      </c>
      <c r="DM68" s="265" t="e">
        <f t="shared" si="2"/>
        <v>#N/A</v>
      </c>
      <c r="DN68" s="362" t="e">
        <f t="shared" si="40"/>
        <v>#N/A</v>
      </c>
      <c r="DO68" s="362" t="e">
        <f t="shared" si="41"/>
        <v>#N/A</v>
      </c>
      <c r="DP68" s="362" t="e">
        <f t="shared" si="42"/>
        <v>#N/A</v>
      </c>
      <c r="DQ68" s="343" t="e">
        <f t="shared" si="43"/>
        <v>#N/A</v>
      </c>
      <c r="DR68" s="343" t="e">
        <f t="shared" si="44"/>
        <v>#N/A</v>
      </c>
      <c r="DS68" s="343" t="e">
        <f t="shared" si="45"/>
        <v>#N/A</v>
      </c>
      <c r="DT68" s="328" t="e">
        <f t="shared" si="36"/>
        <v>#N/A</v>
      </c>
      <c r="DU68" s="326" t="e">
        <f>VLOOKUP(C68,Theory!B71:CV139,99,FALSE)</f>
        <v>#N/A</v>
      </c>
      <c r="DV68" s="326" t="e">
        <f>VLOOKUP(C68,Theory!B71:CW139,100,FALSE)</f>
        <v>#N/A</v>
      </c>
      <c r="DW68" s="331" t="e">
        <f t="shared" si="27"/>
        <v>#N/A</v>
      </c>
      <c r="DX68" s="266" t="e">
        <f t="shared" si="3"/>
        <v>#N/A</v>
      </c>
      <c r="DY68" s="363" t="e">
        <f t="shared" si="4"/>
        <v>#N/A</v>
      </c>
      <c r="DZ68" s="344">
        <f>VLOOKUP(C68,Lab!B63:D132,3,FALSE)</f>
        <v>0</v>
      </c>
      <c r="EA68" s="345">
        <f>VLOOKUP(C68,Lab!B63:E132,4,FALSE)</f>
        <v>0</v>
      </c>
      <c r="EB68" s="345">
        <f>VLOOKUP(C68,Lab!B63:F132,5,FALSE)</f>
        <v>0</v>
      </c>
      <c r="EC68" s="329">
        <f t="shared" si="37"/>
        <v>0</v>
      </c>
      <c r="ED68" s="346">
        <f>VLOOKUP(C68,Lab!B63:G132,6,FALSE)</f>
        <v>0</v>
      </c>
      <c r="EE68" s="346">
        <f>VLOOKUP(C68,Lab!B63:H132,7,FALSE)</f>
        <v>0</v>
      </c>
      <c r="EF68" s="347">
        <f>VLOOKUP(C68,Lab!B63:I132,8,FALSE)</f>
        <v>0</v>
      </c>
      <c r="EG68" s="330">
        <f t="shared" si="38"/>
        <v>0</v>
      </c>
      <c r="EH68" s="390">
        <f t="shared" si="28"/>
        <v>0</v>
      </c>
      <c r="EI68" s="349">
        <f t="shared" si="29"/>
        <v>0</v>
      </c>
      <c r="EJ68" s="391" t="e">
        <f t="shared" si="5"/>
        <v>#N/A</v>
      </c>
      <c r="EK68" s="258">
        <v>0</v>
      </c>
      <c r="EM68" s="350" t="e">
        <f>VLOOKUP(C68,Theory!B71:DL139,114,FALSE)</f>
        <v>#N/A</v>
      </c>
      <c r="EN68" s="350" t="e">
        <f>VLOOKUP(C68,Theory!B71:DM139,115,FALSE)</f>
        <v>#N/A</v>
      </c>
      <c r="EO68" s="350" t="e">
        <f>VLOOKUP(C68,Theory!B71:DN139,116,FALSE)</f>
        <v>#N/A</v>
      </c>
      <c r="EP68" s="350" t="e">
        <f>VLOOKUP(C68,Theory!B71:DO137,117,FALSE)</f>
        <v>#N/A</v>
      </c>
      <c r="EQ68" s="350" t="e">
        <f>VLOOKUP(C68,Theory!B71:DP137,118,FALSE)</f>
        <v>#N/A</v>
      </c>
      <c r="ER68" s="351" t="e">
        <f>VLOOKUP(C68,Theory!B71:DQ137,119,FALSE)</f>
        <v>#N/A</v>
      </c>
      <c r="ES68" s="327" t="e">
        <f>VLOOKUP(C68,Theory!B71:DR137,120,FALSE)</f>
        <v>#N/A</v>
      </c>
      <c r="ET68" s="348" t="e">
        <f t="shared" si="39"/>
        <v>#N/A</v>
      </c>
      <c r="EU68" s="352"/>
      <c r="EV68" s="352"/>
      <c r="EW68" s="352"/>
      <c r="EX68" s="352"/>
      <c r="EY68" s="352"/>
      <c r="EZ68" s="352"/>
      <c r="FA68" s="352"/>
      <c r="FB68" s="352"/>
      <c r="FC68" s="352"/>
      <c r="FD68" s="352"/>
    </row>
    <row r="69" spans="1:160" ht="16.2" thickBot="1" x14ac:dyDescent="0.35">
      <c r="A69" s="64">
        <v>56</v>
      </c>
      <c r="B69" s="17">
        <f>Theory!C72</f>
        <v>0</v>
      </c>
      <c r="C69" s="16">
        <f>Theory!B72</f>
        <v>0</v>
      </c>
      <c r="D69" s="334" t="e">
        <f>VLOOKUP(C69,Theory!B72:D140,3,FALSE)</f>
        <v>#N/A</v>
      </c>
      <c r="E69" s="334" t="e">
        <f>VLOOKUP(C69,Theory!B72:E140,4,FALSE)</f>
        <v>#N/A</v>
      </c>
      <c r="F69" s="334" t="e">
        <f>VLOOKUP(C69,Theory!B72:F140,5,FALSE)</f>
        <v>#N/A</v>
      </c>
      <c r="G69" s="334" t="e">
        <f>VLOOKUP(C69,Theory!B72:G140,6,FALSE)</f>
        <v>#N/A</v>
      </c>
      <c r="H69" s="335" t="e">
        <f t="shared" si="6"/>
        <v>#N/A</v>
      </c>
      <c r="I69" s="338" t="e">
        <f>VLOOKUP(C69,Theory!B72:H140,7,FALSE)</f>
        <v>#N/A</v>
      </c>
      <c r="J69" s="337" t="e">
        <f>VLOOKUP(C69,Theory!B72:I140,8,FALSE)</f>
        <v>#N/A</v>
      </c>
      <c r="K69" s="337" t="e">
        <f>VLOOKUP(C69,Theory!B72:J140,9,FALSE)</f>
        <v>#N/A</v>
      </c>
      <c r="L69" s="337" t="e">
        <f>VLOOKUP(C69,Theory!B72:K140,10,FALSE)</f>
        <v>#N/A</v>
      </c>
      <c r="M69" s="335" t="e">
        <f t="shared" si="7"/>
        <v>#N/A</v>
      </c>
      <c r="N69" s="336" t="e">
        <f>VLOOKUP(C69,Theory!B72:L140,11,FALSE)</f>
        <v>#N/A</v>
      </c>
      <c r="O69" s="336" t="e">
        <f>VLOOKUP(C69,Theory!B72:M140,12,FALSE)</f>
        <v>#N/A</v>
      </c>
      <c r="P69" s="336" t="e">
        <f>VLOOKUP(C69,Theory!B72:N140,13,FALSE)</f>
        <v>#N/A</v>
      </c>
      <c r="Q69" s="336" t="e">
        <f>VLOOKUP(C69,Theory!B72:O140,14,FALSE)</f>
        <v>#N/A</v>
      </c>
      <c r="R69" s="337" t="e">
        <f>VLOOKUP(C69,Theory!B72:P140,15,FALSE)</f>
        <v>#N/A</v>
      </c>
      <c r="S69" s="337" t="e">
        <f>VLOOKUP(C69,Theory!B72:Q140,16,FALSE)</f>
        <v>#N/A</v>
      </c>
      <c r="T69" s="337" t="e">
        <f>VLOOKUP(C69,Theory!B72:R140,17,FALSE)</f>
        <v>#N/A</v>
      </c>
      <c r="U69" s="337" t="e">
        <f>VLOOKUP(C69,Theory!B72:S140,18,FALSE)</f>
        <v>#N/A</v>
      </c>
      <c r="V69" s="335" t="e">
        <f t="shared" si="8"/>
        <v>#N/A</v>
      </c>
      <c r="W69" s="334" t="e">
        <f>VLOOKUP(C69,Theory!B72:T140,19,FALSE)</f>
        <v>#N/A</v>
      </c>
      <c r="X69" s="334" t="e">
        <f>VLOOKUP(C69,Theory!B72:U140,20,FALSE)</f>
        <v>#N/A</v>
      </c>
      <c r="Y69" s="334" t="e">
        <f>VLOOKUP(C69,Theory!B72:V140,21,FALSE)</f>
        <v>#N/A</v>
      </c>
      <c r="Z69" s="334" t="e">
        <f>VLOOKUP(C69,Theory!B72:W140,22,FALSE)</f>
        <v>#N/A</v>
      </c>
      <c r="AA69" s="338" t="e">
        <f>VLOOKUP(C69,Theory!B72:X140,23,FALSE)</f>
        <v>#N/A</v>
      </c>
      <c r="AB69" s="338" t="e">
        <f>VLOOKUP(C69,Theory!B72:Y140,24,FALSE)</f>
        <v>#N/A</v>
      </c>
      <c r="AC69" s="338" t="e">
        <f>VLOOKUP(C69,Theory!B72:Z140,25,FALSE)</f>
        <v>#N/A</v>
      </c>
      <c r="AD69" s="338" t="e">
        <f>VLOOKUP(C69,Theory!B72:AA140,26,FALSE)</f>
        <v>#N/A</v>
      </c>
      <c r="AE69" s="335" t="e">
        <f t="shared" si="9"/>
        <v>#N/A</v>
      </c>
      <c r="AF69" s="334" t="e">
        <f>VLOOKUP(C69,Theory!B72:AB140,27,FALSE)</f>
        <v>#N/A</v>
      </c>
      <c r="AG69" s="334" t="e">
        <f>VLOOKUP(C69,Theory!B72:AC140,28,FALSE)</f>
        <v>#N/A</v>
      </c>
      <c r="AH69" s="334" t="e">
        <f>VLOOKUP(C69,Theory!B72:AD140,29,FALSE)</f>
        <v>#N/A</v>
      </c>
      <c r="AI69" s="334" t="e">
        <f>VLOOKUP(C69,Theory!B72:AE140,30,FALSE)</f>
        <v>#N/A</v>
      </c>
      <c r="AJ69" s="339" t="e">
        <f>VLOOKUP(C69,Theory!B72:AF140,31,FALSE)</f>
        <v>#N/A</v>
      </c>
      <c r="AK69" s="339" t="e">
        <f>VLOOKUP(C69,Theory!B72:AG140,32,FALSE)</f>
        <v>#N/A</v>
      </c>
      <c r="AL69" s="339" t="e">
        <f>VLOOKUP(C69,Theory!B72:AH140,33,FALSE)</f>
        <v>#N/A</v>
      </c>
      <c r="AM69" s="339" t="e">
        <f>VLOOKUP(C69,Theory!B72:AI140,34,FALSE)</f>
        <v>#N/A</v>
      </c>
      <c r="AN69" s="335" t="e">
        <f t="shared" si="10"/>
        <v>#N/A</v>
      </c>
      <c r="AO69" s="333" t="e">
        <f t="shared" si="0"/>
        <v>#N/A</v>
      </c>
      <c r="AP69" s="340" t="e">
        <f>VLOOKUP(C69,Theory!B72:AJ140,35,FALSE)</f>
        <v>#N/A</v>
      </c>
      <c r="AQ69" s="340" t="e">
        <f>VLOOKUP(C69,Theory!B72:AK140,36,FALSE)</f>
        <v>#N/A</v>
      </c>
      <c r="AR69" s="340" t="e">
        <f>VLOOKUP(C69,Theory!B72:AL140,37,FALSE)</f>
        <v>#N/A</v>
      </c>
      <c r="AS69" s="340" t="e">
        <f>VLOOKUP(C69,Theory!B72:AM140,38,FALSE)</f>
        <v>#N/A</v>
      </c>
      <c r="AT69" s="335" t="e">
        <f t="shared" si="11"/>
        <v>#N/A</v>
      </c>
      <c r="AU69" s="340" t="e">
        <f>VLOOKUP(C69,Theory!B72:AN140,39,FALSE)</f>
        <v>#N/A</v>
      </c>
      <c r="AV69" s="340" t="e">
        <f>VLOOKUP(C69,Theory!B72:AO140,40,FALSE)</f>
        <v>#N/A</v>
      </c>
      <c r="AW69" s="340" t="e">
        <f>VLOOKUP(C69,Theory!B72:AP140,41,FALSE)</f>
        <v>#N/A</v>
      </c>
      <c r="AX69" s="340" t="e">
        <f>VLOOKUP(C69,Theory!B72:AQ140,42,FALSE)</f>
        <v>#N/A</v>
      </c>
      <c r="AY69" s="335" t="e">
        <f t="shared" si="12"/>
        <v>#N/A</v>
      </c>
      <c r="AZ69" s="340" t="e">
        <f>VLOOKUP(C69,Theory!B72:AR140,43,FALSE)</f>
        <v>#N/A</v>
      </c>
      <c r="BA69" s="340" t="e">
        <f>VLOOKUP(C69,Theory!B72:AS140,44,FALSE)</f>
        <v>#N/A</v>
      </c>
      <c r="BB69" s="340" t="e">
        <f>VLOOKUP(C69,Theory!B72:AT140,45,FALSE)</f>
        <v>#N/A</v>
      </c>
      <c r="BC69" s="340" t="e">
        <f>VLOOKUP(C69,Theory!B72:AU140,46,FALSE)</f>
        <v>#N/A</v>
      </c>
      <c r="BD69" s="340" t="e">
        <f>VLOOKUP(C69,Theory!B72:AV140,47,FALSE)</f>
        <v>#N/A</v>
      </c>
      <c r="BE69" s="340" t="e">
        <f>VLOOKUP(C69,Theory!B72:AW140,48,FALSE)</f>
        <v>#N/A</v>
      </c>
      <c r="BF69" s="340" t="e">
        <f>VLOOKUP(C69,Theory!B72:AX140,49,FALSE)</f>
        <v>#N/A</v>
      </c>
      <c r="BG69" s="340" t="e">
        <f>VLOOKUP(C69,Theory!B72:AY140,50,FALSE)</f>
        <v>#N/A</v>
      </c>
      <c r="BH69" s="335" t="e">
        <f t="shared" si="13"/>
        <v>#N/A</v>
      </c>
      <c r="BI69" s="340" t="e">
        <f>VLOOKUP(C69,Theory!B72:AZ140,51,FALSE)</f>
        <v>#N/A</v>
      </c>
      <c r="BJ69" s="340" t="e">
        <f>VLOOKUP(C69,Theory!B72:BA140,52,FALSE)</f>
        <v>#N/A</v>
      </c>
      <c r="BK69" s="340" t="e">
        <f>VLOOKUP(C69,Theory!B72:BB140,53,FALSE)</f>
        <v>#N/A</v>
      </c>
      <c r="BL69" s="340" t="e">
        <f>VLOOKUP(C69,Theory!B72:BC140,54,FALSE)</f>
        <v>#N/A</v>
      </c>
      <c r="BM69" s="340" t="e">
        <f>VLOOKUP(C69,Theory!B72:BD140,55,FALSE)</f>
        <v>#N/A</v>
      </c>
      <c r="BN69" s="340" t="e">
        <f>VLOOKUP(C69,Theory!B72:BE140,56,FALSE)</f>
        <v>#N/A</v>
      </c>
      <c r="BO69" s="340" t="e">
        <f>VLOOKUP(C69,Theory!B72:BF140,57,FALSE)</f>
        <v>#N/A</v>
      </c>
      <c r="BP69" s="340" t="e">
        <f>VLOOKUP(C69,Theory!B72:BG140,58,FALSE)</f>
        <v>#N/A</v>
      </c>
      <c r="BQ69" s="335" t="e">
        <f t="shared" si="14"/>
        <v>#N/A</v>
      </c>
      <c r="BR69" s="340" t="e">
        <f>VLOOKUP(C69,Theory!B72:BH140,59,FALSE)</f>
        <v>#N/A</v>
      </c>
      <c r="BS69" s="340" t="e">
        <f>VLOOKUP(C69,Theory!B72:BI140,60,FALSE)</f>
        <v>#N/A</v>
      </c>
      <c r="BT69" s="340" t="e">
        <f>VLOOKUP(C69,Theory!B72:BJ140,61,FALSE)</f>
        <v>#N/A</v>
      </c>
      <c r="BU69" s="340" t="e">
        <f>VLOOKUP(C69,Theory!B72:BK140,62,FALSE)</f>
        <v>#N/A</v>
      </c>
      <c r="BV69" s="340" t="e">
        <f>VLOOKUP(C69,Theory!B72:BL140,63,FALSE)</f>
        <v>#N/A</v>
      </c>
      <c r="BW69" s="340" t="e">
        <f>VLOOKUP(C69,Theory!B72:BM140,64,FALSE)</f>
        <v>#N/A</v>
      </c>
      <c r="BX69" s="340" t="e">
        <f>VLOOKUP(C69,Theory!B72:BN140,65,FALSE)</f>
        <v>#N/A</v>
      </c>
      <c r="BY69" s="340" t="e">
        <f>VLOOKUP(C69,Theory!B72:BO140,66,FALSE)</f>
        <v>#N/A</v>
      </c>
      <c r="BZ69" s="335" t="e">
        <f t="shared" si="15"/>
        <v>#N/A</v>
      </c>
      <c r="CA69" s="333" t="e">
        <f t="shared" si="1"/>
        <v>#N/A</v>
      </c>
      <c r="CB69" s="340" t="e">
        <f>VLOOKUP(C69,Theory!B72:BP140,67,FALSE)</f>
        <v>#N/A</v>
      </c>
      <c r="CC69" s="340" t="e">
        <f>VLOOKUP(C69,Theory!B72:BQ140,68,FALSE)</f>
        <v>#N/A</v>
      </c>
      <c r="CD69" s="340" t="e">
        <f>VLOOKUP(C69,Theory!B72:BR140,69,FALSE)</f>
        <v>#N/A</v>
      </c>
      <c r="CE69" s="340" t="e">
        <f>VLOOKUP(C69,Theory!B72:BS140,70,FALSE)</f>
        <v>#N/A</v>
      </c>
      <c r="CF69" s="335" t="e">
        <f t="shared" si="16"/>
        <v>#N/A</v>
      </c>
      <c r="CG69" s="341" t="e">
        <f>VLOOKUP(C69,Theory!B72:BT140,71,FALSE)</f>
        <v>#N/A</v>
      </c>
      <c r="CH69" s="341" t="e">
        <f>VLOOKUP(C69,Theory!B72:BU140,72,FALSE)</f>
        <v>#N/A</v>
      </c>
      <c r="CI69" s="341" t="e">
        <f>VLOOKUP(C69,Theory!B72:BV140,73,FALSE)</f>
        <v>#N/A</v>
      </c>
      <c r="CJ69" s="341" t="e">
        <f>VLOOKUP(C69,Theory!B72:BW140,74,FALSE)</f>
        <v>#N/A</v>
      </c>
      <c r="CK69" s="335" t="e">
        <f t="shared" si="17"/>
        <v>#N/A</v>
      </c>
      <c r="CL69" s="340" t="e">
        <f>VLOOKUP(C69,Theory!B72:BX140,75,FALSE)</f>
        <v>#N/A</v>
      </c>
      <c r="CM69" s="342" t="e">
        <f>VLOOKUP(C69,Theory!B72:BY140,76,FALSE)</f>
        <v>#N/A</v>
      </c>
      <c r="CN69" s="342" t="e">
        <f>VLOOKUP(C69,Theory!B72:BZ140,77,FALSE)</f>
        <v>#N/A</v>
      </c>
      <c r="CO69" s="342" t="e">
        <f>VLOOKUP(C69,Theory!B72:CA140,78,FALSE)</f>
        <v>#N/A</v>
      </c>
      <c r="CP69" s="340" t="e">
        <f>VLOOKUP(C69,Theory!B72:CB140,79,FALSE)</f>
        <v>#N/A</v>
      </c>
      <c r="CQ69" s="340" t="e">
        <f>VLOOKUP(C69,Theory!B72:CC140,80,FALSE)</f>
        <v>#N/A</v>
      </c>
      <c r="CR69" s="340" t="e">
        <f>VLOOKUP(C69,Theory!B72:CD140,81,FALSE)</f>
        <v>#N/A</v>
      </c>
      <c r="CS69" s="340" t="e">
        <f>VLOOKUP(C69,Theory!B72:CE140,82,FALSE)</f>
        <v>#N/A</v>
      </c>
      <c r="CT69" s="335" t="e">
        <f t="shared" si="18"/>
        <v>#N/A</v>
      </c>
      <c r="CU69" s="341" t="e">
        <f>VLOOKUP(C69,Theory!B72:CF140,83,FALSE)</f>
        <v>#N/A</v>
      </c>
      <c r="CV69" s="342" t="e">
        <f>VLOOKUP(C69,Theory!B72:CG140,84,FALSE)</f>
        <v>#N/A</v>
      </c>
      <c r="CW69" s="342" t="e">
        <f>VLOOKUP(C69,Theory!B72:CH140,85,FALSE)</f>
        <v>#N/A</v>
      </c>
      <c r="CX69" s="342" t="e">
        <f>VLOOKUP(C69,Theory!B72:CI140,86,FALSE)</f>
        <v>#N/A</v>
      </c>
      <c r="CY69" s="341" t="e">
        <f>VLOOKUP(C69,Theory!B72:CJ140,87,FALSE)</f>
        <v>#N/A</v>
      </c>
      <c r="CZ69" s="341" t="e">
        <f>VLOOKUP(C69,Theory!B72:CK140,88,FALSE)</f>
        <v>#N/A</v>
      </c>
      <c r="DA69" s="341" t="e">
        <f>VLOOKUP(C69,Theory!B72:CL140,89,FALSE)</f>
        <v>#N/A</v>
      </c>
      <c r="DB69" s="341" t="e">
        <f>VLOOKUP(C69,Theory!B72:CM140,90,FALSE)</f>
        <v>#N/A</v>
      </c>
      <c r="DC69" s="335" t="e">
        <f t="shared" si="19"/>
        <v>#N/A</v>
      </c>
      <c r="DD69" s="340" t="e">
        <f>VLOOKUP(C69,Theory!B72:CN140,91,FALSE)</f>
        <v>#N/A</v>
      </c>
      <c r="DE69" s="342" t="e">
        <f>VLOOKUP(C69,Theory!B72:CO140,92,FALSE)</f>
        <v>#N/A</v>
      </c>
      <c r="DF69" s="342" t="e">
        <f>VLOOKUP(C69,Theory!B72:CP140,93,FALSE)</f>
        <v>#N/A</v>
      </c>
      <c r="DG69" s="342" t="e">
        <f>VLOOKUP(C69,Theory!B72:CQ140,94,FALSE)</f>
        <v>#N/A</v>
      </c>
      <c r="DH69" s="340" t="e">
        <f>VLOOKUP(C69,Theory!B72:CR140,95,FALSE)</f>
        <v>#N/A</v>
      </c>
      <c r="DI69" s="340" t="e">
        <f>VLOOKUP(C69,Theory!B72:CS140,96,FALSE)</f>
        <v>#N/A</v>
      </c>
      <c r="DJ69" s="340" t="e">
        <f>VLOOKUP(C69,Theory!B72:CT140,97,FALSE)</f>
        <v>#N/A</v>
      </c>
      <c r="DK69" s="340" t="e">
        <f>VLOOKUP(C69,Theory!B72:CU140,98,FALSE)</f>
        <v>#N/A</v>
      </c>
      <c r="DL69" s="335" t="e">
        <f t="shared" si="20"/>
        <v>#N/A</v>
      </c>
      <c r="DM69" s="265" t="e">
        <f t="shared" si="2"/>
        <v>#N/A</v>
      </c>
      <c r="DN69" s="362" t="e">
        <f t="shared" si="40"/>
        <v>#N/A</v>
      </c>
      <c r="DO69" s="362" t="e">
        <f t="shared" si="41"/>
        <v>#N/A</v>
      </c>
      <c r="DP69" s="362" t="e">
        <f t="shared" si="42"/>
        <v>#N/A</v>
      </c>
      <c r="DQ69" s="343" t="e">
        <f t="shared" si="43"/>
        <v>#N/A</v>
      </c>
      <c r="DR69" s="343" t="e">
        <f t="shared" si="44"/>
        <v>#N/A</v>
      </c>
      <c r="DS69" s="343" t="e">
        <f t="shared" si="45"/>
        <v>#N/A</v>
      </c>
      <c r="DT69" s="328" t="e">
        <f t="shared" si="36"/>
        <v>#N/A</v>
      </c>
      <c r="DU69" s="326" t="e">
        <f>VLOOKUP(C69,Theory!B72:CV140,99,FALSE)</f>
        <v>#N/A</v>
      </c>
      <c r="DV69" s="326" t="e">
        <f>VLOOKUP(C69,Theory!B72:CW140,100,FALSE)</f>
        <v>#N/A</v>
      </c>
      <c r="DW69" s="331" t="e">
        <f t="shared" si="27"/>
        <v>#N/A</v>
      </c>
      <c r="DX69" s="266" t="e">
        <f t="shared" si="3"/>
        <v>#N/A</v>
      </c>
      <c r="DY69" s="363" t="e">
        <f t="shared" si="4"/>
        <v>#N/A</v>
      </c>
      <c r="DZ69" s="344">
        <f>VLOOKUP(C69,Lab!B64:D133,3,FALSE)</f>
        <v>0</v>
      </c>
      <c r="EA69" s="345">
        <f>VLOOKUP(C69,Lab!B64:E133,4,FALSE)</f>
        <v>0</v>
      </c>
      <c r="EB69" s="345">
        <f>VLOOKUP(C69,Lab!B64:F133,5,FALSE)</f>
        <v>0</v>
      </c>
      <c r="EC69" s="329">
        <f t="shared" si="37"/>
        <v>0</v>
      </c>
      <c r="ED69" s="346">
        <f>VLOOKUP(C69,Lab!B64:G133,6,FALSE)</f>
        <v>0</v>
      </c>
      <c r="EE69" s="346">
        <f>VLOOKUP(C69,Lab!B64:H133,7,FALSE)</f>
        <v>0</v>
      </c>
      <c r="EF69" s="347">
        <f>VLOOKUP(C69,Lab!B64:I133,8,FALSE)</f>
        <v>0</v>
      </c>
      <c r="EG69" s="330">
        <f t="shared" si="38"/>
        <v>0</v>
      </c>
      <c r="EH69" s="390">
        <f t="shared" si="28"/>
        <v>0</v>
      </c>
      <c r="EI69" s="349">
        <f t="shared" si="29"/>
        <v>0</v>
      </c>
      <c r="EJ69" s="391" t="e">
        <f t="shared" si="5"/>
        <v>#N/A</v>
      </c>
      <c r="EK69" s="258">
        <v>0</v>
      </c>
      <c r="EM69" s="350" t="e">
        <f>VLOOKUP(C69,Theory!B72:DL140,114,FALSE)</f>
        <v>#N/A</v>
      </c>
      <c r="EN69" s="350" t="e">
        <f>VLOOKUP(C69,Theory!B72:DM140,115,FALSE)</f>
        <v>#N/A</v>
      </c>
      <c r="EO69" s="350" t="e">
        <f>VLOOKUP(C69,Theory!B72:DN140,116,FALSE)</f>
        <v>#N/A</v>
      </c>
      <c r="EP69" s="350" t="e">
        <f>VLOOKUP(C69,Theory!B72:DO138,117,FALSE)</f>
        <v>#N/A</v>
      </c>
      <c r="EQ69" s="350" t="e">
        <f>VLOOKUP(C69,Theory!B72:DP138,118,FALSE)</f>
        <v>#N/A</v>
      </c>
      <c r="ER69" s="351" t="e">
        <f>VLOOKUP(C69,Theory!B72:DQ138,119,FALSE)</f>
        <v>#N/A</v>
      </c>
      <c r="ES69" s="327" t="e">
        <f>VLOOKUP(C69,Theory!B72:DR138,120,FALSE)</f>
        <v>#N/A</v>
      </c>
      <c r="ET69" s="348" t="e">
        <f t="shared" si="39"/>
        <v>#N/A</v>
      </c>
      <c r="EU69" s="352"/>
      <c r="EV69" s="352"/>
      <c r="EW69" s="352"/>
      <c r="EX69" s="352"/>
      <c r="EY69" s="352"/>
      <c r="EZ69" s="352"/>
      <c r="FA69" s="352"/>
      <c r="FB69" s="352"/>
      <c r="FC69" s="352"/>
      <c r="FD69" s="352"/>
    </row>
    <row r="70" spans="1:160" ht="17.25" customHeight="1" thickBot="1" x14ac:dyDescent="0.35">
      <c r="A70" s="64">
        <v>57</v>
      </c>
      <c r="B70" s="17">
        <f>Theory!C73</f>
        <v>0</v>
      </c>
      <c r="C70" s="16">
        <f>Theory!B73</f>
        <v>0</v>
      </c>
      <c r="D70" s="334" t="e">
        <f>VLOOKUP(C70,Theory!B73:D141,3,FALSE)</f>
        <v>#N/A</v>
      </c>
      <c r="E70" s="334" t="e">
        <f>VLOOKUP(C70,Theory!B73:E141,4,FALSE)</f>
        <v>#N/A</v>
      </c>
      <c r="F70" s="334" t="e">
        <f>VLOOKUP(C70,Theory!B73:F141,5,FALSE)</f>
        <v>#N/A</v>
      </c>
      <c r="G70" s="334" t="e">
        <f>VLOOKUP(C70,Theory!B73:G141,6,FALSE)</f>
        <v>#N/A</v>
      </c>
      <c r="H70" s="335" t="e">
        <f t="shared" si="6"/>
        <v>#N/A</v>
      </c>
      <c r="I70" s="338" t="e">
        <f>VLOOKUP(C70,Theory!B73:H141,7,FALSE)</f>
        <v>#N/A</v>
      </c>
      <c r="J70" s="337" t="e">
        <f>VLOOKUP(C70,Theory!B73:I141,8,FALSE)</f>
        <v>#N/A</v>
      </c>
      <c r="K70" s="337" t="e">
        <f>VLOOKUP(C70,Theory!B73:J141,9,FALSE)</f>
        <v>#N/A</v>
      </c>
      <c r="L70" s="337" t="e">
        <f>VLOOKUP(C70,Theory!B73:K141,10,FALSE)</f>
        <v>#N/A</v>
      </c>
      <c r="M70" s="335" t="e">
        <f t="shared" si="7"/>
        <v>#N/A</v>
      </c>
      <c r="N70" s="336" t="e">
        <f>VLOOKUP(C70,Theory!B73:L141,11,FALSE)</f>
        <v>#N/A</v>
      </c>
      <c r="O70" s="336" t="e">
        <f>VLOOKUP(C70,Theory!B73:M141,12,FALSE)</f>
        <v>#N/A</v>
      </c>
      <c r="P70" s="336" t="e">
        <f>VLOOKUP(C70,Theory!B73:N141,13,FALSE)</f>
        <v>#N/A</v>
      </c>
      <c r="Q70" s="336" t="e">
        <f>VLOOKUP(C70,Theory!B73:O141,14,FALSE)</f>
        <v>#N/A</v>
      </c>
      <c r="R70" s="337" t="e">
        <f>VLOOKUP(C70,Theory!B73:P141,15,FALSE)</f>
        <v>#N/A</v>
      </c>
      <c r="S70" s="337" t="e">
        <f>VLOOKUP(C70,Theory!B73:Q141,16,FALSE)</f>
        <v>#N/A</v>
      </c>
      <c r="T70" s="337" t="e">
        <f>VLOOKUP(C70,Theory!B73:R141,17,FALSE)</f>
        <v>#N/A</v>
      </c>
      <c r="U70" s="337" t="e">
        <f>VLOOKUP(C70,Theory!B73:S141,18,FALSE)</f>
        <v>#N/A</v>
      </c>
      <c r="V70" s="335" t="e">
        <f t="shared" si="8"/>
        <v>#N/A</v>
      </c>
      <c r="W70" s="334" t="e">
        <f>VLOOKUP(C70,Theory!B73:T141,19,FALSE)</f>
        <v>#N/A</v>
      </c>
      <c r="X70" s="334" t="e">
        <f>VLOOKUP(C70,Theory!B73:U141,20,FALSE)</f>
        <v>#N/A</v>
      </c>
      <c r="Y70" s="334" t="e">
        <f>VLOOKUP(C70,Theory!B73:V141,21,FALSE)</f>
        <v>#N/A</v>
      </c>
      <c r="Z70" s="334" t="e">
        <f>VLOOKUP(C70,Theory!B73:W141,22,FALSE)</f>
        <v>#N/A</v>
      </c>
      <c r="AA70" s="338" t="e">
        <f>VLOOKUP(C70,Theory!B73:X141,23,FALSE)</f>
        <v>#N/A</v>
      </c>
      <c r="AB70" s="338" t="e">
        <f>VLOOKUP(C70,Theory!B73:Y141,24,FALSE)</f>
        <v>#N/A</v>
      </c>
      <c r="AC70" s="338" t="e">
        <f>VLOOKUP(C70,Theory!B73:Z141,25,FALSE)</f>
        <v>#N/A</v>
      </c>
      <c r="AD70" s="338" t="e">
        <f>VLOOKUP(C70,Theory!B73:AA141,26,FALSE)</f>
        <v>#N/A</v>
      </c>
      <c r="AE70" s="335" t="e">
        <f t="shared" si="9"/>
        <v>#N/A</v>
      </c>
      <c r="AF70" s="334" t="e">
        <f>VLOOKUP(C70,Theory!B73:AB141,27,FALSE)</f>
        <v>#N/A</v>
      </c>
      <c r="AG70" s="334" t="e">
        <f>VLOOKUP(C70,Theory!B73:AC141,28,FALSE)</f>
        <v>#N/A</v>
      </c>
      <c r="AH70" s="334" t="e">
        <f>VLOOKUP(C70,Theory!B73:AD141,29,FALSE)</f>
        <v>#N/A</v>
      </c>
      <c r="AI70" s="334" t="e">
        <f>VLOOKUP(C70,Theory!B73:AE141,30,FALSE)</f>
        <v>#N/A</v>
      </c>
      <c r="AJ70" s="339" t="e">
        <f>VLOOKUP(C70,Theory!B73:AF141,31,FALSE)</f>
        <v>#N/A</v>
      </c>
      <c r="AK70" s="339" t="e">
        <f>VLOOKUP(C70,Theory!B73:AG141,32,FALSE)</f>
        <v>#N/A</v>
      </c>
      <c r="AL70" s="339" t="e">
        <f>VLOOKUP(C70,Theory!B73:AH141,33,FALSE)</f>
        <v>#N/A</v>
      </c>
      <c r="AM70" s="339" t="e">
        <f>VLOOKUP(C70,Theory!B73:AI141,34,FALSE)</f>
        <v>#N/A</v>
      </c>
      <c r="AN70" s="335" t="e">
        <f t="shared" si="10"/>
        <v>#N/A</v>
      </c>
      <c r="AO70" s="333" t="e">
        <f t="shared" si="0"/>
        <v>#N/A</v>
      </c>
      <c r="AP70" s="340" t="e">
        <f>VLOOKUP(C70,Theory!B73:AJ141,35,FALSE)</f>
        <v>#N/A</v>
      </c>
      <c r="AQ70" s="340" t="e">
        <f>VLOOKUP(C70,Theory!B73:AK141,36,FALSE)</f>
        <v>#N/A</v>
      </c>
      <c r="AR70" s="340" t="e">
        <f>VLOOKUP(C70,Theory!B73:AL141,37,FALSE)</f>
        <v>#N/A</v>
      </c>
      <c r="AS70" s="340" t="e">
        <f>VLOOKUP(C70,Theory!B73:AM141,38,FALSE)</f>
        <v>#N/A</v>
      </c>
      <c r="AT70" s="335" t="e">
        <f t="shared" si="11"/>
        <v>#N/A</v>
      </c>
      <c r="AU70" s="340" t="e">
        <f>VLOOKUP(C70,Theory!B73:AN141,39,FALSE)</f>
        <v>#N/A</v>
      </c>
      <c r="AV70" s="340" t="e">
        <f>VLOOKUP(C70,Theory!B73:AO141,40,FALSE)</f>
        <v>#N/A</v>
      </c>
      <c r="AW70" s="340" t="e">
        <f>VLOOKUP(C70,Theory!B73:AP141,41,FALSE)</f>
        <v>#N/A</v>
      </c>
      <c r="AX70" s="340" t="e">
        <f>VLOOKUP(C70,Theory!B73:AQ141,42,FALSE)</f>
        <v>#N/A</v>
      </c>
      <c r="AY70" s="335" t="e">
        <f t="shared" si="12"/>
        <v>#N/A</v>
      </c>
      <c r="AZ70" s="340" t="e">
        <f>VLOOKUP(C70,Theory!B73:AR141,43,FALSE)</f>
        <v>#N/A</v>
      </c>
      <c r="BA70" s="340" t="e">
        <f>VLOOKUP(C70,Theory!B73:AS141,44,FALSE)</f>
        <v>#N/A</v>
      </c>
      <c r="BB70" s="340" t="e">
        <f>VLOOKUP(C70,Theory!B73:AT141,45,FALSE)</f>
        <v>#N/A</v>
      </c>
      <c r="BC70" s="340" t="e">
        <f>VLOOKUP(C70,Theory!B73:AU141,46,FALSE)</f>
        <v>#N/A</v>
      </c>
      <c r="BD70" s="340" t="e">
        <f>VLOOKUP(C70,Theory!B73:AV141,47,FALSE)</f>
        <v>#N/A</v>
      </c>
      <c r="BE70" s="340" t="e">
        <f>VLOOKUP(C70,Theory!B73:AW141,48,FALSE)</f>
        <v>#N/A</v>
      </c>
      <c r="BF70" s="340" t="e">
        <f>VLOOKUP(C70,Theory!B73:AX141,49,FALSE)</f>
        <v>#N/A</v>
      </c>
      <c r="BG70" s="340" t="e">
        <f>VLOOKUP(C70,Theory!B73:AY141,50,FALSE)</f>
        <v>#N/A</v>
      </c>
      <c r="BH70" s="335" t="e">
        <f t="shared" si="13"/>
        <v>#N/A</v>
      </c>
      <c r="BI70" s="340" t="e">
        <f>VLOOKUP(C70,Theory!B73:AZ141,51,FALSE)</f>
        <v>#N/A</v>
      </c>
      <c r="BJ70" s="340" t="e">
        <f>VLOOKUP(C70,Theory!B73:BA141,52,FALSE)</f>
        <v>#N/A</v>
      </c>
      <c r="BK70" s="340" t="e">
        <f>VLOOKUP(C70,Theory!B73:BB141,53,FALSE)</f>
        <v>#N/A</v>
      </c>
      <c r="BL70" s="340" t="e">
        <f>VLOOKUP(C70,Theory!B73:BC141,54,FALSE)</f>
        <v>#N/A</v>
      </c>
      <c r="BM70" s="340" t="e">
        <f>VLOOKUP(C70,Theory!B73:BD141,55,FALSE)</f>
        <v>#N/A</v>
      </c>
      <c r="BN70" s="340" t="e">
        <f>VLOOKUP(C70,Theory!B73:BE141,56,FALSE)</f>
        <v>#N/A</v>
      </c>
      <c r="BO70" s="340" t="e">
        <f>VLOOKUP(C70,Theory!B73:BF141,57,FALSE)</f>
        <v>#N/A</v>
      </c>
      <c r="BP70" s="340" t="e">
        <f>VLOOKUP(C70,Theory!B73:BG141,58,FALSE)</f>
        <v>#N/A</v>
      </c>
      <c r="BQ70" s="335" t="e">
        <f t="shared" si="14"/>
        <v>#N/A</v>
      </c>
      <c r="BR70" s="340" t="e">
        <f>VLOOKUP(C70,Theory!B73:BH141,59,FALSE)</f>
        <v>#N/A</v>
      </c>
      <c r="BS70" s="340" t="e">
        <f>VLOOKUP(C70,Theory!B73:BI141,60,FALSE)</f>
        <v>#N/A</v>
      </c>
      <c r="BT70" s="340" t="e">
        <f>VLOOKUP(C70,Theory!B73:BJ141,61,FALSE)</f>
        <v>#N/A</v>
      </c>
      <c r="BU70" s="340" t="e">
        <f>VLOOKUP(C70,Theory!B73:BK141,62,FALSE)</f>
        <v>#N/A</v>
      </c>
      <c r="BV70" s="340" t="e">
        <f>VLOOKUP(C70,Theory!B73:BL141,63,FALSE)</f>
        <v>#N/A</v>
      </c>
      <c r="BW70" s="340" t="e">
        <f>VLOOKUP(C70,Theory!B73:BM141,64,FALSE)</f>
        <v>#N/A</v>
      </c>
      <c r="BX70" s="340" t="e">
        <f>VLOOKUP(C70,Theory!B73:BN141,65,FALSE)</f>
        <v>#N/A</v>
      </c>
      <c r="BY70" s="340" t="e">
        <f>VLOOKUP(C70,Theory!B73:BO141,66,FALSE)</f>
        <v>#N/A</v>
      </c>
      <c r="BZ70" s="335" t="e">
        <f t="shared" si="15"/>
        <v>#N/A</v>
      </c>
      <c r="CA70" s="333" t="e">
        <f t="shared" si="1"/>
        <v>#N/A</v>
      </c>
      <c r="CB70" s="340" t="e">
        <f>VLOOKUP(C70,Theory!B73:BP141,67,FALSE)</f>
        <v>#N/A</v>
      </c>
      <c r="CC70" s="340" t="e">
        <f>VLOOKUP(C70,Theory!B73:BQ141,68,FALSE)</f>
        <v>#N/A</v>
      </c>
      <c r="CD70" s="340" t="e">
        <f>VLOOKUP(C70,Theory!B73:BR141,69,FALSE)</f>
        <v>#N/A</v>
      </c>
      <c r="CE70" s="340" t="e">
        <f>VLOOKUP(C70,Theory!B73:BS141,70,FALSE)</f>
        <v>#N/A</v>
      </c>
      <c r="CF70" s="335" t="e">
        <f t="shared" si="16"/>
        <v>#N/A</v>
      </c>
      <c r="CG70" s="341" t="e">
        <f>VLOOKUP(C70,Theory!B73:BT141,71,FALSE)</f>
        <v>#N/A</v>
      </c>
      <c r="CH70" s="341" t="e">
        <f>VLOOKUP(C70,Theory!B73:BU141,72,FALSE)</f>
        <v>#N/A</v>
      </c>
      <c r="CI70" s="341" t="e">
        <f>VLOOKUP(C70,Theory!B73:BV141,73,FALSE)</f>
        <v>#N/A</v>
      </c>
      <c r="CJ70" s="341" t="e">
        <f>VLOOKUP(C70,Theory!B73:BW141,74,FALSE)</f>
        <v>#N/A</v>
      </c>
      <c r="CK70" s="335" t="e">
        <f t="shared" si="17"/>
        <v>#N/A</v>
      </c>
      <c r="CL70" s="340" t="e">
        <f>VLOOKUP(C70,Theory!B73:BX141,75,FALSE)</f>
        <v>#N/A</v>
      </c>
      <c r="CM70" s="342" t="e">
        <f>VLOOKUP(C70,Theory!B73:BY141,76,FALSE)</f>
        <v>#N/A</v>
      </c>
      <c r="CN70" s="342" t="e">
        <f>VLOOKUP(C70,Theory!B73:BZ141,77,FALSE)</f>
        <v>#N/A</v>
      </c>
      <c r="CO70" s="342" t="e">
        <f>VLOOKUP(C70,Theory!B73:CA141,78,FALSE)</f>
        <v>#N/A</v>
      </c>
      <c r="CP70" s="340" t="e">
        <f>VLOOKUP(C70,Theory!B73:CB141,79,FALSE)</f>
        <v>#N/A</v>
      </c>
      <c r="CQ70" s="340" t="e">
        <f>VLOOKUP(C70,Theory!B73:CC141,80,FALSE)</f>
        <v>#N/A</v>
      </c>
      <c r="CR70" s="340" t="e">
        <f>VLOOKUP(C70,Theory!B73:CD141,81,FALSE)</f>
        <v>#N/A</v>
      </c>
      <c r="CS70" s="340" t="e">
        <f>VLOOKUP(C70,Theory!B73:CE141,82,FALSE)</f>
        <v>#N/A</v>
      </c>
      <c r="CT70" s="335" t="e">
        <f t="shared" si="18"/>
        <v>#N/A</v>
      </c>
      <c r="CU70" s="341" t="e">
        <f>VLOOKUP(C70,Theory!B73:CF141,83,FALSE)</f>
        <v>#N/A</v>
      </c>
      <c r="CV70" s="342" t="e">
        <f>VLOOKUP(C70,Theory!B73:CG141,84,FALSE)</f>
        <v>#N/A</v>
      </c>
      <c r="CW70" s="342" t="e">
        <f>VLOOKUP(C70,Theory!B73:CH141,85,FALSE)</f>
        <v>#N/A</v>
      </c>
      <c r="CX70" s="342" t="e">
        <f>VLOOKUP(C70,Theory!B73:CI141,86,FALSE)</f>
        <v>#N/A</v>
      </c>
      <c r="CY70" s="341" t="e">
        <f>VLOOKUP(C70,Theory!B73:CJ141,87,FALSE)</f>
        <v>#N/A</v>
      </c>
      <c r="CZ70" s="341" t="e">
        <f>VLOOKUP(C70,Theory!B73:CK141,88,FALSE)</f>
        <v>#N/A</v>
      </c>
      <c r="DA70" s="341" t="e">
        <f>VLOOKUP(C70,Theory!B73:CL141,89,FALSE)</f>
        <v>#N/A</v>
      </c>
      <c r="DB70" s="341" t="e">
        <f>VLOOKUP(C70,Theory!B73:CM141,90,FALSE)</f>
        <v>#N/A</v>
      </c>
      <c r="DC70" s="335" t="e">
        <f t="shared" si="19"/>
        <v>#N/A</v>
      </c>
      <c r="DD70" s="340" t="e">
        <f>VLOOKUP(C70,Theory!B73:CN141,91,FALSE)</f>
        <v>#N/A</v>
      </c>
      <c r="DE70" s="342" t="e">
        <f>VLOOKUP(C70,Theory!B73:CO141,92,FALSE)</f>
        <v>#N/A</v>
      </c>
      <c r="DF70" s="342" t="e">
        <f>VLOOKUP(C70,Theory!B73:CP141,93,FALSE)</f>
        <v>#N/A</v>
      </c>
      <c r="DG70" s="342" t="e">
        <f>VLOOKUP(C70,Theory!B73:CQ141,94,FALSE)</f>
        <v>#N/A</v>
      </c>
      <c r="DH70" s="340" t="e">
        <f>VLOOKUP(C70,Theory!B73:CR141,95,FALSE)</f>
        <v>#N/A</v>
      </c>
      <c r="DI70" s="340" t="e">
        <f>VLOOKUP(C70,Theory!B73:CS141,96,FALSE)</f>
        <v>#N/A</v>
      </c>
      <c r="DJ70" s="340" t="e">
        <f>VLOOKUP(C70,Theory!B73:CT141,97,FALSE)</f>
        <v>#N/A</v>
      </c>
      <c r="DK70" s="340" t="e">
        <f>VLOOKUP(C70,Theory!B73:CU141,98,FALSE)</f>
        <v>#N/A</v>
      </c>
      <c r="DL70" s="335" t="e">
        <f t="shared" si="20"/>
        <v>#N/A</v>
      </c>
      <c r="DM70" s="265" t="e">
        <f t="shared" si="2"/>
        <v>#N/A</v>
      </c>
      <c r="DN70" s="362" t="e">
        <f t="shared" si="40"/>
        <v>#N/A</v>
      </c>
      <c r="DO70" s="362" t="e">
        <f t="shared" si="41"/>
        <v>#N/A</v>
      </c>
      <c r="DP70" s="362" t="e">
        <f t="shared" si="42"/>
        <v>#N/A</v>
      </c>
      <c r="DQ70" s="343" t="e">
        <f t="shared" si="43"/>
        <v>#N/A</v>
      </c>
      <c r="DR70" s="343" t="e">
        <f t="shared" si="44"/>
        <v>#N/A</v>
      </c>
      <c r="DS70" s="343" t="e">
        <f t="shared" si="45"/>
        <v>#N/A</v>
      </c>
      <c r="DT70" s="328" t="e">
        <f t="shared" si="36"/>
        <v>#N/A</v>
      </c>
      <c r="DU70" s="326" t="e">
        <f>VLOOKUP(C70,Theory!B73:CV141,99,FALSE)</f>
        <v>#N/A</v>
      </c>
      <c r="DV70" s="326" t="e">
        <f>VLOOKUP(C70,Theory!B73:CW141,100,FALSE)</f>
        <v>#N/A</v>
      </c>
      <c r="DW70" s="331" t="e">
        <f t="shared" si="27"/>
        <v>#N/A</v>
      </c>
      <c r="DX70" s="266" t="e">
        <f t="shared" si="3"/>
        <v>#N/A</v>
      </c>
      <c r="DY70" s="363" t="e">
        <f t="shared" si="4"/>
        <v>#N/A</v>
      </c>
      <c r="DZ70" s="344">
        <f>VLOOKUP(C70,Lab!B65:D134,3,FALSE)</f>
        <v>0</v>
      </c>
      <c r="EA70" s="345">
        <f>VLOOKUP(C70,Lab!B65:E134,4,FALSE)</f>
        <v>0</v>
      </c>
      <c r="EB70" s="345">
        <f>VLOOKUP(C70,Lab!B65:F134,5,FALSE)</f>
        <v>0</v>
      </c>
      <c r="EC70" s="329">
        <f t="shared" si="37"/>
        <v>0</v>
      </c>
      <c r="ED70" s="346">
        <f>VLOOKUP(C70,Lab!B65:G134,6,FALSE)</f>
        <v>0</v>
      </c>
      <c r="EE70" s="346">
        <f>VLOOKUP(C70,Lab!B65:H134,7,FALSE)</f>
        <v>0</v>
      </c>
      <c r="EF70" s="347">
        <f>VLOOKUP(C70,Lab!B65:I134,8,FALSE)</f>
        <v>0</v>
      </c>
      <c r="EG70" s="330">
        <f t="shared" si="38"/>
        <v>0</v>
      </c>
      <c r="EH70" s="390">
        <f t="shared" si="28"/>
        <v>0</v>
      </c>
      <c r="EI70" s="349">
        <f t="shared" si="29"/>
        <v>0</v>
      </c>
      <c r="EJ70" s="391" t="e">
        <f t="shared" si="5"/>
        <v>#N/A</v>
      </c>
      <c r="EK70" s="258">
        <v>0</v>
      </c>
      <c r="EM70" s="350" t="e">
        <f>VLOOKUP(C70,Theory!B73:DL141,114,FALSE)</f>
        <v>#N/A</v>
      </c>
      <c r="EN70" s="350" t="e">
        <f>VLOOKUP(C70,Theory!B73:DM141,115,FALSE)</f>
        <v>#N/A</v>
      </c>
      <c r="EO70" s="350" t="e">
        <f>VLOOKUP(C70,Theory!B73:DN141,116,FALSE)</f>
        <v>#N/A</v>
      </c>
      <c r="EP70" s="350" t="e">
        <f>VLOOKUP(C70,Theory!B73:DO139,117,FALSE)</f>
        <v>#N/A</v>
      </c>
      <c r="EQ70" s="350" t="e">
        <f>VLOOKUP(C70,Theory!B73:DP139,118,FALSE)</f>
        <v>#N/A</v>
      </c>
      <c r="ER70" s="351" t="e">
        <f>VLOOKUP(C70,Theory!B73:DQ139,119,FALSE)</f>
        <v>#N/A</v>
      </c>
      <c r="ES70" s="327" t="e">
        <f>VLOOKUP(C70,Theory!B73:DR139,120,FALSE)</f>
        <v>#N/A</v>
      </c>
      <c r="ET70" s="348" t="e">
        <f t="shared" si="39"/>
        <v>#N/A</v>
      </c>
      <c r="EU70" s="352"/>
      <c r="EV70" s="352"/>
      <c r="EW70" s="352"/>
      <c r="EX70" s="352"/>
      <c r="EY70" s="352"/>
      <c r="EZ70" s="352"/>
      <c r="FA70" s="352"/>
      <c r="FB70" s="352"/>
      <c r="FC70" s="352"/>
      <c r="FD70" s="352"/>
    </row>
    <row r="71" spans="1:160" ht="16.2" thickBot="1" x14ac:dyDescent="0.35">
      <c r="A71" s="64">
        <v>58</v>
      </c>
      <c r="B71" s="17">
        <f>Theory!C74</f>
        <v>0</v>
      </c>
      <c r="C71" s="16">
        <f>Theory!B74</f>
        <v>0</v>
      </c>
      <c r="D71" s="334" t="e">
        <f>VLOOKUP(C71,Theory!B74:D142,3,FALSE)</f>
        <v>#N/A</v>
      </c>
      <c r="E71" s="334" t="e">
        <f>VLOOKUP(C71,Theory!B74:E142,4,FALSE)</f>
        <v>#N/A</v>
      </c>
      <c r="F71" s="334" t="e">
        <f>VLOOKUP(C71,Theory!B74:F142,5,FALSE)</f>
        <v>#N/A</v>
      </c>
      <c r="G71" s="334" t="e">
        <f>VLOOKUP(C71,Theory!B74:G142,6,FALSE)</f>
        <v>#N/A</v>
      </c>
      <c r="H71" s="335" t="e">
        <f t="shared" si="6"/>
        <v>#N/A</v>
      </c>
      <c r="I71" s="338" t="e">
        <f>VLOOKUP(C71,Theory!B74:H142,7,FALSE)</f>
        <v>#N/A</v>
      </c>
      <c r="J71" s="337" t="e">
        <f>VLOOKUP(C71,Theory!B74:I142,8,FALSE)</f>
        <v>#N/A</v>
      </c>
      <c r="K71" s="337" t="e">
        <f>VLOOKUP(C71,Theory!B74:J142,9,FALSE)</f>
        <v>#N/A</v>
      </c>
      <c r="L71" s="337" t="e">
        <f>VLOOKUP(C71,Theory!B74:K142,10,FALSE)</f>
        <v>#N/A</v>
      </c>
      <c r="M71" s="335" t="e">
        <f t="shared" si="7"/>
        <v>#N/A</v>
      </c>
      <c r="N71" s="336" t="e">
        <f>VLOOKUP(C71,Theory!B74:L142,11,FALSE)</f>
        <v>#N/A</v>
      </c>
      <c r="O71" s="336" t="e">
        <f>VLOOKUP(C71,Theory!B74:M142,12,FALSE)</f>
        <v>#N/A</v>
      </c>
      <c r="P71" s="336" t="e">
        <f>VLOOKUP(C71,Theory!B74:N142,13,FALSE)</f>
        <v>#N/A</v>
      </c>
      <c r="Q71" s="336" t="e">
        <f>VLOOKUP(C71,Theory!B74:O142,14,FALSE)</f>
        <v>#N/A</v>
      </c>
      <c r="R71" s="337" t="e">
        <f>VLOOKUP(C71,Theory!B74:P142,15,FALSE)</f>
        <v>#N/A</v>
      </c>
      <c r="S71" s="337" t="e">
        <f>VLOOKUP(C71,Theory!B74:Q142,16,FALSE)</f>
        <v>#N/A</v>
      </c>
      <c r="T71" s="337" t="e">
        <f>VLOOKUP(C71,Theory!B74:R142,17,FALSE)</f>
        <v>#N/A</v>
      </c>
      <c r="U71" s="337" t="e">
        <f>VLOOKUP(C71,Theory!B74:S142,18,FALSE)</f>
        <v>#N/A</v>
      </c>
      <c r="V71" s="335" t="e">
        <f t="shared" si="8"/>
        <v>#N/A</v>
      </c>
      <c r="W71" s="334" t="e">
        <f>VLOOKUP(C71,Theory!B74:T142,19,FALSE)</f>
        <v>#N/A</v>
      </c>
      <c r="X71" s="334" t="e">
        <f>VLOOKUP(C71,Theory!B74:U142,20,FALSE)</f>
        <v>#N/A</v>
      </c>
      <c r="Y71" s="334" t="e">
        <f>VLOOKUP(C71,Theory!B74:V142,21,FALSE)</f>
        <v>#N/A</v>
      </c>
      <c r="Z71" s="334" t="e">
        <f>VLOOKUP(C71,Theory!B74:W142,22,FALSE)</f>
        <v>#N/A</v>
      </c>
      <c r="AA71" s="338" t="e">
        <f>VLOOKUP(C71,Theory!B74:X142,23,FALSE)</f>
        <v>#N/A</v>
      </c>
      <c r="AB71" s="338" t="e">
        <f>VLOOKUP(C71,Theory!B74:Y142,24,FALSE)</f>
        <v>#N/A</v>
      </c>
      <c r="AC71" s="338" t="e">
        <f>VLOOKUP(C71,Theory!B74:Z142,25,FALSE)</f>
        <v>#N/A</v>
      </c>
      <c r="AD71" s="338" t="e">
        <f>VLOOKUP(C71,Theory!B74:AA142,26,FALSE)</f>
        <v>#N/A</v>
      </c>
      <c r="AE71" s="335" t="e">
        <f t="shared" si="9"/>
        <v>#N/A</v>
      </c>
      <c r="AF71" s="334" t="e">
        <f>VLOOKUP(C71,Theory!B74:AB142,27,FALSE)</f>
        <v>#N/A</v>
      </c>
      <c r="AG71" s="334" t="e">
        <f>VLOOKUP(C71,Theory!B74:AC142,28,FALSE)</f>
        <v>#N/A</v>
      </c>
      <c r="AH71" s="334" t="e">
        <f>VLOOKUP(C71,Theory!B74:AD142,29,FALSE)</f>
        <v>#N/A</v>
      </c>
      <c r="AI71" s="334" t="e">
        <f>VLOOKUP(C71,Theory!B74:AE142,30,FALSE)</f>
        <v>#N/A</v>
      </c>
      <c r="AJ71" s="339" t="e">
        <f>VLOOKUP(C71,Theory!B74:AF142,31,FALSE)</f>
        <v>#N/A</v>
      </c>
      <c r="AK71" s="339" t="e">
        <f>VLOOKUP(C71,Theory!B74:AG142,32,FALSE)</f>
        <v>#N/A</v>
      </c>
      <c r="AL71" s="339" t="e">
        <f>VLOOKUP(C71,Theory!B74:AH142,33,FALSE)</f>
        <v>#N/A</v>
      </c>
      <c r="AM71" s="339" t="e">
        <f>VLOOKUP(C71,Theory!B74:AI142,34,FALSE)</f>
        <v>#N/A</v>
      </c>
      <c r="AN71" s="335" t="e">
        <f t="shared" si="10"/>
        <v>#N/A</v>
      </c>
      <c r="AO71" s="333" t="e">
        <f t="shared" si="0"/>
        <v>#N/A</v>
      </c>
      <c r="AP71" s="340" t="e">
        <f>VLOOKUP(C71,Theory!B74:AJ142,35,FALSE)</f>
        <v>#N/A</v>
      </c>
      <c r="AQ71" s="340" t="e">
        <f>VLOOKUP(C71,Theory!B74:AK142,36,FALSE)</f>
        <v>#N/A</v>
      </c>
      <c r="AR71" s="340" t="e">
        <f>VLOOKUP(C71,Theory!B74:AL142,37,FALSE)</f>
        <v>#N/A</v>
      </c>
      <c r="AS71" s="340" t="e">
        <f>VLOOKUP(C71,Theory!B74:AM142,38,FALSE)</f>
        <v>#N/A</v>
      </c>
      <c r="AT71" s="335" t="e">
        <f t="shared" si="11"/>
        <v>#N/A</v>
      </c>
      <c r="AU71" s="340" t="e">
        <f>VLOOKUP(C71,Theory!B74:AN142,39,FALSE)</f>
        <v>#N/A</v>
      </c>
      <c r="AV71" s="340" t="e">
        <f>VLOOKUP(C71,Theory!B74:AO142,40,FALSE)</f>
        <v>#N/A</v>
      </c>
      <c r="AW71" s="340" t="e">
        <f>VLOOKUP(C71,Theory!B74:AP142,41,FALSE)</f>
        <v>#N/A</v>
      </c>
      <c r="AX71" s="340" t="e">
        <f>VLOOKUP(C71,Theory!B74:AQ142,42,FALSE)</f>
        <v>#N/A</v>
      </c>
      <c r="AY71" s="335" t="e">
        <f t="shared" si="12"/>
        <v>#N/A</v>
      </c>
      <c r="AZ71" s="340" t="e">
        <f>VLOOKUP(C71,Theory!B74:AR142,43,FALSE)</f>
        <v>#N/A</v>
      </c>
      <c r="BA71" s="340" t="e">
        <f>VLOOKUP(C71,Theory!B74:AS142,44,FALSE)</f>
        <v>#N/A</v>
      </c>
      <c r="BB71" s="340" t="e">
        <f>VLOOKUP(C71,Theory!B74:AT142,45,FALSE)</f>
        <v>#N/A</v>
      </c>
      <c r="BC71" s="340" t="e">
        <f>VLOOKUP(C71,Theory!B74:AU142,46,FALSE)</f>
        <v>#N/A</v>
      </c>
      <c r="BD71" s="340" t="e">
        <f>VLOOKUP(C71,Theory!B74:AV142,47,FALSE)</f>
        <v>#N/A</v>
      </c>
      <c r="BE71" s="340" t="e">
        <f>VLOOKUP(C71,Theory!B74:AW142,48,FALSE)</f>
        <v>#N/A</v>
      </c>
      <c r="BF71" s="340" t="e">
        <f>VLOOKUP(C71,Theory!B74:AX142,49,FALSE)</f>
        <v>#N/A</v>
      </c>
      <c r="BG71" s="340" t="e">
        <f>VLOOKUP(C71,Theory!B74:AY142,50,FALSE)</f>
        <v>#N/A</v>
      </c>
      <c r="BH71" s="335" t="e">
        <f t="shared" si="13"/>
        <v>#N/A</v>
      </c>
      <c r="BI71" s="340" t="e">
        <f>VLOOKUP(C71,Theory!B74:AZ142,51,FALSE)</f>
        <v>#N/A</v>
      </c>
      <c r="BJ71" s="340" t="e">
        <f>VLOOKUP(C71,Theory!B74:BA142,52,FALSE)</f>
        <v>#N/A</v>
      </c>
      <c r="BK71" s="340" t="e">
        <f>VLOOKUP(C71,Theory!B74:BB142,53,FALSE)</f>
        <v>#N/A</v>
      </c>
      <c r="BL71" s="340" t="e">
        <f>VLOOKUP(C71,Theory!B74:BC142,54,FALSE)</f>
        <v>#N/A</v>
      </c>
      <c r="BM71" s="340" t="e">
        <f>VLOOKUP(C71,Theory!B74:BD142,55,FALSE)</f>
        <v>#N/A</v>
      </c>
      <c r="BN71" s="340" t="e">
        <f>VLOOKUP(C71,Theory!B74:BE142,56,FALSE)</f>
        <v>#N/A</v>
      </c>
      <c r="BO71" s="340" t="e">
        <f>VLOOKUP(C71,Theory!B74:BF142,57,FALSE)</f>
        <v>#N/A</v>
      </c>
      <c r="BP71" s="340" t="e">
        <f>VLOOKUP(C71,Theory!B74:BG142,58,FALSE)</f>
        <v>#N/A</v>
      </c>
      <c r="BQ71" s="335" t="e">
        <f t="shared" si="14"/>
        <v>#N/A</v>
      </c>
      <c r="BR71" s="340" t="e">
        <f>VLOOKUP(C71,Theory!B74:BH142,59,FALSE)</f>
        <v>#N/A</v>
      </c>
      <c r="BS71" s="340" t="e">
        <f>VLOOKUP(C71,Theory!B74:BI142,60,FALSE)</f>
        <v>#N/A</v>
      </c>
      <c r="BT71" s="340" t="e">
        <f>VLOOKUP(C71,Theory!B74:BJ142,61,FALSE)</f>
        <v>#N/A</v>
      </c>
      <c r="BU71" s="340" t="e">
        <f>VLOOKUP(C71,Theory!B74:BK142,62,FALSE)</f>
        <v>#N/A</v>
      </c>
      <c r="BV71" s="340" t="e">
        <f>VLOOKUP(C71,Theory!B74:BL142,63,FALSE)</f>
        <v>#N/A</v>
      </c>
      <c r="BW71" s="340" t="e">
        <f>VLOOKUP(C71,Theory!B74:BM142,64,FALSE)</f>
        <v>#N/A</v>
      </c>
      <c r="BX71" s="340" t="e">
        <f>VLOOKUP(C71,Theory!B74:BN142,65,FALSE)</f>
        <v>#N/A</v>
      </c>
      <c r="BY71" s="340" t="e">
        <f>VLOOKUP(C71,Theory!B74:BO142,66,FALSE)</f>
        <v>#N/A</v>
      </c>
      <c r="BZ71" s="335" t="e">
        <f t="shared" si="15"/>
        <v>#N/A</v>
      </c>
      <c r="CA71" s="333" t="e">
        <f t="shared" si="1"/>
        <v>#N/A</v>
      </c>
      <c r="CB71" s="340" t="e">
        <f>VLOOKUP(C71,Theory!B74:BP142,67,FALSE)</f>
        <v>#N/A</v>
      </c>
      <c r="CC71" s="340" t="e">
        <f>VLOOKUP(C71,Theory!B74:BQ142,68,FALSE)</f>
        <v>#N/A</v>
      </c>
      <c r="CD71" s="340" t="e">
        <f>VLOOKUP(C71,Theory!B74:BR142,69,FALSE)</f>
        <v>#N/A</v>
      </c>
      <c r="CE71" s="340" t="e">
        <f>VLOOKUP(C71,Theory!B74:BS142,70,FALSE)</f>
        <v>#N/A</v>
      </c>
      <c r="CF71" s="335" t="e">
        <f t="shared" si="16"/>
        <v>#N/A</v>
      </c>
      <c r="CG71" s="341" t="e">
        <f>VLOOKUP(C71,Theory!B74:BT142,71,FALSE)</f>
        <v>#N/A</v>
      </c>
      <c r="CH71" s="341" t="e">
        <f>VLOOKUP(C71,Theory!B74:BU142,72,FALSE)</f>
        <v>#N/A</v>
      </c>
      <c r="CI71" s="341" t="e">
        <f>VLOOKUP(C71,Theory!B74:BV142,73,FALSE)</f>
        <v>#N/A</v>
      </c>
      <c r="CJ71" s="341" t="e">
        <f>VLOOKUP(C71,Theory!B74:BW142,74,FALSE)</f>
        <v>#N/A</v>
      </c>
      <c r="CK71" s="335" t="e">
        <f t="shared" si="17"/>
        <v>#N/A</v>
      </c>
      <c r="CL71" s="340" t="e">
        <f>VLOOKUP(C71,Theory!B74:BX142,75,FALSE)</f>
        <v>#N/A</v>
      </c>
      <c r="CM71" s="342" t="e">
        <f>VLOOKUP(C71,Theory!B74:BY142,76,FALSE)</f>
        <v>#N/A</v>
      </c>
      <c r="CN71" s="342" t="e">
        <f>VLOOKUP(C71,Theory!B74:BZ142,77,FALSE)</f>
        <v>#N/A</v>
      </c>
      <c r="CO71" s="342" t="e">
        <f>VLOOKUP(C71,Theory!B74:CA142,78,FALSE)</f>
        <v>#N/A</v>
      </c>
      <c r="CP71" s="340" t="e">
        <f>VLOOKUP(C71,Theory!B74:CB142,79,FALSE)</f>
        <v>#N/A</v>
      </c>
      <c r="CQ71" s="340" t="e">
        <f>VLOOKUP(C71,Theory!B74:CC142,80,FALSE)</f>
        <v>#N/A</v>
      </c>
      <c r="CR71" s="340" t="e">
        <f>VLOOKUP(C71,Theory!B74:CD142,81,FALSE)</f>
        <v>#N/A</v>
      </c>
      <c r="CS71" s="340" t="e">
        <f>VLOOKUP(C71,Theory!B74:CE142,82,FALSE)</f>
        <v>#N/A</v>
      </c>
      <c r="CT71" s="335" t="e">
        <f t="shared" si="18"/>
        <v>#N/A</v>
      </c>
      <c r="CU71" s="341" t="e">
        <f>VLOOKUP(C71,Theory!B74:CF142,83,FALSE)</f>
        <v>#N/A</v>
      </c>
      <c r="CV71" s="342" t="e">
        <f>VLOOKUP(C71,Theory!B74:CG142,84,FALSE)</f>
        <v>#N/A</v>
      </c>
      <c r="CW71" s="342" t="e">
        <f>VLOOKUP(C71,Theory!B74:CH142,85,FALSE)</f>
        <v>#N/A</v>
      </c>
      <c r="CX71" s="342" t="e">
        <f>VLOOKUP(C71,Theory!B74:CI142,86,FALSE)</f>
        <v>#N/A</v>
      </c>
      <c r="CY71" s="341" t="e">
        <f>VLOOKUP(C71,Theory!B74:CJ142,87,FALSE)</f>
        <v>#N/A</v>
      </c>
      <c r="CZ71" s="341" t="e">
        <f>VLOOKUP(C71,Theory!B74:CK142,88,FALSE)</f>
        <v>#N/A</v>
      </c>
      <c r="DA71" s="341" t="e">
        <f>VLOOKUP(C71,Theory!B74:CL142,89,FALSE)</f>
        <v>#N/A</v>
      </c>
      <c r="DB71" s="341" t="e">
        <f>VLOOKUP(C71,Theory!B74:CM142,90,FALSE)</f>
        <v>#N/A</v>
      </c>
      <c r="DC71" s="335" t="e">
        <f t="shared" si="19"/>
        <v>#N/A</v>
      </c>
      <c r="DD71" s="340" t="e">
        <f>VLOOKUP(C71,Theory!B74:CN142,91,FALSE)</f>
        <v>#N/A</v>
      </c>
      <c r="DE71" s="342" t="e">
        <f>VLOOKUP(C71,Theory!B74:CO142,92,FALSE)</f>
        <v>#N/A</v>
      </c>
      <c r="DF71" s="342" t="e">
        <f>VLOOKUP(C71,Theory!B74:CP142,93,FALSE)</f>
        <v>#N/A</v>
      </c>
      <c r="DG71" s="342" t="e">
        <f>VLOOKUP(C71,Theory!B74:CQ142,94,FALSE)</f>
        <v>#N/A</v>
      </c>
      <c r="DH71" s="340" t="e">
        <f>VLOOKUP(C71,Theory!B74:CR142,95,FALSE)</f>
        <v>#N/A</v>
      </c>
      <c r="DI71" s="340" t="e">
        <f>VLOOKUP(C71,Theory!B74:CS142,96,FALSE)</f>
        <v>#N/A</v>
      </c>
      <c r="DJ71" s="340" t="e">
        <f>VLOOKUP(C71,Theory!B74:CT142,97,FALSE)</f>
        <v>#N/A</v>
      </c>
      <c r="DK71" s="340" t="e">
        <f>VLOOKUP(C71,Theory!B74:CU142,98,FALSE)</f>
        <v>#N/A</v>
      </c>
      <c r="DL71" s="335" t="e">
        <f t="shared" si="20"/>
        <v>#N/A</v>
      </c>
      <c r="DM71" s="265" t="e">
        <f t="shared" si="2"/>
        <v>#N/A</v>
      </c>
      <c r="DN71" s="362" t="e">
        <f t="shared" si="40"/>
        <v>#N/A</v>
      </c>
      <c r="DO71" s="362" t="e">
        <f t="shared" si="41"/>
        <v>#N/A</v>
      </c>
      <c r="DP71" s="362" t="e">
        <f t="shared" si="42"/>
        <v>#N/A</v>
      </c>
      <c r="DQ71" s="343" t="e">
        <f t="shared" si="43"/>
        <v>#N/A</v>
      </c>
      <c r="DR71" s="343" t="e">
        <f t="shared" si="44"/>
        <v>#N/A</v>
      </c>
      <c r="DS71" s="343" t="e">
        <f t="shared" si="45"/>
        <v>#N/A</v>
      </c>
      <c r="DT71" s="328" t="e">
        <f t="shared" si="36"/>
        <v>#N/A</v>
      </c>
      <c r="DU71" s="326" t="e">
        <f>VLOOKUP(C71,Theory!B74:CV142,99,FALSE)</f>
        <v>#N/A</v>
      </c>
      <c r="DV71" s="326" t="e">
        <f>VLOOKUP(C71,Theory!B74:CW142,100,FALSE)</f>
        <v>#N/A</v>
      </c>
      <c r="DW71" s="331" t="e">
        <f t="shared" si="27"/>
        <v>#N/A</v>
      </c>
      <c r="DX71" s="266" t="e">
        <f t="shared" si="3"/>
        <v>#N/A</v>
      </c>
      <c r="DY71" s="363" t="e">
        <f t="shared" si="4"/>
        <v>#N/A</v>
      </c>
      <c r="DZ71" s="344">
        <f>VLOOKUP(C71,Lab!B66:D135,3,FALSE)</f>
        <v>0</v>
      </c>
      <c r="EA71" s="345">
        <f>VLOOKUP(C71,Lab!B66:E135,4,FALSE)</f>
        <v>0</v>
      </c>
      <c r="EB71" s="345">
        <f>VLOOKUP(C71,Lab!B66:F135,5,FALSE)</f>
        <v>0</v>
      </c>
      <c r="EC71" s="329">
        <f t="shared" si="37"/>
        <v>0</v>
      </c>
      <c r="ED71" s="346">
        <f>VLOOKUP(C71,Lab!B66:G135,6,FALSE)</f>
        <v>0</v>
      </c>
      <c r="EE71" s="346">
        <f>VLOOKUP(C71,Lab!B66:H135,7,FALSE)</f>
        <v>0</v>
      </c>
      <c r="EF71" s="347">
        <f>VLOOKUP(C71,Lab!B66:I135,8,FALSE)</f>
        <v>0</v>
      </c>
      <c r="EG71" s="330">
        <f t="shared" si="38"/>
        <v>0</v>
      </c>
      <c r="EH71" s="390">
        <f t="shared" si="28"/>
        <v>0</v>
      </c>
      <c r="EI71" s="349">
        <f t="shared" si="29"/>
        <v>0</v>
      </c>
      <c r="EJ71" s="391" t="e">
        <f t="shared" si="5"/>
        <v>#N/A</v>
      </c>
      <c r="EK71" s="258">
        <v>0</v>
      </c>
      <c r="EM71" s="350" t="e">
        <f>VLOOKUP(C71,Theory!B74:DL142,114,FALSE)</f>
        <v>#N/A</v>
      </c>
      <c r="EN71" s="350" t="e">
        <f>VLOOKUP(C71,Theory!B74:DM142,115,FALSE)</f>
        <v>#N/A</v>
      </c>
      <c r="EO71" s="350" t="e">
        <f>VLOOKUP(C71,Theory!B74:DN142,116,FALSE)</f>
        <v>#N/A</v>
      </c>
      <c r="EP71" s="350" t="e">
        <f>VLOOKUP(C71,Theory!B74:DO140,117,FALSE)</f>
        <v>#N/A</v>
      </c>
      <c r="EQ71" s="350" t="e">
        <f>VLOOKUP(C71,Theory!B74:DP140,118,FALSE)</f>
        <v>#N/A</v>
      </c>
      <c r="ER71" s="351" t="e">
        <f>VLOOKUP(C71,Theory!B74:DQ140,119,FALSE)</f>
        <v>#N/A</v>
      </c>
      <c r="ES71" s="327" t="e">
        <f>VLOOKUP(C71,Theory!B74:DR140,120,FALSE)</f>
        <v>#N/A</v>
      </c>
      <c r="ET71" s="348" t="e">
        <f t="shared" si="39"/>
        <v>#N/A</v>
      </c>
      <c r="EU71" s="352"/>
      <c r="EV71" s="352"/>
      <c r="EW71" s="352"/>
      <c r="EX71" s="352"/>
      <c r="EY71" s="352"/>
      <c r="EZ71" s="352"/>
      <c r="FA71" s="352"/>
      <c r="FB71" s="352"/>
      <c r="FC71" s="352"/>
      <c r="FD71" s="352"/>
    </row>
    <row r="72" spans="1:160" ht="16.2" thickBot="1" x14ac:dyDescent="0.35">
      <c r="A72" s="64">
        <v>59</v>
      </c>
      <c r="B72" s="17">
        <f>Theory!C75</f>
        <v>0</v>
      </c>
      <c r="C72" s="16">
        <f>Theory!B75</f>
        <v>0</v>
      </c>
      <c r="D72" s="334" t="e">
        <f>VLOOKUP(C72,Theory!B75:D143,3,FALSE)</f>
        <v>#N/A</v>
      </c>
      <c r="E72" s="334" t="e">
        <f>VLOOKUP(C72,Theory!B75:E143,4,FALSE)</f>
        <v>#N/A</v>
      </c>
      <c r="F72" s="334" t="e">
        <f>VLOOKUP(C72,Theory!B75:F143,5,FALSE)</f>
        <v>#N/A</v>
      </c>
      <c r="G72" s="334" t="e">
        <f>VLOOKUP(C72,Theory!B75:G143,6,FALSE)</f>
        <v>#N/A</v>
      </c>
      <c r="H72" s="335" t="e">
        <f t="shared" si="6"/>
        <v>#N/A</v>
      </c>
      <c r="I72" s="338" t="e">
        <f>VLOOKUP(C72,Theory!B75:H143,7,FALSE)</f>
        <v>#N/A</v>
      </c>
      <c r="J72" s="337" t="e">
        <f>VLOOKUP(C72,Theory!B75:I143,8,FALSE)</f>
        <v>#N/A</v>
      </c>
      <c r="K72" s="337" t="e">
        <f>VLOOKUP(C72,Theory!B75:J143,9,FALSE)</f>
        <v>#N/A</v>
      </c>
      <c r="L72" s="337" t="e">
        <f>VLOOKUP(C72,Theory!B75:K143,10,FALSE)</f>
        <v>#N/A</v>
      </c>
      <c r="M72" s="335" t="e">
        <f t="shared" si="7"/>
        <v>#N/A</v>
      </c>
      <c r="N72" s="336" t="e">
        <f>VLOOKUP(C72,Theory!B75:L143,11,FALSE)</f>
        <v>#N/A</v>
      </c>
      <c r="O72" s="336" t="e">
        <f>VLOOKUP(C72,Theory!B75:M143,12,FALSE)</f>
        <v>#N/A</v>
      </c>
      <c r="P72" s="336" t="e">
        <f>VLOOKUP(C72,Theory!B75:N143,13,FALSE)</f>
        <v>#N/A</v>
      </c>
      <c r="Q72" s="336" t="e">
        <f>VLOOKUP(C72,Theory!B75:O143,14,FALSE)</f>
        <v>#N/A</v>
      </c>
      <c r="R72" s="337" t="e">
        <f>VLOOKUP(C72,Theory!B75:P143,15,FALSE)</f>
        <v>#N/A</v>
      </c>
      <c r="S72" s="337" t="e">
        <f>VLOOKUP(C72,Theory!B75:Q143,16,FALSE)</f>
        <v>#N/A</v>
      </c>
      <c r="T72" s="337" t="e">
        <f>VLOOKUP(C72,Theory!B75:R143,17,FALSE)</f>
        <v>#N/A</v>
      </c>
      <c r="U72" s="337" t="e">
        <f>VLOOKUP(C72,Theory!B75:S143,18,FALSE)</f>
        <v>#N/A</v>
      </c>
      <c r="V72" s="335" t="e">
        <f t="shared" si="8"/>
        <v>#N/A</v>
      </c>
      <c r="W72" s="334" t="e">
        <f>VLOOKUP(C72,Theory!B75:T143,19,FALSE)</f>
        <v>#N/A</v>
      </c>
      <c r="X72" s="334" t="e">
        <f>VLOOKUP(C72,Theory!B75:U143,20,FALSE)</f>
        <v>#N/A</v>
      </c>
      <c r="Y72" s="334" t="e">
        <f>VLOOKUP(C72,Theory!B75:V143,21,FALSE)</f>
        <v>#N/A</v>
      </c>
      <c r="Z72" s="334" t="e">
        <f>VLOOKUP(C72,Theory!B75:W143,22,FALSE)</f>
        <v>#N/A</v>
      </c>
      <c r="AA72" s="338" t="e">
        <f>VLOOKUP(C72,Theory!B75:X143,23,FALSE)</f>
        <v>#N/A</v>
      </c>
      <c r="AB72" s="338" t="e">
        <f>VLOOKUP(C72,Theory!B75:Y143,24,FALSE)</f>
        <v>#N/A</v>
      </c>
      <c r="AC72" s="338" t="e">
        <f>VLOOKUP(C72,Theory!B75:Z143,25,FALSE)</f>
        <v>#N/A</v>
      </c>
      <c r="AD72" s="338" t="e">
        <f>VLOOKUP(C72,Theory!B75:AA143,26,FALSE)</f>
        <v>#N/A</v>
      </c>
      <c r="AE72" s="335" t="e">
        <f t="shared" si="9"/>
        <v>#N/A</v>
      </c>
      <c r="AF72" s="334" t="e">
        <f>VLOOKUP(C72,Theory!B75:AB143,27,FALSE)</f>
        <v>#N/A</v>
      </c>
      <c r="AG72" s="334" t="e">
        <f>VLOOKUP(C72,Theory!B75:AC143,28,FALSE)</f>
        <v>#N/A</v>
      </c>
      <c r="AH72" s="334" t="e">
        <f>VLOOKUP(C72,Theory!B75:AD143,29,FALSE)</f>
        <v>#N/A</v>
      </c>
      <c r="AI72" s="334" t="e">
        <f>VLOOKUP(C72,Theory!B75:AE143,30,FALSE)</f>
        <v>#N/A</v>
      </c>
      <c r="AJ72" s="339" t="e">
        <f>VLOOKUP(C72,Theory!B75:AF143,31,FALSE)</f>
        <v>#N/A</v>
      </c>
      <c r="AK72" s="339" t="e">
        <f>VLOOKUP(C72,Theory!B75:AG143,32,FALSE)</f>
        <v>#N/A</v>
      </c>
      <c r="AL72" s="339" t="e">
        <f>VLOOKUP(C72,Theory!B75:AH143,33,FALSE)</f>
        <v>#N/A</v>
      </c>
      <c r="AM72" s="339" t="e">
        <f>VLOOKUP(C72,Theory!B75:AI143,34,FALSE)</f>
        <v>#N/A</v>
      </c>
      <c r="AN72" s="335" t="e">
        <f t="shared" si="10"/>
        <v>#N/A</v>
      </c>
      <c r="AO72" s="333" t="e">
        <f t="shared" si="0"/>
        <v>#N/A</v>
      </c>
      <c r="AP72" s="340" t="e">
        <f>VLOOKUP(C72,Theory!B75:AJ143,35,FALSE)</f>
        <v>#N/A</v>
      </c>
      <c r="AQ72" s="340" t="e">
        <f>VLOOKUP(C72,Theory!B75:AK143,36,FALSE)</f>
        <v>#N/A</v>
      </c>
      <c r="AR72" s="340" t="e">
        <f>VLOOKUP(C72,Theory!B75:AL143,37,FALSE)</f>
        <v>#N/A</v>
      </c>
      <c r="AS72" s="340" t="e">
        <f>VLOOKUP(C72,Theory!B75:AM143,38,FALSE)</f>
        <v>#N/A</v>
      </c>
      <c r="AT72" s="335" t="e">
        <f t="shared" si="11"/>
        <v>#N/A</v>
      </c>
      <c r="AU72" s="340" t="e">
        <f>VLOOKUP(C72,Theory!B75:AN143,39,FALSE)</f>
        <v>#N/A</v>
      </c>
      <c r="AV72" s="340" t="e">
        <f>VLOOKUP(C72,Theory!B75:AO143,40,FALSE)</f>
        <v>#N/A</v>
      </c>
      <c r="AW72" s="340" t="e">
        <f>VLOOKUP(C72,Theory!B75:AP143,41,FALSE)</f>
        <v>#N/A</v>
      </c>
      <c r="AX72" s="340" t="e">
        <f>VLOOKUP(C72,Theory!B75:AQ143,42,FALSE)</f>
        <v>#N/A</v>
      </c>
      <c r="AY72" s="335" t="e">
        <f t="shared" si="12"/>
        <v>#N/A</v>
      </c>
      <c r="AZ72" s="340" t="e">
        <f>VLOOKUP(C72,Theory!B75:AR143,43,FALSE)</f>
        <v>#N/A</v>
      </c>
      <c r="BA72" s="340" t="e">
        <f>VLOOKUP(C72,Theory!B75:AS143,44,FALSE)</f>
        <v>#N/A</v>
      </c>
      <c r="BB72" s="340" t="e">
        <f>VLOOKUP(C72,Theory!B75:AT143,45,FALSE)</f>
        <v>#N/A</v>
      </c>
      <c r="BC72" s="340" t="e">
        <f>VLOOKUP(C72,Theory!B75:AU143,46,FALSE)</f>
        <v>#N/A</v>
      </c>
      <c r="BD72" s="340" t="e">
        <f>VLOOKUP(C72,Theory!B75:AV143,47,FALSE)</f>
        <v>#N/A</v>
      </c>
      <c r="BE72" s="340" t="e">
        <f>VLOOKUP(C72,Theory!B75:AW143,48,FALSE)</f>
        <v>#N/A</v>
      </c>
      <c r="BF72" s="340" t="e">
        <f>VLOOKUP(C72,Theory!B75:AX143,49,FALSE)</f>
        <v>#N/A</v>
      </c>
      <c r="BG72" s="340" t="e">
        <f>VLOOKUP(C72,Theory!B75:AY143,50,FALSE)</f>
        <v>#N/A</v>
      </c>
      <c r="BH72" s="335" t="e">
        <f t="shared" si="13"/>
        <v>#N/A</v>
      </c>
      <c r="BI72" s="340" t="e">
        <f>VLOOKUP(C72,Theory!B75:AZ143,51,FALSE)</f>
        <v>#N/A</v>
      </c>
      <c r="BJ72" s="340" t="e">
        <f>VLOOKUP(C72,Theory!B75:BA143,52,FALSE)</f>
        <v>#N/A</v>
      </c>
      <c r="BK72" s="340" t="e">
        <f>VLOOKUP(C72,Theory!B75:BB143,53,FALSE)</f>
        <v>#N/A</v>
      </c>
      <c r="BL72" s="340" t="e">
        <f>VLOOKUP(C72,Theory!B75:BC143,54,FALSE)</f>
        <v>#N/A</v>
      </c>
      <c r="BM72" s="340" t="e">
        <f>VLOOKUP(C72,Theory!B75:BD143,55,FALSE)</f>
        <v>#N/A</v>
      </c>
      <c r="BN72" s="340" t="e">
        <f>VLOOKUP(C72,Theory!B75:BE143,56,FALSE)</f>
        <v>#N/A</v>
      </c>
      <c r="BO72" s="340" t="e">
        <f>VLOOKUP(C72,Theory!B75:BF143,57,FALSE)</f>
        <v>#N/A</v>
      </c>
      <c r="BP72" s="340" t="e">
        <f>VLOOKUP(C72,Theory!B75:BG143,58,FALSE)</f>
        <v>#N/A</v>
      </c>
      <c r="BQ72" s="335" t="e">
        <f t="shared" si="14"/>
        <v>#N/A</v>
      </c>
      <c r="BR72" s="340" t="e">
        <f>VLOOKUP(C72,Theory!B75:BH143,59,FALSE)</f>
        <v>#N/A</v>
      </c>
      <c r="BS72" s="340" t="e">
        <f>VLOOKUP(C72,Theory!B75:BI143,60,FALSE)</f>
        <v>#N/A</v>
      </c>
      <c r="BT72" s="340" t="e">
        <f>VLOOKUP(C72,Theory!B75:BJ143,61,FALSE)</f>
        <v>#N/A</v>
      </c>
      <c r="BU72" s="340" t="e">
        <f>VLOOKUP(C72,Theory!B75:BK143,62,FALSE)</f>
        <v>#N/A</v>
      </c>
      <c r="BV72" s="340" t="e">
        <f>VLOOKUP(C72,Theory!B75:BL143,63,FALSE)</f>
        <v>#N/A</v>
      </c>
      <c r="BW72" s="340" t="e">
        <f>VLOOKUP(C72,Theory!B75:BM143,64,FALSE)</f>
        <v>#N/A</v>
      </c>
      <c r="BX72" s="340" t="e">
        <f>VLOOKUP(C72,Theory!B75:BN143,65,FALSE)</f>
        <v>#N/A</v>
      </c>
      <c r="BY72" s="340" t="e">
        <f>VLOOKUP(C72,Theory!B75:BO143,66,FALSE)</f>
        <v>#N/A</v>
      </c>
      <c r="BZ72" s="335" t="e">
        <f t="shared" si="15"/>
        <v>#N/A</v>
      </c>
      <c r="CA72" s="333" t="e">
        <f t="shared" si="1"/>
        <v>#N/A</v>
      </c>
      <c r="CB72" s="340" t="e">
        <f>VLOOKUP(C72,Theory!B75:BP143,67,FALSE)</f>
        <v>#N/A</v>
      </c>
      <c r="CC72" s="340" t="e">
        <f>VLOOKUP(C72,Theory!B75:BQ143,68,FALSE)</f>
        <v>#N/A</v>
      </c>
      <c r="CD72" s="340" t="e">
        <f>VLOOKUP(C72,Theory!B75:BR143,69,FALSE)</f>
        <v>#N/A</v>
      </c>
      <c r="CE72" s="340" t="e">
        <f>VLOOKUP(C72,Theory!B75:BS143,70,FALSE)</f>
        <v>#N/A</v>
      </c>
      <c r="CF72" s="335" t="e">
        <f t="shared" si="16"/>
        <v>#N/A</v>
      </c>
      <c r="CG72" s="341" t="e">
        <f>VLOOKUP(C72,Theory!B75:BT143,71,FALSE)</f>
        <v>#N/A</v>
      </c>
      <c r="CH72" s="341" t="e">
        <f>VLOOKUP(C72,Theory!B75:BU143,72,FALSE)</f>
        <v>#N/A</v>
      </c>
      <c r="CI72" s="341" t="e">
        <f>VLOOKUP(C72,Theory!B75:BV143,73,FALSE)</f>
        <v>#N/A</v>
      </c>
      <c r="CJ72" s="341" t="e">
        <f>VLOOKUP(C72,Theory!B75:BW143,74,FALSE)</f>
        <v>#N/A</v>
      </c>
      <c r="CK72" s="335" t="e">
        <f t="shared" si="17"/>
        <v>#N/A</v>
      </c>
      <c r="CL72" s="340" t="e">
        <f>VLOOKUP(C72,Theory!B75:BX143,75,FALSE)</f>
        <v>#N/A</v>
      </c>
      <c r="CM72" s="342" t="e">
        <f>VLOOKUP(C72,Theory!B75:BY143,76,FALSE)</f>
        <v>#N/A</v>
      </c>
      <c r="CN72" s="342" t="e">
        <f>VLOOKUP(C72,Theory!B75:BZ143,77,FALSE)</f>
        <v>#N/A</v>
      </c>
      <c r="CO72" s="342" t="e">
        <f>VLOOKUP(C72,Theory!B75:CA143,78,FALSE)</f>
        <v>#N/A</v>
      </c>
      <c r="CP72" s="340" t="e">
        <f>VLOOKUP(C72,Theory!B75:CB143,79,FALSE)</f>
        <v>#N/A</v>
      </c>
      <c r="CQ72" s="340" t="e">
        <f>VLOOKUP(C72,Theory!B75:CC143,80,FALSE)</f>
        <v>#N/A</v>
      </c>
      <c r="CR72" s="340" t="e">
        <f>VLOOKUP(C72,Theory!B75:CD143,81,FALSE)</f>
        <v>#N/A</v>
      </c>
      <c r="CS72" s="340" t="e">
        <f>VLOOKUP(C72,Theory!B75:CE143,82,FALSE)</f>
        <v>#N/A</v>
      </c>
      <c r="CT72" s="335" t="e">
        <f t="shared" si="18"/>
        <v>#N/A</v>
      </c>
      <c r="CU72" s="341" t="e">
        <f>VLOOKUP(C72,Theory!B75:CF143,83,FALSE)</f>
        <v>#N/A</v>
      </c>
      <c r="CV72" s="342" t="e">
        <f>VLOOKUP(C72,Theory!B75:CG143,84,FALSE)</f>
        <v>#N/A</v>
      </c>
      <c r="CW72" s="342" t="e">
        <f>VLOOKUP(C72,Theory!B75:CH143,85,FALSE)</f>
        <v>#N/A</v>
      </c>
      <c r="CX72" s="342" t="e">
        <f>VLOOKUP(C72,Theory!B75:CI143,86,FALSE)</f>
        <v>#N/A</v>
      </c>
      <c r="CY72" s="341" t="e">
        <f>VLOOKUP(C72,Theory!B75:CJ143,87,FALSE)</f>
        <v>#N/A</v>
      </c>
      <c r="CZ72" s="341" t="e">
        <f>VLOOKUP(C72,Theory!B75:CK143,88,FALSE)</f>
        <v>#N/A</v>
      </c>
      <c r="DA72" s="341" t="e">
        <f>VLOOKUP(C72,Theory!B75:CL143,89,FALSE)</f>
        <v>#N/A</v>
      </c>
      <c r="DB72" s="341" t="e">
        <f>VLOOKUP(C72,Theory!B75:CM143,90,FALSE)</f>
        <v>#N/A</v>
      </c>
      <c r="DC72" s="335" t="e">
        <f t="shared" si="19"/>
        <v>#N/A</v>
      </c>
      <c r="DD72" s="340" t="e">
        <f>VLOOKUP(C72,Theory!B75:CN143,91,FALSE)</f>
        <v>#N/A</v>
      </c>
      <c r="DE72" s="342" t="e">
        <f>VLOOKUP(C72,Theory!B75:CO143,92,FALSE)</f>
        <v>#N/A</v>
      </c>
      <c r="DF72" s="342" t="e">
        <f>VLOOKUP(C72,Theory!B75:CP143,93,FALSE)</f>
        <v>#N/A</v>
      </c>
      <c r="DG72" s="342" t="e">
        <f>VLOOKUP(C72,Theory!B75:CQ143,94,FALSE)</f>
        <v>#N/A</v>
      </c>
      <c r="DH72" s="340" t="e">
        <f>VLOOKUP(C72,Theory!B75:CR143,95,FALSE)</f>
        <v>#N/A</v>
      </c>
      <c r="DI72" s="340" t="e">
        <f>VLOOKUP(C72,Theory!B75:CS143,96,FALSE)</f>
        <v>#N/A</v>
      </c>
      <c r="DJ72" s="340" t="e">
        <f>VLOOKUP(C72,Theory!B75:CT143,97,FALSE)</f>
        <v>#N/A</v>
      </c>
      <c r="DK72" s="340" t="e">
        <f>VLOOKUP(C72,Theory!B75:CU143,98,FALSE)</f>
        <v>#N/A</v>
      </c>
      <c r="DL72" s="335" t="e">
        <f t="shared" si="20"/>
        <v>#N/A</v>
      </c>
      <c r="DM72" s="265" t="e">
        <f t="shared" si="2"/>
        <v>#N/A</v>
      </c>
      <c r="DN72" s="362" t="e">
        <f t="shared" si="40"/>
        <v>#N/A</v>
      </c>
      <c r="DO72" s="362" t="e">
        <f t="shared" si="41"/>
        <v>#N/A</v>
      </c>
      <c r="DP72" s="362" t="e">
        <f t="shared" si="42"/>
        <v>#N/A</v>
      </c>
      <c r="DQ72" s="343" t="e">
        <f t="shared" si="43"/>
        <v>#N/A</v>
      </c>
      <c r="DR72" s="343" t="e">
        <f t="shared" si="44"/>
        <v>#N/A</v>
      </c>
      <c r="DS72" s="343" t="e">
        <f t="shared" si="45"/>
        <v>#N/A</v>
      </c>
      <c r="DT72" s="328" t="e">
        <f t="shared" si="36"/>
        <v>#N/A</v>
      </c>
      <c r="DU72" s="326" t="e">
        <f>VLOOKUP(C72,Theory!B75:CV143,99,FALSE)</f>
        <v>#N/A</v>
      </c>
      <c r="DV72" s="326" t="e">
        <f>VLOOKUP(C72,Theory!B75:CW143,100,FALSE)</f>
        <v>#N/A</v>
      </c>
      <c r="DW72" s="331" t="e">
        <f t="shared" si="27"/>
        <v>#N/A</v>
      </c>
      <c r="DX72" s="266" t="e">
        <f t="shared" si="3"/>
        <v>#N/A</v>
      </c>
      <c r="DY72" s="363" t="e">
        <f t="shared" si="4"/>
        <v>#N/A</v>
      </c>
      <c r="DZ72" s="344">
        <f>VLOOKUP(C72,Lab!B67:D136,3,FALSE)</f>
        <v>0</v>
      </c>
      <c r="EA72" s="345">
        <f>VLOOKUP(C72,Lab!B67:E136,4,FALSE)</f>
        <v>0</v>
      </c>
      <c r="EB72" s="345">
        <f>VLOOKUP(C72,Lab!B67:F136,5,FALSE)</f>
        <v>0</v>
      </c>
      <c r="EC72" s="329">
        <f t="shared" si="37"/>
        <v>0</v>
      </c>
      <c r="ED72" s="346">
        <f>VLOOKUP(C72,Lab!B67:G136,6,FALSE)</f>
        <v>0</v>
      </c>
      <c r="EE72" s="346">
        <f>VLOOKUP(C72,Lab!B67:H136,7,FALSE)</f>
        <v>0</v>
      </c>
      <c r="EF72" s="347">
        <f>VLOOKUP(C72,Lab!B67:I136,8,FALSE)</f>
        <v>0</v>
      </c>
      <c r="EG72" s="330">
        <f t="shared" si="38"/>
        <v>0</v>
      </c>
      <c r="EH72" s="390">
        <f t="shared" si="28"/>
        <v>0</v>
      </c>
      <c r="EI72" s="349">
        <f t="shared" si="29"/>
        <v>0</v>
      </c>
      <c r="EJ72" s="391" t="e">
        <f t="shared" si="5"/>
        <v>#N/A</v>
      </c>
      <c r="EK72" s="258">
        <v>0</v>
      </c>
      <c r="EM72" s="350" t="e">
        <f>VLOOKUP(C72,Theory!B75:DL143,114,FALSE)</f>
        <v>#N/A</v>
      </c>
      <c r="EN72" s="350" t="e">
        <f>VLOOKUP(C72,Theory!B75:DM143,115,FALSE)</f>
        <v>#N/A</v>
      </c>
      <c r="EO72" s="350" t="e">
        <f>VLOOKUP(C72,Theory!B75:DN143,116,FALSE)</f>
        <v>#N/A</v>
      </c>
      <c r="EP72" s="350" t="e">
        <f>VLOOKUP(C72,Theory!B75:DO141,117,FALSE)</f>
        <v>#N/A</v>
      </c>
      <c r="EQ72" s="350" t="e">
        <f>VLOOKUP(C72,Theory!B75:DP141,118,FALSE)</f>
        <v>#N/A</v>
      </c>
      <c r="ER72" s="351" t="e">
        <f>VLOOKUP(C72,Theory!B75:DQ141,119,FALSE)</f>
        <v>#N/A</v>
      </c>
      <c r="ES72" s="327" t="e">
        <f>VLOOKUP(C72,Theory!B75:DR141,120,FALSE)</f>
        <v>#N/A</v>
      </c>
      <c r="ET72" s="348" t="e">
        <f t="shared" si="39"/>
        <v>#N/A</v>
      </c>
      <c r="EU72" s="352"/>
      <c r="EV72" s="352"/>
      <c r="EW72" s="352"/>
      <c r="EX72" s="352"/>
      <c r="EY72" s="352"/>
      <c r="EZ72" s="352"/>
      <c r="FA72" s="352"/>
      <c r="FB72" s="352"/>
      <c r="FC72" s="352"/>
      <c r="FD72" s="352"/>
    </row>
    <row r="73" spans="1:160" ht="18" customHeight="1" thickBot="1" x14ac:dyDescent="0.35">
      <c r="A73" s="64">
        <v>60</v>
      </c>
      <c r="B73" s="17">
        <f>Theory!C76</f>
        <v>0</v>
      </c>
      <c r="C73" s="16">
        <f>Theory!B76</f>
        <v>0</v>
      </c>
      <c r="D73" s="334" t="e">
        <f>VLOOKUP(C73,Theory!B76:D144,3,FALSE)</f>
        <v>#N/A</v>
      </c>
      <c r="E73" s="334" t="e">
        <f>VLOOKUP(C73,Theory!B76:E144,4,FALSE)</f>
        <v>#N/A</v>
      </c>
      <c r="F73" s="334" t="e">
        <f>VLOOKUP(C73,Theory!B76:F144,5,FALSE)</f>
        <v>#N/A</v>
      </c>
      <c r="G73" s="334" t="e">
        <f>VLOOKUP(C73,Theory!B76:G144,6,FALSE)</f>
        <v>#N/A</v>
      </c>
      <c r="H73" s="335" t="e">
        <f t="shared" si="6"/>
        <v>#N/A</v>
      </c>
      <c r="I73" s="338" t="e">
        <f>VLOOKUP(C73,Theory!B76:H144,7,FALSE)</f>
        <v>#N/A</v>
      </c>
      <c r="J73" s="337" t="e">
        <f>VLOOKUP(C73,Theory!B76:I144,8,FALSE)</f>
        <v>#N/A</v>
      </c>
      <c r="K73" s="337" t="e">
        <f>VLOOKUP(C73,Theory!B76:J144,9,FALSE)</f>
        <v>#N/A</v>
      </c>
      <c r="L73" s="337" t="e">
        <f>VLOOKUP(C73,Theory!B76:K144,10,FALSE)</f>
        <v>#N/A</v>
      </c>
      <c r="M73" s="335" t="e">
        <f t="shared" si="7"/>
        <v>#N/A</v>
      </c>
      <c r="N73" s="336" t="e">
        <f>VLOOKUP(C73,Theory!B76:L144,11,FALSE)</f>
        <v>#N/A</v>
      </c>
      <c r="O73" s="336" t="e">
        <f>VLOOKUP(C73,Theory!B76:M144,12,FALSE)</f>
        <v>#N/A</v>
      </c>
      <c r="P73" s="336" t="e">
        <f>VLOOKUP(C73,Theory!B76:N144,13,FALSE)</f>
        <v>#N/A</v>
      </c>
      <c r="Q73" s="336" t="e">
        <f>VLOOKUP(C73,Theory!B76:O144,14,FALSE)</f>
        <v>#N/A</v>
      </c>
      <c r="R73" s="337" t="e">
        <f>VLOOKUP(C73,Theory!B76:P144,15,FALSE)</f>
        <v>#N/A</v>
      </c>
      <c r="S73" s="337" t="e">
        <f>VLOOKUP(C73,Theory!B76:Q144,16,FALSE)</f>
        <v>#N/A</v>
      </c>
      <c r="T73" s="337" t="e">
        <f>VLOOKUP(C73,Theory!B76:R144,17,FALSE)</f>
        <v>#N/A</v>
      </c>
      <c r="U73" s="337" t="e">
        <f>VLOOKUP(C73,Theory!B76:S144,18,FALSE)</f>
        <v>#N/A</v>
      </c>
      <c r="V73" s="335" t="e">
        <f t="shared" si="8"/>
        <v>#N/A</v>
      </c>
      <c r="W73" s="334" t="e">
        <f>VLOOKUP(C73,Theory!B76:T144,19,FALSE)</f>
        <v>#N/A</v>
      </c>
      <c r="X73" s="334" t="e">
        <f>VLOOKUP(C73,Theory!B76:U144,20,FALSE)</f>
        <v>#N/A</v>
      </c>
      <c r="Y73" s="334" t="e">
        <f>VLOOKUP(C73,Theory!B76:V144,21,FALSE)</f>
        <v>#N/A</v>
      </c>
      <c r="Z73" s="334" t="e">
        <f>VLOOKUP(C73,Theory!B76:W144,22,FALSE)</f>
        <v>#N/A</v>
      </c>
      <c r="AA73" s="338" t="e">
        <f>VLOOKUP(C73,Theory!B76:X144,23,FALSE)</f>
        <v>#N/A</v>
      </c>
      <c r="AB73" s="338" t="e">
        <f>VLOOKUP(C73,Theory!B76:Y144,24,FALSE)</f>
        <v>#N/A</v>
      </c>
      <c r="AC73" s="338" t="e">
        <f>VLOOKUP(C73,Theory!B76:Z144,25,FALSE)</f>
        <v>#N/A</v>
      </c>
      <c r="AD73" s="338" t="e">
        <f>VLOOKUP(C73,Theory!B76:AA144,26,FALSE)</f>
        <v>#N/A</v>
      </c>
      <c r="AE73" s="335" t="e">
        <f t="shared" si="9"/>
        <v>#N/A</v>
      </c>
      <c r="AF73" s="334" t="e">
        <f>VLOOKUP(C73,Theory!B76:AB144,27,FALSE)</f>
        <v>#N/A</v>
      </c>
      <c r="AG73" s="334" t="e">
        <f>VLOOKUP(C73,Theory!B76:AC144,28,FALSE)</f>
        <v>#N/A</v>
      </c>
      <c r="AH73" s="334" t="e">
        <f>VLOOKUP(C73,Theory!B76:AD144,29,FALSE)</f>
        <v>#N/A</v>
      </c>
      <c r="AI73" s="334" t="e">
        <f>VLOOKUP(C73,Theory!B76:AE144,30,FALSE)</f>
        <v>#N/A</v>
      </c>
      <c r="AJ73" s="339" t="e">
        <f>VLOOKUP(C73,Theory!B76:AF144,31,FALSE)</f>
        <v>#N/A</v>
      </c>
      <c r="AK73" s="339" t="e">
        <f>VLOOKUP(C73,Theory!B76:AG144,32,FALSE)</f>
        <v>#N/A</v>
      </c>
      <c r="AL73" s="339" t="e">
        <f>VLOOKUP(C73,Theory!B76:AH144,33,FALSE)</f>
        <v>#N/A</v>
      </c>
      <c r="AM73" s="339" t="e">
        <f>VLOOKUP(C73,Theory!B76:AI144,34,FALSE)</f>
        <v>#N/A</v>
      </c>
      <c r="AN73" s="335" t="e">
        <f t="shared" si="10"/>
        <v>#N/A</v>
      </c>
      <c r="AO73" s="333" t="e">
        <f t="shared" si="0"/>
        <v>#N/A</v>
      </c>
      <c r="AP73" s="340" t="e">
        <f>VLOOKUP(C73,Theory!B76:AJ144,35,FALSE)</f>
        <v>#N/A</v>
      </c>
      <c r="AQ73" s="340" t="e">
        <f>VLOOKUP(C73,Theory!B76:AK144,36,FALSE)</f>
        <v>#N/A</v>
      </c>
      <c r="AR73" s="340" t="e">
        <f>VLOOKUP(C73,Theory!B76:AL144,37,FALSE)</f>
        <v>#N/A</v>
      </c>
      <c r="AS73" s="340" t="e">
        <f>VLOOKUP(C73,Theory!B76:AM144,38,FALSE)</f>
        <v>#N/A</v>
      </c>
      <c r="AT73" s="335" t="e">
        <f t="shared" si="11"/>
        <v>#N/A</v>
      </c>
      <c r="AU73" s="340" t="e">
        <f>VLOOKUP(C73,Theory!B76:AN144,39,FALSE)</f>
        <v>#N/A</v>
      </c>
      <c r="AV73" s="340" t="e">
        <f>VLOOKUP(C73,Theory!B76:AO144,40,FALSE)</f>
        <v>#N/A</v>
      </c>
      <c r="AW73" s="340" t="e">
        <f>VLOOKUP(C73,Theory!B76:AP144,41,FALSE)</f>
        <v>#N/A</v>
      </c>
      <c r="AX73" s="340" t="e">
        <f>VLOOKUP(C73,Theory!B76:AQ144,42,FALSE)</f>
        <v>#N/A</v>
      </c>
      <c r="AY73" s="335" t="e">
        <f t="shared" si="12"/>
        <v>#N/A</v>
      </c>
      <c r="AZ73" s="340" t="e">
        <f>VLOOKUP(C73,Theory!B76:AR144,43,FALSE)</f>
        <v>#N/A</v>
      </c>
      <c r="BA73" s="340" t="e">
        <f>VLOOKUP(C73,Theory!B76:AS144,44,FALSE)</f>
        <v>#N/A</v>
      </c>
      <c r="BB73" s="340" t="e">
        <f>VLOOKUP(C73,Theory!B76:AT144,45,FALSE)</f>
        <v>#N/A</v>
      </c>
      <c r="BC73" s="340" t="e">
        <f>VLOOKUP(C73,Theory!B76:AU144,46,FALSE)</f>
        <v>#N/A</v>
      </c>
      <c r="BD73" s="340" t="e">
        <f>VLOOKUP(C73,Theory!B76:AV144,47,FALSE)</f>
        <v>#N/A</v>
      </c>
      <c r="BE73" s="340" t="e">
        <f>VLOOKUP(C73,Theory!B76:AW144,48,FALSE)</f>
        <v>#N/A</v>
      </c>
      <c r="BF73" s="340" t="e">
        <f>VLOOKUP(C73,Theory!B76:AX144,49,FALSE)</f>
        <v>#N/A</v>
      </c>
      <c r="BG73" s="340" t="e">
        <f>VLOOKUP(C73,Theory!B76:AY144,50,FALSE)</f>
        <v>#N/A</v>
      </c>
      <c r="BH73" s="335" t="e">
        <f t="shared" si="13"/>
        <v>#N/A</v>
      </c>
      <c r="BI73" s="340" t="e">
        <f>VLOOKUP(C73,Theory!B76:AZ144,51,FALSE)</f>
        <v>#N/A</v>
      </c>
      <c r="BJ73" s="340" t="e">
        <f>VLOOKUP(C73,Theory!B76:BA144,52,FALSE)</f>
        <v>#N/A</v>
      </c>
      <c r="BK73" s="340" t="e">
        <f>VLOOKUP(C73,Theory!B76:BB144,53,FALSE)</f>
        <v>#N/A</v>
      </c>
      <c r="BL73" s="340" t="e">
        <f>VLOOKUP(C73,Theory!B76:BC144,54,FALSE)</f>
        <v>#N/A</v>
      </c>
      <c r="BM73" s="340" t="e">
        <f>VLOOKUP(C73,Theory!B76:BD144,55,FALSE)</f>
        <v>#N/A</v>
      </c>
      <c r="BN73" s="340" t="e">
        <f>VLOOKUP(C73,Theory!B76:BE144,56,FALSE)</f>
        <v>#N/A</v>
      </c>
      <c r="BO73" s="340" t="e">
        <f>VLOOKUP(C73,Theory!B76:BF144,57,FALSE)</f>
        <v>#N/A</v>
      </c>
      <c r="BP73" s="340" t="e">
        <f>VLOOKUP(C73,Theory!B76:BG144,58,FALSE)</f>
        <v>#N/A</v>
      </c>
      <c r="BQ73" s="335" t="e">
        <f t="shared" si="14"/>
        <v>#N/A</v>
      </c>
      <c r="BR73" s="340" t="e">
        <f>VLOOKUP(C73,Theory!B76:BH144,59,FALSE)</f>
        <v>#N/A</v>
      </c>
      <c r="BS73" s="340" t="e">
        <f>VLOOKUP(C73,Theory!B76:BI144,60,FALSE)</f>
        <v>#N/A</v>
      </c>
      <c r="BT73" s="340" t="e">
        <f>VLOOKUP(C73,Theory!B76:BJ144,61,FALSE)</f>
        <v>#N/A</v>
      </c>
      <c r="BU73" s="340" t="e">
        <f>VLOOKUP(C73,Theory!B76:BK144,62,FALSE)</f>
        <v>#N/A</v>
      </c>
      <c r="BV73" s="340" t="e">
        <f>VLOOKUP(C73,Theory!B76:BL144,63,FALSE)</f>
        <v>#N/A</v>
      </c>
      <c r="BW73" s="340" t="e">
        <f>VLOOKUP(C73,Theory!B76:BM144,64,FALSE)</f>
        <v>#N/A</v>
      </c>
      <c r="BX73" s="340" t="e">
        <f>VLOOKUP(C73,Theory!B76:BN144,65,FALSE)</f>
        <v>#N/A</v>
      </c>
      <c r="BY73" s="340" t="e">
        <f>VLOOKUP(C73,Theory!B76:BO144,66,FALSE)</f>
        <v>#N/A</v>
      </c>
      <c r="BZ73" s="335" t="e">
        <f t="shared" si="15"/>
        <v>#N/A</v>
      </c>
      <c r="CA73" s="333" t="e">
        <f t="shared" si="1"/>
        <v>#N/A</v>
      </c>
      <c r="CB73" s="340" t="e">
        <f>VLOOKUP(C73,Theory!B76:BP144,67,FALSE)</f>
        <v>#N/A</v>
      </c>
      <c r="CC73" s="340" t="e">
        <f>VLOOKUP(C73,Theory!B76:BQ144,68,FALSE)</f>
        <v>#N/A</v>
      </c>
      <c r="CD73" s="340" t="e">
        <f>VLOOKUP(C73,Theory!B76:BR144,69,FALSE)</f>
        <v>#N/A</v>
      </c>
      <c r="CE73" s="340" t="e">
        <f>VLOOKUP(C73,Theory!B76:BS144,70,FALSE)</f>
        <v>#N/A</v>
      </c>
      <c r="CF73" s="335" t="e">
        <f t="shared" si="16"/>
        <v>#N/A</v>
      </c>
      <c r="CG73" s="341" t="e">
        <f>VLOOKUP(C73,Theory!B76:BT144,71,FALSE)</f>
        <v>#N/A</v>
      </c>
      <c r="CH73" s="341" t="e">
        <f>VLOOKUP(C73,Theory!B76:BU144,72,FALSE)</f>
        <v>#N/A</v>
      </c>
      <c r="CI73" s="341" t="e">
        <f>VLOOKUP(C73,Theory!B76:BV144,73,FALSE)</f>
        <v>#N/A</v>
      </c>
      <c r="CJ73" s="341" t="e">
        <f>VLOOKUP(C73,Theory!B76:BW144,74,FALSE)</f>
        <v>#N/A</v>
      </c>
      <c r="CK73" s="335" t="e">
        <f t="shared" si="17"/>
        <v>#N/A</v>
      </c>
      <c r="CL73" s="340" t="e">
        <f>VLOOKUP(C73,Theory!B76:BX144,75,FALSE)</f>
        <v>#N/A</v>
      </c>
      <c r="CM73" s="342" t="e">
        <f>VLOOKUP(C73,Theory!B76:BY144,76,FALSE)</f>
        <v>#N/A</v>
      </c>
      <c r="CN73" s="342" t="e">
        <f>VLOOKUP(C73,Theory!B76:BZ144,77,FALSE)</f>
        <v>#N/A</v>
      </c>
      <c r="CO73" s="342" t="e">
        <f>VLOOKUP(C73,Theory!B76:CA144,78,FALSE)</f>
        <v>#N/A</v>
      </c>
      <c r="CP73" s="340" t="e">
        <f>VLOOKUP(C73,Theory!B76:CB144,79,FALSE)</f>
        <v>#N/A</v>
      </c>
      <c r="CQ73" s="340" t="e">
        <f>VLOOKUP(C73,Theory!B76:CC144,80,FALSE)</f>
        <v>#N/A</v>
      </c>
      <c r="CR73" s="340" t="e">
        <f>VLOOKUP(C73,Theory!B76:CD144,81,FALSE)</f>
        <v>#N/A</v>
      </c>
      <c r="CS73" s="340" t="e">
        <f>VLOOKUP(C73,Theory!B76:CE144,82,FALSE)</f>
        <v>#N/A</v>
      </c>
      <c r="CT73" s="335" t="e">
        <f t="shared" si="18"/>
        <v>#N/A</v>
      </c>
      <c r="CU73" s="341" t="e">
        <f>VLOOKUP(C73,Theory!B76:CF144,83,FALSE)</f>
        <v>#N/A</v>
      </c>
      <c r="CV73" s="342" t="e">
        <f>VLOOKUP(C73,Theory!B76:CG144,84,FALSE)</f>
        <v>#N/A</v>
      </c>
      <c r="CW73" s="342" t="e">
        <f>VLOOKUP(C73,Theory!B76:CH144,85,FALSE)</f>
        <v>#N/A</v>
      </c>
      <c r="CX73" s="342" t="e">
        <f>VLOOKUP(C73,Theory!B76:CI144,86,FALSE)</f>
        <v>#N/A</v>
      </c>
      <c r="CY73" s="341" t="e">
        <f>VLOOKUP(C73,Theory!B76:CJ144,87,FALSE)</f>
        <v>#N/A</v>
      </c>
      <c r="CZ73" s="341" t="e">
        <f>VLOOKUP(C73,Theory!B76:CK144,88,FALSE)</f>
        <v>#N/A</v>
      </c>
      <c r="DA73" s="341" t="e">
        <f>VLOOKUP(C73,Theory!B76:CL144,89,FALSE)</f>
        <v>#N/A</v>
      </c>
      <c r="DB73" s="341" t="e">
        <f>VLOOKUP(C73,Theory!B76:CM144,90,FALSE)</f>
        <v>#N/A</v>
      </c>
      <c r="DC73" s="335" t="e">
        <f t="shared" si="19"/>
        <v>#N/A</v>
      </c>
      <c r="DD73" s="340" t="e">
        <f>VLOOKUP(C73,Theory!B76:CN144,91,FALSE)</f>
        <v>#N/A</v>
      </c>
      <c r="DE73" s="342" t="e">
        <f>VLOOKUP(C73,Theory!B76:CO144,92,FALSE)</f>
        <v>#N/A</v>
      </c>
      <c r="DF73" s="342" t="e">
        <f>VLOOKUP(C73,Theory!B76:CP144,93,FALSE)</f>
        <v>#N/A</v>
      </c>
      <c r="DG73" s="342" t="e">
        <f>VLOOKUP(C73,Theory!B76:CQ144,94,FALSE)</f>
        <v>#N/A</v>
      </c>
      <c r="DH73" s="340" t="e">
        <f>VLOOKUP(C73,Theory!B76:CR144,95,FALSE)</f>
        <v>#N/A</v>
      </c>
      <c r="DI73" s="340" t="e">
        <f>VLOOKUP(C73,Theory!B76:CS144,96,FALSE)</f>
        <v>#N/A</v>
      </c>
      <c r="DJ73" s="340" t="e">
        <f>VLOOKUP(C73,Theory!B76:CT144,97,FALSE)</f>
        <v>#N/A</v>
      </c>
      <c r="DK73" s="340" t="e">
        <f>VLOOKUP(C73,Theory!B76:CU144,98,FALSE)</f>
        <v>#N/A</v>
      </c>
      <c r="DL73" s="335" t="e">
        <f t="shared" si="20"/>
        <v>#N/A</v>
      </c>
      <c r="DM73" s="265" t="e">
        <f t="shared" si="2"/>
        <v>#N/A</v>
      </c>
      <c r="DN73" s="362" t="e">
        <f t="shared" si="40"/>
        <v>#N/A</v>
      </c>
      <c r="DO73" s="362" t="e">
        <f t="shared" si="41"/>
        <v>#N/A</v>
      </c>
      <c r="DP73" s="362" t="e">
        <f t="shared" si="42"/>
        <v>#N/A</v>
      </c>
      <c r="DQ73" s="343" t="e">
        <f t="shared" si="43"/>
        <v>#N/A</v>
      </c>
      <c r="DR73" s="343" t="e">
        <f t="shared" si="44"/>
        <v>#N/A</v>
      </c>
      <c r="DS73" s="343" t="e">
        <f t="shared" si="45"/>
        <v>#N/A</v>
      </c>
      <c r="DT73" s="328" t="e">
        <f t="shared" si="36"/>
        <v>#N/A</v>
      </c>
      <c r="DU73" s="326" t="e">
        <f>VLOOKUP(C73,Theory!B76:CV144,99,FALSE)</f>
        <v>#N/A</v>
      </c>
      <c r="DV73" s="326" t="e">
        <f>VLOOKUP(C73,Theory!B76:CW144,100,FALSE)</f>
        <v>#N/A</v>
      </c>
      <c r="DW73" s="331" t="e">
        <f t="shared" si="27"/>
        <v>#N/A</v>
      </c>
      <c r="DX73" s="266" t="e">
        <f t="shared" si="3"/>
        <v>#N/A</v>
      </c>
      <c r="DY73" s="363" t="e">
        <f t="shared" si="4"/>
        <v>#N/A</v>
      </c>
      <c r="DZ73" s="344">
        <f>VLOOKUP(C73,Lab!B68:D137,3,FALSE)</f>
        <v>0</v>
      </c>
      <c r="EA73" s="345">
        <f>VLOOKUP(C73,Lab!B68:E137,4,FALSE)</f>
        <v>0</v>
      </c>
      <c r="EB73" s="345">
        <f>VLOOKUP(C73,Lab!B68:F137,5,FALSE)</f>
        <v>0</v>
      </c>
      <c r="EC73" s="329">
        <f t="shared" si="37"/>
        <v>0</v>
      </c>
      <c r="ED73" s="346">
        <f>VLOOKUP(C73,Lab!B68:G137,6,FALSE)</f>
        <v>0</v>
      </c>
      <c r="EE73" s="346">
        <f>VLOOKUP(C73,Lab!B68:H137,7,FALSE)</f>
        <v>0</v>
      </c>
      <c r="EF73" s="347">
        <f>VLOOKUP(C73,Lab!B68:I137,8,FALSE)</f>
        <v>0</v>
      </c>
      <c r="EG73" s="330">
        <f t="shared" si="38"/>
        <v>0</v>
      </c>
      <c r="EH73" s="390">
        <f t="shared" si="28"/>
        <v>0</v>
      </c>
      <c r="EI73" s="349">
        <f t="shared" si="29"/>
        <v>0</v>
      </c>
      <c r="EJ73" s="391" t="e">
        <f t="shared" si="5"/>
        <v>#N/A</v>
      </c>
      <c r="EK73" s="258">
        <v>0</v>
      </c>
      <c r="EM73" s="350" t="e">
        <f>VLOOKUP(C73,Theory!B76:DL144,114,FALSE)</f>
        <v>#N/A</v>
      </c>
      <c r="EN73" s="350" t="e">
        <f>VLOOKUP(C73,Theory!B76:DM144,115,FALSE)</f>
        <v>#N/A</v>
      </c>
      <c r="EO73" s="350" t="e">
        <f>VLOOKUP(C73,Theory!B76:DN144,116,FALSE)</f>
        <v>#N/A</v>
      </c>
      <c r="EP73" s="350" t="e">
        <f>VLOOKUP(C73,Theory!B76:DO142,117,FALSE)</f>
        <v>#N/A</v>
      </c>
      <c r="EQ73" s="350" t="e">
        <f>VLOOKUP(C73,Theory!B76:DP142,118,FALSE)</f>
        <v>#N/A</v>
      </c>
      <c r="ER73" s="351" t="e">
        <f>VLOOKUP(C73,Theory!B76:DQ142,119,FALSE)</f>
        <v>#N/A</v>
      </c>
      <c r="ES73" s="327" t="e">
        <f>VLOOKUP(C73,Theory!B76:DR142,120,FALSE)</f>
        <v>#N/A</v>
      </c>
      <c r="ET73" s="348" t="e">
        <f t="shared" si="39"/>
        <v>#N/A</v>
      </c>
      <c r="EU73" s="352"/>
      <c r="EV73" s="352"/>
      <c r="EW73" s="352"/>
      <c r="EX73" s="352"/>
      <c r="EY73" s="352"/>
      <c r="EZ73" s="352"/>
      <c r="FA73" s="352"/>
      <c r="FB73" s="352"/>
      <c r="FC73" s="352"/>
      <c r="FD73" s="352"/>
    </row>
    <row r="74" spans="1:160" ht="16.2" thickBot="1" x14ac:dyDescent="0.35">
      <c r="A74" s="64">
        <v>61</v>
      </c>
      <c r="B74" s="17">
        <f>Theory!C77</f>
        <v>0</v>
      </c>
      <c r="C74" s="16">
        <f>Theory!B77</f>
        <v>0</v>
      </c>
      <c r="D74" s="334" t="e">
        <f>VLOOKUP(C74,Theory!B77:D145,3,FALSE)</f>
        <v>#N/A</v>
      </c>
      <c r="E74" s="334" t="e">
        <f>VLOOKUP(C74,Theory!B77:E145,4,FALSE)</f>
        <v>#N/A</v>
      </c>
      <c r="F74" s="334" t="e">
        <f>VLOOKUP(C74,Theory!B77:F145,5,FALSE)</f>
        <v>#N/A</v>
      </c>
      <c r="G74" s="334" t="e">
        <f>VLOOKUP(C74,Theory!B77:G145,6,FALSE)</f>
        <v>#N/A</v>
      </c>
      <c r="H74" s="335" t="e">
        <f t="shared" si="6"/>
        <v>#N/A</v>
      </c>
      <c r="I74" s="338" t="e">
        <f>VLOOKUP(C74,Theory!B77:H145,7,FALSE)</f>
        <v>#N/A</v>
      </c>
      <c r="J74" s="337" t="e">
        <f>VLOOKUP(C74,Theory!B77:I145,8,FALSE)</f>
        <v>#N/A</v>
      </c>
      <c r="K74" s="337" t="e">
        <f>VLOOKUP(C74,Theory!B77:J145,9,FALSE)</f>
        <v>#N/A</v>
      </c>
      <c r="L74" s="337" t="e">
        <f>VLOOKUP(C74,Theory!B77:K145,10,FALSE)</f>
        <v>#N/A</v>
      </c>
      <c r="M74" s="335" t="e">
        <f t="shared" si="7"/>
        <v>#N/A</v>
      </c>
      <c r="N74" s="336" t="e">
        <f>VLOOKUP(C74,Theory!B77:L145,11,FALSE)</f>
        <v>#N/A</v>
      </c>
      <c r="O74" s="336" t="e">
        <f>VLOOKUP(C74,Theory!B77:M145,12,FALSE)</f>
        <v>#N/A</v>
      </c>
      <c r="P74" s="336" t="e">
        <f>VLOOKUP(C74,Theory!B77:N145,13,FALSE)</f>
        <v>#N/A</v>
      </c>
      <c r="Q74" s="336" t="e">
        <f>VLOOKUP(C74,Theory!B77:O145,14,FALSE)</f>
        <v>#N/A</v>
      </c>
      <c r="R74" s="337" t="e">
        <f>VLOOKUP(C74,Theory!B77:P145,15,FALSE)</f>
        <v>#N/A</v>
      </c>
      <c r="S74" s="337" t="e">
        <f>VLOOKUP(C74,Theory!B77:Q145,16,FALSE)</f>
        <v>#N/A</v>
      </c>
      <c r="T74" s="337" t="e">
        <f>VLOOKUP(C74,Theory!B77:R145,17,FALSE)</f>
        <v>#N/A</v>
      </c>
      <c r="U74" s="337" t="e">
        <f>VLOOKUP(C74,Theory!B77:S145,18,FALSE)</f>
        <v>#N/A</v>
      </c>
      <c r="V74" s="335" t="e">
        <f t="shared" si="8"/>
        <v>#N/A</v>
      </c>
      <c r="W74" s="334" t="e">
        <f>VLOOKUP(C74,Theory!B77:T145,19,FALSE)</f>
        <v>#N/A</v>
      </c>
      <c r="X74" s="334" t="e">
        <f>VLOOKUP(C74,Theory!B77:U145,20,FALSE)</f>
        <v>#N/A</v>
      </c>
      <c r="Y74" s="334" t="e">
        <f>VLOOKUP(C74,Theory!B77:V145,21,FALSE)</f>
        <v>#N/A</v>
      </c>
      <c r="Z74" s="334" t="e">
        <f>VLOOKUP(C74,Theory!B77:W145,22,FALSE)</f>
        <v>#N/A</v>
      </c>
      <c r="AA74" s="338" t="e">
        <f>VLOOKUP(C74,Theory!B77:X145,23,FALSE)</f>
        <v>#N/A</v>
      </c>
      <c r="AB74" s="338" t="e">
        <f>VLOOKUP(C74,Theory!B77:Y145,24,FALSE)</f>
        <v>#N/A</v>
      </c>
      <c r="AC74" s="338" t="e">
        <f>VLOOKUP(C74,Theory!B77:Z145,25,FALSE)</f>
        <v>#N/A</v>
      </c>
      <c r="AD74" s="338" t="e">
        <f>VLOOKUP(C74,Theory!B77:AA145,26,FALSE)</f>
        <v>#N/A</v>
      </c>
      <c r="AE74" s="335" t="e">
        <f t="shared" si="9"/>
        <v>#N/A</v>
      </c>
      <c r="AF74" s="334" t="e">
        <f>VLOOKUP(C74,Theory!B77:AB145,27,FALSE)</f>
        <v>#N/A</v>
      </c>
      <c r="AG74" s="334" t="e">
        <f>VLOOKUP(C74,Theory!B77:AC145,28,FALSE)</f>
        <v>#N/A</v>
      </c>
      <c r="AH74" s="334" t="e">
        <f>VLOOKUP(C74,Theory!B77:AD145,29,FALSE)</f>
        <v>#N/A</v>
      </c>
      <c r="AI74" s="334" t="e">
        <f>VLOOKUP(C74,Theory!B77:AE145,30,FALSE)</f>
        <v>#N/A</v>
      </c>
      <c r="AJ74" s="339" t="e">
        <f>VLOOKUP(C74,Theory!B77:AF145,31,FALSE)</f>
        <v>#N/A</v>
      </c>
      <c r="AK74" s="339" t="e">
        <f>VLOOKUP(C74,Theory!B77:AG145,32,FALSE)</f>
        <v>#N/A</v>
      </c>
      <c r="AL74" s="339" t="e">
        <f>VLOOKUP(C74,Theory!B77:AH145,33,FALSE)</f>
        <v>#N/A</v>
      </c>
      <c r="AM74" s="339" t="e">
        <f>VLOOKUP(C74,Theory!B77:AI145,34,FALSE)</f>
        <v>#N/A</v>
      </c>
      <c r="AN74" s="335" t="e">
        <f t="shared" si="10"/>
        <v>#N/A</v>
      </c>
      <c r="AO74" s="333" t="e">
        <f t="shared" si="0"/>
        <v>#N/A</v>
      </c>
      <c r="AP74" s="340" t="e">
        <f>VLOOKUP(C74,Theory!B77:AJ145,35,FALSE)</f>
        <v>#N/A</v>
      </c>
      <c r="AQ74" s="340" t="e">
        <f>VLOOKUP(C74,Theory!B77:AK145,36,FALSE)</f>
        <v>#N/A</v>
      </c>
      <c r="AR74" s="340" t="e">
        <f>VLOOKUP(C74,Theory!B77:AL145,37,FALSE)</f>
        <v>#N/A</v>
      </c>
      <c r="AS74" s="340" t="e">
        <f>VLOOKUP(C74,Theory!B77:AM145,38,FALSE)</f>
        <v>#N/A</v>
      </c>
      <c r="AT74" s="335" t="e">
        <f t="shared" si="11"/>
        <v>#N/A</v>
      </c>
      <c r="AU74" s="340" t="e">
        <f>VLOOKUP(C74,Theory!B77:AN145,39,FALSE)</f>
        <v>#N/A</v>
      </c>
      <c r="AV74" s="340" t="e">
        <f>VLOOKUP(C74,Theory!B77:AO145,40,FALSE)</f>
        <v>#N/A</v>
      </c>
      <c r="AW74" s="340" t="e">
        <f>VLOOKUP(C74,Theory!B77:AP145,41,FALSE)</f>
        <v>#N/A</v>
      </c>
      <c r="AX74" s="340" t="e">
        <f>VLOOKUP(C74,Theory!B77:AQ145,42,FALSE)</f>
        <v>#N/A</v>
      </c>
      <c r="AY74" s="335" t="e">
        <f t="shared" si="12"/>
        <v>#N/A</v>
      </c>
      <c r="AZ74" s="340" t="e">
        <f>VLOOKUP(C74,Theory!B77:AR145,43,FALSE)</f>
        <v>#N/A</v>
      </c>
      <c r="BA74" s="340" t="e">
        <f>VLOOKUP(C74,Theory!B77:AS145,44,FALSE)</f>
        <v>#N/A</v>
      </c>
      <c r="BB74" s="340" t="e">
        <f>VLOOKUP(C74,Theory!B77:AT145,45,FALSE)</f>
        <v>#N/A</v>
      </c>
      <c r="BC74" s="340" t="e">
        <f>VLOOKUP(C74,Theory!B77:AU145,46,FALSE)</f>
        <v>#N/A</v>
      </c>
      <c r="BD74" s="340" t="e">
        <f>VLOOKUP(C74,Theory!B77:AV145,47,FALSE)</f>
        <v>#N/A</v>
      </c>
      <c r="BE74" s="340" t="e">
        <f>VLOOKUP(C74,Theory!B77:AW145,48,FALSE)</f>
        <v>#N/A</v>
      </c>
      <c r="BF74" s="340" t="e">
        <f>VLOOKUP(C74,Theory!B77:AX145,49,FALSE)</f>
        <v>#N/A</v>
      </c>
      <c r="BG74" s="340" t="e">
        <f>VLOOKUP(C74,Theory!B77:AY145,50,FALSE)</f>
        <v>#N/A</v>
      </c>
      <c r="BH74" s="335" t="e">
        <f t="shared" si="13"/>
        <v>#N/A</v>
      </c>
      <c r="BI74" s="340" t="e">
        <f>VLOOKUP(C74,Theory!B77:AZ145,51,FALSE)</f>
        <v>#N/A</v>
      </c>
      <c r="BJ74" s="340" t="e">
        <f>VLOOKUP(C74,Theory!B77:BA145,52,FALSE)</f>
        <v>#N/A</v>
      </c>
      <c r="BK74" s="340" t="e">
        <f>VLOOKUP(C74,Theory!B77:BB145,53,FALSE)</f>
        <v>#N/A</v>
      </c>
      <c r="BL74" s="340" t="e">
        <f>VLOOKUP(C74,Theory!B77:BC145,54,FALSE)</f>
        <v>#N/A</v>
      </c>
      <c r="BM74" s="340" t="e">
        <f>VLOOKUP(C74,Theory!B77:BD145,55,FALSE)</f>
        <v>#N/A</v>
      </c>
      <c r="BN74" s="340" t="e">
        <f>VLOOKUP(C74,Theory!B77:BE145,56,FALSE)</f>
        <v>#N/A</v>
      </c>
      <c r="BO74" s="340" t="e">
        <f>VLOOKUP(C74,Theory!B77:BF145,57,FALSE)</f>
        <v>#N/A</v>
      </c>
      <c r="BP74" s="340" t="e">
        <f>VLOOKUP(C74,Theory!B77:BG145,58,FALSE)</f>
        <v>#N/A</v>
      </c>
      <c r="BQ74" s="335" t="e">
        <f t="shared" si="14"/>
        <v>#N/A</v>
      </c>
      <c r="BR74" s="340" t="e">
        <f>VLOOKUP(C74,Theory!B77:BH145,59,FALSE)</f>
        <v>#N/A</v>
      </c>
      <c r="BS74" s="340" t="e">
        <f>VLOOKUP(C74,Theory!B77:BI145,60,FALSE)</f>
        <v>#N/A</v>
      </c>
      <c r="BT74" s="340" t="e">
        <f>VLOOKUP(C74,Theory!B77:BJ145,61,FALSE)</f>
        <v>#N/A</v>
      </c>
      <c r="BU74" s="340" t="e">
        <f>VLOOKUP(C74,Theory!B77:BK145,62,FALSE)</f>
        <v>#N/A</v>
      </c>
      <c r="BV74" s="340" t="e">
        <f>VLOOKUP(C74,Theory!B77:BL145,63,FALSE)</f>
        <v>#N/A</v>
      </c>
      <c r="BW74" s="340" t="e">
        <f>VLOOKUP(C74,Theory!B77:BM145,64,FALSE)</f>
        <v>#N/A</v>
      </c>
      <c r="BX74" s="340" t="e">
        <f>VLOOKUP(C74,Theory!B77:BN145,65,FALSE)</f>
        <v>#N/A</v>
      </c>
      <c r="BY74" s="340" t="e">
        <f>VLOOKUP(C74,Theory!B77:BO145,66,FALSE)</f>
        <v>#N/A</v>
      </c>
      <c r="BZ74" s="335" t="e">
        <f t="shared" si="15"/>
        <v>#N/A</v>
      </c>
      <c r="CA74" s="333" t="e">
        <f t="shared" si="1"/>
        <v>#N/A</v>
      </c>
      <c r="CB74" s="340" t="e">
        <f>VLOOKUP(C74,Theory!B77:BP145,67,FALSE)</f>
        <v>#N/A</v>
      </c>
      <c r="CC74" s="340" t="e">
        <f>VLOOKUP(C74,Theory!B77:BQ145,68,FALSE)</f>
        <v>#N/A</v>
      </c>
      <c r="CD74" s="340" t="e">
        <f>VLOOKUP(C74,Theory!B77:BR145,69,FALSE)</f>
        <v>#N/A</v>
      </c>
      <c r="CE74" s="340" t="e">
        <f>VLOOKUP(C74,Theory!B77:BS145,70,FALSE)</f>
        <v>#N/A</v>
      </c>
      <c r="CF74" s="335" t="e">
        <f t="shared" si="16"/>
        <v>#N/A</v>
      </c>
      <c r="CG74" s="341" t="e">
        <f>VLOOKUP(C74,Theory!B77:BT145,71,FALSE)</f>
        <v>#N/A</v>
      </c>
      <c r="CH74" s="341" t="e">
        <f>VLOOKUP(C74,Theory!B77:BU145,72,FALSE)</f>
        <v>#N/A</v>
      </c>
      <c r="CI74" s="341" t="e">
        <f>VLOOKUP(C74,Theory!B77:BV145,73,FALSE)</f>
        <v>#N/A</v>
      </c>
      <c r="CJ74" s="341" t="e">
        <f>VLOOKUP(C74,Theory!B77:BW145,74,FALSE)</f>
        <v>#N/A</v>
      </c>
      <c r="CK74" s="335" t="e">
        <f t="shared" si="17"/>
        <v>#N/A</v>
      </c>
      <c r="CL74" s="340" t="e">
        <f>VLOOKUP(C74,Theory!B77:BX145,75,FALSE)</f>
        <v>#N/A</v>
      </c>
      <c r="CM74" s="342" t="e">
        <f>VLOOKUP(C74,Theory!B77:BY145,76,FALSE)</f>
        <v>#N/A</v>
      </c>
      <c r="CN74" s="342" t="e">
        <f>VLOOKUP(C74,Theory!B77:BZ145,77,FALSE)</f>
        <v>#N/A</v>
      </c>
      <c r="CO74" s="342" t="e">
        <f>VLOOKUP(C74,Theory!B77:CA145,78,FALSE)</f>
        <v>#N/A</v>
      </c>
      <c r="CP74" s="340" t="e">
        <f>VLOOKUP(C74,Theory!B77:CB145,79,FALSE)</f>
        <v>#N/A</v>
      </c>
      <c r="CQ74" s="340" t="e">
        <f>VLOOKUP(C74,Theory!B77:CC145,80,FALSE)</f>
        <v>#N/A</v>
      </c>
      <c r="CR74" s="340" t="e">
        <f>VLOOKUP(C74,Theory!B77:CD145,81,FALSE)</f>
        <v>#N/A</v>
      </c>
      <c r="CS74" s="340" t="e">
        <f>VLOOKUP(C74,Theory!B77:CE145,82,FALSE)</f>
        <v>#N/A</v>
      </c>
      <c r="CT74" s="335" t="e">
        <f t="shared" si="18"/>
        <v>#N/A</v>
      </c>
      <c r="CU74" s="341" t="e">
        <f>VLOOKUP(C74,Theory!B77:CF145,83,FALSE)</f>
        <v>#N/A</v>
      </c>
      <c r="CV74" s="342" t="e">
        <f>VLOOKUP(C74,Theory!B77:CG145,84,FALSE)</f>
        <v>#N/A</v>
      </c>
      <c r="CW74" s="342" t="e">
        <f>VLOOKUP(C74,Theory!B77:CH145,85,FALSE)</f>
        <v>#N/A</v>
      </c>
      <c r="CX74" s="342" t="e">
        <f>VLOOKUP(C74,Theory!B77:CI145,86,FALSE)</f>
        <v>#N/A</v>
      </c>
      <c r="CY74" s="341" t="e">
        <f>VLOOKUP(C74,Theory!B77:CJ145,87,FALSE)</f>
        <v>#N/A</v>
      </c>
      <c r="CZ74" s="341" t="e">
        <f>VLOOKUP(C74,Theory!B77:CK145,88,FALSE)</f>
        <v>#N/A</v>
      </c>
      <c r="DA74" s="341" t="e">
        <f>VLOOKUP(C74,Theory!B77:CL145,89,FALSE)</f>
        <v>#N/A</v>
      </c>
      <c r="DB74" s="341" t="e">
        <f>VLOOKUP(C74,Theory!B77:CM145,90,FALSE)</f>
        <v>#N/A</v>
      </c>
      <c r="DC74" s="335" t="e">
        <f t="shared" si="19"/>
        <v>#N/A</v>
      </c>
      <c r="DD74" s="340" t="e">
        <f>VLOOKUP(C74,Theory!B77:CN145,91,FALSE)</f>
        <v>#N/A</v>
      </c>
      <c r="DE74" s="342" t="e">
        <f>VLOOKUP(C74,Theory!B77:CO145,92,FALSE)</f>
        <v>#N/A</v>
      </c>
      <c r="DF74" s="342" t="e">
        <f>VLOOKUP(C74,Theory!B77:CP145,93,FALSE)</f>
        <v>#N/A</v>
      </c>
      <c r="DG74" s="342" t="e">
        <f>VLOOKUP(C74,Theory!B77:CQ145,94,FALSE)</f>
        <v>#N/A</v>
      </c>
      <c r="DH74" s="340" t="e">
        <f>VLOOKUP(C74,Theory!B77:CR145,95,FALSE)</f>
        <v>#N/A</v>
      </c>
      <c r="DI74" s="340" t="e">
        <f>VLOOKUP(C74,Theory!B77:CS145,96,FALSE)</f>
        <v>#N/A</v>
      </c>
      <c r="DJ74" s="340" t="e">
        <f>VLOOKUP(C74,Theory!B77:CT145,97,FALSE)</f>
        <v>#N/A</v>
      </c>
      <c r="DK74" s="340" t="e">
        <f>VLOOKUP(C74,Theory!B77:CU145,98,FALSE)</f>
        <v>#N/A</v>
      </c>
      <c r="DL74" s="335" t="e">
        <f t="shared" si="20"/>
        <v>#N/A</v>
      </c>
      <c r="DM74" s="265" t="e">
        <f t="shared" si="2"/>
        <v>#N/A</v>
      </c>
      <c r="DN74" s="362" t="e">
        <f t="shared" si="40"/>
        <v>#N/A</v>
      </c>
      <c r="DO74" s="362" t="e">
        <f t="shared" si="41"/>
        <v>#N/A</v>
      </c>
      <c r="DP74" s="362" t="e">
        <f t="shared" si="42"/>
        <v>#N/A</v>
      </c>
      <c r="DQ74" s="343" t="e">
        <f t="shared" si="43"/>
        <v>#N/A</v>
      </c>
      <c r="DR74" s="343" t="e">
        <f t="shared" si="44"/>
        <v>#N/A</v>
      </c>
      <c r="DS74" s="343" t="e">
        <f t="shared" si="45"/>
        <v>#N/A</v>
      </c>
      <c r="DT74" s="328" t="e">
        <f t="shared" si="36"/>
        <v>#N/A</v>
      </c>
      <c r="DU74" s="326" t="e">
        <f>VLOOKUP(C74,Theory!B77:CV145,99,FALSE)</f>
        <v>#N/A</v>
      </c>
      <c r="DV74" s="326" t="e">
        <f>VLOOKUP(C74,Theory!B77:CW145,100,FALSE)</f>
        <v>#N/A</v>
      </c>
      <c r="DW74" s="331" t="e">
        <f t="shared" si="27"/>
        <v>#N/A</v>
      </c>
      <c r="DX74" s="266" t="e">
        <f t="shared" si="3"/>
        <v>#N/A</v>
      </c>
      <c r="DY74" s="363" t="e">
        <f t="shared" si="4"/>
        <v>#N/A</v>
      </c>
      <c r="DZ74" s="344">
        <f>VLOOKUP(C74,Lab!B69:D138,3,FALSE)</f>
        <v>0</v>
      </c>
      <c r="EA74" s="345">
        <f>VLOOKUP(C74,Lab!B69:E138,4,FALSE)</f>
        <v>0</v>
      </c>
      <c r="EB74" s="345">
        <f>VLOOKUP(C74,Lab!B69:F138,5,FALSE)</f>
        <v>0</v>
      </c>
      <c r="EC74" s="329">
        <f t="shared" si="37"/>
        <v>0</v>
      </c>
      <c r="ED74" s="346">
        <f>VLOOKUP(C74,Lab!B69:G138,6,FALSE)</f>
        <v>0</v>
      </c>
      <c r="EE74" s="346">
        <f>VLOOKUP(C74,Lab!B69:H138,7,FALSE)</f>
        <v>0</v>
      </c>
      <c r="EF74" s="347">
        <f>VLOOKUP(C74,Lab!B69:I138,8,FALSE)</f>
        <v>0</v>
      </c>
      <c r="EG74" s="330">
        <f t="shared" si="38"/>
        <v>0</v>
      </c>
      <c r="EH74" s="390">
        <f t="shared" si="28"/>
        <v>0</v>
      </c>
      <c r="EI74" s="349">
        <f t="shared" si="29"/>
        <v>0</v>
      </c>
      <c r="EJ74" s="391" t="e">
        <f t="shared" si="5"/>
        <v>#N/A</v>
      </c>
      <c r="EK74" s="258">
        <v>0</v>
      </c>
      <c r="EM74" s="350" t="e">
        <f>VLOOKUP(C74,Theory!B77:DL145,114,FALSE)</f>
        <v>#N/A</v>
      </c>
      <c r="EN74" s="350" t="e">
        <f>VLOOKUP(C74,Theory!B77:DM145,115,FALSE)</f>
        <v>#N/A</v>
      </c>
      <c r="EO74" s="350" t="e">
        <f>VLOOKUP(C74,Theory!B77:DN145,116,FALSE)</f>
        <v>#N/A</v>
      </c>
      <c r="EP74" s="350" t="e">
        <f>VLOOKUP(C74,Theory!B77:DO143,117,FALSE)</f>
        <v>#N/A</v>
      </c>
      <c r="EQ74" s="350" t="e">
        <f>VLOOKUP(C74,Theory!B77:DP143,118,FALSE)</f>
        <v>#N/A</v>
      </c>
      <c r="ER74" s="351" t="e">
        <f>VLOOKUP(C74,Theory!B77:DQ143,119,FALSE)</f>
        <v>#N/A</v>
      </c>
      <c r="ES74" s="327" t="e">
        <f>VLOOKUP(C74,Theory!B77:DR143,120,FALSE)</f>
        <v>#N/A</v>
      </c>
      <c r="ET74" s="348" t="e">
        <f t="shared" si="39"/>
        <v>#N/A</v>
      </c>
      <c r="EU74" s="352"/>
      <c r="EV74" s="352"/>
      <c r="EW74" s="352"/>
      <c r="EX74" s="352"/>
      <c r="EY74" s="352"/>
      <c r="EZ74" s="352"/>
      <c r="FA74" s="352"/>
      <c r="FB74" s="352"/>
      <c r="FC74" s="352"/>
      <c r="FD74" s="352"/>
    </row>
    <row r="75" spans="1:160" ht="16.2" thickBot="1" x14ac:dyDescent="0.35">
      <c r="A75" s="64">
        <v>62</v>
      </c>
      <c r="B75" s="17">
        <f>Theory!C78</f>
        <v>0</v>
      </c>
      <c r="C75" s="16">
        <f>Theory!B78</f>
        <v>0</v>
      </c>
      <c r="D75" s="334" t="e">
        <f>VLOOKUP(C75,Theory!B78:D146,3,FALSE)</f>
        <v>#N/A</v>
      </c>
      <c r="E75" s="334" t="e">
        <f>VLOOKUP(C75,Theory!B78:E146,4,FALSE)</f>
        <v>#N/A</v>
      </c>
      <c r="F75" s="334" t="e">
        <f>VLOOKUP(C75,Theory!B78:F146,5,FALSE)</f>
        <v>#N/A</v>
      </c>
      <c r="G75" s="334" t="e">
        <f>VLOOKUP(C75,Theory!B78:G146,6,FALSE)</f>
        <v>#N/A</v>
      </c>
      <c r="H75" s="335" t="e">
        <f t="shared" si="6"/>
        <v>#N/A</v>
      </c>
      <c r="I75" s="338" t="e">
        <f>VLOOKUP(C75,Theory!B78:H146,7,FALSE)</f>
        <v>#N/A</v>
      </c>
      <c r="J75" s="337" t="e">
        <f>VLOOKUP(C75,Theory!B78:I146,8,FALSE)</f>
        <v>#N/A</v>
      </c>
      <c r="K75" s="337" t="e">
        <f>VLOOKUP(C75,Theory!B78:J146,9,FALSE)</f>
        <v>#N/A</v>
      </c>
      <c r="L75" s="337" t="e">
        <f>VLOOKUP(C75,Theory!B78:K146,10,FALSE)</f>
        <v>#N/A</v>
      </c>
      <c r="M75" s="335" t="e">
        <f t="shared" si="7"/>
        <v>#N/A</v>
      </c>
      <c r="N75" s="336" t="e">
        <f>VLOOKUP(C75,Theory!B78:L146,11,FALSE)</f>
        <v>#N/A</v>
      </c>
      <c r="O75" s="336" t="e">
        <f>VLOOKUP(C75,Theory!B78:M146,12,FALSE)</f>
        <v>#N/A</v>
      </c>
      <c r="P75" s="336" t="e">
        <f>VLOOKUP(C75,Theory!B78:N146,13,FALSE)</f>
        <v>#N/A</v>
      </c>
      <c r="Q75" s="336" t="e">
        <f>VLOOKUP(C75,Theory!B78:O146,14,FALSE)</f>
        <v>#N/A</v>
      </c>
      <c r="R75" s="337" t="e">
        <f>VLOOKUP(C75,Theory!B78:P146,15,FALSE)</f>
        <v>#N/A</v>
      </c>
      <c r="S75" s="337" t="e">
        <f>VLOOKUP(C75,Theory!B78:Q146,16,FALSE)</f>
        <v>#N/A</v>
      </c>
      <c r="T75" s="337" t="e">
        <f>VLOOKUP(C75,Theory!B78:R146,17,FALSE)</f>
        <v>#N/A</v>
      </c>
      <c r="U75" s="337" t="e">
        <f>VLOOKUP(C75,Theory!B78:S146,18,FALSE)</f>
        <v>#N/A</v>
      </c>
      <c r="V75" s="335" t="e">
        <f t="shared" si="8"/>
        <v>#N/A</v>
      </c>
      <c r="W75" s="334" t="e">
        <f>VLOOKUP(C75,Theory!B78:T146,19,FALSE)</f>
        <v>#N/A</v>
      </c>
      <c r="X75" s="334" t="e">
        <f>VLOOKUP(C75,Theory!B78:U146,20,FALSE)</f>
        <v>#N/A</v>
      </c>
      <c r="Y75" s="334" t="e">
        <f>VLOOKUP(C75,Theory!B78:V146,21,FALSE)</f>
        <v>#N/A</v>
      </c>
      <c r="Z75" s="334" t="e">
        <f>VLOOKUP(C75,Theory!B78:W146,22,FALSE)</f>
        <v>#N/A</v>
      </c>
      <c r="AA75" s="338" t="e">
        <f>VLOOKUP(C75,Theory!B78:X146,23,FALSE)</f>
        <v>#N/A</v>
      </c>
      <c r="AB75" s="338" t="e">
        <f>VLOOKUP(C75,Theory!B78:Y146,24,FALSE)</f>
        <v>#N/A</v>
      </c>
      <c r="AC75" s="338" t="e">
        <f>VLOOKUP(C75,Theory!B78:Z146,25,FALSE)</f>
        <v>#N/A</v>
      </c>
      <c r="AD75" s="338" t="e">
        <f>VLOOKUP(C75,Theory!B78:AA146,26,FALSE)</f>
        <v>#N/A</v>
      </c>
      <c r="AE75" s="335" t="e">
        <f t="shared" si="9"/>
        <v>#N/A</v>
      </c>
      <c r="AF75" s="334" t="e">
        <f>VLOOKUP(C75,Theory!B78:AB146,27,FALSE)</f>
        <v>#N/A</v>
      </c>
      <c r="AG75" s="334" t="e">
        <f>VLOOKUP(C75,Theory!B78:AC146,28,FALSE)</f>
        <v>#N/A</v>
      </c>
      <c r="AH75" s="334" t="e">
        <f>VLOOKUP(C75,Theory!B78:AD146,29,FALSE)</f>
        <v>#N/A</v>
      </c>
      <c r="AI75" s="334" t="e">
        <f>VLOOKUP(C75,Theory!B78:AE146,30,FALSE)</f>
        <v>#N/A</v>
      </c>
      <c r="AJ75" s="339" t="e">
        <f>VLOOKUP(C75,Theory!B78:AF146,31,FALSE)</f>
        <v>#N/A</v>
      </c>
      <c r="AK75" s="339" t="e">
        <f>VLOOKUP(C75,Theory!B78:AG146,32,FALSE)</f>
        <v>#N/A</v>
      </c>
      <c r="AL75" s="339" t="e">
        <f>VLOOKUP(C75,Theory!B78:AH146,33,FALSE)</f>
        <v>#N/A</v>
      </c>
      <c r="AM75" s="339" t="e">
        <f>VLOOKUP(C75,Theory!B78:AI146,34,FALSE)</f>
        <v>#N/A</v>
      </c>
      <c r="AN75" s="335" t="e">
        <f t="shared" si="10"/>
        <v>#N/A</v>
      </c>
      <c r="AO75" s="333" t="e">
        <f t="shared" si="0"/>
        <v>#N/A</v>
      </c>
      <c r="AP75" s="340" t="e">
        <f>VLOOKUP(C75,Theory!B78:AJ146,35,FALSE)</f>
        <v>#N/A</v>
      </c>
      <c r="AQ75" s="340" t="e">
        <f>VLOOKUP(C75,Theory!B78:AK146,36,FALSE)</f>
        <v>#N/A</v>
      </c>
      <c r="AR75" s="340" t="e">
        <f>VLOOKUP(C75,Theory!B78:AL146,37,FALSE)</f>
        <v>#N/A</v>
      </c>
      <c r="AS75" s="340" t="e">
        <f>VLOOKUP(C75,Theory!B78:AM146,38,FALSE)</f>
        <v>#N/A</v>
      </c>
      <c r="AT75" s="335" t="e">
        <f t="shared" si="11"/>
        <v>#N/A</v>
      </c>
      <c r="AU75" s="340" t="e">
        <f>VLOOKUP(C75,Theory!B78:AN146,39,FALSE)</f>
        <v>#N/A</v>
      </c>
      <c r="AV75" s="340" t="e">
        <f>VLOOKUP(C75,Theory!B78:AO146,40,FALSE)</f>
        <v>#N/A</v>
      </c>
      <c r="AW75" s="340" t="e">
        <f>VLOOKUP(C75,Theory!B78:AP146,41,FALSE)</f>
        <v>#N/A</v>
      </c>
      <c r="AX75" s="340" t="e">
        <f>VLOOKUP(C75,Theory!B78:AQ146,42,FALSE)</f>
        <v>#N/A</v>
      </c>
      <c r="AY75" s="335" t="e">
        <f t="shared" si="12"/>
        <v>#N/A</v>
      </c>
      <c r="AZ75" s="340" t="e">
        <f>VLOOKUP(C75,Theory!B78:AR146,43,FALSE)</f>
        <v>#N/A</v>
      </c>
      <c r="BA75" s="340" t="e">
        <f>VLOOKUP(C75,Theory!B78:AS146,44,FALSE)</f>
        <v>#N/A</v>
      </c>
      <c r="BB75" s="340" t="e">
        <f>VLOOKUP(C75,Theory!B78:AT146,45,FALSE)</f>
        <v>#N/A</v>
      </c>
      <c r="BC75" s="340" t="e">
        <f>VLOOKUP(C75,Theory!B78:AU146,46,FALSE)</f>
        <v>#N/A</v>
      </c>
      <c r="BD75" s="340" t="e">
        <f>VLOOKUP(C75,Theory!B78:AV146,47,FALSE)</f>
        <v>#N/A</v>
      </c>
      <c r="BE75" s="340" t="e">
        <f>VLOOKUP(C75,Theory!B78:AW146,48,FALSE)</f>
        <v>#N/A</v>
      </c>
      <c r="BF75" s="340" t="e">
        <f>VLOOKUP(C75,Theory!B78:AX146,49,FALSE)</f>
        <v>#N/A</v>
      </c>
      <c r="BG75" s="340" t="e">
        <f>VLOOKUP(C75,Theory!B78:AY146,50,FALSE)</f>
        <v>#N/A</v>
      </c>
      <c r="BH75" s="335" t="e">
        <f t="shared" si="13"/>
        <v>#N/A</v>
      </c>
      <c r="BI75" s="340" t="e">
        <f>VLOOKUP(C75,Theory!B78:AZ146,51,FALSE)</f>
        <v>#N/A</v>
      </c>
      <c r="BJ75" s="340" t="e">
        <f>VLOOKUP(C75,Theory!B78:BA146,52,FALSE)</f>
        <v>#N/A</v>
      </c>
      <c r="BK75" s="340" t="e">
        <f>VLOOKUP(C75,Theory!B78:BB146,53,FALSE)</f>
        <v>#N/A</v>
      </c>
      <c r="BL75" s="340" t="e">
        <f>VLOOKUP(C75,Theory!B78:BC146,54,FALSE)</f>
        <v>#N/A</v>
      </c>
      <c r="BM75" s="340" t="e">
        <f>VLOOKUP(C75,Theory!B78:BD146,55,FALSE)</f>
        <v>#N/A</v>
      </c>
      <c r="BN75" s="340" t="e">
        <f>VLOOKUP(C75,Theory!B78:BE146,56,FALSE)</f>
        <v>#N/A</v>
      </c>
      <c r="BO75" s="340" t="e">
        <f>VLOOKUP(C75,Theory!B78:BF146,57,FALSE)</f>
        <v>#N/A</v>
      </c>
      <c r="BP75" s="340" t="e">
        <f>VLOOKUP(C75,Theory!B78:BG146,58,FALSE)</f>
        <v>#N/A</v>
      </c>
      <c r="BQ75" s="335" t="e">
        <f t="shared" si="14"/>
        <v>#N/A</v>
      </c>
      <c r="BR75" s="340" t="e">
        <f>VLOOKUP(C75,Theory!B78:BH146,59,FALSE)</f>
        <v>#N/A</v>
      </c>
      <c r="BS75" s="340" t="e">
        <f>VLOOKUP(C75,Theory!B78:BI146,60,FALSE)</f>
        <v>#N/A</v>
      </c>
      <c r="BT75" s="340" t="e">
        <f>VLOOKUP(C75,Theory!B78:BJ146,61,FALSE)</f>
        <v>#N/A</v>
      </c>
      <c r="BU75" s="340" t="e">
        <f>VLOOKUP(C75,Theory!B78:BK146,62,FALSE)</f>
        <v>#N/A</v>
      </c>
      <c r="BV75" s="340" t="e">
        <f>VLOOKUP(C75,Theory!B78:BL146,63,FALSE)</f>
        <v>#N/A</v>
      </c>
      <c r="BW75" s="340" t="e">
        <f>VLOOKUP(C75,Theory!B78:BM146,64,FALSE)</f>
        <v>#N/A</v>
      </c>
      <c r="BX75" s="340" t="e">
        <f>VLOOKUP(C75,Theory!B78:BN146,65,FALSE)</f>
        <v>#N/A</v>
      </c>
      <c r="BY75" s="340" t="e">
        <f>VLOOKUP(C75,Theory!B78:BO146,66,FALSE)</f>
        <v>#N/A</v>
      </c>
      <c r="BZ75" s="335" t="e">
        <f t="shared" si="15"/>
        <v>#N/A</v>
      </c>
      <c r="CA75" s="333" t="e">
        <f t="shared" si="1"/>
        <v>#N/A</v>
      </c>
      <c r="CB75" s="340" t="e">
        <f>VLOOKUP(C75,Theory!B78:BP146,67,FALSE)</f>
        <v>#N/A</v>
      </c>
      <c r="CC75" s="340" t="e">
        <f>VLOOKUP(C75,Theory!B78:BQ146,68,FALSE)</f>
        <v>#N/A</v>
      </c>
      <c r="CD75" s="340" t="e">
        <f>VLOOKUP(C75,Theory!B78:BR146,69,FALSE)</f>
        <v>#N/A</v>
      </c>
      <c r="CE75" s="340" t="e">
        <f>VLOOKUP(C75,Theory!B78:BS146,70,FALSE)</f>
        <v>#N/A</v>
      </c>
      <c r="CF75" s="335" t="e">
        <f t="shared" si="16"/>
        <v>#N/A</v>
      </c>
      <c r="CG75" s="341" t="e">
        <f>VLOOKUP(C75,Theory!B78:BT146,71,FALSE)</f>
        <v>#N/A</v>
      </c>
      <c r="CH75" s="341" t="e">
        <f>VLOOKUP(C75,Theory!B78:BU146,72,FALSE)</f>
        <v>#N/A</v>
      </c>
      <c r="CI75" s="341" t="e">
        <f>VLOOKUP(C75,Theory!B78:BV146,73,FALSE)</f>
        <v>#N/A</v>
      </c>
      <c r="CJ75" s="341" t="e">
        <f>VLOOKUP(C75,Theory!B78:BW146,74,FALSE)</f>
        <v>#N/A</v>
      </c>
      <c r="CK75" s="335" t="e">
        <f t="shared" si="17"/>
        <v>#N/A</v>
      </c>
      <c r="CL75" s="340" t="e">
        <f>VLOOKUP(C75,Theory!B78:BX146,75,FALSE)</f>
        <v>#N/A</v>
      </c>
      <c r="CM75" s="342" t="e">
        <f>VLOOKUP(C75,Theory!B78:BY146,76,FALSE)</f>
        <v>#N/A</v>
      </c>
      <c r="CN75" s="342" t="e">
        <f>VLOOKUP(C75,Theory!B78:BZ146,77,FALSE)</f>
        <v>#N/A</v>
      </c>
      <c r="CO75" s="342" t="e">
        <f>VLOOKUP(C75,Theory!B78:CA146,78,FALSE)</f>
        <v>#N/A</v>
      </c>
      <c r="CP75" s="340" t="e">
        <f>VLOOKUP(C75,Theory!B78:CB146,79,FALSE)</f>
        <v>#N/A</v>
      </c>
      <c r="CQ75" s="340" t="e">
        <f>VLOOKUP(C75,Theory!B78:CC146,80,FALSE)</f>
        <v>#N/A</v>
      </c>
      <c r="CR75" s="340" t="e">
        <f>VLOOKUP(C75,Theory!B78:CD146,81,FALSE)</f>
        <v>#N/A</v>
      </c>
      <c r="CS75" s="340" t="e">
        <f>VLOOKUP(C75,Theory!B78:CE146,82,FALSE)</f>
        <v>#N/A</v>
      </c>
      <c r="CT75" s="335" t="e">
        <f t="shared" si="18"/>
        <v>#N/A</v>
      </c>
      <c r="CU75" s="341" t="e">
        <f>VLOOKUP(C75,Theory!B78:CF146,83,FALSE)</f>
        <v>#N/A</v>
      </c>
      <c r="CV75" s="342" t="e">
        <f>VLOOKUP(C75,Theory!B78:CG146,84,FALSE)</f>
        <v>#N/A</v>
      </c>
      <c r="CW75" s="342" t="e">
        <f>VLOOKUP(C75,Theory!B78:CH146,85,FALSE)</f>
        <v>#N/A</v>
      </c>
      <c r="CX75" s="342" t="e">
        <f>VLOOKUP(C75,Theory!B78:CI146,86,FALSE)</f>
        <v>#N/A</v>
      </c>
      <c r="CY75" s="341" t="e">
        <f>VLOOKUP(C75,Theory!B78:CJ146,87,FALSE)</f>
        <v>#N/A</v>
      </c>
      <c r="CZ75" s="341" t="e">
        <f>VLOOKUP(C75,Theory!B78:CK146,88,FALSE)</f>
        <v>#N/A</v>
      </c>
      <c r="DA75" s="341" t="e">
        <f>VLOOKUP(C75,Theory!B78:CL146,89,FALSE)</f>
        <v>#N/A</v>
      </c>
      <c r="DB75" s="341" t="e">
        <f>VLOOKUP(C75,Theory!B78:CM146,90,FALSE)</f>
        <v>#N/A</v>
      </c>
      <c r="DC75" s="335" t="e">
        <f t="shared" si="19"/>
        <v>#N/A</v>
      </c>
      <c r="DD75" s="340" t="e">
        <f>VLOOKUP(C75,Theory!B78:CN146,91,FALSE)</f>
        <v>#N/A</v>
      </c>
      <c r="DE75" s="342" t="e">
        <f>VLOOKUP(C75,Theory!B78:CO146,92,FALSE)</f>
        <v>#N/A</v>
      </c>
      <c r="DF75" s="342" t="e">
        <f>VLOOKUP(C75,Theory!B78:CP146,93,FALSE)</f>
        <v>#N/A</v>
      </c>
      <c r="DG75" s="342" t="e">
        <f>VLOOKUP(C75,Theory!B78:CQ146,94,FALSE)</f>
        <v>#N/A</v>
      </c>
      <c r="DH75" s="340" t="e">
        <f>VLOOKUP(C75,Theory!B78:CR146,95,FALSE)</f>
        <v>#N/A</v>
      </c>
      <c r="DI75" s="340" t="e">
        <f>VLOOKUP(C75,Theory!B78:CS146,96,FALSE)</f>
        <v>#N/A</v>
      </c>
      <c r="DJ75" s="340" t="e">
        <f>VLOOKUP(C75,Theory!B78:CT146,97,FALSE)</f>
        <v>#N/A</v>
      </c>
      <c r="DK75" s="340" t="e">
        <f>VLOOKUP(C75,Theory!B78:CU146,98,FALSE)</f>
        <v>#N/A</v>
      </c>
      <c r="DL75" s="335" t="e">
        <f t="shared" si="20"/>
        <v>#N/A</v>
      </c>
      <c r="DM75" s="265" t="e">
        <f t="shared" si="2"/>
        <v>#N/A</v>
      </c>
      <c r="DN75" s="362" t="e">
        <f t="shared" si="40"/>
        <v>#N/A</v>
      </c>
      <c r="DO75" s="362" t="e">
        <f t="shared" si="41"/>
        <v>#N/A</v>
      </c>
      <c r="DP75" s="362" t="e">
        <f t="shared" si="42"/>
        <v>#N/A</v>
      </c>
      <c r="DQ75" s="343" t="e">
        <f t="shared" si="43"/>
        <v>#N/A</v>
      </c>
      <c r="DR75" s="343" t="e">
        <f t="shared" si="44"/>
        <v>#N/A</v>
      </c>
      <c r="DS75" s="343" t="e">
        <f t="shared" si="45"/>
        <v>#N/A</v>
      </c>
      <c r="DT75" s="328" t="e">
        <f t="shared" si="36"/>
        <v>#N/A</v>
      </c>
      <c r="DU75" s="326" t="e">
        <f>VLOOKUP(C75,Theory!B78:CV146,99,FALSE)</f>
        <v>#N/A</v>
      </c>
      <c r="DV75" s="326" t="e">
        <f>VLOOKUP(C75,Theory!B78:CW146,100,FALSE)</f>
        <v>#N/A</v>
      </c>
      <c r="DW75" s="331" t="e">
        <f t="shared" si="27"/>
        <v>#N/A</v>
      </c>
      <c r="DX75" s="266" t="e">
        <f t="shared" si="3"/>
        <v>#N/A</v>
      </c>
      <c r="DY75" s="363" t="e">
        <f t="shared" si="4"/>
        <v>#N/A</v>
      </c>
      <c r="DZ75" s="344">
        <f>VLOOKUP(C75,Lab!B70:D139,3,FALSE)</f>
        <v>0</v>
      </c>
      <c r="EA75" s="345">
        <f>VLOOKUP(C75,Lab!B70:E139,4,FALSE)</f>
        <v>0</v>
      </c>
      <c r="EB75" s="345">
        <f>VLOOKUP(C75,Lab!B70:F139,5,FALSE)</f>
        <v>0</v>
      </c>
      <c r="EC75" s="329">
        <f t="shared" si="37"/>
        <v>0</v>
      </c>
      <c r="ED75" s="346">
        <f>VLOOKUP(C75,Lab!B70:G139,6,FALSE)</f>
        <v>0</v>
      </c>
      <c r="EE75" s="346">
        <f>VLOOKUP(C75,Lab!B70:H139,7,FALSE)</f>
        <v>0</v>
      </c>
      <c r="EF75" s="347">
        <f>VLOOKUP(C75,Lab!B70:I139,8,FALSE)</f>
        <v>0</v>
      </c>
      <c r="EG75" s="330">
        <f t="shared" si="38"/>
        <v>0</v>
      </c>
      <c r="EH75" s="390">
        <f t="shared" si="28"/>
        <v>0</v>
      </c>
      <c r="EI75" s="349">
        <f t="shared" si="29"/>
        <v>0</v>
      </c>
      <c r="EJ75" s="391" t="e">
        <f t="shared" si="5"/>
        <v>#N/A</v>
      </c>
      <c r="EK75" s="258">
        <v>0</v>
      </c>
      <c r="EM75" s="350" t="e">
        <f>VLOOKUP(C75,Theory!B78:DL146,114,FALSE)</f>
        <v>#N/A</v>
      </c>
      <c r="EN75" s="350" t="e">
        <f>VLOOKUP(C75,Theory!B78:DM146,115,FALSE)</f>
        <v>#N/A</v>
      </c>
      <c r="EO75" s="350" t="e">
        <f>VLOOKUP(C75,Theory!B78:DN146,116,FALSE)</f>
        <v>#N/A</v>
      </c>
      <c r="EP75" s="350" t="e">
        <f>VLOOKUP(C75,Theory!B78:DO144,117,FALSE)</f>
        <v>#N/A</v>
      </c>
      <c r="EQ75" s="350" t="e">
        <f>VLOOKUP(C75,Theory!B78:DP144,118,FALSE)</f>
        <v>#N/A</v>
      </c>
      <c r="ER75" s="351" t="e">
        <f>VLOOKUP(C75,Theory!B78:DQ144,119,FALSE)</f>
        <v>#N/A</v>
      </c>
      <c r="ES75" s="327" t="e">
        <f>VLOOKUP(C75,Theory!B78:DR144,120,FALSE)</f>
        <v>#N/A</v>
      </c>
      <c r="ET75" s="348" t="e">
        <f t="shared" si="39"/>
        <v>#N/A</v>
      </c>
      <c r="EU75" s="352"/>
      <c r="EV75" s="352"/>
      <c r="EW75" s="352"/>
      <c r="EX75" s="352"/>
      <c r="EY75" s="352"/>
      <c r="EZ75" s="352"/>
      <c r="FA75" s="352"/>
      <c r="FB75" s="352"/>
      <c r="FC75" s="352"/>
      <c r="FD75" s="352"/>
    </row>
    <row r="76" spans="1:160" ht="16.2" thickBot="1" x14ac:dyDescent="0.35">
      <c r="A76" s="64">
        <v>63</v>
      </c>
      <c r="B76" s="17">
        <f>Theory!C79</f>
        <v>0</v>
      </c>
      <c r="C76" s="16">
        <f>Theory!B79</f>
        <v>0</v>
      </c>
      <c r="D76" s="334" t="e">
        <f>VLOOKUP(C76,Theory!B79:D147,3,FALSE)</f>
        <v>#N/A</v>
      </c>
      <c r="E76" s="334" t="e">
        <f>VLOOKUP(C76,Theory!B79:E147,4,FALSE)</f>
        <v>#N/A</v>
      </c>
      <c r="F76" s="334" t="e">
        <f>VLOOKUP(C76,Theory!B79:F147,5,FALSE)</f>
        <v>#N/A</v>
      </c>
      <c r="G76" s="334" t="e">
        <f>VLOOKUP(C76,Theory!B79:G147,6,FALSE)</f>
        <v>#N/A</v>
      </c>
      <c r="H76" s="335" t="e">
        <f t="shared" si="6"/>
        <v>#N/A</v>
      </c>
      <c r="I76" s="338" t="e">
        <f>VLOOKUP(C76,Theory!B79:H147,7,FALSE)</f>
        <v>#N/A</v>
      </c>
      <c r="J76" s="337" t="e">
        <f>VLOOKUP(C76,Theory!B79:I147,8,FALSE)</f>
        <v>#N/A</v>
      </c>
      <c r="K76" s="337" t="e">
        <f>VLOOKUP(C76,Theory!B79:J147,9,FALSE)</f>
        <v>#N/A</v>
      </c>
      <c r="L76" s="337" t="e">
        <f>VLOOKUP(C76,Theory!B79:K147,10,FALSE)</f>
        <v>#N/A</v>
      </c>
      <c r="M76" s="335" t="e">
        <f t="shared" si="7"/>
        <v>#N/A</v>
      </c>
      <c r="N76" s="336" t="e">
        <f>VLOOKUP(C76,Theory!B79:L147,11,FALSE)</f>
        <v>#N/A</v>
      </c>
      <c r="O76" s="336" t="e">
        <f>VLOOKUP(C76,Theory!B79:M147,12,FALSE)</f>
        <v>#N/A</v>
      </c>
      <c r="P76" s="336" t="e">
        <f>VLOOKUP(C76,Theory!B79:N147,13,FALSE)</f>
        <v>#N/A</v>
      </c>
      <c r="Q76" s="336" t="e">
        <f>VLOOKUP(C76,Theory!B79:O147,14,FALSE)</f>
        <v>#N/A</v>
      </c>
      <c r="R76" s="337" t="e">
        <f>VLOOKUP(C76,Theory!B79:P147,15,FALSE)</f>
        <v>#N/A</v>
      </c>
      <c r="S76" s="337" t="e">
        <f>VLOOKUP(C76,Theory!B79:Q147,16,FALSE)</f>
        <v>#N/A</v>
      </c>
      <c r="T76" s="337" t="e">
        <f>VLOOKUP(C76,Theory!B79:R147,17,FALSE)</f>
        <v>#N/A</v>
      </c>
      <c r="U76" s="337" t="e">
        <f>VLOOKUP(C76,Theory!B79:S147,18,FALSE)</f>
        <v>#N/A</v>
      </c>
      <c r="V76" s="335" t="e">
        <f t="shared" si="8"/>
        <v>#N/A</v>
      </c>
      <c r="W76" s="334" t="e">
        <f>VLOOKUP(C76,Theory!B79:T147,19,FALSE)</f>
        <v>#N/A</v>
      </c>
      <c r="X76" s="334" t="e">
        <f>VLOOKUP(C76,Theory!B79:U147,20,FALSE)</f>
        <v>#N/A</v>
      </c>
      <c r="Y76" s="334" t="e">
        <f>VLOOKUP(C76,Theory!B79:V147,21,FALSE)</f>
        <v>#N/A</v>
      </c>
      <c r="Z76" s="334" t="e">
        <f>VLOOKUP(C76,Theory!B79:W147,22,FALSE)</f>
        <v>#N/A</v>
      </c>
      <c r="AA76" s="338" t="e">
        <f>VLOOKUP(C76,Theory!B79:X147,23,FALSE)</f>
        <v>#N/A</v>
      </c>
      <c r="AB76" s="338" t="e">
        <f>VLOOKUP(C76,Theory!B79:Y147,24,FALSE)</f>
        <v>#N/A</v>
      </c>
      <c r="AC76" s="338" t="e">
        <f>VLOOKUP(C76,Theory!B79:Z147,25,FALSE)</f>
        <v>#N/A</v>
      </c>
      <c r="AD76" s="338" t="e">
        <f>VLOOKUP(C76,Theory!B79:AA147,26,FALSE)</f>
        <v>#N/A</v>
      </c>
      <c r="AE76" s="335" t="e">
        <f t="shared" si="9"/>
        <v>#N/A</v>
      </c>
      <c r="AF76" s="334" t="e">
        <f>VLOOKUP(C76,Theory!B79:AB147,27,FALSE)</f>
        <v>#N/A</v>
      </c>
      <c r="AG76" s="334" t="e">
        <f>VLOOKUP(C76,Theory!B79:AC147,28,FALSE)</f>
        <v>#N/A</v>
      </c>
      <c r="AH76" s="334" t="e">
        <f>VLOOKUP(C76,Theory!B79:AD147,29,FALSE)</f>
        <v>#N/A</v>
      </c>
      <c r="AI76" s="334" t="e">
        <f>VLOOKUP(C76,Theory!B79:AE147,30,FALSE)</f>
        <v>#N/A</v>
      </c>
      <c r="AJ76" s="339" t="e">
        <f>VLOOKUP(C76,Theory!B79:AF147,31,FALSE)</f>
        <v>#N/A</v>
      </c>
      <c r="AK76" s="339" t="e">
        <f>VLOOKUP(C76,Theory!B79:AG147,32,FALSE)</f>
        <v>#N/A</v>
      </c>
      <c r="AL76" s="339" t="e">
        <f>VLOOKUP(C76,Theory!B79:AH147,33,FALSE)</f>
        <v>#N/A</v>
      </c>
      <c r="AM76" s="339" t="e">
        <f>VLOOKUP(C76,Theory!B79:AI147,34,FALSE)</f>
        <v>#N/A</v>
      </c>
      <c r="AN76" s="335" t="e">
        <f t="shared" si="10"/>
        <v>#N/A</v>
      </c>
      <c r="AO76" s="333" t="e">
        <f t="shared" si="0"/>
        <v>#N/A</v>
      </c>
      <c r="AP76" s="340" t="e">
        <f>VLOOKUP(C76,Theory!B79:AJ147,35,FALSE)</f>
        <v>#N/A</v>
      </c>
      <c r="AQ76" s="340" t="e">
        <f>VLOOKUP(C76,Theory!B79:AK147,36,FALSE)</f>
        <v>#N/A</v>
      </c>
      <c r="AR76" s="340" t="e">
        <f>VLOOKUP(C76,Theory!B79:AL147,37,FALSE)</f>
        <v>#N/A</v>
      </c>
      <c r="AS76" s="340" t="e">
        <f>VLOOKUP(C76,Theory!B79:AM147,38,FALSE)</f>
        <v>#N/A</v>
      </c>
      <c r="AT76" s="335" t="e">
        <f t="shared" si="11"/>
        <v>#N/A</v>
      </c>
      <c r="AU76" s="340" t="e">
        <f>VLOOKUP(C76,Theory!B79:AN147,39,FALSE)</f>
        <v>#N/A</v>
      </c>
      <c r="AV76" s="340" t="e">
        <f>VLOOKUP(C76,Theory!B79:AO147,40,FALSE)</f>
        <v>#N/A</v>
      </c>
      <c r="AW76" s="340" t="e">
        <f>VLOOKUP(C76,Theory!B79:AP147,41,FALSE)</f>
        <v>#N/A</v>
      </c>
      <c r="AX76" s="340" t="e">
        <f>VLOOKUP(C76,Theory!B79:AQ147,42,FALSE)</f>
        <v>#N/A</v>
      </c>
      <c r="AY76" s="335" t="e">
        <f t="shared" si="12"/>
        <v>#N/A</v>
      </c>
      <c r="AZ76" s="340" t="e">
        <f>VLOOKUP(C76,Theory!B79:AR147,43,FALSE)</f>
        <v>#N/A</v>
      </c>
      <c r="BA76" s="340" t="e">
        <f>VLOOKUP(C76,Theory!B79:AS147,44,FALSE)</f>
        <v>#N/A</v>
      </c>
      <c r="BB76" s="340" t="e">
        <f>VLOOKUP(C76,Theory!B79:AT147,45,FALSE)</f>
        <v>#N/A</v>
      </c>
      <c r="BC76" s="340" t="e">
        <f>VLOOKUP(C76,Theory!B79:AU147,46,FALSE)</f>
        <v>#N/A</v>
      </c>
      <c r="BD76" s="340" t="e">
        <f>VLOOKUP(C76,Theory!B79:AV147,47,FALSE)</f>
        <v>#N/A</v>
      </c>
      <c r="BE76" s="340" t="e">
        <f>VLOOKUP(C76,Theory!B79:AW147,48,FALSE)</f>
        <v>#N/A</v>
      </c>
      <c r="BF76" s="340" t="e">
        <f>VLOOKUP(C76,Theory!B79:AX147,49,FALSE)</f>
        <v>#N/A</v>
      </c>
      <c r="BG76" s="340" t="e">
        <f>VLOOKUP(C76,Theory!B79:AY147,50,FALSE)</f>
        <v>#N/A</v>
      </c>
      <c r="BH76" s="335" t="e">
        <f t="shared" si="13"/>
        <v>#N/A</v>
      </c>
      <c r="BI76" s="340" t="e">
        <f>VLOOKUP(C76,Theory!B79:AZ147,51,FALSE)</f>
        <v>#N/A</v>
      </c>
      <c r="BJ76" s="340" t="e">
        <f>VLOOKUP(C76,Theory!B79:BA147,52,FALSE)</f>
        <v>#N/A</v>
      </c>
      <c r="BK76" s="340" t="e">
        <f>VLOOKUP(C76,Theory!B79:BB147,53,FALSE)</f>
        <v>#N/A</v>
      </c>
      <c r="BL76" s="340" t="e">
        <f>VLOOKUP(C76,Theory!B79:BC147,54,FALSE)</f>
        <v>#N/A</v>
      </c>
      <c r="BM76" s="340" t="e">
        <f>VLOOKUP(C76,Theory!B79:BD147,55,FALSE)</f>
        <v>#N/A</v>
      </c>
      <c r="BN76" s="340" t="e">
        <f>VLOOKUP(C76,Theory!B79:BE147,56,FALSE)</f>
        <v>#N/A</v>
      </c>
      <c r="BO76" s="340" t="e">
        <f>VLOOKUP(C76,Theory!B79:BF147,57,FALSE)</f>
        <v>#N/A</v>
      </c>
      <c r="BP76" s="340" t="e">
        <f>VLOOKUP(C76,Theory!B79:BG147,58,FALSE)</f>
        <v>#N/A</v>
      </c>
      <c r="BQ76" s="335" t="e">
        <f t="shared" si="14"/>
        <v>#N/A</v>
      </c>
      <c r="BR76" s="340" t="e">
        <f>VLOOKUP(C76,Theory!B79:BH147,59,FALSE)</f>
        <v>#N/A</v>
      </c>
      <c r="BS76" s="340" t="e">
        <f>VLOOKUP(C76,Theory!B79:BI147,60,FALSE)</f>
        <v>#N/A</v>
      </c>
      <c r="BT76" s="340" t="e">
        <f>VLOOKUP(C76,Theory!B79:BJ147,61,FALSE)</f>
        <v>#N/A</v>
      </c>
      <c r="BU76" s="340" t="e">
        <f>VLOOKUP(C76,Theory!B79:BK147,62,FALSE)</f>
        <v>#N/A</v>
      </c>
      <c r="BV76" s="340" t="e">
        <f>VLOOKUP(C76,Theory!B79:BL147,63,FALSE)</f>
        <v>#N/A</v>
      </c>
      <c r="BW76" s="340" t="e">
        <f>VLOOKUP(C76,Theory!B79:BM147,64,FALSE)</f>
        <v>#N/A</v>
      </c>
      <c r="BX76" s="340" t="e">
        <f>VLOOKUP(C76,Theory!B79:BN147,65,FALSE)</f>
        <v>#N/A</v>
      </c>
      <c r="BY76" s="340" t="e">
        <f>VLOOKUP(C76,Theory!B79:BO147,66,FALSE)</f>
        <v>#N/A</v>
      </c>
      <c r="BZ76" s="335" t="e">
        <f t="shared" si="15"/>
        <v>#N/A</v>
      </c>
      <c r="CA76" s="333" t="e">
        <f t="shared" si="1"/>
        <v>#N/A</v>
      </c>
      <c r="CB76" s="340" t="e">
        <f>VLOOKUP(C76,Theory!B79:BP147,67,FALSE)</f>
        <v>#N/A</v>
      </c>
      <c r="CC76" s="340" t="e">
        <f>VLOOKUP(C76,Theory!B79:BQ147,68,FALSE)</f>
        <v>#N/A</v>
      </c>
      <c r="CD76" s="340" t="e">
        <f>VLOOKUP(C76,Theory!B79:BR147,69,FALSE)</f>
        <v>#N/A</v>
      </c>
      <c r="CE76" s="340" t="e">
        <f>VLOOKUP(C76,Theory!B79:BS147,70,FALSE)</f>
        <v>#N/A</v>
      </c>
      <c r="CF76" s="335" t="e">
        <f t="shared" si="16"/>
        <v>#N/A</v>
      </c>
      <c r="CG76" s="341" t="e">
        <f>VLOOKUP(C76,Theory!B79:BT147,71,FALSE)</f>
        <v>#N/A</v>
      </c>
      <c r="CH76" s="341" t="e">
        <f>VLOOKUP(C76,Theory!B79:BU147,72,FALSE)</f>
        <v>#N/A</v>
      </c>
      <c r="CI76" s="341" t="e">
        <f>VLOOKUP(C76,Theory!B79:BV147,73,FALSE)</f>
        <v>#N/A</v>
      </c>
      <c r="CJ76" s="341" t="e">
        <f>VLOOKUP(C76,Theory!B79:BW147,74,FALSE)</f>
        <v>#N/A</v>
      </c>
      <c r="CK76" s="335" t="e">
        <f t="shared" si="17"/>
        <v>#N/A</v>
      </c>
      <c r="CL76" s="340" t="e">
        <f>VLOOKUP(C76,Theory!B79:BX147,75,FALSE)</f>
        <v>#N/A</v>
      </c>
      <c r="CM76" s="342" t="e">
        <f>VLOOKUP(C76,Theory!B79:BY147,76,FALSE)</f>
        <v>#N/A</v>
      </c>
      <c r="CN76" s="342" t="e">
        <f>VLOOKUP(C76,Theory!B79:BZ147,77,FALSE)</f>
        <v>#N/A</v>
      </c>
      <c r="CO76" s="342" t="e">
        <f>VLOOKUP(C76,Theory!B79:CA147,78,FALSE)</f>
        <v>#N/A</v>
      </c>
      <c r="CP76" s="340" t="e">
        <f>VLOOKUP(C76,Theory!B79:CB147,79,FALSE)</f>
        <v>#N/A</v>
      </c>
      <c r="CQ76" s="340" t="e">
        <f>VLOOKUP(C76,Theory!B79:CC147,80,FALSE)</f>
        <v>#N/A</v>
      </c>
      <c r="CR76" s="340" t="e">
        <f>VLOOKUP(C76,Theory!B79:CD147,81,FALSE)</f>
        <v>#N/A</v>
      </c>
      <c r="CS76" s="340" t="e">
        <f>VLOOKUP(C76,Theory!B79:CE147,82,FALSE)</f>
        <v>#N/A</v>
      </c>
      <c r="CT76" s="335" t="e">
        <f t="shared" si="18"/>
        <v>#N/A</v>
      </c>
      <c r="CU76" s="341" t="e">
        <f>VLOOKUP(C76,Theory!B79:CF147,83,FALSE)</f>
        <v>#N/A</v>
      </c>
      <c r="CV76" s="342" t="e">
        <f>VLOOKUP(C76,Theory!B79:CG147,84,FALSE)</f>
        <v>#N/A</v>
      </c>
      <c r="CW76" s="342" t="e">
        <f>VLOOKUP(C76,Theory!B79:CH147,85,FALSE)</f>
        <v>#N/A</v>
      </c>
      <c r="CX76" s="342" t="e">
        <f>VLOOKUP(C76,Theory!B79:CI147,86,FALSE)</f>
        <v>#N/A</v>
      </c>
      <c r="CY76" s="341" t="e">
        <f>VLOOKUP(C76,Theory!B79:CJ147,87,FALSE)</f>
        <v>#N/A</v>
      </c>
      <c r="CZ76" s="341" t="e">
        <f>VLOOKUP(C76,Theory!B79:CK147,88,FALSE)</f>
        <v>#N/A</v>
      </c>
      <c r="DA76" s="341" t="e">
        <f>VLOOKUP(C76,Theory!B79:CL147,89,FALSE)</f>
        <v>#N/A</v>
      </c>
      <c r="DB76" s="341" t="e">
        <f>VLOOKUP(C76,Theory!B79:CM147,90,FALSE)</f>
        <v>#N/A</v>
      </c>
      <c r="DC76" s="335" t="e">
        <f t="shared" si="19"/>
        <v>#N/A</v>
      </c>
      <c r="DD76" s="340" t="e">
        <f>VLOOKUP(C76,Theory!B79:CN147,91,FALSE)</f>
        <v>#N/A</v>
      </c>
      <c r="DE76" s="342" t="e">
        <f>VLOOKUP(C76,Theory!B79:CO147,92,FALSE)</f>
        <v>#N/A</v>
      </c>
      <c r="DF76" s="342" t="e">
        <f>VLOOKUP(C76,Theory!B79:CP147,93,FALSE)</f>
        <v>#N/A</v>
      </c>
      <c r="DG76" s="342" t="e">
        <f>VLOOKUP(C76,Theory!B79:CQ147,94,FALSE)</f>
        <v>#N/A</v>
      </c>
      <c r="DH76" s="340" t="e">
        <f>VLOOKUP(C76,Theory!B79:CR147,95,FALSE)</f>
        <v>#N/A</v>
      </c>
      <c r="DI76" s="340" t="e">
        <f>VLOOKUP(C76,Theory!B79:CS147,96,FALSE)</f>
        <v>#N/A</v>
      </c>
      <c r="DJ76" s="340" t="e">
        <f>VLOOKUP(C76,Theory!B79:CT147,97,FALSE)</f>
        <v>#N/A</v>
      </c>
      <c r="DK76" s="340" t="e">
        <f>VLOOKUP(C76,Theory!B79:CU147,98,FALSE)</f>
        <v>#N/A</v>
      </c>
      <c r="DL76" s="335" t="e">
        <f t="shared" si="20"/>
        <v>#N/A</v>
      </c>
      <c r="DM76" s="265" t="e">
        <f t="shared" si="2"/>
        <v>#N/A</v>
      </c>
      <c r="DN76" s="362" t="e">
        <f t="shared" si="40"/>
        <v>#N/A</v>
      </c>
      <c r="DO76" s="362" t="e">
        <f t="shared" si="41"/>
        <v>#N/A</v>
      </c>
      <c r="DP76" s="362" t="e">
        <f t="shared" si="42"/>
        <v>#N/A</v>
      </c>
      <c r="DQ76" s="343" t="e">
        <f t="shared" si="43"/>
        <v>#N/A</v>
      </c>
      <c r="DR76" s="343" t="e">
        <f t="shared" si="44"/>
        <v>#N/A</v>
      </c>
      <c r="DS76" s="343" t="e">
        <f t="shared" si="45"/>
        <v>#N/A</v>
      </c>
      <c r="DT76" s="328" t="e">
        <f t="shared" si="36"/>
        <v>#N/A</v>
      </c>
      <c r="DU76" s="326" t="e">
        <f>VLOOKUP(C76,Theory!B79:CV147,99,FALSE)</f>
        <v>#N/A</v>
      </c>
      <c r="DV76" s="326" t="e">
        <f>VLOOKUP(C76,Theory!B79:CW147,100,FALSE)</f>
        <v>#N/A</v>
      </c>
      <c r="DW76" s="331" t="e">
        <f t="shared" si="27"/>
        <v>#N/A</v>
      </c>
      <c r="DX76" s="266" t="e">
        <f t="shared" si="3"/>
        <v>#N/A</v>
      </c>
      <c r="DY76" s="363" t="e">
        <f t="shared" si="4"/>
        <v>#N/A</v>
      </c>
      <c r="DZ76" s="344">
        <f>VLOOKUP(C76,Lab!B71:D140,3,FALSE)</f>
        <v>0</v>
      </c>
      <c r="EA76" s="345">
        <f>VLOOKUP(C76,Lab!B71:E140,4,FALSE)</f>
        <v>0</v>
      </c>
      <c r="EB76" s="345">
        <f>VLOOKUP(C76,Lab!B71:F140,5,FALSE)</f>
        <v>0</v>
      </c>
      <c r="EC76" s="329">
        <f t="shared" si="37"/>
        <v>0</v>
      </c>
      <c r="ED76" s="346">
        <f>VLOOKUP(C76,Lab!B71:G140,6,FALSE)</f>
        <v>0</v>
      </c>
      <c r="EE76" s="346">
        <f>VLOOKUP(C76,Lab!B71:H140,7,FALSE)</f>
        <v>0</v>
      </c>
      <c r="EF76" s="347">
        <f>VLOOKUP(C76,Lab!B71:I140,8,FALSE)</f>
        <v>0</v>
      </c>
      <c r="EG76" s="330">
        <f t="shared" si="38"/>
        <v>0</v>
      </c>
      <c r="EH76" s="390">
        <f t="shared" si="28"/>
        <v>0</v>
      </c>
      <c r="EI76" s="349">
        <f t="shared" si="29"/>
        <v>0</v>
      </c>
      <c r="EJ76" s="391" t="e">
        <f t="shared" si="5"/>
        <v>#N/A</v>
      </c>
      <c r="EK76" s="258">
        <v>0</v>
      </c>
      <c r="EM76" s="350" t="e">
        <f>VLOOKUP(C76,Theory!B79:DL147,114,FALSE)</f>
        <v>#N/A</v>
      </c>
      <c r="EN76" s="350" t="e">
        <f>VLOOKUP(C76,Theory!B79:DM147,115,FALSE)</f>
        <v>#N/A</v>
      </c>
      <c r="EO76" s="350" t="e">
        <f>VLOOKUP(C76,Theory!B79:DN147,116,FALSE)</f>
        <v>#N/A</v>
      </c>
      <c r="EP76" s="350" t="e">
        <f>VLOOKUP(C76,Theory!B79:DO145,117,FALSE)</f>
        <v>#N/A</v>
      </c>
      <c r="EQ76" s="350" t="e">
        <f>VLOOKUP(C76,Theory!B79:DP145,118,FALSE)</f>
        <v>#N/A</v>
      </c>
      <c r="ER76" s="351" t="e">
        <f>VLOOKUP(C76,Theory!B79:DQ145,119,FALSE)</f>
        <v>#N/A</v>
      </c>
      <c r="ES76" s="327" t="e">
        <f>VLOOKUP(C76,Theory!B79:DR145,120,FALSE)</f>
        <v>#N/A</v>
      </c>
      <c r="ET76" s="348" t="e">
        <f t="shared" si="39"/>
        <v>#N/A</v>
      </c>
      <c r="EU76" s="352"/>
      <c r="EV76" s="352"/>
      <c r="EW76" s="352"/>
      <c r="EX76" s="352"/>
      <c r="EY76" s="352"/>
      <c r="EZ76" s="352"/>
      <c r="FA76" s="352"/>
      <c r="FB76" s="352"/>
      <c r="FC76" s="352"/>
      <c r="FD76" s="352"/>
    </row>
    <row r="77" spans="1:160" s="246" customFormat="1" ht="16.2" thickBot="1" x14ac:dyDescent="0.35">
      <c r="A77" s="245">
        <v>64</v>
      </c>
      <c r="B77" s="17">
        <f>Theory!C80</f>
        <v>0</v>
      </c>
      <c r="C77" s="16">
        <f>Theory!B80</f>
        <v>0</v>
      </c>
      <c r="D77" s="334" t="e">
        <f>VLOOKUP(C77,Theory!B80:D148,3,FALSE)</f>
        <v>#N/A</v>
      </c>
      <c r="E77" s="334" t="e">
        <f>VLOOKUP(C77,Theory!B80:E148,4,FALSE)</f>
        <v>#N/A</v>
      </c>
      <c r="F77" s="334" t="e">
        <f>VLOOKUP(C77,Theory!B80:F148,5,FALSE)</f>
        <v>#N/A</v>
      </c>
      <c r="G77" s="334" t="e">
        <f>VLOOKUP(C77,Theory!B80:G148,6,FALSE)</f>
        <v>#N/A</v>
      </c>
      <c r="H77" s="335" t="e">
        <f t="shared" si="6"/>
        <v>#N/A</v>
      </c>
      <c r="I77" s="338" t="e">
        <f>VLOOKUP(C77,Theory!B80:H148,7,FALSE)</f>
        <v>#N/A</v>
      </c>
      <c r="J77" s="337" t="e">
        <f>VLOOKUP(C77,Theory!B80:I148,8,FALSE)</f>
        <v>#N/A</v>
      </c>
      <c r="K77" s="337" t="e">
        <f>VLOOKUP(C77,Theory!B80:J148,9,FALSE)</f>
        <v>#N/A</v>
      </c>
      <c r="L77" s="337" t="e">
        <f>VLOOKUP(C77,Theory!B80:K148,10,FALSE)</f>
        <v>#N/A</v>
      </c>
      <c r="M77" s="335" t="e">
        <f t="shared" si="7"/>
        <v>#N/A</v>
      </c>
      <c r="N77" s="336" t="e">
        <f>VLOOKUP(C77,Theory!B80:L148,11,FALSE)</f>
        <v>#N/A</v>
      </c>
      <c r="O77" s="336" t="e">
        <f>VLOOKUP(C77,Theory!B80:M148,12,FALSE)</f>
        <v>#N/A</v>
      </c>
      <c r="P77" s="336" t="e">
        <f>VLOOKUP(C77,Theory!B80:N148,13,FALSE)</f>
        <v>#N/A</v>
      </c>
      <c r="Q77" s="336" t="e">
        <f>VLOOKUP(C77,Theory!B80:O148,14,FALSE)</f>
        <v>#N/A</v>
      </c>
      <c r="R77" s="337" t="e">
        <f>VLOOKUP(C77,Theory!B80:P148,15,FALSE)</f>
        <v>#N/A</v>
      </c>
      <c r="S77" s="337" t="e">
        <f>VLOOKUP(C77,Theory!B80:Q148,16,FALSE)</f>
        <v>#N/A</v>
      </c>
      <c r="T77" s="337" t="e">
        <f>VLOOKUP(C77,Theory!B80:R148,17,FALSE)</f>
        <v>#N/A</v>
      </c>
      <c r="U77" s="337" t="e">
        <f>VLOOKUP(C77,Theory!B80:S148,18,FALSE)</f>
        <v>#N/A</v>
      </c>
      <c r="V77" s="335" t="e">
        <f t="shared" si="8"/>
        <v>#N/A</v>
      </c>
      <c r="W77" s="334" t="e">
        <f>VLOOKUP(C77,Theory!B80:T148,19,FALSE)</f>
        <v>#N/A</v>
      </c>
      <c r="X77" s="334" t="e">
        <f>VLOOKUP(C77,Theory!B80:U148,20,FALSE)</f>
        <v>#N/A</v>
      </c>
      <c r="Y77" s="334" t="e">
        <f>VLOOKUP(C77,Theory!B80:V148,21,FALSE)</f>
        <v>#N/A</v>
      </c>
      <c r="Z77" s="334" t="e">
        <f>VLOOKUP(C77,Theory!B80:W148,22,FALSE)</f>
        <v>#N/A</v>
      </c>
      <c r="AA77" s="338" t="e">
        <f>VLOOKUP(C77,Theory!B80:X148,23,FALSE)</f>
        <v>#N/A</v>
      </c>
      <c r="AB77" s="338" t="e">
        <f>VLOOKUP(C77,Theory!B80:Y148,24,FALSE)</f>
        <v>#N/A</v>
      </c>
      <c r="AC77" s="338" t="e">
        <f>VLOOKUP(C77,Theory!B80:Z148,25,FALSE)</f>
        <v>#N/A</v>
      </c>
      <c r="AD77" s="338" t="e">
        <f>VLOOKUP(C77,Theory!B80:AA148,26,FALSE)</f>
        <v>#N/A</v>
      </c>
      <c r="AE77" s="335" t="e">
        <f t="shared" si="9"/>
        <v>#N/A</v>
      </c>
      <c r="AF77" s="334" t="e">
        <f>VLOOKUP(C77,Theory!B80:AB148,27,FALSE)</f>
        <v>#N/A</v>
      </c>
      <c r="AG77" s="334" t="e">
        <f>VLOOKUP(C77,Theory!B80:AC148,28,FALSE)</f>
        <v>#N/A</v>
      </c>
      <c r="AH77" s="334" t="e">
        <f>VLOOKUP(C77,Theory!B80:AD148,29,FALSE)</f>
        <v>#N/A</v>
      </c>
      <c r="AI77" s="334" t="e">
        <f>VLOOKUP(C77,Theory!B80:AE148,30,FALSE)</f>
        <v>#N/A</v>
      </c>
      <c r="AJ77" s="339" t="e">
        <f>VLOOKUP(C77,Theory!B80:AF148,31,FALSE)</f>
        <v>#N/A</v>
      </c>
      <c r="AK77" s="339" t="e">
        <f>VLOOKUP(C77,Theory!B80:AG148,32,FALSE)</f>
        <v>#N/A</v>
      </c>
      <c r="AL77" s="339" t="e">
        <f>VLOOKUP(C77,Theory!B80:AH148,33,FALSE)</f>
        <v>#N/A</v>
      </c>
      <c r="AM77" s="339" t="e">
        <f>VLOOKUP(C77,Theory!B80:AI148,34,FALSE)</f>
        <v>#N/A</v>
      </c>
      <c r="AN77" s="335" t="e">
        <f t="shared" si="10"/>
        <v>#N/A</v>
      </c>
      <c r="AO77" s="333" t="e">
        <f t="shared" ref="AO77:AO83" si="46">SUM(H77,M77,V77,AE77,AN77)</f>
        <v>#N/A</v>
      </c>
      <c r="AP77" s="340" t="e">
        <f>VLOOKUP(C77,Theory!B80:AJ148,35,FALSE)</f>
        <v>#N/A</v>
      </c>
      <c r="AQ77" s="340" t="e">
        <f>VLOOKUP(C77,Theory!B80:AK148,36,FALSE)</f>
        <v>#N/A</v>
      </c>
      <c r="AR77" s="340" t="e">
        <f>VLOOKUP(C77,Theory!B80:AL148,37,FALSE)</f>
        <v>#N/A</v>
      </c>
      <c r="AS77" s="340" t="e">
        <f>VLOOKUP(C77,Theory!B80:AM148,38,FALSE)</f>
        <v>#N/A</v>
      </c>
      <c r="AT77" s="335" t="e">
        <f t="shared" si="11"/>
        <v>#N/A</v>
      </c>
      <c r="AU77" s="340" t="e">
        <f>VLOOKUP(C77,Theory!B80:AN148,39,FALSE)</f>
        <v>#N/A</v>
      </c>
      <c r="AV77" s="340" t="e">
        <f>VLOOKUP(C77,Theory!B80:AO148,40,FALSE)</f>
        <v>#N/A</v>
      </c>
      <c r="AW77" s="340" t="e">
        <f>VLOOKUP(C77,Theory!B80:AP148,41,FALSE)</f>
        <v>#N/A</v>
      </c>
      <c r="AX77" s="340" t="e">
        <f>VLOOKUP(C77,Theory!B80:AQ148,42,FALSE)</f>
        <v>#N/A</v>
      </c>
      <c r="AY77" s="335" t="e">
        <f t="shared" si="12"/>
        <v>#N/A</v>
      </c>
      <c r="AZ77" s="340" t="e">
        <f>VLOOKUP(C77,Theory!B80:AR148,43,FALSE)</f>
        <v>#N/A</v>
      </c>
      <c r="BA77" s="340" t="e">
        <f>VLOOKUP(C77,Theory!B80:AS148,44,FALSE)</f>
        <v>#N/A</v>
      </c>
      <c r="BB77" s="340" t="e">
        <f>VLOOKUP(C77,Theory!B80:AT148,45,FALSE)</f>
        <v>#N/A</v>
      </c>
      <c r="BC77" s="340" t="e">
        <f>VLOOKUP(C77,Theory!B80:AU148,46,FALSE)</f>
        <v>#N/A</v>
      </c>
      <c r="BD77" s="340" t="e">
        <f>VLOOKUP(C77,Theory!B80:AV148,47,FALSE)</f>
        <v>#N/A</v>
      </c>
      <c r="BE77" s="340" t="e">
        <f>VLOOKUP(C77,Theory!B80:AW148,48,FALSE)</f>
        <v>#N/A</v>
      </c>
      <c r="BF77" s="340" t="e">
        <f>VLOOKUP(C77,Theory!B80:AX148,49,FALSE)</f>
        <v>#N/A</v>
      </c>
      <c r="BG77" s="340" t="e">
        <f>VLOOKUP(C77,Theory!B80:AY148,50,FALSE)</f>
        <v>#N/A</v>
      </c>
      <c r="BH77" s="335" t="e">
        <f t="shared" si="13"/>
        <v>#N/A</v>
      </c>
      <c r="BI77" s="340" t="e">
        <f>VLOOKUP(C77,Theory!B80:AZ148,51,FALSE)</f>
        <v>#N/A</v>
      </c>
      <c r="BJ77" s="340" t="e">
        <f>VLOOKUP(C77,Theory!B80:BA148,52,FALSE)</f>
        <v>#N/A</v>
      </c>
      <c r="BK77" s="340" t="e">
        <f>VLOOKUP(C77,Theory!B80:BB148,53,FALSE)</f>
        <v>#N/A</v>
      </c>
      <c r="BL77" s="340" t="e">
        <f>VLOOKUP(C77,Theory!B80:BC148,54,FALSE)</f>
        <v>#N/A</v>
      </c>
      <c r="BM77" s="340" t="e">
        <f>VLOOKUP(C77,Theory!B80:BD148,55,FALSE)</f>
        <v>#N/A</v>
      </c>
      <c r="BN77" s="340" t="e">
        <f>VLOOKUP(C77,Theory!B80:BE148,56,FALSE)</f>
        <v>#N/A</v>
      </c>
      <c r="BO77" s="340" t="e">
        <f>VLOOKUP(C77,Theory!B80:BF148,57,FALSE)</f>
        <v>#N/A</v>
      </c>
      <c r="BP77" s="340" t="e">
        <f>VLOOKUP(C77,Theory!B80:BG148,58,FALSE)</f>
        <v>#N/A</v>
      </c>
      <c r="BQ77" s="335" t="e">
        <f t="shared" si="14"/>
        <v>#N/A</v>
      </c>
      <c r="BR77" s="340" t="e">
        <f>VLOOKUP(C77,Theory!B80:BH148,59,FALSE)</f>
        <v>#N/A</v>
      </c>
      <c r="BS77" s="340" t="e">
        <f>VLOOKUP(C77,Theory!B80:BI148,60,FALSE)</f>
        <v>#N/A</v>
      </c>
      <c r="BT77" s="340" t="e">
        <f>VLOOKUP(C77,Theory!B80:BJ148,61,FALSE)</f>
        <v>#N/A</v>
      </c>
      <c r="BU77" s="340" t="e">
        <f>VLOOKUP(C77,Theory!B80:BK148,62,FALSE)</f>
        <v>#N/A</v>
      </c>
      <c r="BV77" s="340" t="e">
        <f>VLOOKUP(C77,Theory!B80:BL148,63,FALSE)</f>
        <v>#N/A</v>
      </c>
      <c r="BW77" s="340" t="e">
        <f>VLOOKUP(C77,Theory!B80:BM148,64,FALSE)</f>
        <v>#N/A</v>
      </c>
      <c r="BX77" s="340" t="e">
        <f>VLOOKUP(C77,Theory!B80:BN148,65,FALSE)</f>
        <v>#N/A</v>
      </c>
      <c r="BY77" s="340" t="e">
        <f>VLOOKUP(C77,Theory!B80:BO148,66,FALSE)</f>
        <v>#N/A</v>
      </c>
      <c r="BZ77" s="335" t="e">
        <f t="shared" si="15"/>
        <v>#N/A</v>
      </c>
      <c r="CA77" s="333" t="e">
        <f t="shared" ref="CA77:CA83" si="47">SUM(AT77,AY77,BH77,BQ77,BZ77)</f>
        <v>#N/A</v>
      </c>
      <c r="CB77" s="340" t="e">
        <f>VLOOKUP(C77,Theory!B80:BP148,67,FALSE)</f>
        <v>#N/A</v>
      </c>
      <c r="CC77" s="340" t="e">
        <f>VLOOKUP(C77,Theory!B80:BQ148,68,FALSE)</f>
        <v>#N/A</v>
      </c>
      <c r="CD77" s="340" t="e">
        <f>VLOOKUP(C77,Theory!B80:BR148,69,FALSE)</f>
        <v>#N/A</v>
      </c>
      <c r="CE77" s="340" t="e">
        <f>VLOOKUP(C77,Theory!B80:BS148,70,FALSE)</f>
        <v>#N/A</v>
      </c>
      <c r="CF77" s="335" t="e">
        <f t="shared" si="16"/>
        <v>#N/A</v>
      </c>
      <c r="CG77" s="341" t="e">
        <f>VLOOKUP(C77,Theory!B80:BT148,71,FALSE)</f>
        <v>#N/A</v>
      </c>
      <c r="CH77" s="341" t="e">
        <f>VLOOKUP(C77,Theory!B80:BU148,72,FALSE)</f>
        <v>#N/A</v>
      </c>
      <c r="CI77" s="341" t="e">
        <f>VLOOKUP(C77,Theory!B80:BV148,73,FALSE)</f>
        <v>#N/A</v>
      </c>
      <c r="CJ77" s="341" t="e">
        <f>VLOOKUP(C77,Theory!B80:BW148,74,FALSE)</f>
        <v>#N/A</v>
      </c>
      <c r="CK77" s="335" t="e">
        <f t="shared" si="17"/>
        <v>#N/A</v>
      </c>
      <c r="CL77" s="340" t="e">
        <f>VLOOKUP(C77,Theory!B80:BX148,75,FALSE)</f>
        <v>#N/A</v>
      </c>
      <c r="CM77" s="342" t="e">
        <f>VLOOKUP(C77,Theory!B80:BY148,76,FALSE)</f>
        <v>#N/A</v>
      </c>
      <c r="CN77" s="342" t="e">
        <f>VLOOKUP(C77,Theory!B80:BZ148,77,FALSE)</f>
        <v>#N/A</v>
      </c>
      <c r="CO77" s="342" t="e">
        <f>VLOOKUP(C77,Theory!B80:CA148,78,FALSE)</f>
        <v>#N/A</v>
      </c>
      <c r="CP77" s="340" t="e">
        <f>VLOOKUP(C77,Theory!B80:CB148,79,FALSE)</f>
        <v>#N/A</v>
      </c>
      <c r="CQ77" s="340" t="e">
        <f>VLOOKUP(C77,Theory!B80:CC148,80,FALSE)</f>
        <v>#N/A</v>
      </c>
      <c r="CR77" s="340" t="e">
        <f>VLOOKUP(C77,Theory!B80:CD148,81,FALSE)</f>
        <v>#N/A</v>
      </c>
      <c r="CS77" s="340" t="e">
        <f>VLOOKUP(C77,Theory!B80:CE148,82,FALSE)</f>
        <v>#N/A</v>
      </c>
      <c r="CT77" s="335" t="e">
        <f t="shared" si="18"/>
        <v>#N/A</v>
      </c>
      <c r="CU77" s="341" t="e">
        <f>VLOOKUP(C77,Theory!B80:CF148,83,FALSE)</f>
        <v>#N/A</v>
      </c>
      <c r="CV77" s="342" t="e">
        <f>VLOOKUP(C77,Theory!B80:CG148,84,FALSE)</f>
        <v>#N/A</v>
      </c>
      <c r="CW77" s="342" t="e">
        <f>VLOOKUP(C77,Theory!B80:CH148,85,FALSE)</f>
        <v>#N/A</v>
      </c>
      <c r="CX77" s="342" t="e">
        <f>VLOOKUP(C77,Theory!B80:CI148,86,FALSE)</f>
        <v>#N/A</v>
      </c>
      <c r="CY77" s="341" t="e">
        <f>VLOOKUP(C77,Theory!B80:CJ148,87,FALSE)</f>
        <v>#N/A</v>
      </c>
      <c r="CZ77" s="341" t="e">
        <f>VLOOKUP(C77,Theory!B80:CK148,88,FALSE)</f>
        <v>#N/A</v>
      </c>
      <c r="DA77" s="341" t="e">
        <f>VLOOKUP(C77,Theory!B80:CL148,89,FALSE)</f>
        <v>#N/A</v>
      </c>
      <c r="DB77" s="341" t="e">
        <f>VLOOKUP(C77,Theory!B80:CM148,90,FALSE)</f>
        <v>#N/A</v>
      </c>
      <c r="DC77" s="335" t="e">
        <f t="shared" si="19"/>
        <v>#N/A</v>
      </c>
      <c r="DD77" s="340" t="e">
        <f>VLOOKUP(C77,Theory!B80:CN148,91,FALSE)</f>
        <v>#N/A</v>
      </c>
      <c r="DE77" s="342" t="e">
        <f>VLOOKUP(C77,Theory!B80:CO148,92,FALSE)</f>
        <v>#N/A</v>
      </c>
      <c r="DF77" s="342" t="e">
        <f>VLOOKUP(C77,Theory!B80:CP148,93,FALSE)</f>
        <v>#N/A</v>
      </c>
      <c r="DG77" s="342" t="e">
        <f>VLOOKUP(C77,Theory!B80:CQ148,94,FALSE)</f>
        <v>#N/A</v>
      </c>
      <c r="DH77" s="340" t="e">
        <f>VLOOKUP(C77,Theory!B80:CR148,95,FALSE)</f>
        <v>#N/A</v>
      </c>
      <c r="DI77" s="340" t="e">
        <f>VLOOKUP(C77,Theory!B80:CS148,96,FALSE)</f>
        <v>#N/A</v>
      </c>
      <c r="DJ77" s="340" t="e">
        <f>VLOOKUP(C77,Theory!B80:CT148,97,FALSE)</f>
        <v>#N/A</v>
      </c>
      <c r="DK77" s="340" t="e">
        <f>VLOOKUP(C77,Theory!B80:CU148,98,FALSE)</f>
        <v>#N/A</v>
      </c>
      <c r="DL77" s="335" t="e">
        <f t="shared" si="20"/>
        <v>#N/A</v>
      </c>
      <c r="DM77" s="265" t="e">
        <f t="shared" ref="DM77:DM83" si="48">SUM(CF77,CK77,CT77,DC77,DL77)</f>
        <v>#N/A</v>
      </c>
      <c r="DN77" s="362" t="e">
        <f t="shared" si="40"/>
        <v>#N/A</v>
      </c>
      <c r="DO77" s="362" t="e">
        <f t="shared" si="41"/>
        <v>#N/A</v>
      </c>
      <c r="DP77" s="362" t="e">
        <f t="shared" si="42"/>
        <v>#N/A</v>
      </c>
      <c r="DQ77" s="343" t="e">
        <f t="shared" si="43"/>
        <v>#N/A</v>
      </c>
      <c r="DR77" s="343" t="e">
        <f t="shared" si="44"/>
        <v>#N/A</v>
      </c>
      <c r="DS77" s="343" t="e">
        <f t="shared" si="45"/>
        <v>#N/A</v>
      </c>
      <c r="DT77" s="328" t="e">
        <f t="shared" si="36"/>
        <v>#N/A</v>
      </c>
      <c r="DU77" s="326" t="e">
        <f>VLOOKUP(C77,Theory!B80:CV148,99,FALSE)</f>
        <v>#N/A</v>
      </c>
      <c r="DV77" s="326" t="e">
        <f>VLOOKUP(C77,Theory!B80:CW148,100,FALSE)</f>
        <v>#N/A</v>
      </c>
      <c r="DW77" s="331" t="e">
        <f t="shared" si="27"/>
        <v>#N/A</v>
      </c>
      <c r="DX77" s="266" t="e">
        <f t="shared" ref="DX77:DX83" si="49">SUM(DT77:DV77)</f>
        <v>#N/A</v>
      </c>
      <c r="DY77" s="363" t="e">
        <f t="shared" si="4"/>
        <v>#N/A</v>
      </c>
      <c r="DZ77" s="344">
        <f>VLOOKUP(C77,Lab!B72:D141,3,FALSE)</f>
        <v>0</v>
      </c>
      <c r="EA77" s="345">
        <f>VLOOKUP(C77,Lab!B72:E141,4,FALSE)</f>
        <v>0</v>
      </c>
      <c r="EB77" s="345">
        <f>VLOOKUP(C77,Lab!B72:F141,5,FALSE)</f>
        <v>0</v>
      </c>
      <c r="EC77" s="329">
        <f t="shared" si="37"/>
        <v>0</v>
      </c>
      <c r="ED77" s="346">
        <f>VLOOKUP(C77,Lab!B72:G141,6,FALSE)</f>
        <v>0</v>
      </c>
      <c r="EE77" s="346">
        <f>VLOOKUP(C77,Lab!B72:H141,7,FALSE)</f>
        <v>0</v>
      </c>
      <c r="EF77" s="347">
        <f>VLOOKUP(C77,Lab!B72:I141,8,FALSE)</f>
        <v>0</v>
      </c>
      <c r="EG77" s="330">
        <f t="shared" si="38"/>
        <v>0</v>
      </c>
      <c r="EH77" s="390">
        <f t="shared" si="28"/>
        <v>0</v>
      </c>
      <c r="EI77" s="349">
        <f t="shared" si="29"/>
        <v>0</v>
      </c>
      <c r="EJ77" s="391" t="e">
        <f t="shared" ref="EJ77:EJ83" si="50">SUM(DY77,EI77)</f>
        <v>#N/A</v>
      </c>
      <c r="EK77" s="258">
        <v>0</v>
      </c>
      <c r="EL77" s="320"/>
      <c r="EM77" s="350" t="e">
        <f>VLOOKUP(C77,Theory!B80:DL148,114,FALSE)</f>
        <v>#N/A</v>
      </c>
      <c r="EN77" s="350" t="e">
        <f>VLOOKUP(C77,Theory!B80:DM148,115,FALSE)</f>
        <v>#N/A</v>
      </c>
      <c r="EO77" s="350" t="e">
        <f>VLOOKUP(C77,Theory!B80:DN148,116,FALSE)</f>
        <v>#N/A</v>
      </c>
      <c r="EP77" s="350" t="e">
        <f>VLOOKUP(C77,Theory!B80:DO146,117,FALSE)</f>
        <v>#N/A</v>
      </c>
      <c r="EQ77" s="350" t="e">
        <f>VLOOKUP(C77,Theory!B80:DP146,118,FALSE)</f>
        <v>#N/A</v>
      </c>
      <c r="ER77" s="351" t="e">
        <f>VLOOKUP(C77,Theory!B80:DQ146,119,FALSE)</f>
        <v>#N/A</v>
      </c>
      <c r="ES77" s="327" t="e">
        <f>VLOOKUP(C77,Theory!B80:DR146,120,FALSE)</f>
        <v>#N/A</v>
      </c>
      <c r="ET77" s="348" t="e">
        <f t="shared" si="39"/>
        <v>#N/A</v>
      </c>
      <c r="EU77" s="355"/>
      <c r="EV77" s="355"/>
      <c r="EW77" s="355"/>
      <c r="EX77" s="355"/>
      <c r="EY77" s="355"/>
      <c r="EZ77" s="355"/>
      <c r="FA77" s="355"/>
      <c r="FB77" s="355"/>
      <c r="FC77" s="355"/>
      <c r="FD77" s="355"/>
    </row>
    <row r="78" spans="1:160" s="246" customFormat="1" ht="16.2" thickBot="1" x14ac:dyDescent="0.35">
      <c r="A78" s="245">
        <v>65</v>
      </c>
      <c r="B78" s="17">
        <f>Theory!C81</f>
        <v>0</v>
      </c>
      <c r="C78" s="16">
        <f>Theory!B81</f>
        <v>0</v>
      </c>
      <c r="D78" s="334" t="e">
        <f>VLOOKUP(C78,Theory!B81:D149,3,FALSE)</f>
        <v>#N/A</v>
      </c>
      <c r="E78" s="334" t="e">
        <f>VLOOKUP(C78,Theory!B81:E149,4,FALSE)</f>
        <v>#N/A</v>
      </c>
      <c r="F78" s="334" t="e">
        <f>VLOOKUP(C78,Theory!B81:F149,5,FALSE)</f>
        <v>#N/A</v>
      </c>
      <c r="G78" s="334" t="e">
        <f>VLOOKUP(C78,Theory!B81:G149,6,FALSE)</f>
        <v>#N/A</v>
      </c>
      <c r="H78" s="335" t="e">
        <f t="shared" si="6"/>
        <v>#N/A</v>
      </c>
      <c r="I78" s="338" t="e">
        <f>VLOOKUP(C78,Theory!B81:H149,7,FALSE)</f>
        <v>#N/A</v>
      </c>
      <c r="J78" s="337" t="e">
        <f>VLOOKUP(C78,Theory!B81:I149,8,FALSE)</f>
        <v>#N/A</v>
      </c>
      <c r="K78" s="337" t="e">
        <f>VLOOKUP(C78,Theory!B81:J149,9,FALSE)</f>
        <v>#N/A</v>
      </c>
      <c r="L78" s="337" t="e">
        <f>VLOOKUP(C78,Theory!B81:K149,10,FALSE)</f>
        <v>#N/A</v>
      </c>
      <c r="M78" s="335" t="e">
        <f t="shared" ref="M78:M83" si="51">SUM(I78:L78)</f>
        <v>#N/A</v>
      </c>
      <c r="N78" s="336" t="e">
        <f>VLOOKUP(C78,Theory!B81:L149,11,FALSE)</f>
        <v>#N/A</v>
      </c>
      <c r="O78" s="336" t="e">
        <f>VLOOKUP(C78,Theory!B81:M149,12,FALSE)</f>
        <v>#N/A</v>
      </c>
      <c r="P78" s="336" t="e">
        <f>VLOOKUP(C78,Theory!B81:N149,13,FALSE)</f>
        <v>#N/A</v>
      </c>
      <c r="Q78" s="336" t="e">
        <f>VLOOKUP(C78,Theory!B81:O149,14,FALSE)</f>
        <v>#N/A</v>
      </c>
      <c r="R78" s="337" t="e">
        <f>VLOOKUP(C78,Theory!B81:P149,15,FALSE)</f>
        <v>#N/A</v>
      </c>
      <c r="S78" s="337" t="e">
        <f>VLOOKUP(C78,Theory!B81:Q149,16,FALSE)</f>
        <v>#N/A</v>
      </c>
      <c r="T78" s="337" t="e">
        <f>VLOOKUP(C78,Theory!B81:R149,17,FALSE)</f>
        <v>#N/A</v>
      </c>
      <c r="U78" s="337" t="e">
        <f>VLOOKUP(C78,Theory!B81:S149,18,FALSE)</f>
        <v>#N/A</v>
      </c>
      <c r="V78" s="335" t="e">
        <f t="shared" ref="V78:V83" si="52">MAX(SUM(N78:Q78),SUM(R78:U78))</f>
        <v>#N/A</v>
      </c>
      <c r="W78" s="334" t="e">
        <f>VLOOKUP(C78,Theory!B81:T149,19,FALSE)</f>
        <v>#N/A</v>
      </c>
      <c r="X78" s="334" t="e">
        <f>VLOOKUP(C78,Theory!B81:U149,20,FALSE)</f>
        <v>#N/A</v>
      </c>
      <c r="Y78" s="334" t="e">
        <f>VLOOKUP(C78,Theory!B81:V149,21,FALSE)</f>
        <v>#N/A</v>
      </c>
      <c r="Z78" s="334" t="e">
        <f>VLOOKUP(C78,Theory!B81:W149,22,FALSE)</f>
        <v>#N/A</v>
      </c>
      <c r="AA78" s="338" t="e">
        <f>VLOOKUP(C78,Theory!B81:X149,23,FALSE)</f>
        <v>#N/A</v>
      </c>
      <c r="AB78" s="338" t="e">
        <f>VLOOKUP(C78,Theory!B81:Y149,24,FALSE)</f>
        <v>#N/A</v>
      </c>
      <c r="AC78" s="338" t="e">
        <f>VLOOKUP(C78,Theory!B81:Z149,25,FALSE)</f>
        <v>#N/A</v>
      </c>
      <c r="AD78" s="338" t="e">
        <f>VLOOKUP(C78,Theory!B81:AA149,26,FALSE)</f>
        <v>#N/A</v>
      </c>
      <c r="AE78" s="335" t="e">
        <f t="shared" ref="AE78:AE83" si="53">MAX(SUM(W78:Z78),SUM(AA78:AD78))</f>
        <v>#N/A</v>
      </c>
      <c r="AF78" s="334" t="e">
        <f>VLOOKUP(C78,Theory!B81:AB149,27,FALSE)</f>
        <v>#N/A</v>
      </c>
      <c r="AG78" s="334" t="e">
        <f>VLOOKUP(C78,Theory!B81:AC149,28,FALSE)</f>
        <v>#N/A</v>
      </c>
      <c r="AH78" s="334" t="e">
        <f>VLOOKUP(C78,Theory!B81:AD149,29,FALSE)</f>
        <v>#N/A</v>
      </c>
      <c r="AI78" s="334" t="e">
        <f>VLOOKUP(C78,Theory!B81:AE149,30,FALSE)</f>
        <v>#N/A</v>
      </c>
      <c r="AJ78" s="339" t="e">
        <f>VLOOKUP(C78,Theory!B81:AF149,31,FALSE)</f>
        <v>#N/A</v>
      </c>
      <c r="AK78" s="339" t="e">
        <f>VLOOKUP(C78,Theory!B81:AG149,32,FALSE)</f>
        <v>#N/A</v>
      </c>
      <c r="AL78" s="339" t="e">
        <f>VLOOKUP(C78,Theory!B81:AH149,33,FALSE)</f>
        <v>#N/A</v>
      </c>
      <c r="AM78" s="339" t="e">
        <f>VLOOKUP(C78,Theory!B81:AI149,34,FALSE)</f>
        <v>#N/A</v>
      </c>
      <c r="AN78" s="335" t="e">
        <f t="shared" ref="AN78:AN83" si="54">MAX(SUM(AF78:AI78),SUM(AJ78:AM78))</f>
        <v>#N/A</v>
      </c>
      <c r="AO78" s="333" t="e">
        <f t="shared" si="46"/>
        <v>#N/A</v>
      </c>
      <c r="AP78" s="340" t="e">
        <f>VLOOKUP(C78,Theory!B81:AJ149,35,FALSE)</f>
        <v>#N/A</v>
      </c>
      <c r="AQ78" s="340" t="e">
        <f>VLOOKUP(C78,Theory!B81:AK149,36,FALSE)</f>
        <v>#N/A</v>
      </c>
      <c r="AR78" s="340" t="e">
        <f>VLOOKUP(C78,Theory!B81:AL149,37,FALSE)</f>
        <v>#N/A</v>
      </c>
      <c r="AS78" s="340" t="e">
        <f>VLOOKUP(C78,Theory!B81:AM149,38,FALSE)</f>
        <v>#N/A</v>
      </c>
      <c r="AT78" s="335" t="e">
        <f t="shared" ref="AT78:AT83" si="55">SUM(AP78:AS78)</f>
        <v>#N/A</v>
      </c>
      <c r="AU78" s="340" t="e">
        <f>VLOOKUP(C78,Theory!B81:AN149,39,FALSE)</f>
        <v>#N/A</v>
      </c>
      <c r="AV78" s="340" t="e">
        <f>VLOOKUP(C78,Theory!B81:AO149,40,FALSE)</f>
        <v>#N/A</v>
      </c>
      <c r="AW78" s="340" t="e">
        <f>VLOOKUP(C78,Theory!B81:AP149,41,FALSE)</f>
        <v>#N/A</v>
      </c>
      <c r="AX78" s="340" t="e">
        <f>VLOOKUP(C78,Theory!B81:AQ149,42,FALSE)</f>
        <v>#N/A</v>
      </c>
      <c r="AY78" s="335" t="e">
        <f t="shared" ref="AY78:AY83" si="56">SUM(AU78:AX78)</f>
        <v>#N/A</v>
      </c>
      <c r="AZ78" s="340" t="e">
        <f>VLOOKUP(C78,Theory!B81:AR149,43,FALSE)</f>
        <v>#N/A</v>
      </c>
      <c r="BA78" s="340" t="e">
        <f>VLOOKUP(C78,Theory!B81:AS149,44,FALSE)</f>
        <v>#N/A</v>
      </c>
      <c r="BB78" s="340" t="e">
        <f>VLOOKUP(C78,Theory!B81:AT149,45,FALSE)</f>
        <v>#N/A</v>
      </c>
      <c r="BC78" s="340" t="e">
        <f>VLOOKUP(C78,Theory!B81:AU149,46,FALSE)</f>
        <v>#N/A</v>
      </c>
      <c r="BD78" s="340" t="e">
        <f>VLOOKUP(C78,Theory!B81:AV149,47,FALSE)</f>
        <v>#N/A</v>
      </c>
      <c r="BE78" s="340" t="e">
        <f>VLOOKUP(C78,Theory!B81:AW149,48,FALSE)</f>
        <v>#N/A</v>
      </c>
      <c r="BF78" s="340" t="e">
        <f>VLOOKUP(C78,Theory!B81:AX149,49,FALSE)</f>
        <v>#N/A</v>
      </c>
      <c r="BG78" s="340" t="e">
        <f>VLOOKUP(C78,Theory!B81:AY149,50,FALSE)</f>
        <v>#N/A</v>
      </c>
      <c r="BH78" s="335" t="e">
        <f t="shared" ref="BH78:BH83" si="57">MAX(SUM(AZ78:BC78),SUM(BD78:BG78))</f>
        <v>#N/A</v>
      </c>
      <c r="BI78" s="340" t="e">
        <f>VLOOKUP(C78,Theory!B81:AZ149,51,FALSE)</f>
        <v>#N/A</v>
      </c>
      <c r="BJ78" s="340" t="e">
        <f>VLOOKUP(C78,Theory!B81:BA149,52,FALSE)</f>
        <v>#N/A</v>
      </c>
      <c r="BK78" s="340" t="e">
        <f>VLOOKUP(C78,Theory!B81:BB149,53,FALSE)</f>
        <v>#N/A</v>
      </c>
      <c r="BL78" s="340" t="e">
        <f>VLOOKUP(C78,Theory!B81:BC149,54,FALSE)</f>
        <v>#N/A</v>
      </c>
      <c r="BM78" s="340" t="e">
        <f>VLOOKUP(C78,Theory!B81:BD149,55,FALSE)</f>
        <v>#N/A</v>
      </c>
      <c r="BN78" s="340" t="e">
        <f>VLOOKUP(C78,Theory!B81:BE149,56,FALSE)</f>
        <v>#N/A</v>
      </c>
      <c r="BO78" s="340" t="e">
        <f>VLOOKUP(C78,Theory!B81:BF149,57,FALSE)</f>
        <v>#N/A</v>
      </c>
      <c r="BP78" s="340" t="e">
        <f>VLOOKUP(C78,Theory!B81:BG149,58,FALSE)</f>
        <v>#N/A</v>
      </c>
      <c r="BQ78" s="335" t="e">
        <f t="shared" ref="BQ78:BQ83" si="58">MAX(SUM(BI78:BL78),SUM(BM78:BP78))</f>
        <v>#N/A</v>
      </c>
      <c r="BR78" s="340" t="e">
        <f>VLOOKUP(C78,Theory!B81:BH149,59,FALSE)</f>
        <v>#N/A</v>
      </c>
      <c r="BS78" s="340" t="e">
        <f>VLOOKUP(C78,Theory!B81:BI149,60,FALSE)</f>
        <v>#N/A</v>
      </c>
      <c r="BT78" s="340" t="e">
        <f>VLOOKUP(C78,Theory!B81:BJ149,61,FALSE)</f>
        <v>#N/A</v>
      </c>
      <c r="BU78" s="340" t="e">
        <f>VLOOKUP(C78,Theory!B81:BK149,62,FALSE)</f>
        <v>#N/A</v>
      </c>
      <c r="BV78" s="340" t="e">
        <f>VLOOKUP(C78,Theory!B81:BL149,63,FALSE)</f>
        <v>#N/A</v>
      </c>
      <c r="BW78" s="340" t="e">
        <f>VLOOKUP(C78,Theory!B81:BM149,64,FALSE)</f>
        <v>#N/A</v>
      </c>
      <c r="BX78" s="340" t="e">
        <f>VLOOKUP(C78,Theory!B81:BN149,65,FALSE)</f>
        <v>#N/A</v>
      </c>
      <c r="BY78" s="340" t="e">
        <f>VLOOKUP(C78,Theory!B81:BO149,66,FALSE)</f>
        <v>#N/A</v>
      </c>
      <c r="BZ78" s="335" t="e">
        <f t="shared" ref="BZ78:BZ83" si="59">MAX(SUM(BR78:BU78),SUM(BV78:BY78))</f>
        <v>#N/A</v>
      </c>
      <c r="CA78" s="333" t="e">
        <f t="shared" si="47"/>
        <v>#N/A</v>
      </c>
      <c r="CB78" s="340" t="e">
        <f>VLOOKUP(C78,Theory!B81:BP149,67,FALSE)</f>
        <v>#N/A</v>
      </c>
      <c r="CC78" s="340" t="e">
        <f>VLOOKUP(C78,Theory!B81:BQ149,68,FALSE)</f>
        <v>#N/A</v>
      </c>
      <c r="CD78" s="340" t="e">
        <f>VLOOKUP(C78,Theory!B81:BR149,69,FALSE)</f>
        <v>#N/A</v>
      </c>
      <c r="CE78" s="340" t="e">
        <f>VLOOKUP(C78,Theory!B81:BS149,70,FALSE)</f>
        <v>#N/A</v>
      </c>
      <c r="CF78" s="335" t="e">
        <f t="shared" si="16"/>
        <v>#N/A</v>
      </c>
      <c r="CG78" s="341" t="e">
        <f>VLOOKUP(C78,Theory!B81:BT149,71,FALSE)</f>
        <v>#N/A</v>
      </c>
      <c r="CH78" s="341" t="e">
        <f>VLOOKUP(C78,Theory!B81:BU149,72,FALSE)</f>
        <v>#N/A</v>
      </c>
      <c r="CI78" s="341" t="e">
        <f>VLOOKUP(C78,Theory!B81:BV149,73,FALSE)</f>
        <v>#N/A</v>
      </c>
      <c r="CJ78" s="341" t="e">
        <f>VLOOKUP(C78,Theory!B81:BW149,74,FALSE)</f>
        <v>#N/A</v>
      </c>
      <c r="CK78" s="335" t="e">
        <f t="shared" ref="CK78:CK83" si="60">SUM(CG78:CJ78)</f>
        <v>#N/A</v>
      </c>
      <c r="CL78" s="340" t="e">
        <f>VLOOKUP(C78,Theory!B81:BX149,75,FALSE)</f>
        <v>#N/A</v>
      </c>
      <c r="CM78" s="342" t="e">
        <f>VLOOKUP(C78,Theory!B81:BY149,76,FALSE)</f>
        <v>#N/A</v>
      </c>
      <c r="CN78" s="342" t="e">
        <f>VLOOKUP(C78,Theory!B81:BZ149,77,FALSE)</f>
        <v>#N/A</v>
      </c>
      <c r="CO78" s="342" t="e">
        <f>VLOOKUP(C78,Theory!B81:CA149,78,FALSE)</f>
        <v>#N/A</v>
      </c>
      <c r="CP78" s="340" t="e">
        <f>VLOOKUP(C78,Theory!B81:CB149,79,FALSE)</f>
        <v>#N/A</v>
      </c>
      <c r="CQ78" s="340" t="e">
        <f>VLOOKUP(C78,Theory!B81:CC149,80,FALSE)</f>
        <v>#N/A</v>
      </c>
      <c r="CR78" s="340" t="e">
        <f>VLOOKUP(C78,Theory!B81:CD149,81,FALSE)</f>
        <v>#N/A</v>
      </c>
      <c r="CS78" s="340" t="e">
        <f>VLOOKUP(C78,Theory!B81:CE149,82,FALSE)</f>
        <v>#N/A</v>
      </c>
      <c r="CT78" s="335" t="e">
        <f t="shared" ref="CT78:CT83" si="61">MAX(SUM(CL78:CO78),SUM(CP78:CS78))</f>
        <v>#N/A</v>
      </c>
      <c r="CU78" s="341" t="e">
        <f>VLOOKUP(C78,Theory!B81:CF149,83,FALSE)</f>
        <v>#N/A</v>
      </c>
      <c r="CV78" s="342" t="e">
        <f>VLOOKUP(C78,Theory!B81:CG149,84,FALSE)</f>
        <v>#N/A</v>
      </c>
      <c r="CW78" s="342" t="e">
        <f>VLOOKUP(C78,Theory!B81:CH149,85,FALSE)</f>
        <v>#N/A</v>
      </c>
      <c r="CX78" s="342" t="e">
        <f>VLOOKUP(C78,Theory!B81:CI149,86,FALSE)</f>
        <v>#N/A</v>
      </c>
      <c r="CY78" s="341" t="e">
        <f>VLOOKUP(C78,Theory!B81:CJ149,87,FALSE)</f>
        <v>#N/A</v>
      </c>
      <c r="CZ78" s="341" t="e">
        <f>VLOOKUP(C78,Theory!B81:CK149,88,FALSE)</f>
        <v>#N/A</v>
      </c>
      <c r="DA78" s="341" t="e">
        <f>VLOOKUP(C78,Theory!B81:CL149,89,FALSE)</f>
        <v>#N/A</v>
      </c>
      <c r="DB78" s="341" t="e">
        <f>VLOOKUP(C78,Theory!B81:CM149,90,FALSE)</f>
        <v>#N/A</v>
      </c>
      <c r="DC78" s="335" t="e">
        <f t="shared" ref="DC78:DC83" si="62">MAX(SUM(CU78:CX78),SUM(CY78:DB78))</f>
        <v>#N/A</v>
      </c>
      <c r="DD78" s="340" t="e">
        <f>VLOOKUP(C78,Theory!B81:CN149,91,FALSE)</f>
        <v>#N/A</v>
      </c>
      <c r="DE78" s="342" t="e">
        <f>VLOOKUP(C78,Theory!B81:CO149,92,FALSE)</f>
        <v>#N/A</v>
      </c>
      <c r="DF78" s="342" t="e">
        <f>VLOOKUP(C78,Theory!B81:CP149,93,FALSE)</f>
        <v>#N/A</v>
      </c>
      <c r="DG78" s="342" t="e">
        <f>VLOOKUP(C78,Theory!B81:CQ149,94,FALSE)</f>
        <v>#N/A</v>
      </c>
      <c r="DH78" s="340" t="e">
        <f>VLOOKUP(C78,Theory!B81:CR149,95,FALSE)</f>
        <v>#N/A</v>
      </c>
      <c r="DI78" s="340" t="e">
        <f>VLOOKUP(C78,Theory!B81:CS149,96,FALSE)</f>
        <v>#N/A</v>
      </c>
      <c r="DJ78" s="340" t="e">
        <f>VLOOKUP(C78,Theory!B81:CT149,97,FALSE)</f>
        <v>#N/A</v>
      </c>
      <c r="DK78" s="340" t="e">
        <f>VLOOKUP(C78,Theory!B81:CU149,98,FALSE)</f>
        <v>#N/A</v>
      </c>
      <c r="DL78" s="335" t="e">
        <f t="shared" ref="DL78:DL83" si="63">MAX(SUM(DD78:DG78),SUM(DH78:DK78))</f>
        <v>#N/A</v>
      </c>
      <c r="DM78" s="265" t="e">
        <f t="shared" si="48"/>
        <v>#N/A</v>
      </c>
      <c r="DN78" s="362" t="e">
        <f t="shared" si="40"/>
        <v>#N/A</v>
      </c>
      <c r="DO78" s="362" t="e">
        <f t="shared" si="41"/>
        <v>#N/A</v>
      </c>
      <c r="DP78" s="362" t="e">
        <f t="shared" si="42"/>
        <v>#N/A</v>
      </c>
      <c r="DQ78" s="343" t="e">
        <f t="shared" si="43"/>
        <v>#N/A</v>
      </c>
      <c r="DR78" s="343" t="e">
        <f t="shared" si="44"/>
        <v>#N/A</v>
      </c>
      <c r="DS78" s="343" t="e">
        <f t="shared" si="45"/>
        <v>#N/A</v>
      </c>
      <c r="DT78" s="328" t="e">
        <f t="shared" si="36"/>
        <v>#N/A</v>
      </c>
      <c r="DU78" s="326" t="e">
        <f>VLOOKUP(C78,Theory!B81:CV149,99,FALSE)</f>
        <v>#N/A</v>
      </c>
      <c r="DV78" s="326" t="e">
        <f>VLOOKUP(C78,Theory!B81:CW149,100,FALSE)</f>
        <v>#N/A</v>
      </c>
      <c r="DW78" s="331" t="e">
        <f t="shared" ref="DW78:DW83" si="64">SUM(DU78:DV78)</f>
        <v>#N/A</v>
      </c>
      <c r="DX78" s="266" t="e">
        <f t="shared" si="49"/>
        <v>#N/A</v>
      </c>
      <c r="DY78" s="363" t="e">
        <f t="shared" ref="DY78:DY83" si="65">ROUND((30*DX78/50),0)</f>
        <v>#N/A</v>
      </c>
      <c r="DZ78" s="344">
        <f>VLOOKUP(C78,Lab!B73:D142,3,FALSE)</f>
        <v>0</v>
      </c>
      <c r="EA78" s="345">
        <f>VLOOKUP(C78,Lab!B73:E142,4,FALSE)</f>
        <v>0</v>
      </c>
      <c r="EB78" s="345">
        <f>VLOOKUP(C78,Lab!B73:F142,5,FALSE)</f>
        <v>0</v>
      </c>
      <c r="EC78" s="329">
        <f t="shared" si="37"/>
        <v>0</v>
      </c>
      <c r="ED78" s="346">
        <f>VLOOKUP(C78,Lab!B73:G142,6,FALSE)</f>
        <v>0</v>
      </c>
      <c r="EE78" s="346">
        <f>VLOOKUP(C78,Lab!B73:H142,7,FALSE)</f>
        <v>0</v>
      </c>
      <c r="EF78" s="347">
        <f>VLOOKUP(C78,Lab!B73:I142,8,FALSE)</f>
        <v>0</v>
      </c>
      <c r="EG78" s="330">
        <f t="shared" si="38"/>
        <v>0</v>
      </c>
      <c r="EH78" s="390">
        <f t="shared" ref="EH78:EH83" si="66">SUM(EC78,EG78)</f>
        <v>0</v>
      </c>
      <c r="EI78" s="349">
        <f t="shared" ref="EI78:EI83" si="67">ROUND((20*EH78/50),0)</f>
        <v>0</v>
      </c>
      <c r="EJ78" s="391" t="e">
        <f t="shared" si="50"/>
        <v>#N/A</v>
      </c>
      <c r="EK78" s="258">
        <v>0</v>
      </c>
      <c r="EL78" s="320"/>
      <c r="EM78" s="350" t="e">
        <f>VLOOKUP(C78,Theory!B81:DL149,114,FALSE)</f>
        <v>#N/A</v>
      </c>
      <c r="EN78" s="350" t="e">
        <f>VLOOKUP(C78,Theory!B81:DM149,115,FALSE)</f>
        <v>#N/A</v>
      </c>
      <c r="EO78" s="350" t="e">
        <f>VLOOKUP(C78,Theory!B81:DN149,116,FALSE)</f>
        <v>#N/A</v>
      </c>
      <c r="EP78" s="350" t="e">
        <f>VLOOKUP(C78,Theory!B81:DO147,117,FALSE)</f>
        <v>#N/A</v>
      </c>
      <c r="EQ78" s="350" t="e">
        <f>VLOOKUP(C78,Theory!B81:DP147,118,FALSE)</f>
        <v>#N/A</v>
      </c>
      <c r="ER78" s="351" t="e">
        <f>VLOOKUP(C78,Theory!B81:DQ147,119,FALSE)</f>
        <v>#N/A</v>
      </c>
      <c r="ES78" s="327" t="e">
        <f>VLOOKUP(C78,Theory!B81:DR147,120,FALSE)</f>
        <v>#N/A</v>
      </c>
      <c r="ET78" s="348" t="e">
        <f t="shared" si="39"/>
        <v>#N/A</v>
      </c>
      <c r="EU78" s="355"/>
      <c r="EV78" s="355"/>
      <c r="EW78" s="355"/>
      <c r="EX78" s="355"/>
      <c r="EY78" s="355"/>
      <c r="EZ78" s="355"/>
      <c r="FA78" s="355"/>
      <c r="FB78" s="355"/>
      <c r="FC78" s="355"/>
      <c r="FD78" s="355"/>
    </row>
    <row r="79" spans="1:160" s="246" customFormat="1" ht="16.2" thickBot="1" x14ac:dyDescent="0.35">
      <c r="A79" s="245">
        <v>66</v>
      </c>
      <c r="B79" s="17">
        <f>Theory!C82</f>
        <v>0</v>
      </c>
      <c r="C79" s="16">
        <f>Theory!B82</f>
        <v>0</v>
      </c>
      <c r="D79" s="334" t="e">
        <f>VLOOKUP(C79,Theory!B82:D150,3,FALSE)</f>
        <v>#N/A</v>
      </c>
      <c r="E79" s="334" t="e">
        <f>VLOOKUP(C79,Theory!B82:E150,4,FALSE)</f>
        <v>#N/A</v>
      </c>
      <c r="F79" s="334" t="e">
        <f>VLOOKUP(C79,Theory!B82:F150,5,FALSE)</f>
        <v>#N/A</v>
      </c>
      <c r="G79" s="334" t="e">
        <f>VLOOKUP(C79,Theory!B82:G150,6,FALSE)</f>
        <v>#N/A</v>
      </c>
      <c r="H79" s="335" t="e">
        <f t="shared" ref="H79:H83" si="68">SUM(D79:G79)</f>
        <v>#N/A</v>
      </c>
      <c r="I79" s="338" t="e">
        <f>VLOOKUP(C79,Theory!B82:H150,7,FALSE)</f>
        <v>#N/A</v>
      </c>
      <c r="J79" s="337" t="e">
        <f>VLOOKUP(C79,Theory!B82:I150,8,FALSE)</f>
        <v>#N/A</v>
      </c>
      <c r="K79" s="337" t="e">
        <f>VLOOKUP(C79,Theory!B82:J150,9,FALSE)</f>
        <v>#N/A</v>
      </c>
      <c r="L79" s="337" t="e">
        <f>VLOOKUP(C79,Theory!B82:K150,10,FALSE)</f>
        <v>#N/A</v>
      </c>
      <c r="M79" s="335" t="e">
        <f t="shared" si="51"/>
        <v>#N/A</v>
      </c>
      <c r="N79" s="336" t="e">
        <f>VLOOKUP(C79,Theory!B82:L150,11,FALSE)</f>
        <v>#N/A</v>
      </c>
      <c r="O79" s="336" t="e">
        <f>VLOOKUP(C79,Theory!B82:M150,12,FALSE)</f>
        <v>#N/A</v>
      </c>
      <c r="P79" s="336" t="e">
        <f>VLOOKUP(C79,Theory!B82:N150,13,FALSE)</f>
        <v>#N/A</v>
      </c>
      <c r="Q79" s="336" t="e">
        <f>VLOOKUP(C79,Theory!B82:O150,14,FALSE)</f>
        <v>#N/A</v>
      </c>
      <c r="R79" s="337" t="e">
        <f>VLOOKUP(C79,Theory!B82:P150,15,FALSE)</f>
        <v>#N/A</v>
      </c>
      <c r="S79" s="337" t="e">
        <f>VLOOKUP(C79,Theory!B82:Q150,16,FALSE)</f>
        <v>#N/A</v>
      </c>
      <c r="T79" s="337" t="e">
        <f>VLOOKUP(C79,Theory!B82:R150,17,FALSE)</f>
        <v>#N/A</v>
      </c>
      <c r="U79" s="337" t="e">
        <f>VLOOKUP(C79,Theory!B82:S150,18,FALSE)</f>
        <v>#N/A</v>
      </c>
      <c r="V79" s="335" t="e">
        <f t="shared" si="52"/>
        <v>#N/A</v>
      </c>
      <c r="W79" s="334" t="e">
        <f>VLOOKUP(C79,Theory!B82:T150,19,FALSE)</f>
        <v>#N/A</v>
      </c>
      <c r="X79" s="334" t="e">
        <f>VLOOKUP(C79,Theory!B82:U150,20,FALSE)</f>
        <v>#N/A</v>
      </c>
      <c r="Y79" s="334" t="e">
        <f>VLOOKUP(C79,Theory!B82:V150,21,FALSE)</f>
        <v>#N/A</v>
      </c>
      <c r="Z79" s="334" t="e">
        <f>VLOOKUP(C79,Theory!B82:W150,22,FALSE)</f>
        <v>#N/A</v>
      </c>
      <c r="AA79" s="338" t="e">
        <f>VLOOKUP(C79,Theory!B82:X150,23,FALSE)</f>
        <v>#N/A</v>
      </c>
      <c r="AB79" s="338" t="e">
        <f>VLOOKUP(C79,Theory!B82:Y150,24,FALSE)</f>
        <v>#N/A</v>
      </c>
      <c r="AC79" s="338" t="e">
        <f>VLOOKUP(C79,Theory!B82:Z150,25,FALSE)</f>
        <v>#N/A</v>
      </c>
      <c r="AD79" s="338" t="e">
        <f>VLOOKUP(C79,Theory!B82:AA150,26,FALSE)</f>
        <v>#N/A</v>
      </c>
      <c r="AE79" s="335" t="e">
        <f t="shared" si="53"/>
        <v>#N/A</v>
      </c>
      <c r="AF79" s="334" t="e">
        <f>VLOOKUP(C79,Theory!B82:AB150,27,FALSE)</f>
        <v>#N/A</v>
      </c>
      <c r="AG79" s="334" t="e">
        <f>VLOOKUP(C79,Theory!B82:AC150,28,FALSE)</f>
        <v>#N/A</v>
      </c>
      <c r="AH79" s="334" t="e">
        <f>VLOOKUP(C79,Theory!B82:AD150,29,FALSE)</f>
        <v>#N/A</v>
      </c>
      <c r="AI79" s="334" t="e">
        <f>VLOOKUP(C79,Theory!B82:AE150,30,FALSE)</f>
        <v>#N/A</v>
      </c>
      <c r="AJ79" s="339" t="e">
        <f>VLOOKUP(C79,Theory!B82:AF150,31,FALSE)</f>
        <v>#N/A</v>
      </c>
      <c r="AK79" s="339" t="e">
        <f>VLOOKUP(C79,Theory!B82:AG150,32,FALSE)</f>
        <v>#N/A</v>
      </c>
      <c r="AL79" s="339" t="e">
        <f>VLOOKUP(C79,Theory!B82:AH150,33,FALSE)</f>
        <v>#N/A</v>
      </c>
      <c r="AM79" s="339" t="e">
        <f>VLOOKUP(C79,Theory!B82:AI150,34,FALSE)</f>
        <v>#N/A</v>
      </c>
      <c r="AN79" s="335" t="e">
        <f t="shared" si="54"/>
        <v>#N/A</v>
      </c>
      <c r="AO79" s="333" t="e">
        <f t="shared" si="46"/>
        <v>#N/A</v>
      </c>
      <c r="AP79" s="340" t="e">
        <f>VLOOKUP(C79,Theory!B82:AJ150,35,FALSE)</f>
        <v>#N/A</v>
      </c>
      <c r="AQ79" s="340" t="e">
        <f>VLOOKUP(C79,Theory!B82:AK150,36,FALSE)</f>
        <v>#N/A</v>
      </c>
      <c r="AR79" s="340" t="e">
        <f>VLOOKUP(C79,Theory!B82:AL150,37,FALSE)</f>
        <v>#N/A</v>
      </c>
      <c r="AS79" s="340" t="e">
        <f>VLOOKUP(C79,Theory!B82:AM150,38,FALSE)</f>
        <v>#N/A</v>
      </c>
      <c r="AT79" s="335" t="e">
        <f t="shared" si="55"/>
        <v>#N/A</v>
      </c>
      <c r="AU79" s="340" t="e">
        <f>VLOOKUP(C79,Theory!B82:AN150,39,FALSE)</f>
        <v>#N/A</v>
      </c>
      <c r="AV79" s="340" t="e">
        <f>VLOOKUP(C79,Theory!B82:AO150,40,FALSE)</f>
        <v>#N/A</v>
      </c>
      <c r="AW79" s="340" t="e">
        <f>VLOOKUP(C79,Theory!B82:AP150,41,FALSE)</f>
        <v>#N/A</v>
      </c>
      <c r="AX79" s="340" t="e">
        <f>VLOOKUP(C79,Theory!B82:AQ150,42,FALSE)</f>
        <v>#N/A</v>
      </c>
      <c r="AY79" s="335" t="e">
        <f t="shared" si="56"/>
        <v>#N/A</v>
      </c>
      <c r="AZ79" s="340" t="e">
        <f>VLOOKUP(C79,Theory!B82:AR150,43,FALSE)</f>
        <v>#N/A</v>
      </c>
      <c r="BA79" s="340" t="e">
        <f>VLOOKUP(C79,Theory!B82:AS150,44,FALSE)</f>
        <v>#N/A</v>
      </c>
      <c r="BB79" s="340" t="e">
        <f>VLOOKUP(C79,Theory!B82:AT150,45,FALSE)</f>
        <v>#N/A</v>
      </c>
      <c r="BC79" s="340" t="e">
        <f>VLOOKUP(C79,Theory!B82:AU150,46,FALSE)</f>
        <v>#N/A</v>
      </c>
      <c r="BD79" s="340" t="e">
        <f>VLOOKUP(C79,Theory!B82:AV150,47,FALSE)</f>
        <v>#N/A</v>
      </c>
      <c r="BE79" s="340" t="e">
        <f>VLOOKUP(C79,Theory!B82:AW150,48,FALSE)</f>
        <v>#N/A</v>
      </c>
      <c r="BF79" s="340" t="e">
        <f>VLOOKUP(C79,Theory!B82:AX150,49,FALSE)</f>
        <v>#N/A</v>
      </c>
      <c r="BG79" s="340" t="e">
        <f>VLOOKUP(C79,Theory!B82:AY150,50,FALSE)</f>
        <v>#N/A</v>
      </c>
      <c r="BH79" s="335" t="e">
        <f t="shared" si="57"/>
        <v>#N/A</v>
      </c>
      <c r="BI79" s="340" t="e">
        <f>VLOOKUP(C79,Theory!B82:AZ150,51,FALSE)</f>
        <v>#N/A</v>
      </c>
      <c r="BJ79" s="340" t="e">
        <f>VLOOKUP(C79,Theory!B82:BA150,52,FALSE)</f>
        <v>#N/A</v>
      </c>
      <c r="BK79" s="340" t="e">
        <f>VLOOKUP(C79,Theory!B82:BB150,53,FALSE)</f>
        <v>#N/A</v>
      </c>
      <c r="BL79" s="340" t="e">
        <f>VLOOKUP(C79,Theory!B82:BC150,54,FALSE)</f>
        <v>#N/A</v>
      </c>
      <c r="BM79" s="340" t="e">
        <f>VLOOKUP(C79,Theory!B82:BD150,55,FALSE)</f>
        <v>#N/A</v>
      </c>
      <c r="BN79" s="340" t="e">
        <f>VLOOKUP(C79,Theory!B82:BE150,56,FALSE)</f>
        <v>#N/A</v>
      </c>
      <c r="BO79" s="340" t="e">
        <f>VLOOKUP(C79,Theory!B82:BF150,57,FALSE)</f>
        <v>#N/A</v>
      </c>
      <c r="BP79" s="340" t="e">
        <f>VLOOKUP(C79,Theory!B82:BG150,58,FALSE)</f>
        <v>#N/A</v>
      </c>
      <c r="BQ79" s="335" t="e">
        <f t="shared" si="58"/>
        <v>#N/A</v>
      </c>
      <c r="BR79" s="340" t="e">
        <f>VLOOKUP(C79,Theory!B82:BH150,59,FALSE)</f>
        <v>#N/A</v>
      </c>
      <c r="BS79" s="340" t="e">
        <f>VLOOKUP(C79,Theory!B82:BI150,60,FALSE)</f>
        <v>#N/A</v>
      </c>
      <c r="BT79" s="340" t="e">
        <f>VLOOKUP(C79,Theory!B82:BJ150,61,FALSE)</f>
        <v>#N/A</v>
      </c>
      <c r="BU79" s="340" t="e">
        <f>VLOOKUP(C79,Theory!B82:BK150,62,FALSE)</f>
        <v>#N/A</v>
      </c>
      <c r="BV79" s="340" t="e">
        <f>VLOOKUP(C79,Theory!B82:BL150,63,FALSE)</f>
        <v>#N/A</v>
      </c>
      <c r="BW79" s="340" t="e">
        <f>VLOOKUP(C79,Theory!B82:BM150,64,FALSE)</f>
        <v>#N/A</v>
      </c>
      <c r="BX79" s="340" t="e">
        <f>VLOOKUP(C79,Theory!B82:BN150,65,FALSE)</f>
        <v>#N/A</v>
      </c>
      <c r="BY79" s="340" t="e">
        <f>VLOOKUP(C79,Theory!B82:BO150,66,FALSE)</f>
        <v>#N/A</v>
      </c>
      <c r="BZ79" s="335" t="e">
        <f t="shared" si="59"/>
        <v>#N/A</v>
      </c>
      <c r="CA79" s="333" t="e">
        <f t="shared" si="47"/>
        <v>#N/A</v>
      </c>
      <c r="CB79" s="340" t="e">
        <f>VLOOKUP(C79,Theory!B82:BP150,67,FALSE)</f>
        <v>#N/A</v>
      </c>
      <c r="CC79" s="340" t="e">
        <f>VLOOKUP(C79,Theory!B82:BQ150,68,FALSE)</f>
        <v>#N/A</v>
      </c>
      <c r="CD79" s="340" t="e">
        <f>VLOOKUP(C79,Theory!B82:BR150,69,FALSE)</f>
        <v>#N/A</v>
      </c>
      <c r="CE79" s="340" t="e">
        <f>VLOOKUP(C79,Theory!B82:BS150,70,FALSE)</f>
        <v>#N/A</v>
      </c>
      <c r="CF79" s="335" t="e">
        <f t="shared" ref="CF79:CF83" si="69">SUM(CB79:CE79)</f>
        <v>#N/A</v>
      </c>
      <c r="CG79" s="341" t="e">
        <f>VLOOKUP(C79,Theory!B82:BT150,71,FALSE)</f>
        <v>#N/A</v>
      </c>
      <c r="CH79" s="341" t="e">
        <f>VLOOKUP(C79,Theory!B82:BU150,72,FALSE)</f>
        <v>#N/A</v>
      </c>
      <c r="CI79" s="341" t="e">
        <f>VLOOKUP(C79,Theory!B82:BV150,73,FALSE)</f>
        <v>#N/A</v>
      </c>
      <c r="CJ79" s="341" t="e">
        <f>VLOOKUP(C79,Theory!B82:BW150,74,FALSE)</f>
        <v>#N/A</v>
      </c>
      <c r="CK79" s="335" t="e">
        <f t="shared" si="60"/>
        <v>#N/A</v>
      </c>
      <c r="CL79" s="340" t="e">
        <f>VLOOKUP(C79,Theory!B82:BX150,75,FALSE)</f>
        <v>#N/A</v>
      </c>
      <c r="CM79" s="342" t="e">
        <f>VLOOKUP(C79,Theory!B82:BY150,76,FALSE)</f>
        <v>#N/A</v>
      </c>
      <c r="CN79" s="342" t="e">
        <f>VLOOKUP(C79,Theory!B82:BZ150,77,FALSE)</f>
        <v>#N/A</v>
      </c>
      <c r="CO79" s="342" t="e">
        <f>VLOOKUP(C79,Theory!B82:CA150,78,FALSE)</f>
        <v>#N/A</v>
      </c>
      <c r="CP79" s="340" t="e">
        <f>VLOOKUP(C79,Theory!B82:CB150,79,FALSE)</f>
        <v>#N/A</v>
      </c>
      <c r="CQ79" s="340" t="e">
        <f>VLOOKUP(C79,Theory!B82:CC150,80,FALSE)</f>
        <v>#N/A</v>
      </c>
      <c r="CR79" s="340" t="e">
        <f>VLOOKUP(C79,Theory!B82:CD150,81,FALSE)</f>
        <v>#N/A</v>
      </c>
      <c r="CS79" s="340" t="e">
        <f>VLOOKUP(C79,Theory!B82:CE150,82,FALSE)</f>
        <v>#N/A</v>
      </c>
      <c r="CT79" s="335" t="e">
        <f t="shared" si="61"/>
        <v>#N/A</v>
      </c>
      <c r="CU79" s="341" t="e">
        <f>VLOOKUP(C79,Theory!B82:CF150,83,FALSE)</f>
        <v>#N/A</v>
      </c>
      <c r="CV79" s="342" t="e">
        <f>VLOOKUP(C79,Theory!B82:CG150,84,FALSE)</f>
        <v>#N/A</v>
      </c>
      <c r="CW79" s="342" t="e">
        <f>VLOOKUP(C79,Theory!B82:CH150,85,FALSE)</f>
        <v>#N/A</v>
      </c>
      <c r="CX79" s="342" t="e">
        <f>VLOOKUP(C79,Theory!B82:CI150,86,FALSE)</f>
        <v>#N/A</v>
      </c>
      <c r="CY79" s="341" t="e">
        <f>VLOOKUP(C79,Theory!B82:CJ150,87,FALSE)</f>
        <v>#N/A</v>
      </c>
      <c r="CZ79" s="341" t="e">
        <f>VLOOKUP(C79,Theory!B82:CK150,88,FALSE)</f>
        <v>#N/A</v>
      </c>
      <c r="DA79" s="341" t="e">
        <f>VLOOKUP(C79,Theory!B82:CL150,89,FALSE)</f>
        <v>#N/A</v>
      </c>
      <c r="DB79" s="341" t="e">
        <f>VLOOKUP(C79,Theory!B82:CM150,90,FALSE)</f>
        <v>#N/A</v>
      </c>
      <c r="DC79" s="335" t="e">
        <f t="shared" si="62"/>
        <v>#N/A</v>
      </c>
      <c r="DD79" s="340" t="e">
        <f>VLOOKUP(C79,Theory!B82:CN150,91,FALSE)</f>
        <v>#N/A</v>
      </c>
      <c r="DE79" s="342" t="e">
        <f>VLOOKUP(C79,Theory!B82:CO150,92,FALSE)</f>
        <v>#N/A</v>
      </c>
      <c r="DF79" s="342" t="e">
        <f>VLOOKUP(C79,Theory!B82:CP150,93,FALSE)</f>
        <v>#N/A</v>
      </c>
      <c r="DG79" s="342" t="e">
        <f>VLOOKUP(C79,Theory!B82:CQ150,94,FALSE)</f>
        <v>#N/A</v>
      </c>
      <c r="DH79" s="340" t="e">
        <f>VLOOKUP(C79,Theory!B82:CR150,95,FALSE)</f>
        <v>#N/A</v>
      </c>
      <c r="DI79" s="340" t="e">
        <f>VLOOKUP(C79,Theory!B82:CS150,96,FALSE)</f>
        <v>#N/A</v>
      </c>
      <c r="DJ79" s="340" t="e">
        <f>VLOOKUP(C79,Theory!B82:CT150,97,FALSE)</f>
        <v>#N/A</v>
      </c>
      <c r="DK79" s="340" t="e">
        <f>VLOOKUP(C79,Theory!B82:CU150,98,FALSE)</f>
        <v>#N/A</v>
      </c>
      <c r="DL79" s="335" t="e">
        <f t="shared" si="63"/>
        <v>#N/A</v>
      </c>
      <c r="DM79" s="265" t="e">
        <f t="shared" si="48"/>
        <v>#N/A</v>
      </c>
      <c r="DN79" s="362" t="e">
        <f t="shared" si="40"/>
        <v>#N/A</v>
      </c>
      <c r="DO79" s="362" t="e">
        <f t="shared" si="41"/>
        <v>#N/A</v>
      </c>
      <c r="DP79" s="362" t="e">
        <f t="shared" si="42"/>
        <v>#N/A</v>
      </c>
      <c r="DQ79" s="343" t="e">
        <f t="shared" si="43"/>
        <v>#N/A</v>
      </c>
      <c r="DR79" s="343" t="e">
        <f t="shared" si="44"/>
        <v>#N/A</v>
      </c>
      <c r="DS79" s="343" t="e">
        <f t="shared" si="45"/>
        <v>#N/A</v>
      </c>
      <c r="DT79" s="328" t="e">
        <f t="shared" ref="DT79:DT83" si="70">ROUND(AVERAGE(DQ79:DS79),0)</f>
        <v>#N/A</v>
      </c>
      <c r="DU79" s="326" t="e">
        <f>VLOOKUP(C79,Theory!B82:CV150,99,FALSE)</f>
        <v>#N/A</v>
      </c>
      <c r="DV79" s="326" t="e">
        <f>VLOOKUP(C79,Theory!B82:CW150,100,FALSE)</f>
        <v>#N/A</v>
      </c>
      <c r="DW79" s="331" t="e">
        <f t="shared" si="64"/>
        <v>#N/A</v>
      </c>
      <c r="DX79" s="266" t="e">
        <f t="shared" si="49"/>
        <v>#N/A</v>
      </c>
      <c r="DY79" s="363" t="e">
        <f t="shared" si="65"/>
        <v>#N/A</v>
      </c>
      <c r="DZ79" s="344">
        <f>VLOOKUP(C79,Lab!B74:D143,3,FALSE)</f>
        <v>0</v>
      </c>
      <c r="EA79" s="345">
        <f>VLOOKUP(C79,Lab!B74:E143,4,FALSE)</f>
        <v>0</v>
      </c>
      <c r="EB79" s="345">
        <f>VLOOKUP(C79,Lab!B74:F143,5,FALSE)</f>
        <v>0</v>
      </c>
      <c r="EC79" s="329">
        <f t="shared" ref="EC79:EC83" si="71">SUM(DZ79:EB79)</f>
        <v>0</v>
      </c>
      <c r="ED79" s="346">
        <f>VLOOKUP(C79,Lab!B74:G143,6,FALSE)</f>
        <v>0</v>
      </c>
      <c r="EE79" s="346">
        <f>VLOOKUP(C79,Lab!B74:H143,7,FALSE)</f>
        <v>0</v>
      </c>
      <c r="EF79" s="347">
        <f>VLOOKUP(C79,Lab!B74:I143,8,FALSE)</f>
        <v>0</v>
      </c>
      <c r="EG79" s="330">
        <f t="shared" ref="EG79:EG83" si="72">SUM(ED79:EF79)</f>
        <v>0</v>
      </c>
      <c r="EH79" s="390">
        <f t="shared" si="66"/>
        <v>0</v>
      </c>
      <c r="EI79" s="349">
        <f t="shared" si="67"/>
        <v>0</v>
      </c>
      <c r="EJ79" s="391" t="e">
        <f t="shared" si="50"/>
        <v>#N/A</v>
      </c>
      <c r="EK79" s="258">
        <v>0</v>
      </c>
      <c r="EL79" s="320"/>
      <c r="EM79" s="350" t="e">
        <f>VLOOKUP(C79,Theory!B82:DL150,114,FALSE)</f>
        <v>#N/A</v>
      </c>
      <c r="EN79" s="350" t="e">
        <f>VLOOKUP(C79,Theory!B82:DM150,115,FALSE)</f>
        <v>#N/A</v>
      </c>
      <c r="EO79" s="350" t="e">
        <f>VLOOKUP(C79,Theory!B82:DN150,116,FALSE)</f>
        <v>#N/A</v>
      </c>
      <c r="EP79" s="350" t="e">
        <f>VLOOKUP(C79,Theory!B82:DO148,117,FALSE)</f>
        <v>#N/A</v>
      </c>
      <c r="EQ79" s="350" t="e">
        <f>VLOOKUP(C79,Theory!B82:DP148,118,FALSE)</f>
        <v>#N/A</v>
      </c>
      <c r="ER79" s="351" t="e">
        <f>VLOOKUP(C79,Theory!B82:DQ148,119,FALSE)</f>
        <v>#N/A</v>
      </c>
      <c r="ES79" s="327" t="e">
        <f>VLOOKUP(C79,Theory!B82:DR148,120,FALSE)</f>
        <v>#N/A</v>
      </c>
      <c r="ET79" s="348" t="e">
        <f t="shared" ref="ET79:ET83" si="73">SUM(ER79:ES79)</f>
        <v>#N/A</v>
      </c>
      <c r="EU79" s="355"/>
      <c r="EV79" s="355"/>
      <c r="EW79" s="355"/>
      <c r="EX79" s="355"/>
      <c r="EY79" s="355"/>
      <c r="EZ79" s="355"/>
      <c r="FA79" s="355"/>
      <c r="FB79" s="355"/>
      <c r="FC79" s="355"/>
      <c r="FD79" s="355"/>
    </row>
    <row r="80" spans="1:160" s="246" customFormat="1" ht="16.2" thickBot="1" x14ac:dyDescent="0.35">
      <c r="A80" s="245">
        <v>67</v>
      </c>
      <c r="B80" s="17">
        <f>Theory!C83</f>
        <v>0</v>
      </c>
      <c r="C80" s="16">
        <f>Theory!B83</f>
        <v>0</v>
      </c>
      <c r="D80" s="334" t="e">
        <f>VLOOKUP(C80,Theory!B83:D151,3,FALSE)</f>
        <v>#N/A</v>
      </c>
      <c r="E80" s="334" t="e">
        <f>VLOOKUP(C80,Theory!B83:E151,4,FALSE)</f>
        <v>#N/A</v>
      </c>
      <c r="F80" s="334" t="e">
        <f>VLOOKUP(C80,Theory!B83:F151,5,FALSE)</f>
        <v>#N/A</v>
      </c>
      <c r="G80" s="334" t="e">
        <f>VLOOKUP(C80,Theory!B83:G151,6,FALSE)</f>
        <v>#N/A</v>
      </c>
      <c r="H80" s="335" t="e">
        <f t="shared" si="68"/>
        <v>#N/A</v>
      </c>
      <c r="I80" s="338" t="e">
        <f>VLOOKUP(C80,Theory!B83:H151,7,FALSE)</f>
        <v>#N/A</v>
      </c>
      <c r="J80" s="337" t="e">
        <f>VLOOKUP(C80,Theory!B83:I151,8,FALSE)</f>
        <v>#N/A</v>
      </c>
      <c r="K80" s="337" t="e">
        <f>VLOOKUP(C80,Theory!B83:J151,9,FALSE)</f>
        <v>#N/A</v>
      </c>
      <c r="L80" s="337" t="e">
        <f>VLOOKUP(C80,Theory!B83:K151,10,FALSE)</f>
        <v>#N/A</v>
      </c>
      <c r="M80" s="335" t="e">
        <f t="shared" si="51"/>
        <v>#N/A</v>
      </c>
      <c r="N80" s="336" t="e">
        <f>VLOOKUP(C80,Theory!B83:L151,11,FALSE)</f>
        <v>#N/A</v>
      </c>
      <c r="O80" s="336" t="e">
        <f>VLOOKUP(C80,Theory!B83:M151,12,FALSE)</f>
        <v>#N/A</v>
      </c>
      <c r="P80" s="336" t="e">
        <f>VLOOKUP(C80,Theory!B83:N151,13,FALSE)</f>
        <v>#N/A</v>
      </c>
      <c r="Q80" s="336" t="e">
        <f>VLOOKUP(C80,Theory!B83:O151,14,FALSE)</f>
        <v>#N/A</v>
      </c>
      <c r="R80" s="337" t="e">
        <f>VLOOKUP(C80,Theory!B83:P151,15,FALSE)</f>
        <v>#N/A</v>
      </c>
      <c r="S80" s="337" t="e">
        <f>VLOOKUP(C80,Theory!B83:Q151,16,FALSE)</f>
        <v>#N/A</v>
      </c>
      <c r="T80" s="337" t="e">
        <f>VLOOKUP(C80,Theory!B83:R151,17,FALSE)</f>
        <v>#N/A</v>
      </c>
      <c r="U80" s="337" t="e">
        <f>VLOOKUP(C80,Theory!B83:S151,18,FALSE)</f>
        <v>#N/A</v>
      </c>
      <c r="V80" s="335" t="e">
        <f t="shared" si="52"/>
        <v>#N/A</v>
      </c>
      <c r="W80" s="334" t="e">
        <f>VLOOKUP(C80,Theory!B83:T151,19,FALSE)</f>
        <v>#N/A</v>
      </c>
      <c r="X80" s="334" t="e">
        <f>VLOOKUP(C80,Theory!B83:U151,20,FALSE)</f>
        <v>#N/A</v>
      </c>
      <c r="Y80" s="334" t="e">
        <f>VLOOKUP(C80,Theory!B83:V151,21,FALSE)</f>
        <v>#N/A</v>
      </c>
      <c r="Z80" s="334" t="e">
        <f>VLOOKUP(C80,Theory!B83:W151,22,FALSE)</f>
        <v>#N/A</v>
      </c>
      <c r="AA80" s="338" t="e">
        <f>VLOOKUP(C80,Theory!B83:X151,23,FALSE)</f>
        <v>#N/A</v>
      </c>
      <c r="AB80" s="338" t="e">
        <f>VLOOKUP(C80,Theory!B83:Y151,24,FALSE)</f>
        <v>#N/A</v>
      </c>
      <c r="AC80" s="338" t="e">
        <f>VLOOKUP(C80,Theory!B83:Z151,25,FALSE)</f>
        <v>#N/A</v>
      </c>
      <c r="AD80" s="338" t="e">
        <f>VLOOKUP(C80,Theory!B83:AA151,26,FALSE)</f>
        <v>#N/A</v>
      </c>
      <c r="AE80" s="335" t="e">
        <f t="shared" si="53"/>
        <v>#N/A</v>
      </c>
      <c r="AF80" s="334" t="e">
        <f>VLOOKUP(C80,Theory!B83:AB151,27,FALSE)</f>
        <v>#N/A</v>
      </c>
      <c r="AG80" s="334" t="e">
        <f>VLOOKUP(C80,Theory!B83:AC151,28,FALSE)</f>
        <v>#N/A</v>
      </c>
      <c r="AH80" s="334" t="e">
        <f>VLOOKUP(C80,Theory!B83:AD151,29,FALSE)</f>
        <v>#N/A</v>
      </c>
      <c r="AI80" s="334" t="e">
        <f>VLOOKUP(C80,Theory!B83:AE151,30,FALSE)</f>
        <v>#N/A</v>
      </c>
      <c r="AJ80" s="339" t="e">
        <f>VLOOKUP(C80,Theory!B83:AF151,31,FALSE)</f>
        <v>#N/A</v>
      </c>
      <c r="AK80" s="339" t="e">
        <f>VLOOKUP(C80,Theory!B83:AG151,32,FALSE)</f>
        <v>#N/A</v>
      </c>
      <c r="AL80" s="339" t="e">
        <f>VLOOKUP(C80,Theory!B83:AH151,33,FALSE)</f>
        <v>#N/A</v>
      </c>
      <c r="AM80" s="339" t="e">
        <f>VLOOKUP(C80,Theory!B83:AI151,34,FALSE)</f>
        <v>#N/A</v>
      </c>
      <c r="AN80" s="335" t="e">
        <f t="shared" si="54"/>
        <v>#N/A</v>
      </c>
      <c r="AO80" s="333" t="e">
        <f t="shared" si="46"/>
        <v>#N/A</v>
      </c>
      <c r="AP80" s="340" t="e">
        <f>VLOOKUP(C80,Theory!B83:AJ151,35,FALSE)</f>
        <v>#N/A</v>
      </c>
      <c r="AQ80" s="340" t="e">
        <f>VLOOKUP(C80,Theory!B83:AK151,36,FALSE)</f>
        <v>#N/A</v>
      </c>
      <c r="AR80" s="340" t="e">
        <f>VLOOKUP(C80,Theory!B83:AL151,37,FALSE)</f>
        <v>#N/A</v>
      </c>
      <c r="AS80" s="340" t="e">
        <f>VLOOKUP(C80,Theory!B83:AM151,38,FALSE)</f>
        <v>#N/A</v>
      </c>
      <c r="AT80" s="335" t="e">
        <f t="shared" si="55"/>
        <v>#N/A</v>
      </c>
      <c r="AU80" s="340" t="e">
        <f>VLOOKUP(C80,Theory!B83:AN151,39,FALSE)</f>
        <v>#N/A</v>
      </c>
      <c r="AV80" s="340" t="e">
        <f>VLOOKUP(C80,Theory!B83:AO151,40,FALSE)</f>
        <v>#N/A</v>
      </c>
      <c r="AW80" s="340" t="e">
        <f>VLOOKUP(C80,Theory!B83:AP151,41,FALSE)</f>
        <v>#N/A</v>
      </c>
      <c r="AX80" s="340" t="e">
        <f>VLOOKUP(C80,Theory!B83:AQ151,42,FALSE)</f>
        <v>#N/A</v>
      </c>
      <c r="AY80" s="335" t="e">
        <f t="shared" si="56"/>
        <v>#N/A</v>
      </c>
      <c r="AZ80" s="340" t="e">
        <f>VLOOKUP(C80,Theory!B83:AR151,43,FALSE)</f>
        <v>#N/A</v>
      </c>
      <c r="BA80" s="340" t="e">
        <f>VLOOKUP(C80,Theory!B83:AS151,44,FALSE)</f>
        <v>#N/A</v>
      </c>
      <c r="BB80" s="340" t="e">
        <f>VLOOKUP(C80,Theory!B83:AT151,45,FALSE)</f>
        <v>#N/A</v>
      </c>
      <c r="BC80" s="340" t="e">
        <f>VLOOKUP(C80,Theory!B83:AU151,46,FALSE)</f>
        <v>#N/A</v>
      </c>
      <c r="BD80" s="340" t="e">
        <f>VLOOKUP(C80,Theory!B83:AV151,47,FALSE)</f>
        <v>#N/A</v>
      </c>
      <c r="BE80" s="340" t="e">
        <f>VLOOKUP(C80,Theory!B83:AW151,48,FALSE)</f>
        <v>#N/A</v>
      </c>
      <c r="BF80" s="340" t="e">
        <f>VLOOKUP(C80,Theory!B83:AX151,49,FALSE)</f>
        <v>#N/A</v>
      </c>
      <c r="BG80" s="340" t="e">
        <f>VLOOKUP(C80,Theory!B83:AY151,50,FALSE)</f>
        <v>#N/A</v>
      </c>
      <c r="BH80" s="335" t="e">
        <f t="shared" si="57"/>
        <v>#N/A</v>
      </c>
      <c r="BI80" s="340" t="e">
        <f>VLOOKUP(C80,Theory!B83:AZ151,51,FALSE)</f>
        <v>#N/A</v>
      </c>
      <c r="BJ80" s="340" t="e">
        <f>VLOOKUP(C80,Theory!B83:BA151,52,FALSE)</f>
        <v>#N/A</v>
      </c>
      <c r="BK80" s="340" t="e">
        <f>VLOOKUP(C80,Theory!B83:BB151,53,FALSE)</f>
        <v>#N/A</v>
      </c>
      <c r="BL80" s="340" t="e">
        <f>VLOOKUP(C80,Theory!B83:BC151,54,FALSE)</f>
        <v>#N/A</v>
      </c>
      <c r="BM80" s="340" t="e">
        <f>VLOOKUP(C80,Theory!B83:BD151,55,FALSE)</f>
        <v>#N/A</v>
      </c>
      <c r="BN80" s="340" t="e">
        <f>VLOOKUP(C80,Theory!B83:BE151,56,FALSE)</f>
        <v>#N/A</v>
      </c>
      <c r="BO80" s="340" t="e">
        <f>VLOOKUP(C80,Theory!B83:BF151,57,FALSE)</f>
        <v>#N/A</v>
      </c>
      <c r="BP80" s="340" t="e">
        <f>VLOOKUP(C80,Theory!B83:BG151,58,FALSE)</f>
        <v>#N/A</v>
      </c>
      <c r="BQ80" s="335" t="e">
        <f t="shared" si="58"/>
        <v>#N/A</v>
      </c>
      <c r="BR80" s="340" t="e">
        <f>VLOOKUP(C80,Theory!B83:BH151,59,FALSE)</f>
        <v>#N/A</v>
      </c>
      <c r="BS80" s="340" t="e">
        <f>VLOOKUP(C80,Theory!B83:BI151,60,FALSE)</f>
        <v>#N/A</v>
      </c>
      <c r="BT80" s="340" t="e">
        <f>VLOOKUP(C80,Theory!B83:BJ151,61,FALSE)</f>
        <v>#N/A</v>
      </c>
      <c r="BU80" s="340" t="e">
        <f>VLOOKUP(C80,Theory!B83:BK151,62,FALSE)</f>
        <v>#N/A</v>
      </c>
      <c r="BV80" s="340" t="e">
        <f>VLOOKUP(C80,Theory!B83:BL151,63,FALSE)</f>
        <v>#N/A</v>
      </c>
      <c r="BW80" s="340" t="e">
        <f>VLOOKUP(C80,Theory!B83:BM151,64,FALSE)</f>
        <v>#N/A</v>
      </c>
      <c r="BX80" s="340" t="e">
        <f>VLOOKUP(C80,Theory!B83:BN151,65,FALSE)</f>
        <v>#N/A</v>
      </c>
      <c r="BY80" s="340" t="e">
        <f>VLOOKUP(C80,Theory!B83:BO151,66,FALSE)</f>
        <v>#N/A</v>
      </c>
      <c r="BZ80" s="335" t="e">
        <f t="shared" si="59"/>
        <v>#N/A</v>
      </c>
      <c r="CA80" s="333" t="e">
        <f t="shared" si="47"/>
        <v>#N/A</v>
      </c>
      <c r="CB80" s="340" t="e">
        <f>VLOOKUP(C80,Theory!B83:BP151,67,FALSE)</f>
        <v>#N/A</v>
      </c>
      <c r="CC80" s="340" t="e">
        <f>VLOOKUP(C80,Theory!B83:BQ151,68,FALSE)</f>
        <v>#N/A</v>
      </c>
      <c r="CD80" s="340" t="e">
        <f>VLOOKUP(C80,Theory!B83:BR151,69,FALSE)</f>
        <v>#N/A</v>
      </c>
      <c r="CE80" s="340" t="e">
        <f>VLOOKUP(C80,Theory!B83:BS151,70,FALSE)</f>
        <v>#N/A</v>
      </c>
      <c r="CF80" s="335" t="e">
        <f t="shared" si="69"/>
        <v>#N/A</v>
      </c>
      <c r="CG80" s="341" t="e">
        <f>VLOOKUP(C80,Theory!B83:BT151,71,FALSE)</f>
        <v>#N/A</v>
      </c>
      <c r="CH80" s="341" t="e">
        <f>VLOOKUP(C80,Theory!B83:BU151,72,FALSE)</f>
        <v>#N/A</v>
      </c>
      <c r="CI80" s="341" t="e">
        <f>VLOOKUP(C80,Theory!B83:BV151,73,FALSE)</f>
        <v>#N/A</v>
      </c>
      <c r="CJ80" s="341" t="e">
        <f>VLOOKUP(C80,Theory!B83:BW151,74,FALSE)</f>
        <v>#N/A</v>
      </c>
      <c r="CK80" s="335" t="e">
        <f t="shared" si="60"/>
        <v>#N/A</v>
      </c>
      <c r="CL80" s="340" t="e">
        <f>VLOOKUP(C80,Theory!B83:BX151,75,FALSE)</f>
        <v>#N/A</v>
      </c>
      <c r="CM80" s="342" t="e">
        <f>VLOOKUP(C80,Theory!B83:BY151,76,FALSE)</f>
        <v>#N/A</v>
      </c>
      <c r="CN80" s="342" t="e">
        <f>VLOOKUP(C80,Theory!B83:BZ151,77,FALSE)</f>
        <v>#N/A</v>
      </c>
      <c r="CO80" s="342" t="e">
        <f>VLOOKUP(C80,Theory!B83:CA151,78,FALSE)</f>
        <v>#N/A</v>
      </c>
      <c r="CP80" s="340" t="e">
        <f>VLOOKUP(C80,Theory!B83:CB151,79,FALSE)</f>
        <v>#N/A</v>
      </c>
      <c r="CQ80" s="340" t="e">
        <f>VLOOKUP(C80,Theory!B83:CC151,80,FALSE)</f>
        <v>#N/A</v>
      </c>
      <c r="CR80" s="340" t="e">
        <f>VLOOKUP(C80,Theory!B83:CD151,81,FALSE)</f>
        <v>#N/A</v>
      </c>
      <c r="CS80" s="340" t="e">
        <f>VLOOKUP(C80,Theory!B83:CE151,82,FALSE)</f>
        <v>#N/A</v>
      </c>
      <c r="CT80" s="335" t="e">
        <f t="shared" si="61"/>
        <v>#N/A</v>
      </c>
      <c r="CU80" s="341" t="e">
        <f>VLOOKUP(C80,Theory!B83:CF151,83,FALSE)</f>
        <v>#N/A</v>
      </c>
      <c r="CV80" s="342" t="e">
        <f>VLOOKUP(C80,Theory!B83:CG151,84,FALSE)</f>
        <v>#N/A</v>
      </c>
      <c r="CW80" s="342" t="e">
        <f>VLOOKUP(C80,Theory!B83:CH151,85,FALSE)</f>
        <v>#N/A</v>
      </c>
      <c r="CX80" s="342" t="e">
        <f>VLOOKUP(C80,Theory!B83:CI151,86,FALSE)</f>
        <v>#N/A</v>
      </c>
      <c r="CY80" s="341" t="e">
        <f>VLOOKUP(C80,Theory!B83:CJ151,87,FALSE)</f>
        <v>#N/A</v>
      </c>
      <c r="CZ80" s="341" t="e">
        <f>VLOOKUP(C80,Theory!B83:CK151,88,FALSE)</f>
        <v>#N/A</v>
      </c>
      <c r="DA80" s="341" t="e">
        <f>VLOOKUP(C80,Theory!B83:CL151,89,FALSE)</f>
        <v>#N/A</v>
      </c>
      <c r="DB80" s="341" t="e">
        <f>VLOOKUP(C80,Theory!B83:CM151,90,FALSE)</f>
        <v>#N/A</v>
      </c>
      <c r="DC80" s="335" t="e">
        <f t="shared" si="62"/>
        <v>#N/A</v>
      </c>
      <c r="DD80" s="340" t="e">
        <f>VLOOKUP(C80,Theory!B83:CN151,91,FALSE)</f>
        <v>#N/A</v>
      </c>
      <c r="DE80" s="342" t="e">
        <f>VLOOKUP(C80,Theory!B83:CO151,92,FALSE)</f>
        <v>#N/A</v>
      </c>
      <c r="DF80" s="342" t="e">
        <f>VLOOKUP(C80,Theory!B83:CP151,93,FALSE)</f>
        <v>#N/A</v>
      </c>
      <c r="DG80" s="342" t="e">
        <f>VLOOKUP(C80,Theory!B83:CQ151,94,FALSE)</f>
        <v>#N/A</v>
      </c>
      <c r="DH80" s="340" t="e">
        <f>VLOOKUP(C80,Theory!B83:CR151,95,FALSE)</f>
        <v>#N/A</v>
      </c>
      <c r="DI80" s="340" t="e">
        <f>VLOOKUP(C80,Theory!B83:CS151,96,FALSE)</f>
        <v>#N/A</v>
      </c>
      <c r="DJ80" s="340" t="e">
        <f>VLOOKUP(C80,Theory!B83:CT151,97,FALSE)</f>
        <v>#N/A</v>
      </c>
      <c r="DK80" s="340" t="e">
        <f>VLOOKUP(C80,Theory!B83:CU151,98,FALSE)</f>
        <v>#N/A</v>
      </c>
      <c r="DL80" s="335" t="e">
        <f t="shared" si="63"/>
        <v>#N/A</v>
      </c>
      <c r="DM80" s="265" t="e">
        <f t="shared" si="48"/>
        <v>#N/A</v>
      </c>
      <c r="DN80" s="362" t="e">
        <f t="shared" si="40"/>
        <v>#N/A</v>
      </c>
      <c r="DO80" s="362" t="e">
        <f t="shared" si="41"/>
        <v>#N/A</v>
      </c>
      <c r="DP80" s="362" t="e">
        <f t="shared" si="42"/>
        <v>#N/A</v>
      </c>
      <c r="DQ80" s="343" t="e">
        <f t="shared" si="43"/>
        <v>#N/A</v>
      </c>
      <c r="DR80" s="343" t="e">
        <f t="shared" si="44"/>
        <v>#N/A</v>
      </c>
      <c r="DS80" s="343" t="e">
        <f t="shared" si="45"/>
        <v>#N/A</v>
      </c>
      <c r="DT80" s="328" t="e">
        <f t="shared" si="70"/>
        <v>#N/A</v>
      </c>
      <c r="DU80" s="326" t="e">
        <f>VLOOKUP(C80,Theory!B83:CV151,99,FALSE)</f>
        <v>#N/A</v>
      </c>
      <c r="DV80" s="326" t="e">
        <f>VLOOKUP(C80,Theory!B83:CW151,100,FALSE)</f>
        <v>#N/A</v>
      </c>
      <c r="DW80" s="331" t="e">
        <f t="shared" si="64"/>
        <v>#N/A</v>
      </c>
      <c r="DX80" s="266" t="e">
        <f t="shared" si="49"/>
        <v>#N/A</v>
      </c>
      <c r="DY80" s="363" t="e">
        <f t="shared" si="65"/>
        <v>#N/A</v>
      </c>
      <c r="DZ80" s="344">
        <f>VLOOKUP(C80,Lab!B75:D144,3,FALSE)</f>
        <v>0</v>
      </c>
      <c r="EA80" s="345">
        <f>VLOOKUP(C80,Lab!B75:E144,4,FALSE)</f>
        <v>0</v>
      </c>
      <c r="EB80" s="345">
        <f>VLOOKUP(C80,Lab!B75:F144,5,FALSE)</f>
        <v>0</v>
      </c>
      <c r="EC80" s="329">
        <f t="shared" si="71"/>
        <v>0</v>
      </c>
      <c r="ED80" s="346">
        <f>VLOOKUP(C80,Lab!B75:G144,6,FALSE)</f>
        <v>0</v>
      </c>
      <c r="EE80" s="346">
        <f>VLOOKUP(C80,Lab!B75:H144,7,FALSE)</f>
        <v>0</v>
      </c>
      <c r="EF80" s="347">
        <f>VLOOKUP(C80,Lab!B75:I144,8,FALSE)</f>
        <v>0</v>
      </c>
      <c r="EG80" s="330">
        <f t="shared" si="72"/>
        <v>0</v>
      </c>
      <c r="EH80" s="390">
        <f t="shared" si="66"/>
        <v>0</v>
      </c>
      <c r="EI80" s="349">
        <f t="shared" si="67"/>
        <v>0</v>
      </c>
      <c r="EJ80" s="391" t="e">
        <f t="shared" si="50"/>
        <v>#N/A</v>
      </c>
      <c r="EK80" s="258">
        <v>0</v>
      </c>
      <c r="EL80" s="320"/>
      <c r="EM80" s="350" t="e">
        <f>VLOOKUP(C80,Theory!B83:DL151,114,FALSE)</f>
        <v>#N/A</v>
      </c>
      <c r="EN80" s="350" t="e">
        <f>VLOOKUP(C80,Theory!B83:DM151,115,FALSE)</f>
        <v>#N/A</v>
      </c>
      <c r="EO80" s="350" t="e">
        <f>VLOOKUP(C80,Theory!B83:DN151,116,FALSE)</f>
        <v>#N/A</v>
      </c>
      <c r="EP80" s="350" t="e">
        <f>VLOOKUP(C80,Theory!B83:DO149,117,FALSE)</f>
        <v>#N/A</v>
      </c>
      <c r="EQ80" s="350" t="e">
        <f>VLOOKUP(C80,Theory!B83:DP149,118,FALSE)</f>
        <v>#N/A</v>
      </c>
      <c r="ER80" s="351" t="e">
        <f>VLOOKUP(C80,Theory!B83:DQ149,119,FALSE)</f>
        <v>#N/A</v>
      </c>
      <c r="ES80" s="327" t="e">
        <f>VLOOKUP(C80,Theory!B83:DR149,120,FALSE)</f>
        <v>#N/A</v>
      </c>
      <c r="ET80" s="348" t="e">
        <f t="shared" si="73"/>
        <v>#N/A</v>
      </c>
      <c r="EU80" s="355"/>
      <c r="EV80" s="355"/>
      <c r="EW80" s="355"/>
      <c r="EX80" s="355"/>
      <c r="EY80" s="355"/>
      <c r="EZ80" s="355"/>
      <c r="FA80" s="355"/>
      <c r="FB80" s="355"/>
      <c r="FC80" s="355"/>
      <c r="FD80" s="355"/>
    </row>
    <row r="81" spans="1:160" s="246" customFormat="1" ht="16.2" thickBot="1" x14ac:dyDescent="0.35">
      <c r="A81" s="245">
        <v>68</v>
      </c>
      <c r="B81" s="17" t="e">
        <f>Theory!#REF!</f>
        <v>#REF!</v>
      </c>
      <c r="C81" s="16" t="e">
        <f>Theory!#REF!</f>
        <v>#REF!</v>
      </c>
      <c r="D81" s="334" t="e">
        <f>VLOOKUP(C81,Theory!B84:D152,3,FALSE)</f>
        <v>#REF!</v>
      </c>
      <c r="E81" s="334" t="e">
        <f>VLOOKUP(C81,Theory!B84:E152,4,FALSE)</f>
        <v>#REF!</v>
      </c>
      <c r="F81" s="334" t="e">
        <f>VLOOKUP(C81,Theory!B84:F152,5,FALSE)</f>
        <v>#REF!</v>
      </c>
      <c r="G81" s="334" t="e">
        <f>VLOOKUP(C81,Theory!B84:G152,6,FALSE)</f>
        <v>#REF!</v>
      </c>
      <c r="H81" s="335" t="e">
        <f t="shared" si="68"/>
        <v>#REF!</v>
      </c>
      <c r="I81" s="338" t="e">
        <f>VLOOKUP(C81,Theory!B84:H152,7,FALSE)</f>
        <v>#REF!</v>
      </c>
      <c r="J81" s="337" t="e">
        <f>VLOOKUP(C81,Theory!B84:I152,8,FALSE)</f>
        <v>#REF!</v>
      </c>
      <c r="K81" s="337" t="e">
        <f>VLOOKUP(C81,Theory!B84:J152,9,FALSE)</f>
        <v>#REF!</v>
      </c>
      <c r="L81" s="337" t="e">
        <f>VLOOKUP(C81,Theory!B84:K152,10,FALSE)</f>
        <v>#REF!</v>
      </c>
      <c r="M81" s="335" t="e">
        <f t="shared" si="51"/>
        <v>#REF!</v>
      </c>
      <c r="N81" s="336" t="e">
        <f>VLOOKUP(C81,Theory!B84:L152,11,FALSE)</f>
        <v>#REF!</v>
      </c>
      <c r="O81" s="336" t="e">
        <f>VLOOKUP(C81,Theory!B84:M152,12,FALSE)</f>
        <v>#REF!</v>
      </c>
      <c r="P81" s="336" t="e">
        <f>VLOOKUP(C81,Theory!B84:N152,13,FALSE)</f>
        <v>#REF!</v>
      </c>
      <c r="Q81" s="336" t="e">
        <f>VLOOKUP(C81,Theory!B84:O152,14,FALSE)</f>
        <v>#REF!</v>
      </c>
      <c r="R81" s="337" t="e">
        <f>VLOOKUP(C81,Theory!B84:P152,15,FALSE)</f>
        <v>#REF!</v>
      </c>
      <c r="S81" s="337" t="e">
        <f>VLOOKUP(C81,Theory!B84:Q152,16,FALSE)</f>
        <v>#REF!</v>
      </c>
      <c r="T81" s="337" t="e">
        <f>VLOOKUP(C81,Theory!B84:R152,17,FALSE)</f>
        <v>#REF!</v>
      </c>
      <c r="U81" s="337" t="e">
        <f>VLOOKUP(C81,Theory!B84:S152,18,FALSE)</f>
        <v>#REF!</v>
      </c>
      <c r="V81" s="335" t="e">
        <f t="shared" si="52"/>
        <v>#REF!</v>
      </c>
      <c r="W81" s="334" t="e">
        <f>VLOOKUP(C81,Theory!B84:T152,19,FALSE)</f>
        <v>#REF!</v>
      </c>
      <c r="X81" s="334" t="e">
        <f>VLOOKUP(C81,Theory!B84:U152,20,FALSE)</f>
        <v>#REF!</v>
      </c>
      <c r="Y81" s="334" t="e">
        <f>VLOOKUP(C81,Theory!B84:V152,21,FALSE)</f>
        <v>#REF!</v>
      </c>
      <c r="Z81" s="334" t="e">
        <f>VLOOKUP(C81,Theory!B84:W152,22,FALSE)</f>
        <v>#REF!</v>
      </c>
      <c r="AA81" s="338" t="e">
        <f>VLOOKUP(C81,Theory!B84:X152,23,FALSE)</f>
        <v>#REF!</v>
      </c>
      <c r="AB81" s="338" t="e">
        <f>VLOOKUP(C81,Theory!B84:Y152,24,FALSE)</f>
        <v>#REF!</v>
      </c>
      <c r="AC81" s="338" t="e">
        <f>VLOOKUP(C81,Theory!B84:Z152,25,FALSE)</f>
        <v>#REF!</v>
      </c>
      <c r="AD81" s="338" t="e">
        <f>VLOOKUP(C81,Theory!B84:AA152,26,FALSE)</f>
        <v>#REF!</v>
      </c>
      <c r="AE81" s="335" t="e">
        <f t="shared" si="53"/>
        <v>#REF!</v>
      </c>
      <c r="AF81" s="334" t="e">
        <f>VLOOKUP(C81,Theory!B84:AB152,27,FALSE)</f>
        <v>#REF!</v>
      </c>
      <c r="AG81" s="334" t="e">
        <f>VLOOKUP(C81,Theory!B84:AC152,28,FALSE)</f>
        <v>#REF!</v>
      </c>
      <c r="AH81" s="334" t="e">
        <f>VLOOKUP(C81,Theory!B84:AD152,29,FALSE)</f>
        <v>#REF!</v>
      </c>
      <c r="AI81" s="334" t="e">
        <f>VLOOKUP(C81,Theory!B84:AE152,30,FALSE)</f>
        <v>#REF!</v>
      </c>
      <c r="AJ81" s="339" t="e">
        <f>VLOOKUP(C81,Theory!B84:AF152,31,FALSE)</f>
        <v>#REF!</v>
      </c>
      <c r="AK81" s="339" t="e">
        <f>VLOOKUP(C81,Theory!B84:AG152,32,FALSE)</f>
        <v>#REF!</v>
      </c>
      <c r="AL81" s="339" t="e">
        <f>VLOOKUP(C81,Theory!B84:AH152,33,FALSE)</f>
        <v>#REF!</v>
      </c>
      <c r="AM81" s="339" t="e">
        <f>VLOOKUP(C81,Theory!B84:AI152,34,FALSE)</f>
        <v>#REF!</v>
      </c>
      <c r="AN81" s="335" t="e">
        <f t="shared" si="54"/>
        <v>#REF!</v>
      </c>
      <c r="AO81" s="333" t="e">
        <f t="shared" si="46"/>
        <v>#REF!</v>
      </c>
      <c r="AP81" s="340" t="e">
        <f>VLOOKUP(C81,Theory!B84:AJ152,35,FALSE)</f>
        <v>#REF!</v>
      </c>
      <c r="AQ81" s="340" t="e">
        <f>VLOOKUP(C81,Theory!B84:AK152,36,FALSE)</f>
        <v>#REF!</v>
      </c>
      <c r="AR81" s="340" t="e">
        <f>VLOOKUP(C81,Theory!B84:AL152,37,FALSE)</f>
        <v>#REF!</v>
      </c>
      <c r="AS81" s="340" t="e">
        <f>VLOOKUP(C81,Theory!B84:AM152,38,FALSE)</f>
        <v>#REF!</v>
      </c>
      <c r="AT81" s="335" t="e">
        <f t="shared" si="55"/>
        <v>#REF!</v>
      </c>
      <c r="AU81" s="340" t="e">
        <f>VLOOKUP(C81,Theory!B84:AN152,39,FALSE)</f>
        <v>#REF!</v>
      </c>
      <c r="AV81" s="340" t="e">
        <f>VLOOKUP(C81,Theory!B84:AO152,40,FALSE)</f>
        <v>#REF!</v>
      </c>
      <c r="AW81" s="340" t="e">
        <f>VLOOKUP(C81,Theory!B84:AP152,41,FALSE)</f>
        <v>#REF!</v>
      </c>
      <c r="AX81" s="340" t="e">
        <f>VLOOKUP(C81,Theory!B84:AQ152,42,FALSE)</f>
        <v>#REF!</v>
      </c>
      <c r="AY81" s="335" t="e">
        <f t="shared" si="56"/>
        <v>#REF!</v>
      </c>
      <c r="AZ81" s="340" t="e">
        <f>VLOOKUP(C81,Theory!B84:AR152,43,FALSE)</f>
        <v>#REF!</v>
      </c>
      <c r="BA81" s="340" t="e">
        <f>VLOOKUP(C81,Theory!B84:AS152,44,FALSE)</f>
        <v>#REF!</v>
      </c>
      <c r="BB81" s="340" t="e">
        <f>VLOOKUP(C81,Theory!B84:AT152,45,FALSE)</f>
        <v>#REF!</v>
      </c>
      <c r="BC81" s="340" t="e">
        <f>VLOOKUP(C81,Theory!B84:AU152,46,FALSE)</f>
        <v>#REF!</v>
      </c>
      <c r="BD81" s="340" t="e">
        <f>VLOOKUP(C81,Theory!B84:AV152,47,FALSE)</f>
        <v>#REF!</v>
      </c>
      <c r="BE81" s="340" t="e">
        <f>VLOOKUP(C81,Theory!B84:AW152,48,FALSE)</f>
        <v>#REF!</v>
      </c>
      <c r="BF81" s="340" t="e">
        <f>VLOOKUP(C81,Theory!B84:AX152,49,FALSE)</f>
        <v>#REF!</v>
      </c>
      <c r="BG81" s="340" t="e">
        <f>VLOOKUP(C81,Theory!B84:AY152,50,FALSE)</f>
        <v>#REF!</v>
      </c>
      <c r="BH81" s="335" t="e">
        <f t="shared" si="57"/>
        <v>#REF!</v>
      </c>
      <c r="BI81" s="340" t="e">
        <f>VLOOKUP(C81,Theory!B84:AZ152,51,FALSE)</f>
        <v>#REF!</v>
      </c>
      <c r="BJ81" s="340" t="e">
        <f>VLOOKUP(C81,Theory!B84:BA152,52,FALSE)</f>
        <v>#REF!</v>
      </c>
      <c r="BK81" s="340" t="e">
        <f>VLOOKUP(C81,Theory!B84:BB152,53,FALSE)</f>
        <v>#REF!</v>
      </c>
      <c r="BL81" s="340" t="e">
        <f>VLOOKUP(C81,Theory!B84:BC152,54,FALSE)</f>
        <v>#REF!</v>
      </c>
      <c r="BM81" s="340" t="e">
        <f>VLOOKUP(C81,Theory!B84:BD152,55,FALSE)</f>
        <v>#REF!</v>
      </c>
      <c r="BN81" s="340" t="e">
        <f>VLOOKUP(C81,Theory!B84:BE152,56,FALSE)</f>
        <v>#REF!</v>
      </c>
      <c r="BO81" s="340" t="e">
        <f>VLOOKUP(C81,Theory!B84:BF152,57,FALSE)</f>
        <v>#REF!</v>
      </c>
      <c r="BP81" s="340" t="e">
        <f>VLOOKUP(C81,Theory!B84:BG152,58,FALSE)</f>
        <v>#REF!</v>
      </c>
      <c r="BQ81" s="335" t="e">
        <f t="shared" si="58"/>
        <v>#REF!</v>
      </c>
      <c r="BR81" s="340" t="e">
        <f>VLOOKUP(C81,Theory!B84:BH152,59,FALSE)</f>
        <v>#REF!</v>
      </c>
      <c r="BS81" s="340" t="e">
        <f>VLOOKUP(C81,Theory!B84:BI152,60,FALSE)</f>
        <v>#REF!</v>
      </c>
      <c r="BT81" s="340" t="e">
        <f>VLOOKUP(C81,Theory!B84:BJ152,61,FALSE)</f>
        <v>#REF!</v>
      </c>
      <c r="BU81" s="340" t="e">
        <f>VLOOKUP(C81,Theory!B84:BK152,62,FALSE)</f>
        <v>#REF!</v>
      </c>
      <c r="BV81" s="340" t="e">
        <f>VLOOKUP(C81,Theory!B84:BL152,63,FALSE)</f>
        <v>#REF!</v>
      </c>
      <c r="BW81" s="340" t="e">
        <f>VLOOKUP(C81,Theory!B84:BM152,64,FALSE)</f>
        <v>#REF!</v>
      </c>
      <c r="BX81" s="340" t="e">
        <f>VLOOKUP(C81,Theory!B84:BN152,65,FALSE)</f>
        <v>#REF!</v>
      </c>
      <c r="BY81" s="340" t="e">
        <f>VLOOKUP(C81,Theory!B84:BO152,66,FALSE)</f>
        <v>#REF!</v>
      </c>
      <c r="BZ81" s="335" t="e">
        <f t="shared" si="59"/>
        <v>#REF!</v>
      </c>
      <c r="CA81" s="333" t="e">
        <f t="shared" si="47"/>
        <v>#REF!</v>
      </c>
      <c r="CB81" s="340" t="e">
        <f>VLOOKUP(C81,Theory!B84:BP152,67,FALSE)</f>
        <v>#REF!</v>
      </c>
      <c r="CC81" s="340" t="e">
        <f>VLOOKUP(C81,Theory!B84:BQ152,68,FALSE)</f>
        <v>#REF!</v>
      </c>
      <c r="CD81" s="340" t="e">
        <f>VLOOKUP(C81,Theory!B84:BR152,69,FALSE)</f>
        <v>#REF!</v>
      </c>
      <c r="CE81" s="340" t="e">
        <f>VLOOKUP(C81,Theory!B84:BS152,70,FALSE)</f>
        <v>#REF!</v>
      </c>
      <c r="CF81" s="335" t="e">
        <f t="shared" si="69"/>
        <v>#REF!</v>
      </c>
      <c r="CG81" s="341" t="e">
        <f>VLOOKUP(C81,Theory!B84:BT152,71,FALSE)</f>
        <v>#REF!</v>
      </c>
      <c r="CH81" s="341" t="e">
        <f>VLOOKUP(C81,Theory!B84:BU152,72,FALSE)</f>
        <v>#REF!</v>
      </c>
      <c r="CI81" s="341" t="e">
        <f>VLOOKUP(C81,Theory!B84:BV152,73,FALSE)</f>
        <v>#REF!</v>
      </c>
      <c r="CJ81" s="341" t="e">
        <f>VLOOKUP(C81,Theory!B84:BW152,74,FALSE)</f>
        <v>#REF!</v>
      </c>
      <c r="CK81" s="335" t="e">
        <f t="shared" si="60"/>
        <v>#REF!</v>
      </c>
      <c r="CL81" s="340" t="e">
        <f>VLOOKUP(C81,Theory!B84:BX152,75,FALSE)</f>
        <v>#REF!</v>
      </c>
      <c r="CM81" s="342" t="e">
        <f>VLOOKUP(C81,Theory!B84:BY152,76,FALSE)</f>
        <v>#REF!</v>
      </c>
      <c r="CN81" s="342" t="e">
        <f>VLOOKUP(C81,Theory!B84:BZ152,77,FALSE)</f>
        <v>#REF!</v>
      </c>
      <c r="CO81" s="342" t="e">
        <f>VLOOKUP(C81,Theory!B84:CA152,78,FALSE)</f>
        <v>#REF!</v>
      </c>
      <c r="CP81" s="340" t="e">
        <f>VLOOKUP(C81,Theory!B84:CB152,79,FALSE)</f>
        <v>#REF!</v>
      </c>
      <c r="CQ81" s="340" t="e">
        <f>VLOOKUP(C81,Theory!B84:CC152,80,FALSE)</f>
        <v>#REF!</v>
      </c>
      <c r="CR81" s="340" t="e">
        <f>VLOOKUP(C81,Theory!B84:CD152,81,FALSE)</f>
        <v>#REF!</v>
      </c>
      <c r="CS81" s="340" t="e">
        <f>VLOOKUP(C81,Theory!B84:CE152,82,FALSE)</f>
        <v>#REF!</v>
      </c>
      <c r="CT81" s="335" t="e">
        <f t="shared" si="61"/>
        <v>#REF!</v>
      </c>
      <c r="CU81" s="341" t="e">
        <f>VLOOKUP(C81,Theory!B84:CF152,83,FALSE)</f>
        <v>#REF!</v>
      </c>
      <c r="CV81" s="342" t="e">
        <f>VLOOKUP(C81,Theory!B84:CG152,84,FALSE)</f>
        <v>#REF!</v>
      </c>
      <c r="CW81" s="342" t="e">
        <f>VLOOKUP(C81,Theory!B84:CH152,85,FALSE)</f>
        <v>#REF!</v>
      </c>
      <c r="CX81" s="342" t="e">
        <f>VLOOKUP(C81,Theory!B84:CI152,86,FALSE)</f>
        <v>#REF!</v>
      </c>
      <c r="CY81" s="341" t="e">
        <f>VLOOKUP(C81,Theory!B84:CJ152,87,FALSE)</f>
        <v>#REF!</v>
      </c>
      <c r="CZ81" s="341" t="e">
        <f>VLOOKUP(C81,Theory!B84:CK152,88,FALSE)</f>
        <v>#REF!</v>
      </c>
      <c r="DA81" s="341" t="e">
        <f>VLOOKUP(C81,Theory!B84:CL152,89,FALSE)</f>
        <v>#REF!</v>
      </c>
      <c r="DB81" s="341" t="e">
        <f>VLOOKUP(C81,Theory!B84:CM152,90,FALSE)</f>
        <v>#REF!</v>
      </c>
      <c r="DC81" s="335" t="e">
        <f t="shared" si="62"/>
        <v>#REF!</v>
      </c>
      <c r="DD81" s="340" t="e">
        <f>VLOOKUP(C81,Theory!B84:CN152,91,FALSE)</f>
        <v>#REF!</v>
      </c>
      <c r="DE81" s="342" t="e">
        <f>VLOOKUP(C81,Theory!B84:CO152,92,FALSE)</f>
        <v>#REF!</v>
      </c>
      <c r="DF81" s="342" t="e">
        <f>VLOOKUP(C81,Theory!B84:CP152,93,FALSE)</f>
        <v>#REF!</v>
      </c>
      <c r="DG81" s="342" t="e">
        <f>VLOOKUP(C81,Theory!B84:CQ152,94,FALSE)</f>
        <v>#REF!</v>
      </c>
      <c r="DH81" s="340" t="e">
        <f>VLOOKUP(C81,Theory!B84:CR152,95,FALSE)</f>
        <v>#REF!</v>
      </c>
      <c r="DI81" s="340" t="e">
        <f>VLOOKUP(C81,Theory!B84:CS152,96,FALSE)</f>
        <v>#REF!</v>
      </c>
      <c r="DJ81" s="340" t="e">
        <f>VLOOKUP(C81,Theory!B84:CT152,97,FALSE)</f>
        <v>#REF!</v>
      </c>
      <c r="DK81" s="340" t="e">
        <f>VLOOKUP(C81,Theory!B84:CU152,98,FALSE)</f>
        <v>#REF!</v>
      </c>
      <c r="DL81" s="335" t="e">
        <f t="shared" si="63"/>
        <v>#REF!</v>
      </c>
      <c r="DM81" s="265" t="e">
        <f t="shared" si="48"/>
        <v>#REF!</v>
      </c>
      <c r="DN81" s="362" t="e">
        <f t="shared" ref="DN81:DN83" si="74">AO81</f>
        <v>#REF!</v>
      </c>
      <c r="DO81" s="362" t="e">
        <f t="shared" ref="DO81:DO83" si="75">CA81</f>
        <v>#REF!</v>
      </c>
      <c r="DP81" s="362" t="e">
        <f t="shared" ref="DP81:DP83" si="76">DM81</f>
        <v>#REF!</v>
      </c>
      <c r="DQ81" s="343" t="e">
        <f t="shared" ref="DQ81:DQ83" si="77">ROUND(30*DN81/50,0)</f>
        <v>#REF!</v>
      </c>
      <c r="DR81" s="343" t="e">
        <f t="shared" ref="DR81:DR83" si="78">ROUND(30*DO81/50,0)</f>
        <v>#REF!</v>
      </c>
      <c r="DS81" s="343" t="e">
        <f t="shared" ref="DS81:DS83" si="79">ROUND(30*DP81/50,0)</f>
        <v>#REF!</v>
      </c>
      <c r="DT81" s="328" t="e">
        <f t="shared" si="70"/>
        <v>#REF!</v>
      </c>
      <c r="DU81" s="326" t="e">
        <f>VLOOKUP(C81,Theory!B84:CV152,99,FALSE)</f>
        <v>#REF!</v>
      </c>
      <c r="DV81" s="326" t="e">
        <f>VLOOKUP(C81,Theory!B84:CW152,100,FALSE)</f>
        <v>#REF!</v>
      </c>
      <c r="DW81" s="331" t="e">
        <f t="shared" si="64"/>
        <v>#REF!</v>
      </c>
      <c r="DX81" s="266" t="e">
        <f t="shared" si="49"/>
        <v>#REF!</v>
      </c>
      <c r="DY81" s="363" t="e">
        <f t="shared" si="65"/>
        <v>#REF!</v>
      </c>
      <c r="DZ81" s="344" t="e">
        <f>VLOOKUP(C81,Lab!B76:D145,3,FALSE)</f>
        <v>#REF!</v>
      </c>
      <c r="EA81" s="345" t="e">
        <f>VLOOKUP(C81,Lab!B76:E145,4,FALSE)</f>
        <v>#REF!</v>
      </c>
      <c r="EB81" s="345" t="e">
        <f>VLOOKUP(C81,Lab!B76:F145,5,FALSE)</f>
        <v>#REF!</v>
      </c>
      <c r="EC81" s="329" t="e">
        <f t="shared" si="71"/>
        <v>#REF!</v>
      </c>
      <c r="ED81" s="346" t="e">
        <f>VLOOKUP(C81,Lab!B76:G145,6,FALSE)</f>
        <v>#REF!</v>
      </c>
      <c r="EE81" s="346" t="e">
        <f>VLOOKUP(C81,Lab!B76:H145,7,FALSE)</f>
        <v>#REF!</v>
      </c>
      <c r="EF81" s="347" t="e">
        <f>VLOOKUP(C81,Lab!B76:I145,8,FALSE)</f>
        <v>#REF!</v>
      </c>
      <c r="EG81" s="330" t="e">
        <f t="shared" si="72"/>
        <v>#REF!</v>
      </c>
      <c r="EH81" s="390" t="e">
        <f t="shared" si="66"/>
        <v>#REF!</v>
      </c>
      <c r="EI81" s="349" t="e">
        <f t="shared" si="67"/>
        <v>#REF!</v>
      </c>
      <c r="EJ81" s="391" t="e">
        <f t="shared" si="50"/>
        <v>#REF!</v>
      </c>
      <c r="EK81" s="258"/>
      <c r="EL81" s="320"/>
      <c r="EM81" s="350" t="e">
        <f>VLOOKUP(C81,Theory!B84:DL152,114,FALSE)</f>
        <v>#REF!</v>
      </c>
      <c r="EN81" s="350" t="e">
        <f>VLOOKUP(C81,Theory!B84:DM152,115,FALSE)</f>
        <v>#REF!</v>
      </c>
      <c r="EO81" s="350" t="e">
        <f>VLOOKUP(C81,Theory!B84:DN152,116,FALSE)</f>
        <v>#REF!</v>
      </c>
      <c r="EP81" s="350" t="e">
        <f>VLOOKUP(C81,Theory!B84:DO150,117,FALSE)</f>
        <v>#REF!</v>
      </c>
      <c r="EQ81" s="350" t="e">
        <f>VLOOKUP(C81,Theory!B84:DP150,118,FALSE)</f>
        <v>#REF!</v>
      </c>
      <c r="ER81" s="351" t="e">
        <f>VLOOKUP(C81,Theory!B84:DQ150,119,FALSE)</f>
        <v>#REF!</v>
      </c>
      <c r="ES81" s="327" t="e">
        <f>VLOOKUP(C81,Theory!B84:DR150,120,FALSE)</f>
        <v>#REF!</v>
      </c>
      <c r="ET81" s="348" t="e">
        <f t="shared" si="73"/>
        <v>#REF!</v>
      </c>
      <c r="EU81" s="355"/>
      <c r="EV81" s="355"/>
      <c r="EW81" s="355"/>
      <c r="EX81" s="355"/>
      <c r="EY81" s="355"/>
      <c r="EZ81" s="355"/>
      <c r="FA81" s="355"/>
      <c r="FB81" s="355"/>
      <c r="FC81" s="355"/>
      <c r="FD81" s="355"/>
    </row>
    <row r="82" spans="1:160" s="246" customFormat="1" ht="16.2" thickBot="1" x14ac:dyDescent="0.35">
      <c r="A82" s="245">
        <v>69</v>
      </c>
      <c r="B82" s="17" t="e">
        <f>Theory!#REF!</f>
        <v>#REF!</v>
      </c>
      <c r="C82" s="16" t="e">
        <f>Theory!#REF!</f>
        <v>#REF!</v>
      </c>
      <c r="D82" s="334" t="e">
        <f>VLOOKUP(C82,Theory!B84:D153,3,FALSE)</f>
        <v>#REF!</v>
      </c>
      <c r="E82" s="334" t="e">
        <f>VLOOKUP(C82,Theory!B84:E153,4,FALSE)</f>
        <v>#REF!</v>
      </c>
      <c r="F82" s="334" t="e">
        <f>VLOOKUP(C82,Theory!B84:F153,5,FALSE)</f>
        <v>#REF!</v>
      </c>
      <c r="G82" s="334" t="e">
        <f>VLOOKUP(C82,Theory!B84:G153,6,FALSE)</f>
        <v>#REF!</v>
      </c>
      <c r="H82" s="335" t="e">
        <f t="shared" si="68"/>
        <v>#REF!</v>
      </c>
      <c r="I82" s="338" t="e">
        <f>VLOOKUP(C82,Theory!B84:H153,7,FALSE)</f>
        <v>#REF!</v>
      </c>
      <c r="J82" s="337" t="e">
        <f>VLOOKUP(C82,Theory!B84:I153,8,FALSE)</f>
        <v>#REF!</v>
      </c>
      <c r="K82" s="337" t="e">
        <f>VLOOKUP(C82,Theory!B84:J153,9,FALSE)</f>
        <v>#REF!</v>
      </c>
      <c r="L82" s="337" t="e">
        <f>VLOOKUP(C82,Theory!B84:K153,10,FALSE)</f>
        <v>#REF!</v>
      </c>
      <c r="M82" s="335" t="e">
        <f t="shared" si="51"/>
        <v>#REF!</v>
      </c>
      <c r="N82" s="336" t="e">
        <f>VLOOKUP(C82,Theory!B84:L153,11,FALSE)</f>
        <v>#REF!</v>
      </c>
      <c r="O82" s="336" t="e">
        <f>VLOOKUP(C82,Theory!B84:M153,12,FALSE)</f>
        <v>#REF!</v>
      </c>
      <c r="P82" s="336" t="e">
        <f>VLOOKUP(C82,Theory!B84:N153,13,FALSE)</f>
        <v>#REF!</v>
      </c>
      <c r="Q82" s="336" t="e">
        <f>VLOOKUP(C82,Theory!B84:O153,14,FALSE)</f>
        <v>#REF!</v>
      </c>
      <c r="R82" s="337" t="e">
        <f>VLOOKUP(C82,Theory!B84:P153,15,FALSE)</f>
        <v>#REF!</v>
      </c>
      <c r="S82" s="337" t="e">
        <f>VLOOKUP(C82,Theory!B84:Q153,16,FALSE)</f>
        <v>#REF!</v>
      </c>
      <c r="T82" s="337" t="e">
        <f>VLOOKUP(C82,Theory!B84:R153,17,FALSE)</f>
        <v>#REF!</v>
      </c>
      <c r="U82" s="337" t="e">
        <f>VLOOKUP(C82,Theory!B84:S153,18,FALSE)</f>
        <v>#REF!</v>
      </c>
      <c r="V82" s="335" t="e">
        <f t="shared" si="52"/>
        <v>#REF!</v>
      </c>
      <c r="W82" s="334" t="e">
        <f>VLOOKUP(C82,Theory!B84:T153,19,FALSE)</f>
        <v>#REF!</v>
      </c>
      <c r="X82" s="334" t="e">
        <f>VLOOKUP(C82,Theory!B84:U153,20,FALSE)</f>
        <v>#REF!</v>
      </c>
      <c r="Y82" s="334" t="e">
        <f>VLOOKUP(C82,Theory!B84:V153,21,FALSE)</f>
        <v>#REF!</v>
      </c>
      <c r="Z82" s="334" t="e">
        <f>VLOOKUP(C82,Theory!B84:W153,22,FALSE)</f>
        <v>#REF!</v>
      </c>
      <c r="AA82" s="338" t="e">
        <f>VLOOKUP(C82,Theory!B84:X153,23,FALSE)</f>
        <v>#REF!</v>
      </c>
      <c r="AB82" s="338" t="e">
        <f>VLOOKUP(C82,Theory!B84:Y153,24,FALSE)</f>
        <v>#REF!</v>
      </c>
      <c r="AC82" s="338" t="e">
        <f>VLOOKUP(C82,Theory!B84:Z153,25,FALSE)</f>
        <v>#REF!</v>
      </c>
      <c r="AD82" s="338" t="e">
        <f>VLOOKUP(C82,Theory!B84:AA153,26,FALSE)</f>
        <v>#REF!</v>
      </c>
      <c r="AE82" s="335" t="e">
        <f t="shared" si="53"/>
        <v>#REF!</v>
      </c>
      <c r="AF82" s="334" t="e">
        <f>VLOOKUP(C82,Theory!B84:AB153,27,FALSE)</f>
        <v>#REF!</v>
      </c>
      <c r="AG82" s="334" t="e">
        <f>VLOOKUP(C82,Theory!B84:AC153,28,FALSE)</f>
        <v>#REF!</v>
      </c>
      <c r="AH82" s="334" t="e">
        <f>VLOOKUP(C82,Theory!B84:AD153,29,FALSE)</f>
        <v>#REF!</v>
      </c>
      <c r="AI82" s="334" t="e">
        <f>VLOOKUP(C82,Theory!B84:AE153,30,FALSE)</f>
        <v>#REF!</v>
      </c>
      <c r="AJ82" s="339" t="e">
        <f>VLOOKUP(C82,Theory!B84:AF153,31,FALSE)</f>
        <v>#REF!</v>
      </c>
      <c r="AK82" s="339" t="e">
        <f>VLOOKUP(C82,Theory!B84:AG153,32,FALSE)</f>
        <v>#REF!</v>
      </c>
      <c r="AL82" s="339" t="e">
        <f>VLOOKUP(C82,Theory!B84:AH153,33,FALSE)</f>
        <v>#REF!</v>
      </c>
      <c r="AM82" s="339" t="e">
        <f>VLOOKUP(C82,Theory!B84:AI153,34,FALSE)</f>
        <v>#REF!</v>
      </c>
      <c r="AN82" s="335" t="e">
        <f t="shared" si="54"/>
        <v>#REF!</v>
      </c>
      <c r="AO82" s="333" t="e">
        <f t="shared" si="46"/>
        <v>#REF!</v>
      </c>
      <c r="AP82" s="340" t="e">
        <f>VLOOKUP(C82,Theory!B84:AJ153,35,FALSE)</f>
        <v>#REF!</v>
      </c>
      <c r="AQ82" s="340" t="e">
        <f>VLOOKUP(C82,Theory!B84:AK153,36,FALSE)</f>
        <v>#REF!</v>
      </c>
      <c r="AR82" s="340" t="e">
        <f>VLOOKUP(C82,Theory!B84:AL153,37,FALSE)</f>
        <v>#REF!</v>
      </c>
      <c r="AS82" s="340" t="e">
        <f>VLOOKUP(C82,Theory!B84:AM153,38,FALSE)</f>
        <v>#REF!</v>
      </c>
      <c r="AT82" s="335" t="e">
        <f t="shared" si="55"/>
        <v>#REF!</v>
      </c>
      <c r="AU82" s="340" t="e">
        <f>VLOOKUP(C82,Theory!B84:AN153,39,FALSE)</f>
        <v>#REF!</v>
      </c>
      <c r="AV82" s="340" t="e">
        <f>VLOOKUP(C82,Theory!B84:AO153,40,FALSE)</f>
        <v>#REF!</v>
      </c>
      <c r="AW82" s="340" t="e">
        <f>VLOOKUP(C82,Theory!B84:AP153,41,FALSE)</f>
        <v>#REF!</v>
      </c>
      <c r="AX82" s="340" t="e">
        <f>VLOOKUP(C82,Theory!B84:AQ153,42,FALSE)</f>
        <v>#REF!</v>
      </c>
      <c r="AY82" s="335" t="e">
        <f t="shared" si="56"/>
        <v>#REF!</v>
      </c>
      <c r="AZ82" s="340" t="e">
        <f>VLOOKUP(C82,Theory!B84:AR153,43,FALSE)</f>
        <v>#REF!</v>
      </c>
      <c r="BA82" s="340" t="e">
        <f>VLOOKUP(C82,Theory!B84:AS153,44,FALSE)</f>
        <v>#REF!</v>
      </c>
      <c r="BB82" s="340" t="e">
        <f>VLOOKUP(C82,Theory!B84:AT153,45,FALSE)</f>
        <v>#REF!</v>
      </c>
      <c r="BC82" s="340" t="e">
        <f>VLOOKUP(C82,Theory!B84:AU153,46,FALSE)</f>
        <v>#REF!</v>
      </c>
      <c r="BD82" s="340" t="e">
        <f>VLOOKUP(C82,Theory!B84:AV153,47,FALSE)</f>
        <v>#REF!</v>
      </c>
      <c r="BE82" s="340" t="e">
        <f>VLOOKUP(C82,Theory!B84:AW153,48,FALSE)</f>
        <v>#REF!</v>
      </c>
      <c r="BF82" s="340" t="e">
        <f>VLOOKUP(C82,Theory!B84:AX153,49,FALSE)</f>
        <v>#REF!</v>
      </c>
      <c r="BG82" s="340" t="e">
        <f>VLOOKUP(C82,Theory!B84:AY153,50,FALSE)</f>
        <v>#REF!</v>
      </c>
      <c r="BH82" s="335" t="e">
        <f t="shared" si="57"/>
        <v>#REF!</v>
      </c>
      <c r="BI82" s="340" t="e">
        <f>VLOOKUP(C82,Theory!B84:AZ153,51,FALSE)</f>
        <v>#REF!</v>
      </c>
      <c r="BJ82" s="340" t="e">
        <f>VLOOKUP(C82,Theory!B84:BA153,52,FALSE)</f>
        <v>#REF!</v>
      </c>
      <c r="BK82" s="340" t="e">
        <f>VLOOKUP(C82,Theory!B84:BB153,53,FALSE)</f>
        <v>#REF!</v>
      </c>
      <c r="BL82" s="340" t="e">
        <f>VLOOKUP(C82,Theory!B84:BC153,54,FALSE)</f>
        <v>#REF!</v>
      </c>
      <c r="BM82" s="340" t="e">
        <f>VLOOKUP(C82,Theory!B84:BD153,55,FALSE)</f>
        <v>#REF!</v>
      </c>
      <c r="BN82" s="340" t="e">
        <f>VLOOKUP(C82,Theory!B84:BE153,56,FALSE)</f>
        <v>#REF!</v>
      </c>
      <c r="BO82" s="340" t="e">
        <f>VLOOKUP(C82,Theory!B84:BF153,57,FALSE)</f>
        <v>#REF!</v>
      </c>
      <c r="BP82" s="340" t="e">
        <f>VLOOKUP(C82,Theory!B84:BG153,58,FALSE)</f>
        <v>#REF!</v>
      </c>
      <c r="BQ82" s="335" t="e">
        <f t="shared" si="58"/>
        <v>#REF!</v>
      </c>
      <c r="BR82" s="340" t="e">
        <f>VLOOKUP(C82,Theory!B84:BH153,59,FALSE)</f>
        <v>#REF!</v>
      </c>
      <c r="BS82" s="340" t="e">
        <f>VLOOKUP(C82,Theory!B84:BI153,60,FALSE)</f>
        <v>#REF!</v>
      </c>
      <c r="BT82" s="340" t="e">
        <f>VLOOKUP(C82,Theory!B84:BJ153,61,FALSE)</f>
        <v>#REF!</v>
      </c>
      <c r="BU82" s="340" t="e">
        <f>VLOOKUP(C82,Theory!B84:BK153,62,FALSE)</f>
        <v>#REF!</v>
      </c>
      <c r="BV82" s="340" t="e">
        <f>VLOOKUP(C82,Theory!B84:BL153,63,FALSE)</f>
        <v>#REF!</v>
      </c>
      <c r="BW82" s="340" t="e">
        <f>VLOOKUP(C82,Theory!B84:BM153,64,FALSE)</f>
        <v>#REF!</v>
      </c>
      <c r="BX82" s="340" t="e">
        <f>VLOOKUP(C82,Theory!B84:BN153,65,FALSE)</f>
        <v>#REF!</v>
      </c>
      <c r="BY82" s="340" t="e">
        <f>VLOOKUP(C82,Theory!B84:BO153,66,FALSE)</f>
        <v>#REF!</v>
      </c>
      <c r="BZ82" s="335" t="e">
        <f t="shared" si="59"/>
        <v>#REF!</v>
      </c>
      <c r="CA82" s="333" t="e">
        <f t="shared" si="47"/>
        <v>#REF!</v>
      </c>
      <c r="CB82" s="340" t="e">
        <f>VLOOKUP(C82,Theory!B84:BP153,67,FALSE)</f>
        <v>#REF!</v>
      </c>
      <c r="CC82" s="340" t="e">
        <f>VLOOKUP(C82,Theory!B84:BQ153,68,FALSE)</f>
        <v>#REF!</v>
      </c>
      <c r="CD82" s="340" t="e">
        <f>VLOOKUP(C82,Theory!B84:BR153,69,FALSE)</f>
        <v>#REF!</v>
      </c>
      <c r="CE82" s="340" t="e">
        <f>VLOOKUP(C82,Theory!B84:BS153,70,FALSE)</f>
        <v>#REF!</v>
      </c>
      <c r="CF82" s="335" t="e">
        <f t="shared" si="69"/>
        <v>#REF!</v>
      </c>
      <c r="CG82" s="341" t="e">
        <f>VLOOKUP(C82,Theory!B84:BT153,71,FALSE)</f>
        <v>#REF!</v>
      </c>
      <c r="CH82" s="341" t="e">
        <f>VLOOKUP(C82,Theory!B84:BU153,72,FALSE)</f>
        <v>#REF!</v>
      </c>
      <c r="CI82" s="341" t="e">
        <f>VLOOKUP(C82,Theory!B84:BV153,73,FALSE)</f>
        <v>#REF!</v>
      </c>
      <c r="CJ82" s="341" t="e">
        <f>VLOOKUP(C82,Theory!B84:BW153,74,FALSE)</f>
        <v>#REF!</v>
      </c>
      <c r="CK82" s="335" t="e">
        <f t="shared" si="60"/>
        <v>#REF!</v>
      </c>
      <c r="CL82" s="340" t="e">
        <f>VLOOKUP(C82,Theory!B84:BX153,75,FALSE)</f>
        <v>#REF!</v>
      </c>
      <c r="CM82" s="342" t="e">
        <f>VLOOKUP(C82,Theory!B84:BY153,76,FALSE)</f>
        <v>#REF!</v>
      </c>
      <c r="CN82" s="342" t="e">
        <f>VLOOKUP(C82,Theory!B84:BZ153,77,FALSE)</f>
        <v>#REF!</v>
      </c>
      <c r="CO82" s="342" t="e">
        <f>VLOOKUP(C82,Theory!B84:CA153,78,FALSE)</f>
        <v>#REF!</v>
      </c>
      <c r="CP82" s="340" t="e">
        <f>VLOOKUP(C82,Theory!B84:CB153,79,FALSE)</f>
        <v>#REF!</v>
      </c>
      <c r="CQ82" s="340" t="e">
        <f>VLOOKUP(C82,Theory!B84:CC153,80,FALSE)</f>
        <v>#REF!</v>
      </c>
      <c r="CR82" s="340" t="e">
        <f>VLOOKUP(C82,Theory!B84:CD153,81,FALSE)</f>
        <v>#REF!</v>
      </c>
      <c r="CS82" s="340" t="e">
        <f>VLOOKUP(C82,Theory!B84:CE153,82,FALSE)</f>
        <v>#REF!</v>
      </c>
      <c r="CT82" s="335" t="e">
        <f t="shared" si="61"/>
        <v>#REF!</v>
      </c>
      <c r="CU82" s="341" t="e">
        <f>VLOOKUP(C82,Theory!B84:CF153,83,FALSE)</f>
        <v>#REF!</v>
      </c>
      <c r="CV82" s="342" t="e">
        <f>VLOOKUP(C82,Theory!B84:CG153,84,FALSE)</f>
        <v>#REF!</v>
      </c>
      <c r="CW82" s="342" t="e">
        <f>VLOOKUP(C82,Theory!B84:CH153,85,FALSE)</f>
        <v>#REF!</v>
      </c>
      <c r="CX82" s="342" t="e">
        <f>VLOOKUP(C82,Theory!B84:CI153,86,FALSE)</f>
        <v>#REF!</v>
      </c>
      <c r="CY82" s="341" t="e">
        <f>VLOOKUP(C82,Theory!B84:CJ153,87,FALSE)</f>
        <v>#REF!</v>
      </c>
      <c r="CZ82" s="341" t="e">
        <f>VLOOKUP(C82,Theory!B84:CK153,88,FALSE)</f>
        <v>#REF!</v>
      </c>
      <c r="DA82" s="341" t="e">
        <f>VLOOKUP(C82,Theory!B84:CL153,89,FALSE)</f>
        <v>#REF!</v>
      </c>
      <c r="DB82" s="341" t="e">
        <f>VLOOKUP(C82,Theory!B84:CM153,90,FALSE)</f>
        <v>#REF!</v>
      </c>
      <c r="DC82" s="335" t="e">
        <f t="shared" si="62"/>
        <v>#REF!</v>
      </c>
      <c r="DD82" s="340" t="e">
        <f>VLOOKUP(C82,Theory!B84:CN153,91,FALSE)</f>
        <v>#REF!</v>
      </c>
      <c r="DE82" s="342" t="e">
        <f>VLOOKUP(C82,Theory!B84:CO153,92,FALSE)</f>
        <v>#REF!</v>
      </c>
      <c r="DF82" s="342" t="e">
        <f>VLOOKUP(C82,Theory!B84:CP153,93,FALSE)</f>
        <v>#REF!</v>
      </c>
      <c r="DG82" s="342" t="e">
        <f>VLOOKUP(C82,Theory!B84:CQ153,94,FALSE)</f>
        <v>#REF!</v>
      </c>
      <c r="DH82" s="340" t="e">
        <f>VLOOKUP(C82,Theory!B84:CR153,95,FALSE)</f>
        <v>#REF!</v>
      </c>
      <c r="DI82" s="340" t="e">
        <f>VLOOKUP(C82,Theory!B84:CS153,96,FALSE)</f>
        <v>#REF!</v>
      </c>
      <c r="DJ82" s="340" t="e">
        <f>VLOOKUP(C82,Theory!B84:CT153,97,FALSE)</f>
        <v>#REF!</v>
      </c>
      <c r="DK82" s="340" t="e">
        <f>VLOOKUP(C82,Theory!B84:CU153,98,FALSE)</f>
        <v>#REF!</v>
      </c>
      <c r="DL82" s="335" t="e">
        <f t="shared" si="63"/>
        <v>#REF!</v>
      </c>
      <c r="DM82" s="265" t="e">
        <f t="shared" si="48"/>
        <v>#REF!</v>
      </c>
      <c r="DN82" s="362" t="e">
        <f t="shared" si="74"/>
        <v>#REF!</v>
      </c>
      <c r="DO82" s="362" t="e">
        <f t="shared" si="75"/>
        <v>#REF!</v>
      </c>
      <c r="DP82" s="362" t="e">
        <f t="shared" si="76"/>
        <v>#REF!</v>
      </c>
      <c r="DQ82" s="343" t="e">
        <f t="shared" si="77"/>
        <v>#REF!</v>
      </c>
      <c r="DR82" s="343" t="e">
        <f t="shared" si="78"/>
        <v>#REF!</v>
      </c>
      <c r="DS82" s="343" t="e">
        <f t="shared" si="79"/>
        <v>#REF!</v>
      </c>
      <c r="DT82" s="328" t="e">
        <f t="shared" si="70"/>
        <v>#REF!</v>
      </c>
      <c r="DU82" s="326" t="e">
        <f>VLOOKUP(C82,Theory!B84:CV153,99,FALSE)</f>
        <v>#REF!</v>
      </c>
      <c r="DV82" s="326" t="e">
        <f>VLOOKUP(C82,Theory!B84:CW153,100,FALSE)</f>
        <v>#REF!</v>
      </c>
      <c r="DW82" s="331" t="e">
        <f t="shared" si="64"/>
        <v>#REF!</v>
      </c>
      <c r="DX82" s="266" t="e">
        <f t="shared" si="49"/>
        <v>#REF!</v>
      </c>
      <c r="DY82" s="363" t="e">
        <f t="shared" si="65"/>
        <v>#REF!</v>
      </c>
      <c r="DZ82" s="344" t="e">
        <f>VLOOKUP(C82,Lab!B77:D146,3,FALSE)</f>
        <v>#REF!</v>
      </c>
      <c r="EA82" s="345" t="e">
        <f>VLOOKUP(C82,Lab!B77:E146,4,FALSE)</f>
        <v>#REF!</v>
      </c>
      <c r="EB82" s="345" t="e">
        <f>VLOOKUP(C82,Lab!B77:F146,5,FALSE)</f>
        <v>#REF!</v>
      </c>
      <c r="EC82" s="329" t="e">
        <f t="shared" si="71"/>
        <v>#REF!</v>
      </c>
      <c r="ED82" s="346" t="e">
        <f>VLOOKUP(C82,Lab!B77:G146,6,FALSE)</f>
        <v>#REF!</v>
      </c>
      <c r="EE82" s="346" t="e">
        <f>VLOOKUP(C82,Lab!B77:H146,7,FALSE)</f>
        <v>#REF!</v>
      </c>
      <c r="EF82" s="347" t="e">
        <f>VLOOKUP(C82,Lab!B77:I146,8,FALSE)</f>
        <v>#REF!</v>
      </c>
      <c r="EG82" s="330" t="e">
        <f t="shared" si="72"/>
        <v>#REF!</v>
      </c>
      <c r="EH82" s="390" t="e">
        <f t="shared" si="66"/>
        <v>#REF!</v>
      </c>
      <c r="EI82" s="349" t="e">
        <f t="shared" si="67"/>
        <v>#REF!</v>
      </c>
      <c r="EJ82" s="391" t="e">
        <f t="shared" si="50"/>
        <v>#REF!</v>
      </c>
      <c r="EK82" s="258"/>
      <c r="EL82" s="320"/>
      <c r="EM82" s="350" t="e">
        <f>VLOOKUP(C82,Theory!B84:DL153,114,FALSE)</f>
        <v>#REF!</v>
      </c>
      <c r="EN82" s="350" t="e">
        <f>VLOOKUP(C82,Theory!B84:DM153,115,FALSE)</f>
        <v>#REF!</v>
      </c>
      <c r="EO82" s="350" t="e">
        <f>VLOOKUP(C82,Theory!B84:DN153,116,FALSE)</f>
        <v>#REF!</v>
      </c>
      <c r="EP82" s="350" t="e">
        <f>VLOOKUP(C82,Theory!B84:DO151,117,FALSE)</f>
        <v>#REF!</v>
      </c>
      <c r="EQ82" s="350" t="e">
        <f>VLOOKUP(C82,Theory!B84:DP151,118,FALSE)</f>
        <v>#REF!</v>
      </c>
      <c r="ER82" s="351" t="e">
        <f>VLOOKUP(C82,Theory!B84:DQ151,119,FALSE)</f>
        <v>#REF!</v>
      </c>
      <c r="ES82" s="327" t="e">
        <f>VLOOKUP(C82,Theory!B84:DR151,120,FALSE)</f>
        <v>#REF!</v>
      </c>
      <c r="ET82" s="348" t="e">
        <f t="shared" si="73"/>
        <v>#REF!</v>
      </c>
      <c r="EU82" s="355"/>
      <c r="EV82" s="355"/>
      <c r="EW82" s="355"/>
      <c r="EX82" s="355"/>
      <c r="EY82" s="355"/>
      <c r="EZ82" s="355"/>
      <c r="FA82" s="355"/>
      <c r="FB82" s="355"/>
      <c r="FC82" s="355"/>
      <c r="FD82" s="355"/>
    </row>
    <row r="83" spans="1:160" s="246" customFormat="1" ht="16.2" thickBot="1" x14ac:dyDescent="0.35">
      <c r="A83" s="245">
        <v>70</v>
      </c>
      <c r="B83" s="17" t="e">
        <f>Theory!#REF!</f>
        <v>#REF!</v>
      </c>
      <c r="C83" s="16" t="e">
        <f>Theory!#REF!</f>
        <v>#REF!</v>
      </c>
      <c r="D83" s="334" t="e">
        <f>VLOOKUP(C83,Theory!B84:D154,3,FALSE)</f>
        <v>#REF!</v>
      </c>
      <c r="E83" s="334" t="e">
        <f>VLOOKUP(C83,Theory!B84:E154,4,FALSE)</f>
        <v>#REF!</v>
      </c>
      <c r="F83" s="334" t="e">
        <f>VLOOKUP(C83,Theory!B84:F154,5,FALSE)</f>
        <v>#REF!</v>
      </c>
      <c r="G83" s="334" t="e">
        <f>VLOOKUP(C83,Theory!B84:G154,6,FALSE)</f>
        <v>#REF!</v>
      </c>
      <c r="H83" s="335" t="e">
        <f t="shared" si="68"/>
        <v>#REF!</v>
      </c>
      <c r="I83" s="338" t="e">
        <f>VLOOKUP(C83,Theory!B84:H154,7,FALSE)</f>
        <v>#REF!</v>
      </c>
      <c r="J83" s="337" t="e">
        <f>VLOOKUP(C83,Theory!B84:I154,8,FALSE)</f>
        <v>#REF!</v>
      </c>
      <c r="K83" s="337" t="e">
        <f>VLOOKUP(C83,Theory!B84:J154,9,FALSE)</f>
        <v>#REF!</v>
      </c>
      <c r="L83" s="337" t="e">
        <f>VLOOKUP(C83,Theory!B84:K154,10,FALSE)</f>
        <v>#REF!</v>
      </c>
      <c r="M83" s="335" t="e">
        <f t="shared" si="51"/>
        <v>#REF!</v>
      </c>
      <c r="N83" s="336" t="e">
        <f>VLOOKUP(C83,Theory!B84:L154,11,FALSE)</f>
        <v>#REF!</v>
      </c>
      <c r="O83" s="336" t="e">
        <f>VLOOKUP(C83,Theory!B84:M154,12,FALSE)</f>
        <v>#REF!</v>
      </c>
      <c r="P83" s="336" t="e">
        <f>VLOOKUP(C83,Theory!B84:N154,13,FALSE)</f>
        <v>#REF!</v>
      </c>
      <c r="Q83" s="336" t="e">
        <f>VLOOKUP(C83,Theory!B84:O154,14,FALSE)</f>
        <v>#REF!</v>
      </c>
      <c r="R83" s="337" t="e">
        <f>VLOOKUP(C83,Theory!B84:P154,15,FALSE)</f>
        <v>#REF!</v>
      </c>
      <c r="S83" s="337" t="e">
        <f>VLOOKUP(C83,Theory!B84:Q154,16,FALSE)</f>
        <v>#REF!</v>
      </c>
      <c r="T83" s="337" t="e">
        <f>VLOOKUP(C83,Theory!B84:R154,17,FALSE)</f>
        <v>#REF!</v>
      </c>
      <c r="U83" s="337" t="e">
        <f>VLOOKUP(C83,Theory!B84:S154,18,FALSE)</f>
        <v>#REF!</v>
      </c>
      <c r="V83" s="335" t="e">
        <f t="shared" si="52"/>
        <v>#REF!</v>
      </c>
      <c r="W83" s="334" t="e">
        <f>VLOOKUP(C83,Theory!B84:T154,19,FALSE)</f>
        <v>#REF!</v>
      </c>
      <c r="X83" s="334" t="e">
        <f>VLOOKUP(C83,Theory!B84:U154,20,FALSE)</f>
        <v>#REF!</v>
      </c>
      <c r="Y83" s="334" t="e">
        <f>VLOOKUP(C83,Theory!B84:V154,21,FALSE)</f>
        <v>#REF!</v>
      </c>
      <c r="Z83" s="334" t="e">
        <f>VLOOKUP(C83,Theory!B84:W154,22,FALSE)</f>
        <v>#REF!</v>
      </c>
      <c r="AA83" s="338" t="e">
        <f>VLOOKUP(C83,Theory!B84:X154,23,FALSE)</f>
        <v>#REF!</v>
      </c>
      <c r="AB83" s="338" t="e">
        <f>VLOOKUP(C83,Theory!B84:Y154,24,FALSE)</f>
        <v>#REF!</v>
      </c>
      <c r="AC83" s="338" t="e">
        <f>VLOOKUP(C83,Theory!B84:Z154,25,FALSE)</f>
        <v>#REF!</v>
      </c>
      <c r="AD83" s="338" t="e">
        <f>VLOOKUP(C83,Theory!B84:AA154,26,FALSE)</f>
        <v>#REF!</v>
      </c>
      <c r="AE83" s="335" t="e">
        <f t="shared" si="53"/>
        <v>#REF!</v>
      </c>
      <c r="AF83" s="334" t="e">
        <f>VLOOKUP(C83,Theory!B84:AB154,27,FALSE)</f>
        <v>#REF!</v>
      </c>
      <c r="AG83" s="334" t="e">
        <f>VLOOKUP(C83,Theory!B84:AC154,28,FALSE)</f>
        <v>#REF!</v>
      </c>
      <c r="AH83" s="334" t="e">
        <f>VLOOKUP(C83,Theory!B84:AD154,29,FALSE)</f>
        <v>#REF!</v>
      </c>
      <c r="AI83" s="334" t="e">
        <f>VLOOKUP(C83,Theory!B84:AE154,30,FALSE)</f>
        <v>#REF!</v>
      </c>
      <c r="AJ83" s="339" t="e">
        <f>VLOOKUP(C83,Theory!B84:AF154,31,FALSE)</f>
        <v>#REF!</v>
      </c>
      <c r="AK83" s="339" t="e">
        <f>VLOOKUP(C83,Theory!B84:AG154,32,FALSE)</f>
        <v>#REF!</v>
      </c>
      <c r="AL83" s="339" t="e">
        <f>VLOOKUP(C83,Theory!B84:AH154,33,FALSE)</f>
        <v>#REF!</v>
      </c>
      <c r="AM83" s="339" t="e">
        <f>VLOOKUP(C83,Theory!B84:AI154,34,FALSE)</f>
        <v>#REF!</v>
      </c>
      <c r="AN83" s="335" t="e">
        <f t="shared" si="54"/>
        <v>#REF!</v>
      </c>
      <c r="AO83" s="333" t="e">
        <f t="shared" si="46"/>
        <v>#REF!</v>
      </c>
      <c r="AP83" s="340" t="e">
        <f>VLOOKUP(C83,Theory!B84:AJ154,35,FALSE)</f>
        <v>#REF!</v>
      </c>
      <c r="AQ83" s="340" t="e">
        <f>VLOOKUP(C83,Theory!B84:AK154,36,FALSE)</f>
        <v>#REF!</v>
      </c>
      <c r="AR83" s="340" t="e">
        <f>VLOOKUP(C83,Theory!B84:AL154,37,FALSE)</f>
        <v>#REF!</v>
      </c>
      <c r="AS83" s="340" t="e">
        <f>VLOOKUP(C83,Theory!B84:AM154,38,FALSE)</f>
        <v>#REF!</v>
      </c>
      <c r="AT83" s="335" t="e">
        <f t="shared" si="55"/>
        <v>#REF!</v>
      </c>
      <c r="AU83" s="340" t="e">
        <f>VLOOKUP(C83,Theory!B84:AN154,39,FALSE)</f>
        <v>#REF!</v>
      </c>
      <c r="AV83" s="340" t="e">
        <f>VLOOKUP(C83,Theory!B84:AO154,40,FALSE)</f>
        <v>#REF!</v>
      </c>
      <c r="AW83" s="340" t="e">
        <f>VLOOKUP(C83,Theory!B84:AP154,41,FALSE)</f>
        <v>#REF!</v>
      </c>
      <c r="AX83" s="340" t="e">
        <f>VLOOKUP(C83,Theory!B84:AQ154,42,FALSE)</f>
        <v>#REF!</v>
      </c>
      <c r="AY83" s="335" t="e">
        <f t="shared" si="56"/>
        <v>#REF!</v>
      </c>
      <c r="AZ83" s="340" t="e">
        <f>VLOOKUP(C83,Theory!B84:AR154,43,FALSE)</f>
        <v>#REF!</v>
      </c>
      <c r="BA83" s="340" t="e">
        <f>VLOOKUP(C83,Theory!B84:AS154,44,FALSE)</f>
        <v>#REF!</v>
      </c>
      <c r="BB83" s="340" t="e">
        <f>VLOOKUP(C83,Theory!B84:AT154,45,FALSE)</f>
        <v>#REF!</v>
      </c>
      <c r="BC83" s="340" t="e">
        <f>VLOOKUP(C83,Theory!B84:AU154,46,FALSE)</f>
        <v>#REF!</v>
      </c>
      <c r="BD83" s="340" t="e">
        <f>VLOOKUP(C83,Theory!B84:AV154,47,FALSE)</f>
        <v>#REF!</v>
      </c>
      <c r="BE83" s="340" t="e">
        <f>VLOOKUP(C83,Theory!B84:AW154,48,FALSE)</f>
        <v>#REF!</v>
      </c>
      <c r="BF83" s="340" t="e">
        <f>VLOOKUP(C83,Theory!B84:AX154,49,FALSE)</f>
        <v>#REF!</v>
      </c>
      <c r="BG83" s="340" t="e">
        <f>VLOOKUP(C83,Theory!B84:AY154,50,FALSE)</f>
        <v>#REF!</v>
      </c>
      <c r="BH83" s="335" t="e">
        <f t="shared" si="57"/>
        <v>#REF!</v>
      </c>
      <c r="BI83" s="340" t="e">
        <f>VLOOKUP(C83,Theory!B84:AZ154,51,FALSE)</f>
        <v>#REF!</v>
      </c>
      <c r="BJ83" s="340" t="e">
        <f>VLOOKUP(C83,Theory!B84:BA154,52,FALSE)</f>
        <v>#REF!</v>
      </c>
      <c r="BK83" s="340" t="e">
        <f>VLOOKUP(C83,Theory!B84:BB154,53,FALSE)</f>
        <v>#REF!</v>
      </c>
      <c r="BL83" s="340" t="e">
        <f>VLOOKUP(C83,Theory!B84:BC154,54,FALSE)</f>
        <v>#REF!</v>
      </c>
      <c r="BM83" s="340" t="e">
        <f>VLOOKUP(C83,Theory!B84:BD154,55,FALSE)</f>
        <v>#REF!</v>
      </c>
      <c r="BN83" s="340" t="e">
        <f>VLOOKUP(C83,Theory!B84:BE154,56,FALSE)</f>
        <v>#REF!</v>
      </c>
      <c r="BO83" s="340" t="e">
        <f>VLOOKUP(C83,Theory!B84:BF154,57,FALSE)</f>
        <v>#REF!</v>
      </c>
      <c r="BP83" s="340" t="e">
        <f>VLOOKUP(C83,Theory!B84:BG154,58,FALSE)</f>
        <v>#REF!</v>
      </c>
      <c r="BQ83" s="335" t="e">
        <f t="shared" si="58"/>
        <v>#REF!</v>
      </c>
      <c r="BR83" s="340" t="e">
        <f>VLOOKUP(C83,Theory!B84:BH154,59,FALSE)</f>
        <v>#REF!</v>
      </c>
      <c r="BS83" s="340" t="e">
        <f>VLOOKUP(C83,Theory!B84:BI154,60,FALSE)</f>
        <v>#REF!</v>
      </c>
      <c r="BT83" s="340" t="e">
        <f>VLOOKUP(C83,Theory!B84:BJ154,61,FALSE)</f>
        <v>#REF!</v>
      </c>
      <c r="BU83" s="340" t="e">
        <f>VLOOKUP(C83,Theory!B84:BK154,62,FALSE)</f>
        <v>#REF!</v>
      </c>
      <c r="BV83" s="340" t="e">
        <f>VLOOKUP(C83,Theory!B84:BL154,63,FALSE)</f>
        <v>#REF!</v>
      </c>
      <c r="BW83" s="340" t="e">
        <f>VLOOKUP(C83,Theory!B84:BM154,64,FALSE)</f>
        <v>#REF!</v>
      </c>
      <c r="BX83" s="340" t="e">
        <f>VLOOKUP(C83,Theory!B84:BN154,65,FALSE)</f>
        <v>#REF!</v>
      </c>
      <c r="BY83" s="340" t="e">
        <f>VLOOKUP(C83,Theory!B84:BO154,66,FALSE)</f>
        <v>#REF!</v>
      </c>
      <c r="BZ83" s="335" t="e">
        <f t="shared" si="59"/>
        <v>#REF!</v>
      </c>
      <c r="CA83" s="333" t="e">
        <f t="shared" si="47"/>
        <v>#REF!</v>
      </c>
      <c r="CB83" s="340" t="e">
        <f>VLOOKUP(C83,Theory!B84:BP154,67,FALSE)</f>
        <v>#REF!</v>
      </c>
      <c r="CC83" s="340" t="e">
        <f>VLOOKUP(C83,Theory!B84:BQ154,68,FALSE)</f>
        <v>#REF!</v>
      </c>
      <c r="CD83" s="340" t="e">
        <f>VLOOKUP(C83,Theory!B84:BR154,69,FALSE)</f>
        <v>#REF!</v>
      </c>
      <c r="CE83" s="340" t="e">
        <f>VLOOKUP(C83,Theory!B84:BS154,70,FALSE)</f>
        <v>#REF!</v>
      </c>
      <c r="CF83" s="335" t="e">
        <f t="shared" si="69"/>
        <v>#REF!</v>
      </c>
      <c r="CG83" s="341" t="e">
        <f>VLOOKUP(C83,Theory!B84:BT154,71,FALSE)</f>
        <v>#REF!</v>
      </c>
      <c r="CH83" s="341" t="e">
        <f>VLOOKUP(C83,Theory!B84:BU154,72,FALSE)</f>
        <v>#REF!</v>
      </c>
      <c r="CI83" s="341" t="e">
        <f>VLOOKUP(C83,Theory!B84:BV154,73,FALSE)</f>
        <v>#REF!</v>
      </c>
      <c r="CJ83" s="341" t="e">
        <f>VLOOKUP(C83,Theory!B84:BW154,74,FALSE)</f>
        <v>#REF!</v>
      </c>
      <c r="CK83" s="335" t="e">
        <f t="shared" si="60"/>
        <v>#REF!</v>
      </c>
      <c r="CL83" s="340" t="e">
        <f>VLOOKUP(C83,Theory!B84:BX154,75,FALSE)</f>
        <v>#REF!</v>
      </c>
      <c r="CM83" s="342" t="e">
        <f>VLOOKUP(C83,Theory!B84:BY154,76,FALSE)</f>
        <v>#REF!</v>
      </c>
      <c r="CN83" s="342" t="e">
        <f>VLOOKUP(C83,Theory!B84:BZ154,77,FALSE)</f>
        <v>#REF!</v>
      </c>
      <c r="CO83" s="342" t="e">
        <f>VLOOKUP(C83,Theory!B84:CA154,78,FALSE)</f>
        <v>#REF!</v>
      </c>
      <c r="CP83" s="340" t="e">
        <f>VLOOKUP(C83,Theory!B84:CB154,79,FALSE)</f>
        <v>#REF!</v>
      </c>
      <c r="CQ83" s="340" t="e">
        <f>VLOOKUP(C83,Theory!B84:CC154,80,FALSE)</f>
        <v>#REF!</v>
      </c>
      <c r="CR83" s="340" t="e">
        <f>VLOOKUP(C83,Theory!B84:CD154,81,FALSE)</f>
        <v>#REF!</v>
      </c>
      <c r="CS83" s="340" t="e">
        <f>VLOOKUP(C83,Theory!B84:CE154,82,FALSE)</f>
        <v>#REF!</v>
      </c>
      <c r="CT83" s="335" t="e">
        <f t="shared" si="61"/>
        <v>#REF!</v>
      </c>
      <c r="CU83" s="341" t="e">
        <f>VLOOKUP(C83,Theory!B84:CF154,83,FALSE)</f>
        <v>#REF!</v>
      </c>
      <c r="CV83" s="342" t="e">
        <f>VLOOKUP(C83,Theory!B84:CG154,84,FALSE)</f>
        <v>#REF!</v>
      </c>
      <c r="CW83" s="342" t="e">
        <f>VLOOKUP(C83,Theory!B84:CH154,85,FALSE)</f>
        <v>#REF!</v>
      </c>
      <c r="CX83" s="342" t="e">
        <f>VLOOKUP(C83,Theory!B84:CI154,86,FALSE)</f>
        <v>#REF!</v>
      </c>
      <c r="CY83" s="341" t="e">
        <f>VLOOKUP(C83,Theory!B84:CJ154,87,FALSE)</f>
        <v>#REF!</v>
      </c>
      <c r="CZ83" s="341" t="e">
        <f>VLOOKUP(C83,Theory!B84:CK154,88,FALSE)</f>
        <v>#REF!</v>
      </c>
      <c r="DA83" s="341" t="e">
        <f>VLOOKUP(C83,Theory!B84:CL154,89,FALSE)</f>
        <v>#REF!</v>
      </c>
      <c r="DB83" s="341" t="e">
        <f>VLOOKUP(C83,Theory!B84:CM154,90,FALSE)</f>
        <v>#REF!</v>
      </c>
      <c r="DC83" s="335" t="e">
        <f t="shared" si="62"/>
        <v>#REF!</v>
      </c>
      <c r="DD83" s="340" t="e">
        <f>VLOOKUP(C83,Theory!B84:CN154,91,FALSE)</f>
        <v>#REF!</v>
      </c>
      <c r="DE83" s="342" t="e">
        <f>VLOOKUP(C83,Theory!B84:CO154,92,FALSE)</f>
        <v>#REF!</v>
      </c>
      <c r="DF83" s="342" t="e">
        <f>VLOOKUP(C83,Theory!B84:CP154,93,FALSE)</f>
        <v>#REF!</v>
      </c>
      <c r="DG83" s="342" t="e">
        <f>VLOOKUP(C83,Theory!B84:CQ154,94,FALSE)</f>
        <v>#REF!</v>
      </c>
      <c r="DH83" s="340" t="e">
        <f>VLOOKUP(C83,Theory!B84:CR154,95,FALSE)</f>
        <v>#REF!</v>
      </c>
      <c r="DI83" s="340" t="e">
        <f>VLOOKUP(C83,Theory!B84:CS154,96,FALSE)</f>
        <v>#REF!</v>
      </c>
      <c r="DJ83" s="340" t="e">
        <f>VLOOKUP(C83,Theory!B84:CT154,97,FALSE)</f>
        <v>#REF!</v>
      </c>
      <c r="DK83" s="340" t="e">
        <f>VLOOKUP(C83,Theory!B84:CU154,98,FALSE)</f>
        <v>#REF!</v>
      </c>
      <c r="DL83" s="335" t="e">
        <f t="shared" si="63"/>
        <v>#REF!</v>
      </c>
      <c r="DM83" s="265" t="e">
        <f t="shared" si="48"/>
        <v>#REF!</v>
      </c>
      <c r="DN83" s="362" t="e">
        <f t="shared" si="74"/>
        <v>#REF!</v>
      </c>
      <c r="DO83" s="362" t="e">
        <f t="shared" si="75"/>
        <v>#REF!</v>
      </c>
      <c r="DP83" s="362" t="e">
        <f t="shared" si="76"/>
        <v>#REF!</v>
      </c>
      <c r="DQ83" s="343" t="e">
        <f t="shared" si="77"/>
        <v>#REF!</v>
      </c>
      <c r="DR83" s="343" t="e">
        <f t="shared" si="78"/>
        <v>#REF!</v>
      </c>
      <c r="DS83" s="343" t="e">
        <f t="shared" si="79"/>
        <v>#REF!</v>
      </c>
      <c r="DT83" s="328" t="e">
        <f t="shared" si="70"/>
        <v>#REF!</v>
      </c>
      <c r="DU83" s="326" t="e">
        <f>VLOOKUP(C83,Theory!B84:CV154,99,FALSE)</f>
        <v>#REF!</v>
      </c>
      <c r="DV83" s="326" t="e">
        <f>VLOOKUP(C83,Theory!B84:CW154,100,FALSE)</f>
        <v>#REF!</v>
      </c>
      <c r="DW83" s="331" t="e">
        <f t="shared" si="64"/>
        <v>#REF!</v>
      </c>
      <c r="DX83" s="266" t="e">
        <f t="shared" si="49"/>
        <v>#REF!</v>
      </c>
      <c r="DY83" s="363" t="e">
        <f t="shared" si="65"/>
        <v>#REF!</v>
      </c>
      <c r="DZ83" s="344" t="e">
        <f>VLOOKUP(C83,Lab!B78:D147,3,FALSE)</f>
        <v>#REF!</v>
      </c>
      <c r="EA83" s="345" t="e">
        <f>VLOOKUP(C83,Lab!B78:E147,4,FALSE)</f>
        <v>#REF!</v>
      </c>
      <c r="EB83" s="345" t="e">
        <f>VLOOKUP(C83,Lab!B78:F147,5,FALSE)</f>
        <v>#REF!</v>
      </c>
      <c r="EC83" s="329" t="e">
        <f t="shared" si="71"/>
        <v>#REF!</v>
      </c>
      <c r="ED83" s="346" t="e">
        <f>VLOOKUP(C83,Lab!B78:G147,6,FALSE)</f>
        <v>#REF!</v>
      </c>
      <c r="EE83" s="346" t="e">
        <f>VLOOKUP(C83,Lab!B78:H147,7,FALSE)</f>
        <v>#REF!</v>
      </c>
      <c r="EF83" s="347" t="e">
        <f>VLOOKUP(C83,Lab!B78:I147,8,FALSE)</f>
        <v>#REF!</v>
      </c>
      <c r="EG83" s="330" t="e">
        <f t="shared" si="72"/>
        <v>#REF!</v>
      </c>
      <c r="EH83" s="390" t="e">
        <f t="shared" si="66"/>
        <v>#REF!</v>
      </c>
      <c r="EI83" s="349" t="e">
        <f t="shared" si="67"/>
        <v>#REF!</v>
      </c>
      <c r="EJ83" s="391" t="e">
        <f t="shared" si="50"/>
        <v>#REF!</v>
      </c>
      <c r="EK83" s="258"/>
      <c r="EL83" s="320"/>
      <c r="EM83" s="350" t="e">
        <f>VLOOKUP(C83,Theory!B84:DL154,114,FALSE)</f>
        <v>#REF!</v>
      </c>
      <c r="EN83" s="350" t="e">
        <f>VLOOKUP(C83,Theory!B84:DM154,115,FALSE)</f>
        <v>#REF!</v>
      </c>
      <c r="EO83" s="350" t="e">
        <f>VLOOKUP(C83,Theory!B84:DN154,116,FALSE)</f>
        <v>#REF!</v>
      </c>
      <c r="EP83" s="350" t="e">
        <f>VLOOKUP(C83,Theory!B84:DO152,117,FALSE)</f>
        <v>#REF!</v>
      </c>
      <c r="EQ83" s="350" t="e">
        <f>VLOOKUP(C83,Theory!B84:DP152,118,FALSE)</f>
        <v>#REF!</v>
      </c>
      <c r="ER83" s="351" t="e">
        <f>VLOOKUP(C83,Theory!B84:DQ152,119,FALSE)</f>
        <v>#REF!</v>
      </c>
      <c r="ES83" s="327" t="e">
        <f>VLOOKUP(C83,Theory!B84:DR152,120,FALSE)</f>
        <v>#REF!</v>
      </c>
      <c r="ET83" s="348" t="e">
        <f t="shared" si="73"/>
        <v>#REF!</v>
      </c>
      <c r="EU83" s="355"/>
      <c r="EV83" s="355"/>
      <c r="EW83" s="355"/>
      <c r="EX83" s="355"/>
      <c r="EY83" s="355"/>
      <c r="EZ83" s="355"/>
      <c r="FA83" s="355"/>
      <c r="FB83" s="355"/>
      <c r="FC83" s="355"/>
      <c r="FD83" s="355"/>
    </row>
    <row r="84" spans="1:160" ht="15.6" x14ac:dyDescent="0.3">
      <c r="DX84" s="389"/>
    </row>
    <row r="86" spans="1:160" x14ac:dyDescent="0.3">
      <c r="DX86" t="e">
        <f>SUM(DX79:DX83)</f>
        <v>#N/A</v>
      </c>
      <c r="DZ86"/>
      <c r="EA86"/>
      <c r="EB86"/>
      <c r="EC86"/>
      <c r="EG86"/>
      <c r="EH86"/>
      <c r="EI86"/>
      <c r="EJ86"/>
      <c r="EK86"/>
      <c r="EL86"/>
      <c r="EM86"/>
    </row>
    <row r="87" spans="1:160" x14ac:dyDescent="0.3">
      <c r="DZ87"/>
      <c r="EA87"/>
      <c r="EB87"/>
      <c r="EC87"/>
      <c r="EG87"/>
      <c r="EH87"/>
      <c r="EI87"/>
      <c r="EJ87"/>
      <c r="EK87"/>
      <c r="EL87"/>
      <c r="EM87"/>
    </row>
  </sheetData>
  <mergeCells count="27">
    <mergeCell ref="A12:A13"/>
    <mergeCell ref="CB9:DL9"/>
    <mergeCell ref="A10:C10"/>
    <mergeCell ref="S8:U8"/>
    <mergeCell ref="A1:EJ1"/>
    <mergeCell ref="D9:AN9"/>
    <mergeCell ref="AP9:BZ9"/>
    <mergeCell ref="A7:C7"/>
    <mergeCell ref="S7:U7"/>
    <mergeCell ref="DY11:DY12"/>
    <mergeCell ref="EI11:EI12"/>
    <mergeCell ref="AO8:AO12"/>
    <mergeCell ref="CA8:CA12"/>
    <mergeCell ref="DM8:DM12"/>
    <mergeCell ref="DZ9:EC9"/>
    <mergeCell ref="A2:B2"/>
    <mergeCell ref="A3:B3"/>
    <mergeCell ref="A4:B4"/>
    <mergeCell ref="ER11:ET11"/>
    <mergeCell ref="A5:C5"/>
    <mergeCell ref="A6:C6"/>
    <mergeCell ref="A8:C8"/>
    <mergeCell ref="A9:C9"/>
    <mergeCell ref="ED9:EG9"/>
    <mergeCell ref="EM9:ET9"/>
    <mergeCell ref="M6:Z6"/>
    <mergeCell ref="D7:R8"/>
  </mergeCells>
  <phoneticPr fontId="76" type="noConversion"/>
  <conditionalFormatting sqref="AY10:AY11 BH11 BQ11 BZ11 A12:D12 AU12:BZ12">
    <cfRule type="containsText" dxfId="28" priority="25" operator="containsText" text="F">
      <formula>NOT(ISERROR(SEARCH(("F"),(A10))))</formula>
    </cfRule>
  </conditionalFormatting>
  <conditionalFormatting sqref="CK11 DL11 CB12:DL12">
    <cfRule type="containsText" dxfId="27" priority="26" operator="containsText" text="F">
      <formula>NOT(ISERROR(SEARCH(("F"),(CB11))))</formula>
    </cfRule>
  </conditionalFormatting>
  <conditionalFormatting sqref="DC11">
    <cfRule type="containsText" dxfId="26" priority="18" operator="containsText" text="F">
      <formula>NOT(ISERROR(SEARCH(("F"),(DC11))))</formula>
    </cfRule>
  </conditionalFormatting>
  <conditionalFormatting sqref="DT13:DT83">
    <cfRule type="cellIs" dxfId="25" priority="17" operator="lessThan">
      <formula>12</formula>
    </cfRule>
  </conditionalFormatting>
  <conditionalFormatting sqref="DW13:DW83">
    <cfRule type="cellIs" dxfId="24" priority="16" operator="lessThan">
      <formula>8</formula>
    </cfRule>
  </conditionalFormatting>
  <conditionalFormatting sqref="EC13:EC83">
    <cfRule type="cellIs" dxfId="23" priority="15" operator="lessThan">
      <formula>12</formula>
    </cfRule>
  </conditionalFormatting>
  <conditionalFormatting sqref="EG13:EG83">
    <cfRule type="cellIs" dxfId="22" priority="14" operator="lessThan">
      <formula>8</formula>
    </cfRule>
  </conditionalFormatting>
  <conditionalFormatting sqref="EJ14:EK83">
    <cfRule type="cellIs" dxfId="21" priority="1" operator="lessThan">
      <formula>20</formula>
    </cfRule>
  </conditionalFormatting>
  <conditionalFormatting sqref="EM13:EM83">
    <cfRule type="cellIs" dxfId="20" priority="13" operator="lessThan">
      <formula>11</formula>
    </cfRule>
  </conditionalFormatting>
  <conditionalFormatting sqref="EN13">
    <cfRule type="cellIs" dxfId="19" priority="12" operator="lessThan">
      <formula>21</formula>
    </cfRule>
  </conditionalFormatting>
  <conditionalFormatting sqref="EN14:EN83">
    <cfRule type="cellIs" dxfId="18" priority="11" operator="lessThan">
      <formula>21</formula>
    </cfRule>
  </conditionalFormatting>
  <conditionalFormatting sqref="EO14:EP83">
    <cfRule type="cellIs" dxfId="17" priority="10" operator="lessThan">
      <formula>34</formula>
    </cfRule>
  </conditionalFormatting>
  <conditionalFormatting sqref="EQ14:EQ83">
    <cfRule type="cellIs" dxfId="16" priority="9" operator="lessThan">
      <formula>11</formula>
    </cfRule>
  </conditionalFormatting>
  <conditionalFormatting sqref="ER14:ER83">
    <cfRule type="cellIs" dxfId="15" priority="3" operator="lessThan">
      <formula>34</formula>
    </cfRule>
    <cfRule type="cellIs" dxfId="14" priority="8" operator="lessThan">
      <formula>34</formula>
    </cfRule>
  </conditionalFormatting>
  <conditionalFormatting sqref="ES14:ES83">
    <cfRule type="cellIs" dxfId="13" priority="7" operator="lessThan">
      <formula>11</formula>
    </cfRule>
  </conditionalFormatting>
  <conditionalFormatting sqref="ET14:ET83">
    <cfRule type="cellIs" dxfId="12" priority="6" operator="lessThan">
      <formula>45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"/>
  <sheetViews>
    <sheetView zoomScale="96" zoomScaleNormal="96" workbookViewId="0">
      <selection activeCell="F7" sqref="F7"/>
    </sheetView>
  </sheetViews>
  <sheetFormatPr defaultRowHeight="14.4" x14ac:dyDescent="0.3"/>
  <cols>
    <col min="1" max="1" width="9.88671875" style="41" customWidth="1"/>
    <col min="2" max="2" width="11.5546875" bestFit="1" customWidth="1"/>
    <col min="3" max="3" width="9.88671875" style="313" hidden="1" customWidth="1"/>
    <col min="4" max="4" width="8.88671875" style="313" hidden="1" customWidth="1"/>
    <col min="5" max="5" width="8.33203125" style="313" hidden="1" customWidth="1"/>
    <col min="6" max="6" width="8.109375" style="314" customWidth="1"/>
    <col min="7" max="7" width="7" style="314" customWidth="1"/>
    <col min="8" max="8" width="8.6640625" style="314" customWidth="1"/>
    <col min="9" max="9" width="7.109375" style="314" customWidth="1"/>
    <col min="10" max="10" width="8" style="314" customWidth="1"/>
    <col min="11" max="11" width="7.6640625" style="314" bestFit="1" customWidth="1"/>
    <col min="12" max="12" width="7.6640625" style="314" customWidth="1"/>
    <col min="13" max="14" width="10.33203125" style="314" customWidth="1"/>
    <col min="15" max="15" width="7.88671875" style="314" customWidth="1"/>
    <col min="16" max="16" width="8.33203125" style="314" customWidth="1"/>
    <col min="17" max="17" width="7.6640625" style="314" customWidth="1"/>
    <col min="18" max="18" width="9.109375" style="41"/>
    <col min="20" max="21" width="9.109375" style="41"/>
    <col min="22" max="22" width="11.33203125" style="41" customWidth="1"/>
  </cols>
  <sheetData>
    <row r="1" spans="1:31" s="316" customFormat="1" ht="47.25" customHeight="1" x14ac:dyDescent="0.3">
      <c r="A1" s="627" t="s">
        <v>227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8"/>
      <c r="N1" s="625" t="s">
        <v>228</v>
      </c>
      <c r="O1" s="626"/>
      <c r="P1" s="626"/>
      <c r="Q1" s="626"/>
      <c r="R1" s="626"/>
      <c r="S1" s="629" t="s">
        <v>229</v>
      </c>
      <c r="T1" s="630"/>
      <c r="U1" s="630"/>
      <c r="V1" s="630"/>
      <c r="W1" s="630"/>
      <c r="X1" s="395"/>
      <c r="Y1" s="395"/>
      <c r="Z1" s="368"/>
      <c r="AA1" s="368"/>
      <c r="AB1" s="368"/>
      <c r="AC1" s="368"/>
      <c r="AD1" s="368"/>
      <c r="AE1" s="369"/>
    </row>
    <row r="2" spans="1:31" s="150" customFormat="1" ht="51.75" customHeight="1" x14ac:dyDescent="0.3">
      <c r="A2" s="324" t="s">
        <v>227</v>
      </c>
      <c r="B2" s="365" t="s">
        <v>15</v>
      </c>
      <c r="C2" s="317" t="s">
        <v>234</v>
      </c>
      <c r="D2" s="317" t="s">
        <v>235</v>
      </c>
      <c r="E2" s="317" t="s">
        <v>236</v>
      </c>
      <c r="F2" s="318" t="s">
        <v>237</v>
      </c>
      <c r="G2" s="318" t="s">
        <v>238</v>
      </c>
      <c r="H2" s="318" t="s">
        <v>235</v>
      </c>
      <c r="I2" s="318" t="s">
        <v>236</v>
      </c>
      <c r="J2" s="318" t="s">
        <v>239</v>
      </c>
      <c r="K2" s="318" t="s">
        <v>240</v>
      </c>
      <c r="L2" s="318" t="s">
        <v>254</v>
      </c>
      <c r="M2" s="318" t="s">
        <v>255</v>
      </c>
      <c r="N2" s="268" t="s">
        <v>228</v>
      </c>
      <c r="O2" s="319" t="s">
        <v>241</v>
      </c>
      <c r="P2" s="319" t="s">
        <v>242</v>
      </c>
      <c r="Q2" s="319" t="s">
        <v>240</v>
      </c>
      <c r="R2" s="137" t="s">
        <v>220</v>
      </c>
      <c r="S2" s="268" t="s">
        <v>229</v>
      </c>
      <c r="T2" s="385" t="s">
        <v>278</v>
      </c>
      <c r="U2" s="385" t="s">
        <v>279</v>
      </c>
      <c r="V2" s="385" t="s">
        <v>280</v>
      </c>
      <c r="W2" s="385" t="s">
        <v>281</v>
      </c>
      <c r="X2" s="309" t="s">
        <v>235</v>
      </c>
      <c r="Y2" s="309" t="s">
        <v>236</v>
      </c>
      <c r="Z2" s="315" t="s">
        <v>220</v>
      </c>
    </row>
    <row r="3" spans="1:31" s="214" customFormat="1" x14ac:dyDescent="0.3">
      <c r="A3" s="366"/>
      <c r="B3" s="318" t="s">
        <v>134</v>
      </c>
      <c r="C3" s="317">
        <v>40</v>
      </c>
      <c r="D3" s="317">
        <v>30</v>
      </c>
      <c r="E3" s="317">
        <v>20</v>
      </c>
      <c r="F3" s="318">
        <v>40</v>
      </c>
      <c r="G3" s="318">
        <v>12</v>
      </c>
      <c r="H3" s="318">
        <v>30</v>
      </c>
      <c r="I3" s="318">
        <v>20</v>
      </c>
      <c r="J3" s="318">
        <v>30</v>
      </c>
      <c r="K3" s="318">
        <v>20</v>
      </c>
      <c r="L3" s="318">
        <v>50</v>
      </c>
      <c r="M3" s="318">
        <f>SUM(F3:G3)</f>
        <v>52</v>
      </c>
      <c r="N3" s="318" t="s">
        <v>134</v>
      </c>
      <c r="O3" s="319">
        <v>12</v>
      </c>
      <c r="P3" s="319">
        <v>30</v>
      </c>
      <c r="Q3" s="319">
        <v>20</v>
      </c>
      <c r="R3" s="137">
        <f>SUM(P3:Q3)</f>
        <v>50</v>
      </c>
      <c r="S3" s="399" t="s">
        <v>134</v>
      </c>
      <c r="T3" s="386">
        <v>12</v>
      </c>
      <c r="U3" s="386">
        <v>24</v>
      </c>
      <c r="V3" s="386">
        <v>40</v>
      </c>
      <c r="W3" s="386">
        <v>52</v>
      </c>
      <c r="X3" s="315">
        <v>30</v>
      </c>
      <c r="Y3" s="315">
        <v>20</v>
      </c>
      <c r="Z3" s="315">
        <f>SUM(X3:Y3)</f>
        <v>50</v>
      </c>
    </row>
    <row r="4" spans="1:31" s="214" customFormat="1" x14ac:dyDescent="0.3">
      <c r="A4" s="367" t="s">
        <v>243</v>
      </c>
      <c r="B4" s="318" t="s">
        <v>258</v>
      </c>
      <c r="C4" s="317">
        <v>34</v>
      </c>
      <c r="D4" s="317">
        <v>12</v>
      </c>
      <c r="E4" s="317">
        <v>8</v>
      </c>
      <c r="F4" s="318">
        <v>34</v>
      </c>
      <c r="G4" s="318">
        <v>11</v>
      </c>
      <c r="H4" s="318">
        <v>12</v>
      </c>
      <c r="I4" s="318">
        <v>8</v>
      </c>
      <c r="J4" s="318">
        <v>12</v>
      </c>
      <c r="K4" s="318">
        <v>8</v>
      </c>
      <c r="L4" s="318">
        <v>20</v>
      </c>
      <c r="M4" s="318">
        <f>SUM(F4:G4)</f>
        <v>45</v>
      </c>
      <c r="N4" s="318" t="s">
        <v>258</v>
      </c>
      <c r="O4" s="319">
        <v>11</v>
      </c>
      <c r="P4" s="319">
        <v>12</v>
      </c>
      <c r="Q4" s="319">
        <v>8</v>
      </c>
      <c r="R4" s="137">
        <f t="shared" ref="R4:R67" si="0">SUM(P4:Q4)</f>
        <v>20</v>
      </c>
      <c r="S4" s="399" t="s">
        <v>258</v>
      </c>
      <c r="T4" s="315">
        <v>11</v>
      </c>
      <c r="U4" s="315">
        <v>11</v>
      </c>
      <c r="V4" s="315">
        <v>34</v>
      </c>
      <c r="W4" s="315">
        <v>45</v>
      </c>
      <c r="X4" s="315">
        <v>12</v>
      </c>
      <c r="Y4" s="315">
        <v>8</v>
      </c>
      <c r="Z4" s="315">
        <f t="shared" ref="Z4:Z67" si="1">SUM(X4:Y4)</f>
        <v>20</v>
      </c>
    </row>
    <row r="5" spans="1:31" x14ac:dyDescent="0.3">
      <c r="A5" s="64">
        <v>1</v>
      </c>
      <c r="B5" s="48" t="str">
        <f>Theory!B17</f>
        <v>1DS21AI001</v>
      </c>
      <c r="C5" s="310"/>
      <c r="D5" s="310"/>
      <c r="E5" s="310"/>
      <c r="F5" s="311" t="str">
        <f>IF(Theory!D$9="YES",VLOOKUP(B5,'CIA MARKS'!C14:ER83,146,FALSE),"")</f>
        <v/>
      </c>
      <c r="G5" s="311" t="str">
        <f>IF(Theory!D$9="YES",VLOOKUP(B5,'CIA MARKS'!C14:ES83,147,FALSE),"")</f>
        <v/>
      </c>
      <c r="H5" s="311" t="str">
        <f>IF(Theory!D$9="YES",VLOOKUP(B5,'CIA MARKS'!C14:DT83,122,FALSE),"")</f>
        <v/>
      </c>
      <c r="I5" s="311" t="str">
        <f>IF(Theory!D$9="YES",VLOOKUP(B5,'CIA MARKS'!C14:DW83,125,FALSE),"")</f>
        <v/>
      </c>
      <c r="J5" s="311" t="str">
        <f>IF(Theory!D$9="YES",VLOOKUP(B5,'CIA MARKS'!C14:EC83,131,FALSE),"")</f>
        <v/>
      </c>
      <c r="K5" s="311" t="str">
        <f>IF(Theory!D$9="YES",VLOOKUP(B5,'CIA MARKS'!C14:EG83,135,FALSE),"")</f>
        <v/>
      </c>
      <c r="L5" s="311" t="str">
        <f>IF(Theory!D$9="YES",VLOOKUP(B5,'CIA MARKS'!C14:EJ83,138,FALSE),"")</f>
        <v/>
      </c>
      <c r="M5" s="318">
        <f t="shared" ref="M5:M68" si="2">SUM(F5:G5)</f>
        <v>0</v>
      </c>
      <c r="N5" s="364"/>
      <c r="O5" s="312" t="str">
        <f>IF(Theory!D$8="YES",VLOOKUP(B5,'CIA MARKS'!C14:ES83,147,FALSE),"")</f>
        <v/>
      </c>
      <c r="P5" s="312" t="str">
        <f>IF(Theory!D$8="YES",VLOOKUP(B5,'CIA MARKS'!C14:EC83,131,FALSE),"")</f>
        <v/>
      </c>
      <c r="Q5" s="312" t="str">
        <f>IF(Theory!D$8="YES",VLOOKUP(B5,'CIA MARKS'!C14:EG83,135,FALSE),"")</f>
        <v/>
      </c>
      <c r="R5" s="137">
        <f t="shared" si="0"/>
        <v>0</v>
      </c>
      <c r="T5" s="64" cm="1">
        <f t="array" ref="T5:T71">IF(Theory!DL14="CREDIT-1",Theory!DL17:DL83,"")</f>
        <v>0</v>
      </c>
      <c r="U5" s="64" cm="1">
        <f t="array" ref="U5:U71">IF(Theory!DM14="CREDIT-2",Theory!DM17:DM83,"")</f>
        <v>0</v>
      </c>
      <c r="V5" s="64" cm="1">
        <f t="array" ref="V5:V71">IF(Theory!DN14="CREDIT-3",Theory!DN17:DN83,"")</f>
        <v>0</v>
      </c>
      <c r="W5" s="48" cm="1">
        <f t="array" ref="W5:W71">IF(Theory!DO14="CREDIT-4",Theory!DO17:DO83,"")</f>
        <v>0</v>
      </c>
      <c r="X5" s="64">
        <f>IF(Theory!D$7="YES",VLOOKUP(B5,'CIA MARKS'!C14:DT83,122,FALSE),"")</f>
        <v>26</v>
      </c>
      <c r="Y5" s="64">
        <f>IF(Theory!D$7="YES",VLOOKUP(B5,'CIA MARKS'!C14:DW83,125,FALSE),"")</f>
        <v>15</v>
      </c>
      <c r="Z5" s="315">
        <f t="shared" si="1"/>
        <v>41</v>
      </c>
    </row>
    <row r="6" spans="1:31" x14ac:dyDescent="0.3">
      <c r="A6" s="64">
        <v>2</v>
      </c>
      <c r="B6" s="48" t="str">
        <f>Theory!B18</f>
        <v>1DS21AI002</v>
      </c>
      <c r="C6" s="310"/>
      <c r="D6" s="310"/>
      <c r="E6" s="310"/>
      <c r="F6" s="311" t="str">
        <f>IF(Theory!D$9="YES",VLOOKUP(B6,'CIA MARKS'!C15:ER84,146,FALSE),"")</f>
        <v/>
      </c>
      <c r="G6" s="311" t="str">
        <f>IF(Theory!D$9="YES",VLOOKUP(B6,'CIA MARKS'!C15:ES84,147,FALSE),"")</f>
        <v/>
      </c>
      <c r="H6" s="311" t="str">
        <f>IF(Theory!D$9="YES",VLOOKUP(B6,'CIA MARKS'!C15:DT84,122,FALSE),"")</f>
        <v/>
      </c>
      <c r="I6" s="311" t="str">
        <f>IF(Theory!D$9="YES",VLOOKUP(B6,'CIA MARKS'!C15:DW84,125,FALSE),"")</f>
        <v/>
      </c>
      <c r="J6" s="311" t="str">
        <f>IF(Theory!D$9="YES",VLOOKUP(B6,'CIA MARKS'!C15:EC84,131,FALSE),"")</f>
        <v/>
      </c>
      <c r="K6" s="311" t="str">
        <f>IF(Theory!D$9="YES",VLOOKUP(B6,'CIA MARKS'!C15:EG84,135,FALSE),"")</f>
        <v/>
      </c>
      <c r="L6" s="311" t="str">
        <f>IF(Theory!D$9="YES",VLOOKUP(B6,'CIA MARKS'!C15:EJ84,138,FALSE),"")</f>
        <v/>
      </c>
      <c r="M6" s="318">
        <f t="shared" si="2"/>
        <v>0</v>
      </c>
      <c r="N6" s="364"/>
      <c r="O6" s="312" t="str">
        <f>IF(Theory!D$8="YES",VLOOKUP(B6,'CIA MARKS'!C15:ES84,147,FALSE),"")</f>
        <v/>
      </c>
      <c r="P6" s="312" t="str">
        <f>IF(Theory!D$8="YES",VLOOKUP(B6,'CIA MARKS'!C15:EC84,131,FALSE),"")</f>
        <v/>
      </c>
      <c r="Q6" s="312" t="str">
        <f>IF(Theory!D$8="YES",VLOOKUP(B6,'CIA MARKS'!C15:EG84,135,FALSE),"")</f>
        <v/>
      </c>
      <c r="R6" s="137">
        <f t="shared" si="0"/>
        <v>0</v>
      </c>
      <c r="T6" s="64">
        <v>0</v>
      </c>
      <c r="U6" s="64">
        <v>0</v>
      </c>
      <c r="V6" s="64">
        <v>0</v>
      </c>
      <c r="W6" s="48">
        <v>0</v>
      </c>
      <c r="X6" s="64">
        <f>IF(Theory!D$7="YES",VLOOKUP(B6,'CIA MARKS'!C15:DT84,122,FALSE),"")</f>
        <v>28</v>
      </c>
      <c r="Y6" s="64">
        <f>IF(Theory!D$7="YES",VLOOKUP(B6,'CIA MARKS'!C15:DW84,125,FALSE),"")</f>
        <v>20</v>
      </c>
      <c r="Z6" s="315">
        <f t="shared" si="1"/>
        <v>48</v>
      </c>
    </row>
    <row r="7" spans="1:31" x14ac:dyDescent="0.3">
      <c r="A7" s="64">
        <v>3</v>
      </c>
      <c r="B7" s="48" t="str">
        <f>Theory!B19</f>
        <v>1DS21AI005</v>
      </c>
      <c r="C7" s="310"/>
      <c r="D7" s="310"/>
      <c r="E7" s="310"/>
      <c r="F7" s="311" t="str">
        <f>IF(Theory!D$9="YES",VLOOKUP(B7,'CIA MARKS'!C16:ER85,146,FALSE),"")</f>
        <v/>
      </c>
      <c r="G7" s="311" t="str">
        <f>IF(Theory!D$9="YES",VLOOKUP(B7,'CIA MARKS'!C16:ES85,147,FALSE),"")</f>
        <v/>
      </c>
      <c r="H7" s="311" t="str">
        <f>IF(Theory!D$9="YES",VLOOKUP(B7,'CIA MARKS'!C16:DT85,122,FALSE),"")</f>
        <v/>
      </c>
      <c r="I7" s="311" t="str">
        <f>IF(Theory!D$9="YES",VLOOKUP(B7,'CIA MARKS'!C16:DW85,125,FALSE),"")</f>
        <v/>
      </c>
      <c r="J7" s="311" t="str">
        <f>IF(Theory!D$9="YES",VLOOKUP(B7,'CIA MARKS'!C16:EC85,131,FALSE),"")</f>
        <v/>
      </c>
      <c r="K7" s="311" t="str">
        <f>IF(Theory!D$9="YES",VLOOKUP(B7,'CIA MARKS'!C16:EG85,135,FALSE),"")</f>
        <v/>
      </c>
      <c r="L7" s="311" t="str">
        <f>IF(Theory!D$9="YES",VLOOKUP(B7,'CIA MARKS'!C16:EJ85,138,FALSE),"")</f>
        <v/>
      </c>
      <c r="M7" s="318">
        <f t="shared" si="2"/>
        <v>0</v>
      </c>
      <c r="N7" s="364"/>
      <c r="O7" s="312" t="str">
        <f>IF(Theory!D$8="YES",VLOOKUP(B7,'CIA MARKS'!C16:ES85,147,FALSE),"")</f>
        <v/>
      </c>
      <c r="P7" s="312" t="str">
        <f>IF(Theory!D$8="YES",VLOOKUP(B7,'CIA MARKS'!C16:EC85,131,FALSE),"")</f>
        <v/>
      </c>
      <c r="Q7" s="312" t="str">
        <f>IF(Theory!D$8="YES",VLOOKUP(B7,'CIA MARKS'!C16:EG85,135,FALSE),"")</f>
        <v/>
      </c>
      <c r="R7" s="137">
        <f t="shared" si="0"/>
        <v>0</v>
      </c>
      <c r="T7" s="64">
        <v>0</v>
      </c>
      <c r="U7" s="64">
        <v>0</v>
      </c>
      <c r="V7" s="64">
        <v>0</v>
      </c>
      <c r="W7" s="48">
        <v>0</v>
      </c>
      <c r="X7" s="64">
        <f>IF(Theory!D$7="YES",VLOOKUP(B7,'CIA MARKS'!C16:DT85,122,FALSE),"")</f>
        <v>27</v>
      </c>
      <c r="Y7" s="64">
        <f>IF(Theory!D$7="YES",VLOOKUP(B7,'CIA MARKS'!C16:DW85,125,FALSE),"")</f>
        <v>20</v>
      </c>
      <c r="Z7" s="315">
        <f t="shared" si="1"/>
        <v>47</v>
      </c>
    </row>
    <row r="8" spans="1:31" x14ac:dyDescent="0.3">
      <c r="A8" s="64">
        <v>4</v>
      </c>
      <c r="B8" s="48" t="str">
        <f>Theory!B20</f>
        <v>1DS21AI006</v>
      </c>
      <c r="C8" s="310"/>
      <c r="D8" s="310"/>
      <c r="E8" s="310"/>
      <c r="F8" s="311" t="str">
        <f>IF(Theory!D$9="YES",VLOOKUP(B8,'CIA MARKS'!C17:ER86,146,FALSE),"")</f>
        <v/>
      </c>
      <c r="G8" s="311" t="str">
        <f>IF(Theory!D$9="YES",VLOOKUP(B8,'CIA MARKS'!C17:ES86,147,FALSE),"")</f>
        <v/>
      </c>
      <c r="H8" s="311" t="str">
        <f>IF(Theory!D$9="YES",VLOOKUP(B8,'CIA MARKS'!C17:DT86,122,FALSE),"")</f>
        <v/>
      </c>
      <c r="I8" s="311" t="str">
        <f>IF(Theory!D$9="YES",VLOOKUP(B8,'CIA MARKS'!C17:DW86,125,FALSE),"")</f>
        <v/>
      </c>
      <c r="J8" s="311" t="str">
        <f>IF(Theory!D$9="YES",VLOOKUP(B8,'CIA MARKS'!C17:EC86,131,FALSE),"")</f>
        <v/>
      </c>
      <c r="K8" s="311" t="str">
        <f>IF(Theory!D$9="YES",VLOOKUP(B8,'CIA MARKS'!C17:EG86,135,FALSE),"")</f>
        <v/>
      </c>
      <c r="L8" s="311" t="str">
        <f>IF(Theory!D$9="YES",VLOOKUP(B8,'CIA MARKS'!C17:EJ86,138,FALSE),"")</f>
        <v/>
      </c>
      <c r="M8" s="318">
        <f t="shared" si="2"/>
        <v>0</v>
      </c>
      <c r="N8" s="364"/>
      <c r="O8" s="312" t="str">
        <f>IF(Theory!D$8="YES",VLOOKUP(B8,'CIA MARKS'!C17:ES86,147,FALSE),"")</f>
        <v/>
      </c>
      <c r="P8" s="312" t="str">
        <f>IF(Theory!D$8="YES",VLOOKUP(B8,'CIA MARKS'!C17:EC86,131,FALSE),"")</f>
        <v/>
      </c>
      <c r="Q8" s="312" t="str">
        <f>IF(Theory!D$8="YES",VLOOKUP(B8,'CIA MARKS'!C17:EG86,135,FALSE),"")</f>
        <v/>
      </c>
      <c r="R8" s="137">
        <f t="shared" si="0"/>
        <v>0</v>
      </c>
      <c r="T8" s="64">
        <v>0</v>
      </c>
      <c r="U8" s="64">
        <v>0</v>
      </c>
      <c r="V8" s="64">
        <v>0</v>
      </c>
      <c r="W8" s="48">
        <v>0</v>
      </c>
      <c r="X8" s="64">
        <f>IF(Theory!D$7="YES",VLOOKUP(B8,'CIA MARKS'!C17:DT86,122,FALSE),"")</f>
        <v>15</v>
      </c>
      <c r="Y8" s="64">
        <f>IF(Theory!D$7="YES",VLOOKUP(B8,'CIA MARKS'!C17:DW86,125,FALSE),"")</f>
        <v>20</v>
      </c>
      <c r="Z8" s="315">
        <f t="shared" si="1"/>
        <v>35</v>
      </c>
    </row>
    <row r="9" spans="1:31" x14ac:dyDescent="0.3">
      <c r="A9" s="64">
        <v>5</v>
      </c>
      <c r="B9" s="48" t="str">
        <f>Theory!B21</f>
        <v>1DS21AI007</v>
      </c>
      <c r="C9" s="310"/>
      <c r="D9" s="310"/>
      <c r="E9" s="310"/>
      <c r="F9" s="311" t="str">
        <f>IF(Theory!D$9="YES",VLOOKUP(B9,'CIA MARKS'!C18:ER87,146,FALSE),"")</f>
        <v/>
      </c>
      <c r="G9" s="311" t="str">
        <f>IF(Theory!D$9="YES",VLOOKUP(B9,'CIA MARKS'!C18:ES87,147,FALSE),"")</f>
        <v/>
      </c>
      <c r="H9" s="311" t="str">
        <f>IF(Theory!D$9="YES",VLOOKUP(B9,'CIA MARKS'!C18:DT87,122,FALSE),"")</f>
        <v/>
      </c>
      <c r="I9" s="311" t="str">
        <f>IF(Theory!D$9="YES",VLOOKUP(B9,'CIA MARKS'!C18:DW87,125,FALSE),"")</f>
        <v/>
      </c>
      <c r="J9" s="311" t="str">
        <f>IF(Theory!D$9="YES",VLOOKUP(B9,'CIA MARKS'!C18:EC87,131,FALSE),"")</f>
        <v/>
      </c>
      <c r="K9" s="311" t="str">
        <f>IF(Theory!D$9="YES",VLOOKUP(B9,'CIA MARKS'!C18:EG87,135,FALSE),"")</f>
        <v/>
      </c>
      <c r="L9" s="311" t="str">
        <f>IF(Theory!D$9="YES",VLOOKUP(B9,'CIA MARKS'!C18:EJ87,138,FALSE),"")</f>
        <v/>
      </c>
      <c r="M9" s="318">
        <f t="shared" si="2"/>
        <v>0</v>
      </c>
      <c r="N9" s="364"/>
      <c r="O9" s="312" t="str">
        <f>IF(Theory!D$8="YES",VLOOKUP(B9,'CIA MARKS'!C18:ES87,147,FALSE),"")</f>
        <v/>
      </c>
      <c r="P9" s="312" t="str">
        <f>IF(Theory!D$8="YES",VLOOKUP(B9,'CIA MARKS'!C18:EC87,131,FALSE),"")</f>
        <v/>
      </c>
      <c r="Q9" s="312" t="str">
        <f>IF(Theory!D$8="YES",VLOOKUP(B9,'CIA MARKS'!C18:EG87,135,FALSE),"")</f>
        <v/>
      </c>
      <c r="R9" s="137">
        <f t="shared" si="0"/>
        <v>0</v>
      </c>
      <c r="T9" s="64">
        <v>0</v>
      </c>
      <c r="U9" s="64">
        <v>0</v>
      </c>
      <c r="V9" s="64">
        <v>0</v>
      </c>
      <c r="W9" s="48">
        <v>0</v>
      </c>
      <c r="X9" s="64">
        <f>IF(Theory!D$7="YES",VLOOKUP(B9,'CIA MARKS'!C18:DT87,122,FALSE),"")</f>
        <v>11</v>
      </c>
      <c r="Y9" s="64">
        <f>IF(Theory!D$7="YES",VLOOKUP(B9,'CIA MARKS'!C18:DW87,125,FALSE),"")</f>
        <v>20</v>
      </c>
      <c r="Z9" s="315">
        <f t="shared" si="1"/>
        <v>31</v>
      </c>
    </row>
    <row r="10" spans="1:31" x14ac:dyDescent="0.3">
      <c r="A10" s="64">
        <v>6</v>
      </c>
      <c r="B10" s="48" t="str">
        <f>Theory!B22</f>
        <v>1DS21AI009</v>
      </c>
      <c r="C10" s="310"/>
      <c r="D10" s="310"/>
      <c r="E10" s="310"/>
      <c r="F10" s="311" t="str">
        <f>IF(Theory!D$9="YES",VLOOKUP(B10,'CIA MARKS'!C19:ER88,146,FALSE),"")</f>
        <v/>
      </c>
      <c r="G10" s="311" t="str">
        <f>IF(Theory!D$9="YES",VLOOKUP(B10,'CIA MARKS'!C19:ES88,147,FALSE),"")</f>
        <v/>
      </c>
      <c r="H10" s="311" t="str">
        <f>IF(Theory!D$9="YES",VLOOKUP(B10,'CIA MARKS'!C19:DT88,122,FALSE),"")</f>
        <v/>
      </c>
      <c r="I10" s="311" t="str">
        <f>IF(Theory!D$9="YES",VLOOKUP(B10,'CIA MARKS'!C19:DW88,125,FALSE),"")</f>
        <v/>
      </c>
      <c r="J10" s="311" t="str">
        <f>IF(Theory!D$9="YES",VLOOKUP(B10,'CIA MARKS'!C19:EC88,131,FALSE),"")</f>
        <v/>
      </c>
      <c r="K10" s="311" t="str">
        <f>IF(Theory!D$9="YES",VLOOKUP(B10,'CIA MARKS'!C19:EG88,135,FALSE),"")</f>
        <v/>
      </c>
      <c r="L10" s="311" t="str">
        <f>IF(Theory!D$9="YES",VLOOKUP(B10,'CIA MARKS'!C19:EJ88,138,FALSE),"")</f>
        <v/>
      </c>
      <c r="M10" s="318">
        <f t="shared" si="2"/>
        <v>0</v>
      </c>
      <c r="N10" s="364"/>
      <c r="O10" s="312" t="str">
        <f>IF(Theory!D$8="YES",VLOOKUP(B10,'CIA MARKS'!C19:ES88,147,FALSE),"")</f>
        <v/>
      </c>
      <c r="P10" s="312" t="str">
        <f>IF(Theory!D$8="YES",VLOOKUP(B10,'CIA MARKS'!C19:EC88,131,FALSE),"")</f>
        <v/>
      </c>
      <c r="Q10" s="312" t="str">
        <f>IF(Theory!D$8="YES",VLOOKUP(B10,'CIA MARKS'!C19:EG88,135,FALSE),"")</f>
        <v/>
      </c>
      <c r="R10" s="137">
        <f t="shared" si="0"/>
        <v>0</v>
      </c>
      <c r="T10" s="64">
        <v>0</v>
      </c>
      <c r="U10" s="64">
        <v>0</v>
      </c>
      <c r="V10" s="64">
        <v>0</v>
      </c>
      <c r="W10" s="48">
        <v>0</v>
      </c>
      <c r="X10" s="64">
        <f>IF(Theory!D$7="YES",VLOOKUP(B10,'CIA MARKS'!C19:DT88,122,FALSE),"")</f>
        <v>26</v>
      </c>
      <c r="Y10" s="64">
        <f>IF(Theory!D$7="YES",VLOOKUP(B10,'CIA MARKS'!C19:DW88,125,FALSE),"")</f>
        <v>20</v>
      </c>
      <c r="Z10" s="315">
        <f t="shared" si="1"/>
        <v>46</v>
      </c>
    </row>
    <row r="11" spans="1:31" x14ac:dyDescent="0.3">
      <c r="A11" s="64">
        <v>7</v>
      </c>
      <c r="B11" s="48" t="str">
        <f>Theory!B23</f>
        <v>1DS21AI014</v>
      </c>
      <c r="C11" s="310"/>
      <c r="D11" s="310"/>
      <c r="E11" s="310"/>
      <c r="F11" s="311" t="str">
        <f>IF(Theory!D$9="YES",VLOOKUP(B11,'CIA MARKS'!C20:ER89,146,FALSE),"")</f>
        <v/>
      </c>
      <c r="G11" s="311" t="str">
        <f>IF(Theory!D$9="YES",VLOOKUP(B11,'CIA MARKS'!C20:ES89,147,FALSE),"")</f>
        <v/>
      </c>
      <c r="H11" s="311" t="str">
        <f>IF(Theory!D$9="YES",VLOOKUP(B11,'CIA MARKS'!C20:DT89,122,FALSE),"")</f>
        <v/>
      </c>
      <c r="I11" s="311" t="str">
        <f>IF(Theory!D$9="YES",VLOOKUP(B11,'CIA MARKS'!C20:DW89,125,FALSE),"")</f>
        <v/>
      </c>
      <c r="J11" s="311" t="str">
        <f>IF(Theory!D$9="YES",VLOOKUP(B11,'CIA MARKS'!C20:EC89,131,FALSE),"")</f>
        <v/>
      </c>
      <c r="K11" s="311" t="str">
        <f>IF(Theory!D$9="YES",VLOOKUP(B11,'CIA MARKS'!C20:EG89,135,FALSE),"")</f>
        <v/>
      </c>
      <c r="L11" s="311" t="str">
        <f>IF(Theory!D$9="YES",VLOOKUP(B11,'CIA MARKS'!C20:EJ89,138,FALSE),"")</f>
        <v/>
      </c>
      <c r="M11" s="318">
        <f t="shared" si="2"/>
        <v>0</v>
      </c>
      <c r="N11" s="364"/>
      <c r="O11" s="312" t="str">
        <f>IF(Theory!D$8="YES",VLOOKUP(B11,'CIA MARKS'!C20:ES89,147,FALSE),"")</f>
        <v/>
      </c>
      <c r="P11" s="312" t="str">
        <f>IF(Theory!D$8="YES",VLOOKUP(B11,'CIA MARKS'!C20:EC89,131,FALSE),"")</f>
        <v/>
      </c>
      <c r="Q11" s="312" t="str">
        <f>IF(Theory!D$8="YES",VLOOKUP(B11,'CIA MARKS'!C20:EG89,135,FALSE),"")</f>
        <v/>
      </c>
      <c r="R11" s="137">
        <f t="shared" si="0"/>
        <v>0</v>
      </c>
      <c r="T11" s="64">
        <v>0</v>
      </c>
      <c r="U11" s="64">
        <v>0</v>
      </c>
      <c r="V11" s="64">
        <v>0</v>
      </c>
      <c r="W11" s="48">
        <v>0</v>
      </c>
      <c r="X11" s="64">
        <f>IF(Theory!D$7="YES",VLOOKUP(B11,'CIA MARKS'!C20:DT89,122,FALSE),"")</f>
        <v>21</v>
      </c>
      <c r="Y11" s="64">
        <f>IF(Theory!D$7="YES",VLOOKUP(B11,'CIA MARKS'!C20:DW89,125,FALSE),"")</f>
        <v>20</v>
      </c>
      <c r="Z11" s="315">
        <f t="shared" si="1"/>
        <v>41</v>
      </c>
    </row>
    <row r="12" spans="1:31" x14ac:dyDescent="0.3">
      <c r="A12" s="64">
        <v>8</v>
      </c>
      <c r="B12" s="48" t="str">
        <f>Theory!B24</f>
        <v>1DS21AI017</v>
      </c>
      <c r="C12" s="310"/>
      <c r="D12" s="310"/>
      <c r="E12" s="310"/>
      <c r="F12" s="311" t="str">
        <f>IF(Theory!D$9="YES",VLOOKUP(B12,'CIA MARKS'!C21:ER90,146,FALSE),"")</f>
        <v/>
      </c>
      <c r="G12" s="311" t="str">
        <f>IF(Theory!D$9="YES",VLOOKUP(B12,'CIA MARKS'!C21:ES90,147,FALSE),"")</f>
        <v/>
      </c>
      <c r="H12" s="311" t="str">
        <f>IF(Theory!D$9="YES",VLOOKUP(B12,'CIA MARKS'!C21:DT90,122,FALSE),"")</f>
        <v/>
      </c>
      <c r="I12" s="311" t="str">
        <f>IF(Theory!D$9="YES",VLOOKUP(B12,'CIA MARKS'!C21:DW90,125,FALSE),"")</f>
        <v/>
      </c>
      <c r="J12" s="311" t="str">
        <f>IF(Theory!D$9="YES",VLOOKUP(B12,'CIA MARKS'!C21:EC90,131,FALSE),"")</f>
        <v/>
      </c>
      <c r="K12" s="311" t="str">
        <f>IF(Theory!D$9="YES",VLOOKUP(B12,'CIA MARKS'!C21:EG90,135,FALSE),"")</f>
        <v/>
      </c>
      <c r="L12" s="311" t="str">
        <f>IF(Theory!D$9="YES",VLOOKUP(B12,'CIA MARKS'!C21:EJ90,138,FALSE),"")</f>
        <v/>
      </c>
      <c r="M12" s="318">
        <f t="shared" si="2"/>
        <v>0</v>
      </c>
      <c r="N12" s="364"/>
      <c r="O12" s="312" t="str">
        <f>IF(Theory!D$8="YES",VLOOKUP(B12,'CIA MARKS'!C21:ES90,147,FALSE),"")</f>
        <v/>
      </c>
      <c r="P12" s="312" t="str">
        <f>IF(Theory!D$8="YES",VLOOKUP(B12,'CIA MARKS'!C21:EC90,131,FALSE),"")</f>
        <v/>
      </c>
      <c r="Q12" s="312" t="str">
        <f>IF(Theory!D$8="YES",VLOOKUP(B12,'CIA MARKS'!C21:EG90,135,FALSE),"")</f>
        <v/>
      </c>
      <c r="R12" s="137">
        <f t="shared" si="0"/>
        <v>0</v>
      </c>
      <c r="T12" s="64">
        <v>0</v>
      </c>
      <c r="U12" s="64">
        <v>0</v>
      </c>
      <c r="V12" s="64">
        <v>0</v>
      </c>
      <c r="W12" s="48">
        <v>0</v>
      </c>
      <c r="X12" s="64">
        <f>IF(Theory!D$7="YES",VLOOKUP(B12,'CIA MARKS'!C21:DT90,122,FALSE),"")</f>
        <v>25</v>
      </c>
      <c r="Y12" s="64">
        <f>IF(Theory!D$7="YES",VLOOKUP(B12,'CIA MARKS'!C21:DW90,125,FALSE),"")</f>
        <v>20</v>
      </c>
      <c r="Z12" s="315">
        <f t="shared" si="1"/>
        <v>45</v>
      </c>
    </row>
    <row r="13" spans="1:31" x14ac:dyDescent="0.3">
      <c r="A13" s="64">
        <v>9</v>
      </c>
      <c r="B13" s="48" t="str">
        <f>Theory!B25</f>
        <v>1DS21AI019</v>
      </c>
      <c r="C13" s="310"/>
      <c r="D13" s="310"/>
      <c r="E13" s="310"/>
      <c r="F13" s="311" t="str">
        <f>IF(Theory!D$9="YES",VLOOKUP(B13,'CIA MARKS'!C22:ER91,146,FALSE),"")</f>
        <v/>
      </c>
      <c r="G13" s="311" t="str">
        <f>IF(Theory!D$9="YES",VLOOKUP(B13,'CIA MARKS'!C22:ES91,147,FALSE),"")</f>
        <v/>
      </c>
      <c r="H13" s="311" t="str">
        <f>IF(Theory!D$9="YES",VLOOKUP(B13,'CIA MARKS'!C22:DT91,122,FALSE),"")</f>
        <v/>
      </c>
      <c r="I13" s="311" t="str">
        <f>IF(Theory!D$9="YES",VLOOKUP(B13,'CIA MARKS'!C22:DW91,125,FALSE),"")</f>
        <v/>
      </c>
      <c r="J13" s="311" t="str">
        <f>IF(Theory!D$9="YES",VLOOKUP(B13,'CIA MARKS'!C22:EC91,131,FALSE),"")</f>
        <v/>
      </c>
      <c r="K13" s="311" t="str">
        <f>IF(Theory!D$9="YES",VLOOKUP(B13,'CIA MARKS'!C22:EG91,135,FALSE),"")</f>
        <v/>
      </c>
      <c r="L13" s="311" t="str">
        <f>IF(Theory!D$9="YES",VLOOKUP(B13,'CIA MARKS'!C22:EJ91,138,FALSE),"")</f>
        <v/>
      </c>
      <c r="M13" s="318">
        <f t="shared" si="2"/>
        <v>0</v>
      </c>
      <c r="N13" s="364"/>
      <c r="O13" s="312" t="str">
        <f>IF(Theory!D$8="YES",VLOOKUP(B13,'CIA MARKS'!C22:ES91,147,FALSE),"")</f>
        <v/>
      </c>
      <c r="P13" s="312" t="str">
        <f>IF(Theory!D$8="YES",VLOOKUP(B13,'CIA MARKS'!C22:EC91,131,FALSE),"")</f>
        <v/>
      </c>
      <c r="Q13" s="312" t="str">
        <f>IF(Theory!D$8="YES",VLOOKUP(B13,'CIA MARKS'!C22:EG91,135,FALSE),"")</f>
        <v/>
      </c>
      <c r="R13" s="137">
        <f t="shared" si="0"/>
        <v>0</v>
      </c>
      <c r="T13" s="64">
        <v>0</v>
      </c>
      <c r="U13" s="64">
        <v>0</v>
      </c>
      <c r="V13" s="64">
        <v>0</v>
      </c>
      <c r="W13" s="48">
        <v>0</v>
      </c>
      <c r="X13" s="64">
        <f>IF(Theory!D$7="YES",VLOOKUP(B13,'CIA MARKS'!C22:DT91,122,FALSE),"")</f>
        <v>16</v>
      </c>
      <c r="Y13" s="64">
        <f>IF(Theory!D$7="YES",VLOOKUP(B13,'CIA MARKS'!C22:DW91,125,FALSE),"")</f>
        <v>20</v>
      </c>
      <c r="Z13" s="315">
        <f t="shared" si="1"/>
        <v>36</v>
      </c>
    </row>
    <row r="14" spans="1:31" x14ac:dyDescent="0.3">
      <c r="A14" s="64">
        <v>10</v>
      </c>
      <c r="B14" s="48" t="str">
        <f>Theory!B26</f>
        <v>1DS21AI020</v>
      </c>
      <c r="C14" s="310"/>
      <c r="D14" s="310"/>
      <c r="E14" s="310"/>
      <c r="F14" s="311" t="str">
        <f>IF(Theory!D$9="YES",VLOOKUP(B14,'CIA MARKS'!C23:ER92,146,FALSE),"")</f>
        <v/>
      </c>
      <c r="G14" s="311" t="str">
        <f>IF(Theory!D$9="YES",VLOOKUP(B14,'CIA MARKS'!C23:ES92,147,FALSE),"")</f>
        <v/>
      </c>
      <c r="H14" s="311" t="str">
        <f>IF(Theory!D$9="YES",VLOOKUP(B14,'CIA MARKS'!C23:DT92,122,FALSE),"")</f>
        <v/>
      </c>
      <c r="I14" s="311" t="str">
        <f>IF(Theory!D$9="YES",VLOOKUP(B14,'CIA MARKS'!C23:DW92,125,FALSE),"")</f>
        <v/>
      </c>
      <c r="J14" s="311" t="str">
        <f>IF(Theory!D$9="YES",VLOOKUP(B14,'CIA MARKS'!C23:EC92,131,FALSE),"")</f>
        <v/>
      </c>
      <c r="K14" s="311" t="str">
        <f>IF(Theory!D$9="YES",VLOOKUP(B14,'CIA MARKS'!C23:EG92,135,FALSE),"")</f>
        <v/>
      </c>
      <c r="L14" s="311" t="str">
        <f>IF(Theory!D$9="YES",VLOOKUP(B14,'CIA MARKS'!C23:EJ92,138,FALSE),"")</f>
        <v/>
      </c>
      <c r="M14" s="318">
        <f t="shared" si="2"/>
        <v>0</v>
      </c>
      <c r="N14" s="364"/>
      <c r="O14" s="312" t="str">
        <f>IF(Theory!D$8="YES",VLOOKUP(B14,'CIA MARKS'!C23:ES92,147,FALSE),"")</f>
        <v/>
      </c>
      <c r="P14" s="312" t="str">
        <f>IF(Theory!D$8="YES",VLOOKUP(B14,'CIA MARKS'!C23:EC92,131,FALSE),"")</f>
        <v/>
      </c>
      <c r="Q14" s="312" t="str">
        <f>IF(Theory!D$8="YES",VLOOKUP(B14,'CIA MARKS'!C23:EG92,135,FALSE),"")</f>
        <v/>
      </c>
      <c r="R14" s="137">
        <f t="shared" si="0"/>
        <v>0</v>
      </c>
      <c r="T14" s="64">
        <v>0</v>
      </c>
      <c r="U14" s="64">
        <v>0</v>
      </c>
      <c r="V14" s="64">
        <v>0</v>
      </c>
      <c r="W14" s="48">
        <v>0</v>
      </c>
      <c r="X14" s="64">
        <f>IF(Theory!D$7="YES",VLOOKUP(B14,'CIA MARKS'!C23:DT92,122,FALSE),"")</f>
        <v>12</v>
      </c>
      <c r="Y14" s="64">
        <f>IF(Theory!D$7="YES",VLOOKUP(B14,'CIA MARKS'!C23:DW92,125,FALSE),"")</f>
        <v>20</v>
      </c>
      <c r="Z14" s="315">
        <f t="shared" si="1"/>
        <v>32</v>
      </c>
    </row>
    <row r="15" spans="1:31" x14ac:dyDescent="0.3">
      <c r="A15" s="64">
        <v>11</v>
      </c>
      <c r="B15" s="48" t="str">
        <f>Theory!B27</f>
        <v>1DS21AI021</v>
      </c>
      <c r="C15" s="310"/>
      <c r="D15" s="310"/>
      <c r="E15" s="310"/>
      <c r="F15" s="311" t="str">
        <f>IF(Theory!D$9="YES",VLOOKUP(B15,'CIA MARKS'!C24:ER93,146,FALSE),"")</f>
        <v/>
      </c>
      <c r="G15" s="311" t="str">
        <f>IF(Theory!D$9="YES",VLOOKUP(B15,'CIA MARKS'!C24:ES93,147,FALSE),"")</f>
        <v/>
      </c>
      <c r="H15" s="311" t="str">
        <f>IF(Theory!D$9="YES",VLOOKUP(B15,'CIA MARKS'!C24:DT93,122,FALSE),"")</f>
        <v/>
      </c>
      <c r="I15" s="311" t="str">
        <f>IF(Theory!D$9="YES",VLOOKUP(B15,'CIA MARKS'!C24:DW93,125,FALSE),"")</f>
        <v/>
      </c>
      <c r="J15" s="311" t="str">
        <f>IF(Theory!D$9="YES",VLOOKUP(B15,'CIA MARKS'!C24:EC93,131,FALSE),"")</f>
        <v/>
      </c>
      <c r="K15" s="311" t="str">
        <f>IF(Theory!D$9="YES",VLOOKUP(B15,'CIA MARKS'!C24:EG93,135,FALSE),"")</f>
        <v/>
      </c>
      <c r="L15" s="311" t="str">
        <f>IF(Theory!D$9="YES",VLOOKUP(B15,'CIA MARKS'!C24:EJ93,138,FALSE),"")</f>
        <v/>
      </c>
      <c r="M15" s="318">
        <f t="shared" si="2"/>
        <v>0</v>
      </c>
      <c r="N15" s="364"/>
      <c r="O15" s="312" t="str">
        <f>IF(Theory!D$8="YES",VLOOKUP(B15,'CIA MARKS'!C24:ES93,147,FALSE),"")</f>
        <v/>
      </c>
      <c r="P15" s="312" t="str">
        <f>IF(Theory!D$8="YES",VLOOKUP(B15,'CIA MARKS'!C24:EC93,131,FALSE),"")</f>
        <v/>
      </c>
      <c r="Q15" s="312" t="str">
        <f>IF(Theory!D$8="YES",VLOOKUP(B15,'CIA MARKS'!C24:EG93,135,FALSE),"")</f>
        <v/>
      </c>
      <c r="R15" s="137">
        <f t="shared" si="0"/>
        <v>0</v>
      </c>
      <c r="T15" s="64">
        <v>0</v>
      </c>
      <c r="U15" s="64">
        <v>0</v>
      </c>
      <c r="V15" s="64">
        <v>0</v>
      </c>
      <c r="W15" s="48">
        <v>0</v>
      </c>
      <c r="X15" s="64">
        <f>IF(Theory!D$7="YES",VLOOKUP(B15,'CIA MARKS'!C24:DT93,122,FALSE),"")</f>
        <v>24</v>
      </c>
      <c r="Y15" s="64">
        <f>IF(Theory!D$7="YES",VLOOKUP(B15,'CIA MARKS'!C24:DW93,125,FALSE),"")</f>
        <v>20</v>
      </c>
      <c r="Z15" s="315">
        <f t="shared" si="1"/>
        <v>44</v>
      </c>
    </row>
    <row r="16" spans="1:31" x14ac:dyDescent="0.3">
      <c r="A16" s="64">
        <v>12</v>
      </c>
      <c r="B16" s="48" t="str">
        <f>Theory!B28</f>
        <v>1DS21AI023</v>
      </c>
      <c r="C16" s="310"/>
      <c r="D16" s="310"/>
      <c r="E16" s="310"/>
      <c r="F16" s="311" t="str">
        <f>IF(Theory!D$9="YES",VLOOKUP(B16,'CIA MARKS'!C25:ER94,146,FALSE),"")</f>
        <v/>
      </c>
      <c r="G16" s="311" t="str">
        <f>IF(Theory!D$9="YES",VLOOKUP(B16,'CIA MARKS'!C25:ES94,147,FALSE),"")</f>
        <v/>
      </c>
      <c r="H16" s="311" t="str">
        <f>IF(Theory!D$9="YES",VLOOKUP(B16,'CIA MARKS'!C25:DT94,122,FALSE),"")</f>
        <v/>
      </c>
      <c r="I16" s="311" t="str">
        <f>IF(Theory!D$9="YES",VLOOKUP(B16,'CIA MARKS'!C25:DW94,125,FALSE),"")</f>
        <v/>
      </c>
      <c r="J16" s="311" t="str">
        <f>IF(Theory!D$9="YES",VLOOKUP(B16,'CIA MARKS'!C25:EC94,131,FALSE),"")</f>
        <v/>
      </c>
      <c r="K16" s="311" t="str">
        <f>IF(Theory!D$9="YES",VLOOKUP(B16,'CIA MARKS'!C25:EG94,135,FALSE),"")</f>
        <v/>
      </c>
      <c r="L16" s="311" t="str">
        <f>IF(Theory!D$9="YES",VLOOKUP(B16,'CIA MARKS'!C25:EJ94,138,FALSE),"")</f>
        <v/>
      </c>
      <c r="M16" s="318">
        <f t="shared" si="2"/>
        <v>0</v>
      </c>
      <c r="N16" s="364"/>
      <c r="O16" s="312" t="str">
        <f>IF(Theory!D$8="YES",VLOOKUP(B16,'CIA MARKS'!C25:ES94,147,FALSE),"")</f>
        <v/>
      </c>
      <c r="P16" s="312" t="str">
        <f>IF(Theory!D$8="YES",VLOOKUP(B16,'CIA MARKS'!C25:EC94,131,FALSE),"")</f>
        <v/>
      </c>
      <c r="Q16" s="312" t="str">
        <f>IF(Theory!D$8="YES",VLOOKUP(B16,'CIA MARKS'!C25:EG94,135,FALSE),"")</f>
        <v/>
      </c>
      <c r="R16" s="137">
        <f t="shared" si="0"/>
        <v>0</v>
      </c>
      <c r="T16" s="64">
        <v>0</v>
      </c>
      <c r="U16" s="64">
        <v>0</v>
      </c>
      <c r="V16" s="64">
        <v>0</v>
      </c>
      <c r="W16" s="48">
        <v>0</v>
      </c>
      <c r="X16" s="64">
        <f>IF(Theory!D$7="YES",VLOOKUP(B16,'CIA MARKS'!C25:DT94,122,FALSE),"")</f>
        <v>28</v>
      </c>
      <c r="Y16" s="64">
        <f>IF(Theory!D$7="YES",VLOOKUP(B16,'CIA MARKS'!C25:DW94,125,FALSE),"")</f>
        <v>20</v>
      </c>
      <c r="Z16" s="315">
        <f t="shared" si="1"/>
        <v>48</v>
      </c>
    </row>
    <row r="17" spans="1:26" x14ac:dyDescent="0.3">
      <c r="A17" s="64">
        <v>13</v>
      </c>
      <c r="B17" s="48" t="str">
        <f>Theory!B29</f>
        <v>1DS21AI026</v>
      </c>
      <c r="C17" s="310"/>
      <c r="D17" s="310"/>
      <c r="E17" s="310"/>
      <c r="F17" s="311" t="str">
        <f>IF(Theory!D$9="YES",VLOOKUP(B17,'CIA MARKS'!C26:ER95,146,FALSE),"")</f>
        <v/>
      </c>
      <c r="G17" s="311" t="str">
        <f>IF(Theory!D$9="YES",VLOOKUP(B17,'CIA MARKS'!C26:ES95,147,FALSE),"")</f>
        <v/>
      </c>
      <c r="H17" s="311" t="str">
        <f>IF(Theory!D$9="YES",VLOOKUP(B17,'CIA MARKS'!C26:DT95,122,FALSE),"")</f>
        <v/>
      </c>
      <c r="I17" s="311" t="str">
        <f>IF(Theory!D$9="YES",VLOOKUP(B17,'CIA MARKS'!C26:DW95,125,FALSE),"")</f>
        <v/>
      </c>
      <c r="J17" s="311" t="str">
        <f>IF(Theory!D$9="YES",VLOOKUP(B17,'CIA MARKS'!C26:EC95,131,FALSE),"")</f>
        <v/>
      </c>
      <c r="K17" s="311" t="str">
        <f>IF(Theory!D$9="YES",VLOOKUP(B17,'CIA MARKS'!C26:EG95,135,FALSE),"")</f>
        <v/>
      </c>
      <c r="L17" s="311" t="str">
        <f>IF(Theory!D$9="YES",VLOOKUP(B17,'CIA MARKS'!C26:EJ95,138,FALSE),"")</f>
        <v/>
      </c>
      <c r="M17" s="318">
        <f t="shared" si="2"/>
        <v>0</v>
      </c>
      <c r="N17" s="364"/>
      <c r="O17" s="312" t="str">
        <f>IF(Theory!D$8="YES",VLOOKUP(B17,'CIA MARKS'!C26:ES95,147,FALSE),"")</f>
        <v/>
      </c>
      <c r="P17" s="312" t="str">
        <f>IF(Theory!D$8="YES",VLOOKUP(B17,'CIA MARKS'!C26:EC95,131,FALSE),"")</f>
        <v/>
      </c>
      <c r="Q17" s="312" t="str">
        <f>IF(Theory!D$8="YES",VLOOKUP(B17,'CIA MARKS'!C26:EG95,135,FALSE),"")</f>
        <v/>
      </c>
      <c r="R17" s="137">
        <f t="shared" si="0"/>
        <v>0</v>
      </c>
      <c r="T17" s="64">
        <v>0</v>
      </c>
      <c r="U17" s="64">
        <v>0</v>
      </c>
      <c r="V17" s="64">
        <v>0</v>
      </c>
      <c r="W17" s="48">
        <v>0</v>
      </c>
      <c r="X17" s="64">
        <f>IF(Theory!D$7="YES",VLOOKUP(B17,'CIA MARKS'!C26:DT95,122,FALSE),"")</f>
        <v>15</v>
      </c>
      <c r="Y17" s="64">
        <f>IF(Theory!D$7="YES",VLOOKUP(B17,'CIA MARKS'!C26:DW95,125,FALSE),"")</f>
        <v>20</v>
      </c>
      <c r="Z17" s="315">
        <f t="shared" si="1"/>
        <v>35</v>
      </c>
    </row>
    <row r="18" spans="1:26" x14ac:dyDescent="0.3">
      <c r="A18" s="64">
        <v>14</v>
      </c>
      <c r="B18" s="48" t="str">
        <f>Theory!B30</f>
        <v>1DS21AI027</v>
      </c>
      <c r="C18" s="310"/>
      <c r="D18" s="310"/>
      <c r="E18" s="310"/>
      <c r="F18" s="311" t="str">
        <f>IF(Theory!D$9="YES",VLOOKUP(B18,'CIA MARKS'!C27:ER96,146,FALSE),"")</f>
        <v/>
      </c>
      <c r="G18" s="311" t="str">
        <f>IF(Theory!D$9="YES",VLOOKUP(B18,'CIA MARKS'!C27:ES96,147,FALSE),"")</f>
        <v/>
      </c>
      <c r="H18" s="311" t="str">
        <f>IF(Theory!D$9="YES",VLOOKUP(B18,'CIA MARKS'!C27:DT96,122,FALSE),"")</f>
        <v/>
      </c>
      <c r="I18" s="311" t="str">
        <f>IF(Theory!D$9="YES",VLOOKUP(B18,'CIA MARKS'!C27:DW96,125,FALSE),"")</f>
        <v/>
      </c>
      <c r="J18" s="311" t="str">
        <f>IF(Theory!D$9="YES",VLOOKUP(B18,'CIA MARKS'!C27:EC96,131,FALSE),"")</f>
        <v/>
      </c>
      <c r="K18" s="311" t="str">
        <f>IF(Theory!D$9="YES",VLOOKUP(B18,'CIA MARKS'!C27:EG96,135,FALSE),"")</f>
        <v/>
      </c>
      <c r="L18" s="311" t="str">
        <f>IF(Theory!D$9="YES",VLOOKUP(B18,'CIA MARKS'!C27:EJ96,138,FALSE),"")</f>
        <v/>
      </c>
      <c r="M18" s="318">
        <f t="shared" si="2"/>
        <v>0</v>
      </c>
      <c r="N18" s="364"/>
      <c r="O18" s="312" t="str">
        <f>IF(Theory!D$8="YES",VLOOKUP(B18,'CIA MARKS'!C27:ES96,147,FALSE),"")</f>
        <v/>
      </c>
      <c r="P18" s="312" t="str">
        <f>IF(Theory!D$8="YES",VLOOKUP(B18,'CIA MARKS'!C27:EC96,131,FALSE),"")</f>
        <v/>
      </c>
      <c r="Q18" s="312" t="str">
        <f>IF(Theory!D$8="YES",VLOOKUP(B18,'CIA MARKS'!C27:EG96,135,FALSE),"")</f>
        <v/>
      </c>
      <c r="R18" s="137">
        <f t="shared" si="0"/>
        <v>0</v>
      </c>
      <c r="T18" s="64">
        <v>0</v>
      </c>
      <c r="U18" s="64">
        <v>0</v>
      </c>
      <c r="V18" s="64">
        <v>0</v>
      </c>
      <c r="W18" s="48">
        <v>0</v>
      </c>
      <c r="X18" s="64">
        <f>IF(Theory!D$7="YES",VLOOKUP(B18,'CIA MARKS'!C27:DT96,122,FALSE),"")</f>
        <v>18</v>
      </c>
      <c r="Y18" s="64">
        <f>IF(Theory!D$7="YES",VLOOKUP(B18,'CIA MARKS'!C27:DW96,125,FALSE),"")</f>
        <v>20</v>
      </c>
      <c r="Z18" s="315">
        <f t="shared" si="1"/>
        <v>38</v>
      </c>
    </row>
    <row r="19" spans="1:26" x14ac:dyDescent="0.3">
      <c r="A19" s="64">
        <v>15</v>
      </c>
      <c r="B19" s="48" t="str">
        <f>Theory!B31</f>
        <v>1DS21AI028</v>
      </c>
      <c r="C19" s="310"/>
      <c r="D19" s="310"/>
      <c r="E19" s="310"/>
      <c r="F19" s="311" t="str">
        <f>IF(Theory!D$9="YES",VLOOKUP(B19,'CIA MARKS'!C28:ER97,146,FALSE),"")</f>
        <v/>
      </c>
      <c r="G19" s="311" t="str">
        <f>IF(Theory!D$9="YES",VLOOKUP(B19,'CIA MARKS'!C28:ES97,147,FALSE),"")</f>
        <v/>
      </c>
      <c r="H19" s="311" t="str">
        <f>IF(Theory!D$9="YES",VLOOKUP(B19,'CIA MARKS'!C28:DT97,122,FALSE),"")</f>
        <v/>
      </c>
      <c r="I19" s="311" t="str">
        <f>IF(Theory!D$9="YES",VLOOKUP(B19,'CIA MARKS'!C28:DW97,125,FALSE),"")</f>
        <v/>
      </c>
      <c r="J19" s="311" t="str">
        <f>IF(Theory!D$9="YES",VLOOKUP(B19,'CIA MARKS'!C28:EC97,131,FALSE),"")</f>
        <v/>
      </c>
      <c r="K19" s="311" t="str">
        <f>IF(Theory!D$9="YES",VLOOKUP(B19,'CIA MARKS'!C28:EG97,135,FALSE),"")</f>
        <v/>
      </c>
      <c r="L19" s="311" t="str">
        <f>IF(Theory!D$9="YES",VLOOKUP(B19,'CIA MARKS'!C28:EJ97,138,FALSE),"")</f>
        <v/>
      </c>
      <c r="M19" s="318">
        <f t="shared" si="2"/>
        <v>0</v>
      </c>
      <c r="N19" s="364"/>
      <c r="O19" s="312" t="str">
        <f>IF(Theory!D$8="YES",VLOOKUP(B19,'CIA MARKS'!C28:ES97,147,FALSE),"")</f>
        <v/>
      </c>
      <c r="P19" s="312" t="str">
        <f>IF(Theory!D$8="YES",VLOOKUP(B19,'CIA MARKS'!C28:EC97,131,FALSE),"")</f>
        <v/>
      </c>
      <c r="Q19" s="312" t="str">
        <f>IF(Theory!D$8="YES",VLOOKUP(B19,'CIA MARKS'!C28:EG97,135,FALSE),"")</f>
        <v/>
      </c>
      <c r="R19" s="137">
        <f t="shared" si="0"/>
        <v>0</v>
      </c>
      <c r="T19" s="64">
        <v>0</v>
      </c>
      <c r="U19" s="64">
        <v>0</v>
      </c>
      <c r="V19" s="64">
        <v>0</v>
      </c>
      <c r="W19" s="48">
        <v>0</v>
      </c>
      <c r="X19" s="64">
        <f>IF(Theory!D$7="YES",VLOOKUP(B19,'CIA MARKS'!C28:DT97,122,FALSE),"")</f>
        <v>28</v>
      </c>
      <c r="Y19" s="64">
        <f>IF(Theory!D$7="YES",VLOOKUP(B19,'CIA MARKS'!C28:DW97,125,FALSE),"")</f>
        <v>20</v>
      </c>
      <c r="Z19" s="315">
        <f t="shared" si="1"/>
        <v>48</v>
      </c>
    </row>
    <row r="20" spans="1:26" x14ac:dyDescent="0.3">
      <c r="A20" s="64">
        <v>16</v>
      </c>
      <c r="B20" s="48" t="str">
        <f>Theory!B32</f>
        <v>1DS21AI030</v>
      </c>
      <c r="C20" s="310"/>
      <c r="D20" s="310"/>
      <c r="E20" s="310"/>
      <c r="F20" s="311" t="str">
        <f>IF(Theory!D$9="YES",VLOOKUP(B20,'CIA MARKS'!C29:ER98,146,FALSE),"")</f>
        <v/>
      </c>
      <c r="G20" s="311" t="str">
        <f>IF(Theory!D$9="YES",VLOOKUP(B20,'CIA MARKS'!C29:ES98,147,FALSE),"")</f>
        <v/>
      </c>
      <c r="H20" s="311" t="str">
        <f>IF(Theory!D$9="YES",VLOOKUP(B20,'CIA MARKS'!C29:DT98,122,FALSE),"")</f>
        <v/>
      </c>
      <c r="I20" s="311" t="str">
        <f>IF(Theory!D$9="YES",VLOOKUP(B20,'CIA MARKS'!C29:DW98,125,FALSE),"")</f>
        <v/>
      </c>
      <c r="J20" s="311" t="str">
        <f>IF(Theory!D$9="YES",VLOOKUP(B20,'CIA MARKS'!C29:EC98,131,FALSE),"")</f>
        <v/>
      </c>
      <c r="K20" s="311" t="str">
        <f>IF(Theory!D$9="YES",VLOOKUP(B20,'CIA MARKS'!C29:EG98,135,FALSE),"")</f>
        <v/>
      </c>
      <c r="L20" s="311" t="str">
        <f>IF(Theory!D$9="YES",VLOOKUP(B20,'CIA MARKS'!C29:EJ98,138,FALSE),"")</f>
        <v/>
      </c>
      <c r="M20" s="318">
        <f t="shared" si="2"/>
        <v>0</v>
      </c>
      <c r="N20" s="364"/>
      <c r="O20" s="312" t="str">
        <f>IF(Theory!D$8="YES",VLOOKUP(B20,'CIA MARKS'!C29:ES98,147,FALSE),"")</f>
        <v/>
      </c>
      <c r="P20" s="312" t="str">
        <f>IF(Theory!D$8="YES",VLOOKUP(B20,'CIA MARKS'!C29:EC98,131,FALSE),"")</f>
        <v/>
      </c>
      <c r="Q20" s="312" t="str">
        <f>IF(Theory!D$8="YES",VLOOKUP(B20,'CIA MARKS'!C29:EG98,135,FALSE),"")</f>
        <v/>
      </c>
      <c r="R20" s="137">
        <f t="shared" si="0"/>
        <v>0</v>
      </c>
      <c r="T20" s="64">
        <v>0</v>
      </c>
      <c r="U20" s="64">
        <v>0</v>
      </c>
      <c r="V20" s="64">
        <v>0</v>
      </c>
      <c r="W20" s="48">
        <v>0</v>
      </c>
      <c r="X20" s="64">
        <f>IF(Theory!D$7="YES",VLOOKUP(B20,'CIA MARKS'!C29:DT98,122,FALSE),"")</f>
        <v>21</v>
      </c>
      <c r="Y20" s="64">
        <f>IF(Theory!D$7="YES",VLOOKUP(B20,'CIA MARKS'!C29:DW98,125,FALSE),"")</f>
        <v>20</v>
      </c>
      <c r="Z20" s="315">
        <f t="shared" si="1"/>
        <v>41</v>
      </c>
    </row>
    <row r="21" spans="1:26" x14ac:dyDescent="0.3">
      <c r="A21" s="64">
        <v>17</v>
      </c>
      <c r="B21" s="48" t="str">
        <f>Theory!B33</f>
        <v>1DS21AI031</v>
      </c>
      <c r="C21" s="310"/>
      <c r="D21" s="310"/>
      <c r="E21" s="310"/>
      <c r="F21" s="311" t="str">
        <f>IF(Theory!D$9="YES",VLOOKUP(B21,'CIA MARKS'!C30:ER99,146,FALSE),"")</f>
        <v/>
      </c>
      <c r="G21" s="311" t="str">
        <f>IF(Theory!D$9="YES",VLOOKUP(B21,'CIA MARKS'!C30:ES99,147,FALSE),"")</f>
        <v/>
      </c>
      <c r="H21" s="311" t="str">
        <f>IF(Theory!D$9="YES",VLOOKUP(B21,'CIA MARKS'!C30:DT99,122,FALSE),"")</f>
        <v/>
      </c>
      <c r="I21" s="311" t="str">
        <f>IF(Theory!D$9="YES",VLOOKUP(B21,'CIA MARKS'!C30:DW99,125,FALSE),"")</f>
        <v/>
      </c>
      <c r="J21" s="311" t="str">
        <f>IF(Theory!D$9="YES",VLOOKUP(B21,'CIA MARKS'!C30:EC99,131,FALSE),"")</f>
        <v/>
      </c>
      <c r="K21" s="311" t="str">
        <f>IF(Theory!D$9="YES",VLOOKUP(B21,'CIA MARKS'!C30:EG99,135,FALSE),"")</f>
        <v/>
      </c>
      <c r="L21" s="311" t="str">
        <f>IF(Theory!D$9="YES",VLOOKUP(B21,'CIA MARKS'!C30:EJ99,138,FALSE),"")</f>
        <v/>
      </c>
      <c r="M21" s="318">
        <f t="shared" si="2"/>
        <v>0</v>
      </c>
      <c r="N21" s="364"/>
      <c r="O21" s="312" t="str">
        <f>IF(Theory!D$8="YES",VLOOKUP(B21,'CIA MARKS'!C30:ES99,147,FALSE),"")</f>
        <v/>
      </c>
      <c r="P21" s="312" t="str">
        <f>IF(Theory!D$8="YES",VLOOKUP(B21,'CIA MARKS'!C30:EC99,131,FALSE),"")</f>
        <v/>
      </c>
      <c r="Q21" s="312" t="str">
        <f>IF(Theory!D$8="YES",VLOOKUP(B21,'CIA MARKS'!C30:EG99,135,FALSE),"")</f>
        <v/>
      </c>
      <c r="R21" s="137">
        <f t="shared" si="0"/>
        <v>0</v>
      </c>
      <c r="T21" s="64">
        <v>0</v>
      </c>
      <c r="U21" s="64">
        <v>0</v>
      </c>
      <c r="V21" s="64">
        <v>0</v>
      </c>
      <c r="W21" s="48">
        <v>0</v>
      </c>
      <c r="X21" s="64">
        <f>IF(Theory!D$7="YES",VLOOKUP(B21,'CIA MARKS'!C30:DT99,122,FALSE),"")</f>
        <v>24</v>
      </c>
      <c r="Y21" s="64">
        <f>IF(Theory!D$7="YES",VLOOKUP(B21,'CIA MARKS'!C30:DW99,125,FALSE),"")</f>
        <v>20</v>
      </c>
      <c r="Z21" s="315">
        <f t="shared" si="1"/>
        <v>44</v>
      </c>
    </row>
    <row r="22" spans="1:26" x14ac:dyDescent="0.3">
      <c r="A22" s="64">
        <v>18</v>
      </c>
      <c r="B22" s="48" t="str">
        <f>Theory!B34</f>
        <v>1DS21AI032</v>
      </c>
      <c r="C22" s="310"/>
      <c r="D22" s="310"/>
      <c r="E22" s="310"/>
      <c r="F22" s="311" t="str">
        <f>IF(Theory!D$9="YES",VLOOKUP(B22,'CIA MARKS'!C31:ER100,146,FALSE),"")</f>
        <v/>
      </c>
      <c r="G22" s="311" t="str">
        <f>IF(Theory!D$9="YES",VLOOKUP(B22,'CIA MARKS'!C31:ES100,147,FALSE),"")</f>
        <v/>
      </c>
      <c r="H22" s="311" t="str">
        <f>IF(Theory!D$9="YES",VLOOKUP(B22,'CIA MARKS'!C31:DT100,122,FALSE),"")</f>
        <v/>
      </c>
      <c r="I22" s="311" t="str">
        <f>IF(Theory!D$9="YES",VLOOKUP(B22,'CIA MARKS'!C31:DW100,125,FALSE),"")</f>
        <v/>
      </c>
      <c r="J22" s="311" t="str">
        <f>IF(Theory!D$9="YES",VLOOKUP(B22,'CIA MARKS'!C31:EC100,131,FALSE),"")</f>
        <v/>
      </c>
      <c r="K22" s="311" t="str">
        <f>IF(Theory!D$9="YES",VLOOKUP(B22,'CIA MARKS'!C31:EG100,135,FALSE),"")</f>
        <v/>
      </c>
      <c r="L22" s="311" t="str">
        <f>IF(Theory!D$9="YES",VLOOKUP(B22,'CIA MARKS'!C31:EJ100,138,FALSE),"")</f>
        <v/>
      </c>
      <c r="M22" s="318">
        <f t="shared" si="2"/>
        <v>0</v>
      </c>
      <c r="N22" s="364"/>
      <c r="O22" s="312" t="str">
        <f>IF(Theory!D$8="YES",VLOOKUP(B22,'CIA MARKS'!C31:ES100,147,FALSE),"")</f>
        <v/>
      </c>
      <c r="P22" s="312" t="str">
        <f>IF(Theory!D$8="YES",VLOOKUP(B22,'CIA MARKS'!C31:EC100,131,FALSE),"")</f>
        <v/>
      </c>
      <c r="Q22" s="312" t="str">
        <f>IF(Theory!D$8="YES",VLOOKUP(B22,'CIA MARKS'!C31:EG100,135,FALSE),"")</f>
        <v/>
      </c>
      <c r="R22" s="137">
        <f t="shared" si="0"/>
        <v>0</v>
      </c>
      <c r="T22" s="64">
        <v>0</v>
      </c>
      <c r="U22" s="64">
        <v>0</v>
      </c>
      <c r="V22" s="64">
        <v>0</v>
      </c>
      <c r="W22" s="48">
        <v>0</v>
      </c>
      <c r="X22" s="64">
        <f>IF(Theory!D$7="YES",VLOOKUP(B22,'CIA MARKS'!C31:DT100,122,FALSE),"")</f>
        <v>20</v>
      </c>
      <c r="Y22" s="64">
        <f>IF(Theory!D$7="YES",VLOOKUP(B22,'CIA MARKS'!C31:DW100,125,FALSE),"")</f>
        <v>20</v>
      </c>
      <c r="Z22" s="315">
        <f t="shared" si="1"/>
        <v>40</v>
      </c>
    </row>
    <row r="23" spans="1:26" x14ac:dyDescent="0.3">
      <c r="A23" s="64">
        <v>19</v>
      </c>
      <c r="B23" s="48" t="str">
        <f>Theory!B35</f>
        <v>1DS21AI034</v>
      </c>
      <c r="C23" s="310"/>
      <c r="D23" s="310"/>
      <c r="E23" s="310"/>
      <c r="F23" s="311" t="str">
        <f>IF(Theory!D$9="YES",VLOOKUP(B23,'CIA MARKS'!C32:ER101,146,FALSE),"")</f>
        <v/>
      </c>
      <c r="G23" s="311" t="str">
        <f>IF(Theory!D$9="YES",VLOOKUP(B23,'CIA MARKS'!C32:ES101,147,FALSE),"")</f>
        <v/>
      </c>
      <c r="H23" s="311" t="str">
        <f>IF(Theory!D$9="YES",VLOOKUP(B23,'CIA MARKS'!C32:DT101,122,FALSE),"")</f>
        <v/>
      </c>
      <c r="I23" s="311" t="str">
        <f>IF(Theory!D$9="YES",VLOOKUP(B23,'CIA MARKS'!C32:DW101,125,FALSE),"")</f>
        <v/>
      </c>
      <c r="J23" s="311" t="str">
        <f>IF(Theory!D$9="YES",VLOOKUP(B23,'CIA MARKS'!C32:EC101,131,FALSE),"")</f>
        <v/>
      </c>
      <c r="K23" s="311" t="str">
        <f>IF(Theory!D$9="YES",VLOOKUP(B23,'CIA MARKS'!C32:EG101,135,FALSE),"")</f>
        <v/>
      </c>
      <c r="L23" s="311" t="str">
        <f>IF(Theory!D$9="YES",VLOOKUP(B23,'CIA MARKS'!C32:EJ101,138,FALSE),"")</f>
        <v/>
      </c>
      <c r="M23" s="318">
        <f t="shared" si="2"/>
        <v>0</v>
      </c>
      <c r="N23" s="364"/>
      <c r="O23" s="312" t="str">
        <f>IF(Theory!D$8="YES",VLOOKUP(B23,'CIA MARKS'!C32:ES101,147,FALSE),"")</f>
        <v/>
      </c>
      <c r="P23" s="312" t="str">
        <f>IF(Theory!D$8="YES",VLOOKUP(B23,'CIA MARKS'!C32:EC101,131,FALSE),"")</f>
        <v/>
      </c>
      <c r="Q23" s="312" t="str">
        <f>IF(Theory!D$8="YES",VLOOKUP(B23,'CIA MARKS'!C32:EG101,135,FALSE),"")</f>
        <v/>
      </c>
      <c r="R23" s="137">
        <f t="shared" si="0"/>
        <v>0</v>
      </c>
      <c r="T23" s="64">
        <v>0</v>
      </c>
      <c r="U23" s="64">
        <v>0</v>
      </c>
      <c r="V23" s="64">
        <v>0</v>
      </c>
      <c r="W23" s="48">
        <v>0</v>
      </c>
      <c r="X23" s="64">
        <f>IF(Theory!D$7="YES",VLOOKUP(B23,'CIA MARKS'!C32:DT101,122,FALSE),"")</f>
        <v>27</v>
      </c>
      <c r="Y23" s="64">
        <f>IF(Theory!D$7="YES",VLOOKUP(B23,'CIA MARKS'!C32:DW101,125,FALSE),"")</f>
        <v>20</v>
      </c>
      <c r="Z23" s="315">
        <f t="shared" si="1"/>
        <v>47</v>
      </c>
    </row>
    <row r="24" spans="1:26" x14ac:dyDescent="0.3">
      <c r="A24" s="64">
        <v>20</v>
      </c>
      <c r="B24" s="48" t="str">
        <f>Theory!B36</f>
        <v>1DS21AI035</v>
      </c>
      <c r="C24" s="310"/>
      <c r="D24" s="310"/>
      <c r="E24" s="310"/>
      <c r="F24" s="311" t="str">
        <f>IF(Theory!D$9="YES",VLOOKUP(B24,'CIA MARKS'!C33:ER102,146,FALSE),"")</f>
        <v/>
      </c>
      <c r="G24" s="311" t="str">
        <f>IF(Theory!D$9="YES",VLOOKUP(B24,'CIA MARKS'!C33:ES102,147,FALSE),"")</f>
        <v/>
      </c>
      <c r="H24" s="311" t="str">
        <f>IF(Theory!D$9="YES",VLOOKUP(B24,'CIA MARKS'!C33:DT102,122,FALSE),"")</f>
        <v/>
      </c>
      <c r="I24" s="311" t="str">
        <f>IF(Theory!D$9="YES",VLOOKUP(B24,'CIA MARKS'!C33:DW102,125,FALSE),"")</f>
        <v/>
      </c>
      <c r="J24" s="311" t="str">
        <f>IF(Theory!D$9="YES",VLOOKUP(B24,'CIA MARKS'!C33:EC102,131,FALSE),"")</f>
        <v/>
      </c>
      <c r="K24" s="311" t="str">
        <f>IF(Theory!D$9="YES",VLOOKUP(B24,'CIA MARKS'!C33:EG102,135,FALSE),"")</f>
        <v/>
      </c>
      <c r="L24" s="311" t="str">
        <f>IF(Theory!D$9="YES",VLOOKUP(B24,'CIA MARKS'!C33:EJ102,138,FALSE),"")</f>
        <v/>
      </c>
      <c r="M24" s="318">
        <f t="shared" si="2"/>
        <v>0</v>
      </c>
      <c r="N24" s="364"/>
      <c r="O24" s="312" t="str">
        <f>IF(Theory!D$8="YES",VLOOKUP(B24,'CIA MARKS'!C33:ES102,147,FALSE),"")</f>
        <v/>
      </c>
      <c r="P24" s="312" t="str">
        <f>IF(Theory!D$8="YES",VLOOKUP(B24,'CIA MARKS'!C33:EC102,131,FALSE),"")</f>
        <v/>
      </c>
      <c r="Q24" s="312" t="str">
        <f>IF(Theory!D$8="YES",VLOOKUP(B24,'CIA MARKS'!C33:EG102,135,FALSE),"")</f>
        <v/>
      </c>
      <c r="R24" s="137">
        <f t="shared" si="0"/>
        <v>0</v>
      </c>
      <c r="T24" s="64">
        <v>0</v>
      </c>
      <c r="U24" s="64">
        <v>0</v>
      </c>
      <c r="V24" s="64">
        <v>0</v>
      </c>
      <c r="W24" s="48">
        <v>0</v>
      </c>
      <c r="X24" s="64">
        <f>IF(Theory!D$7="YES",VLOOKUP(B24,'CIA MARKS'!C33:DT102,122,FALSE),"")</f>
        <v>23</v>
      </c>
      <c r="Y24" s="64">
        <f>IF(Theory!D$7="YES",VLOOKUP(B24,'CIA MARKS'!C33:DW102,125,FALSE),"")</f>
        <v>20</v>
      </c>
      <c r="Z24" s="315">
        <f t="shared" si="1"/>
        <v>43</v>
      </c>
    </row>
    <row r="25" spans="1:26" x14ac:dyDescent="0.3">
      <c r="A25" s="64">
        <v>21</v>
      </c>
      <c r="B25" s="48" t="str">
        <f>Theory!B37</f>
        <v>1DS21AI038</v>
      </c>
      <c r="C25" s="310"/>
      <c r="D25" s="310"/>
      <c r="E25" s="310"/>
      <c r="F25" s="311" t="str">
        <f>IF(Theory!D$9="YES",VLOOKUP(B25,'CIA MARKS'!C34:ER103,146,FALSE),"")</f>
        <v/>
      </c>
      <c r="G25" s="311" t="str">
        <f>IF(Theory!D$9="YES",VLOOKUP(B25,'CIA MARKS'!C34:ES103,147,FALSE),"")</f>
        <v/>
      </c>
      <c r="H25" s="311" t="str">
        <f>IF(Theory!D$9="YES",VLOOKUP(B25,'CIA MARKS'!C34:DT103,122,FALSE),"")</f>
        <v/>
      </c>
      <c r="I25" s="311" t="str">
        <f>IF(Theory!D$9="YES",VLOOKUP(B25,'CIA MARKS'!C34:DW103,125,FALSE),"")</f>
        <v/>
      </c>
      <c r="J25" s="311" t="str">
        <f>IF(Theory!D$9="YES",VLOOKUP(B25,'CIA MARKS'!C34:EC103,131,FALSE),"")</f>
        <v/>
      </c>
      <c r="K25" s="311" t="str">
        <f>IF(Theory!D$9="YES",VLOOKUP(B25,'CIA MARKS'!C34:EG103,135,FALSE),"")</f>
        <v/>
      </c>
      <c r="L25" s="311" t="str">
        <f>IF(Theory!D$9="YES",VLOOKUP(B25,'CIA MARKS'!C34:EJ103,138,FALSE),"")</f>
        <v/>
      </c>
      <c r="M25" s="318">
        <f t="shared" si="2"/>
        <v>0</v>
      </c>
      <c r="N25" s="364"/>
      <c r="O25" s="312" t="str">
        <f>IF(Theory!D$8="YES",VLOOKUP(B25,'CIA MARKS'!C34:ES103,147,FALSE),"")</f>
        <v/>
      </c>
      <c r="P25" s="312" t="str">
        <f>IF(Theory!D$8="YES",VLOOKUP(B25,'CIA MARKS'!C34:EC103,131,FALSE),"")</f>
        <v/>
      </c>
      <c r="Q25" s="312" t="str">
        <f>IF(Theory!D$8="YES",VLOOKUP(B25,'CIA MARKS'!C34:EG103,135,FALSE),"")</f>
        <v/>
      </c>
      <c r="R25" s="137">
        <f t="shared" si="0"/>
        <v>0</v>
      </c>
      <c r="T25" s="64">
        <v>0</v>
      </c>
      <c r="U25" s="64">
        <v>0</v>
      </c>
      <c r="V25" s="64">
        <v>0</v>
      </c>
      <c r="W25" s="48">
        <v>0</v>
      </c>
      <c r="X25" s="64">
        <f>IF(Theory!D$7="YES",VLOOKUP(B25,'CIA MARKS'!C34:DT103,122,FALSE),"")</f>
        <v>16</v>
      </c>
      <c r="Y25" s="64">
        <f>IF(Theory!D$7="YES",VLOOKUP(B25,'CIA MARKS'!C34:DW103,125,FALSE),"")</f>
        <v>20</v>
      </c>
      <c r="Z25" s="315">
        <f t="shared" si="1"/>
        <v>36</v>
      </c>
    </row>
    <row r="26" spans="1:26" x14ac:dyDescent="0.3">
      <c r="A26" s="64">
        <v>22</v>
      </c>
      <c r="B26" s="48" t="str">
        <f>Theory!B38</f>
        <v>1DS21AI039</v>
      </c>
      <c r="C26" s="310"/>
      <c r="D26" s="310"/>
      <c r="E26" s="310"/>
      <c r="F26" s="311" t="str">
        <f>IF(Theory!D$9="YES",VLOOKUP(B26,'CIA MARKS'!C35:ER104,146,FALSE),"")</f>
        <v/>
      </c>
      <c r="G26" s="311" t="str">
        <f>IF(Theory!D$9="YES",VLOOKUP(B26,'CIA MARKS'!C35:ES104,147,FALSE),"")</f>
        <v/>
      </c>
      <c r="H26" s="311" t="str">
        <f>IF(Theory!D$9="YES",VLOOKUP(B26,'CIA MARKS'!C35:DT104,122,FALSE),"")</f>
        <v/>
      </c>
      <c r="I26" s="311" t="str">
        <f>IF(Theory!D$9="YES",VLOOKUP(B26,'CIA MARKS'!C35:DW104,125,FALSE),"")</f>
        <v/>
      </c>
      <c r="J26" s="311" t="str">
        <f>IF(Theory!D$9="YES",VLOOKUP(B26,'CIA MARKS'!C35:EC104,131,FALSE),"")</f>
        <v/>
      </c>
      <c r="K26" s="311" t="str">
        <f>IF(Theory!D$9="YES",VLOOKUP(B26,'CIA MARKS'!C35:EG104,135,FALSE),"")</f>
        <v/>
      </c>
      <c r="L26" s="311" t="str">
        <f>IF(Theory!D$9="YES",VLOOKUP(B26,'CIA MARKS'!C35:EJ104,138,FALSE),"")</f>
        <v/>
      </c>
      <c r="M26" s="318">
        <f t="shared" si="2"/>
        <v>0</v>
      </c>
      <c r="N26" s="364"/>
      <c r="O26" s="312" t="str">
        <f>IF(Theory!D$8="YES",VLOOKUP(B26,'CIA MARKS'!C35:ES104,147,FALSE),"")</f>
        <v/>
      </c>
      <c r="P26" s="312" t="str">
        <f>IF(Theory!D$8="YES",VLOOKUP(B26,'CIA MARKS'!C35:EC104,131,FALSE),"")</f>
        <v/>
      </c>
      <c r="Q26" s="312" t="str">
        <f>IF(Theory!D$8="YES",VLOOKUP(B26,'CIA MARKS'!C35:EG104,135,FALSE),"")</f>
        <v/>
      </c>
      <c r="R26" s="137">
        <f t="shared" si="0"/>
        <v>0</v>
      </c>
      <c r="T26" s="64">
        <v>0</v>
      </c>
      <c r="U26" s="64">
        <v>0</v>
      </c>
      <c r="V26" s="64">
        <v>0</v>
      </c>
      <c r="W26" s="48">
        <v>0</v>
      </c>
      <c r="X26" s="64">
        <f>IF(Theory!D$7="YES",VLOOKUP(B26,'CIA MARKS'!C35:DT104,122,FALSE),"")</f>
        <v>19</v>
      </c>
      <c r="Y26" s="64">
        <f>IF(Theory!D$7="YES",VLOOKUP(B26,'CIA MARKS'!C35:DW104,125,FALSE),"")</f>
        <v>20</v>
      </c>
      <c r="Z26" s="315">
        <f t="shared" si="1"/>
        <v>39</v>
      </c>
    </row>
    <row r="27" spans="1:26" x14ac:dyDescent="0.3">
      <c r="A27" s="64">
        <v>23</v>
      </c>
      <c r="B27" s="48" t="str">
        <f>Theory!B39</f>
        <v>1DS21AI040</v>
      </c>
      <c r="C27" s="310"/>
      <c r="D27" s="310"/>
      <c r="E27" s="310"/>
      <c r="F27" s="311" t="str">
        <f>IF(Theory!D$9="YES",VLOOKUP(B27,'CIA MARKS'!C36:ER105,146,FALSE),"")</f>
        <v/>
      </c>
      <c r="G27" s="311" t="str">
        <f>IF(Theory!D$9="YES",VLOOKUP(B27,'CIA MARKS'!C36:ES105,147,FALSE),"")</f>
        <v/>
      </c>
      <c r="H27" s="311" t="str">
        <f>IF(Theory!D$9="YES",VLOOKUP(B27,'CIA MARKS'!C36:DT105,122,FALSE),"")</f>
        <v/>
      </c>
      <c r="I27" s="311" t="str">
        <f>IF(Theory!D$9="YES",VLOOKUP(B27,'CIA MARKS'!C36:DW105,125,FALSE),"")</f>
        <v/>
      </c>
      <c r="J27" s="311" t="str">
        <f>IF(Theory!D$9="YES",VLOOKUP(B27,'CIA MARKS'!C36:EC105,131,FALSE),"")</f>
        <v/>
      </c>
      <c r="K27" s="311" t="str">
        <f>IF(Theory!D$9="YES",VLOOKUP(B27,'CIA MARKS'!C36:EG105,135,FALSE),"")</f>
        <v/>
      </c>
      <c r="L27" s="311" t="str">
        <f>IF(Theory!D$9="YES",VLOOKUP(B27,'CIA MARKS'!C36:EJ105,138,FALSE),"")</f>
        <v/>
      </c>
      <c r="M27" s="318">
        <f t="shared" si="2"/>
        <v>0</v>
      </c>
      <c r="N27" s="364"/>
      <c r="O27" s="312" t="str">
        <f>IF(Theory!D$8="YES",VLOOKUP(B27,'CIA MARKS'!C36:ES105,147,FALSE),"")</f>
        <v/>
      </c>
      <c r="P27" s="312" t="str">
        <f>IF(Theory!D$8="YES",VLOOKUP(B27,'CIA MARKS'!C36:EC105,131,FALSE),"")</f>
        <v/>
      </c>
      <c r="Q27" s="312" t="str">
        <f>IF(Theory!D$8="YES",VLOOKUP(B27,'CIA MARKS'!C36:EG105,135,FALSE),"")</f>
        <v/>
      </c>
      <c r="R27" s="137">
        <f t="shared" si="0"/>
        <v>0</v>
      </c>
      <c r="T27" s="64">
        <v>0</v>
      </c>
      <c r="U27" s="64">
        <v>0</v>
      </c>
      <c r="V27" s="64">
        <v>0</v>
      </c>
      <c r="W27" s="48">
        <v>0</v>
      </c>
      <c r="X27" s="64">
        <f>IF(Theory!D$7="YES",VLOOKUP(B27,'CIA MARKS'!C36:DT105,122,FALSE),"")</f>
        <v>19</v>
      </c>
      <c r="Y27" s="64">
        <f>IF(Theory!D$7="YES",VLOOKUP(B27,'CIA MARKS'!C36:DW105,125,FALSE),"")</f>
        <v>20</v>
      </c>
      <c r="Z27" s="315">
        <f t="shared" si="1"/>
        <v>39</v>
      </c>
    </row>
    <row r="28" spans="1:26" x14ac:dyDescent="0.3">
      <c r="A28" s="64">
        <v>24</v>
      </c>
      <c r="B28" s="48" t="str">
        <f>Theory!B40</f>
        <v>1DS21AI041</v>
      </c>
      <c r="C28" s="310"/>
      <c r="D28" s="310"/>
      <c r="E28" s="310"/>
      <c r="F28" s="311" t="str">
        <f>IF(Theory!D$9="YES",VLOOKUP(B28,'CIA MARKS'!C37:ER106,146,FALSE),"")</f>
        <v/>
      </c>
      <c r="G28" s="311" t="str">
        <f>IF(Theory!D$9="YES",VLOOKUP(B28,'CIA MARKS'!C37:ES106,147,FALSE),"")</f>
        <v/>
      </c>
      <c r="H28" s="311" t="str">
        <f>IF(Theory!D$9="YES",VLOOKUP(B28,'CIA MARKS'!C37:DT106,122,FALSE),"")</f>
        <v/>
      </c>
      <c r="I28" s="311" t="str">
        <f>IF(Theory!D$9="YES",VLOOKUP(B28,'CIA MARKS'!C37:DW106,125,FALSE),"")</f>
        <v/>
      </c>
      <c r="J28" s="311" t="str">
        <f>IF(Theory!D$9="YES",VLOOKUP(B28,'CIA MARKS'!C37:EC106,131,FALSE),"")</f>
        <v/>
      </c>
      <c r="K28" s="311" t="str">
        <f>IF(Theory!D$9="YES",VLOOKUP(B28,'CIA MARKS'!C37:EG106,135,FALSE),"")</f>
        <v/>
      </c>
      <c r="L28" s="311" t="str">
        <f>IF(Theory!D$9="YES",VLOOKUP(B28,'CIA MARKS'!C37:EJ106,138,FALSE),"")</f>
        <v/>
      </c>
      <c r="M28" s="318">
        <f t="shared" si="2"/>
        <v>0</v>
      </c>
      <c r="N28" s="364"/>
      <c r="O28" s="312" t="str">
        <f>IF(Theory!D$8="YES",VLOOKUP(B28,'CIA MARKS'!C37:ES106,147,FALSE),"")</f>
        <v/>
      </c>
      <c r="P28" s="312" t="str">
        <f>IF(Theory!D$8="YES",VLOOKUP(B28,'CIA MARKS'!C37:EC106,131,FALSE),"")</f>
        <v/>
      </c>
      <c r="Q28" s="312" t="str">
        <f>IF(Theory!D$8="YES",VLOOKUP(B28,'CIA MARKS'!C37:EG106,135,FALSE),"")</f>
        <v/>
      </c>
      <c r="R28" s="137">
        <f t="shared" si="0"/>
        <v>0</v>
      </c>
      <c r="T28" s="64">
        <v>0</v>
      </c>
      <c r="U28" s="64">
        <v>0</v>
      </c>
      <c r="V28" s="64">
        <v>0</v>
      </c>
      <c r="W28" s="48">
        <v>0</v>
      </c>
      <c r="X28" s="64">
        <f>IF(Theory!D$7="YES",VLOOKUP(B28,'CIA MARKS'!C37:DT106,122,FALSE),"")</f>
        <v>27</v>
      </c>
      <c r="Y28" s="64">
        <f>IF(Theory!D$7="YES",VLOOKUP(B28,'CIA MARKS'!C37:DW106,125,FALSE),"")</f>
        <v>20</v>
      </c>
      <c r="Z28" s="315">
        <f t="shared" si="1"/>
        <v>47</v>
      </c>
    </row>
    <row r="29" spans="1:26" x14ac:dyDescent="0.3">
      <c r="A29" s="64">
        <v>25</v>
      </c>
      <c r="B29" s="48" t="str">
        <f>Theory!B41</f>
        <v>1DS21AI044</v>
      </c>
      <c r="C29" s="310"/>
      <c r="D29" s="310"/>
      <c r="E29" s="310"/>
      <c r="F29" s="311" t="str">
        <f>IF(Theory!D$9="YES",VLOOKUP(B29,'CIA MARKS'!C38:ER107,146,FALSE),"")</f>
        <v/>
      </c>
      <c r="G29" s="311" t="str">
        <f>IF(Theory!D$9="YES",VLOOKUP(B29,'CIA MARKS'!C38:ES107,147,FALSE),"")</f>
        <v/>
      </c>
      <c r="H29" s="311" t="str">
        <f>IF(Theory!D$9="YES",VLOOKUP(B29,'CIA MARKS'!C38:DT107,122,FALSE),"")</f>
        <v/>
      </c>
      <c r="I29" s="311" t="str">
        <f>IF(Theory!D$9="YES",VLOOKUP(B29,'CIA MARKS'!C38:DW107,125,FALSE),"")</f>
        <v/>
      </c>
      <c r="J29" s="311" t="str">
        <f>IF(Theory!D$9="YES",VLOOKUP(B29,'CIA MARKS'!C38:EC107,131,FALSE),"")</f>
        <v/>
      </c>
      <c r="K29" s="311" t="str">
        <f>IF(Theory!D$9="YES",VLOOKUP(B29,'CIA MARKS'!C38:EG107,135,FALSE),"")</f>
        <v/>
      </c>
      <c r="L29" s="311" t="str">
        <f>IF(Theory!D$9="YES",VLOOKUP(B29,'CIA MARKS'!C38:EJ107,138,FALSE),"")</f>
        <v/>
      </c>
      <c r="M29" s="318">
        <f t="shared" si="2"/>
        <v>0</v>
      </c>
      <c r="N29" s="364"/>
      <c r="O29" s="312" t="str">
        <f>IF(Theory!D$8="YES",VLOOKUP(B29,'CIA MARKS'!C38:ES107,147,FALSE),"")</f>
        <v/>
      </c>
      <c r="P29" s="312" t="str">
        <f>IF(Theory!D$8="YES",VLOOKUP(B29,'CIA MARKS'!C38:EC107,131,FALSE),"")</f>
        <v/>
      </c>
      <c r="Q29" s="312" t="str">
        <f>IF(Theory!D$8="YES",VLOOKUP(B29,'CIA MARKS'!C38:EG107,135,FALSE),"")</f>
        <v/>
      </c>
      <c r="R29" s="137">
        <f t="shared" si="0"/>
        <v>0</v>
      </c>
      <c r="T29" s="64">
        <v>0</v>
      </c>
      <c r="U29" s="64">
        <v>0</v>
      </c>
      <c r="V29" s="64">
        <v>0</v>
      </c>
      <c r="W29" s="48">
        <v>0</v>
      </c>
      <c r="X29" s="64">
        <f>IF(Theory!D$7="YES",VLOOKUP(B29,'CIA MARKS'!C38:DT107,122,FALSE),"")</f>
        <v>20</v>
      </c>
      <c r="Y29" s="64">
        <f>IF(Theory!D$7="YES",VLOOKUP(B29,'CIA MARKS'!C38:DW107,125,FALSE),"")</f>
        <v>20</v>
      </c>
      <c r="Z29" s="315">
        <f t="shared" si="1"/>
        <v>40</v>
      </c>
    </row>
    <row r="30" spans="1:26" x14ac:dyDescent="0.3">
      <c r="A30" s="64">
        <v>26</v>
      </c>
      <c r="B30" s="48" t="str">
        <f>Theory!B42</f>
        <v>1DS21AI045</v>
      </c>
      <c r="C30" s="310"/>
      <c r="D30" s="310"/>
      <c r="E30" s="310"/>
      <c r="F30" s="311" t="str">
        <f>IF(Theory!D$9="YES",VLOOKUP(B30,'CIA MARKS'!C39:ER108,146,FALSE),"")</f>
        <v/>
      </c>
      <c r="G30" s="311" t="str">
        <f>IF(Theory!D$9="YES",VLOOKUP(B30,'CIA MARKS'!C39:ES108,147,FALSE),"")</f>
        <v/>
      </c>
      <c r="H30" s="311" t="str">
        <f>IF(Theory!D$9="YES",VLOOKUP(B30,'CIA MARKS'!C39:DT108,122,FALSE),"")</f>
        <v/>
      </c>
      <c r="I30" s="311" t="str">
        <f>IF(Theory!D$9="YES",VLOOKUP(B30,'CIA MARKS'!C39:DW108,125,FALSE),"")</f>
        <v/>
      </c>
      <c r="J30" s="311" t="str">
        <f>IF(Theory!D$9="YES",VLOOKUP(B30,'CIA MARKS'!C39:EC108,131,FALSE),"")</f>
        <v/>
      </c>
      <c r="K30" s="311" t="str">
        <f>IF(Theory!D$9="YES",VLOOKUP(B30,'CIA MARKS'!C39:EG108,135,FALSE),"")</f>
        <v/>
      </c>
      <c r="L30" s="311" t="str">
        <f>IF(Theory!D$9="YES",VLOOKUP(B30,'CIA MARKS'!C39:EJ108,138,FALSE),"")</f>
        <v/>
      </c>
      <c r="M30" s="318">
        <f t="shared" si="2"/>
        <v>0</v>
      </c>
      <c r="N30" s="364"/>
      <c r="O30" s="312" t="str">
        <f>IF(Theory!D$8="YES",VLOOKUP(B30,'CIA MARKS'!C39:ES108,147,FALSE),"")</f>
        <v/>
      </c>
      <c r="P30" s="312" t="str">
        <f>IF(Theory!D$8="YES",VLOOKUP(B30,'CIA MARKS'!C39:EC108,131,FALSE),"")</f>
        <v/>
      </c>
      <c r="Q30" s="312" t="str">
        <f>IF(Theory!D$8="YES",VLOOKUP(B30,'CIA MARKS'!C39:EG108,135,FALSE),"")</f>
        <v/>
      </c>
      <c r="R30" s="137">
        <f t="shared" si="0"/>
        <v>0</v>
      </c>
      <c r="T30" s="64">
        <v>0</v>
      </c>
      <c r="U30" s="64">
        <v>0</v>
      </c>
      <c r="V30" s="64">
        <v>0</v>
      </c>
      <c r="W30" s="48">
        <v>0</v>
      </c>
      <c r="X30" s="64">
        <f>IF(Theory!D$7="YES",VLOOKUP(B30,'CIA MARKS'!C39:DT108,122,FALSE),"")</f>
        <v>24</v>
      </c>
      <c r="Y30" s="64">
        <f>IF(Theory!D$7="YES",VLOOKUP(B30,'CIA MARKS'!C39:DW108,125,FALSE),"")</f>
        <v>20</v>
      </c>
      <c r="Z30" s="315">
        <f t="shared" si="1"/>
        <v>44</v>
      </c>
    </row>
    <row r="31" spans="1:26" x14ac:dyDescent="0.3">
      <c r="A31" s="64">
        <v>27</v>
      </c>
      <c r="B31" s="48" t="str">
        <f>Theory!B43</f>
        <v>1DS21AI048</v>
      </c>
      <c r="C31" s="310"/>
      <c r="D31" s="310"/>
      <c r="E31" s="310"/>
      <c r="F31" s="311" t="str">
        <f>IF(Theory!D$9="YES",VLOOKUP(B31,'CIA MARKS'!C40:ER109,146,FALSE),"")</f>
        <v/>
      </c>
      <c r="G31" s="311" t="str">
        <f>IF(Theory!D$9="YES",VLOOKUP(B31,'CIA MARKS'!C40:ES109,147,FALSE),"")</f>
        <v/>
      </c>
      <c r="H31" s="311" t="str">
        <f>IF(Theory!D$9="YES",VLOOKUP(B31,'CIA MARKS'!C40:DT109,122,FALSE),"")</f>
        <v/>
      </c>
      <c r="I31" s="311" t="str">
        <f>IF(Theory!D$9="YES",VLOOKUP(B31,'CIA MARKS'!C40:DW109,125,FALSE),"")</f>
        <v/>
      </c>
      <c r="J31" s="311" t="str">
        <f>IF(Theory!D$9="YES",VLOOKUP(B31,'CIA MARKS'!C40:EC109,131,FALSE),"")</f>
        <v/>
      </c>
      <c r="K31" s="311" t="str">
        <f>IF(Theory!D$9="YES",VLOOKUP(B31,'CIA MARKS'!C40:EG109,135,FALSE),"")</f>
        <v/>
      </c>
      <c r="L31" s="311" t="str">
        <f>IF(Theory!D$9="YES",VLOOKUP(B31,'CIA MARKS'!C40:EJ109,138,FALSE),"")</f>
        <v/>
      </c>
      <c r="M31" s="318">
        <f t="shared" si="2"/>
        <v>0</v>
      </c>
      <c r="N31" s="364"/>
      <c r="O31" s="312" t="str">
        <f>IF(Theory!D$8="YES",VLOOKUP(B31,'CIA MARKS'!C40:ES109,147,FALSE),"")</f>
        <v/>
      </c>
      <c r="P31" s="312" t="str">
        <f>IF(Theory!D$8="YES",VLOOKUP(B31,'CIA MARKS'!C40:EC109,131,FALSE),"")</f>
        <v/>
      </c>
      <c r="Q31" s="312" t="str">
        <f>IF(Theory!D$8="YES",VLOOKUP(B31,'CIA MARKS'!C40:EG109,135,FALSE),"")</f>
        <v/>
      </c>
      <c r="R31" s="137">
        <f t="shared" si="0"/>
        <v>0</v>
      </c>
      <c r="T31" s="64">
        <v>0</v>
      </c>
      <c r="U31" s="64">
        <v>0</v>
      </c>
      <c r="V31" s="64">
        <v>0</v>
      </c>
      <c r="W31" s="48">
        <v>0</v>
      </c>
      <c r="X31" s="64">
        <f>IF(Theory!D$7="YES",VLOOKUP(B31,'CIA MARKS'!C40:DT109,122,FALSE),"")</f>
        <v>23</v>
      </c>
      <c r="Y31" s="64">
        <f>IF(Theory!D$7="YES",VLOOKUP(B31,'CIA MARKS'!C40:DW109,125,FALSE),"")</f>
        <v>20</v>
      </c>
      <c r="Z31" s="315">
        <f t="shared" si="1"/>
        <v>43</v>
      </c>
    </row>
    <row r="32" spans="1:26" x14ac:dyDescent="0.3">
      <c r="A32" s="64">
        <v>28</v>
      </c>
      <c r="B32" s="48" t="str">
        <f>Theory!B44</f>
        <v>1DS21AI049</v>
      </c>
      <c r="C32" s="310"/>
      <c r="D32" s="310"/>
      <c r="E32" s="310"/>
      <c r="F32" s="311" t="str">
        <f>IF(Theory!D$9="YES",VLOOKUP(B32,'CIA MARKS'!C41:ER110,146,FALSE),"")</f>
        <v/>
      </c>
      <c r="G32" s="311" t="str">
        <f>IF(Theory!D$9="YES",VLOOKUP(B32,'CIA MARKS'!C41:ES110,147,FALSE),"")</f>
        <v/>
      </c>
      <c r="H32" s="311" t="str">
        <f>IF(Theory!D$9="YES",VLOOKUP(B32,'CIA MARKS'!C41:DT110,122,FALSE),"")</f>
        <v/>
      </c>
      <c r="I32" s="311" t="str">
        <f>IF(Theory!D$9="YES",VLOOKUP(B32,'CIA MARKS'!C41:DW110,125,FALSE),"")</f>
        <v/>
      </c>
      <c r="J32" s="311" t="str">
        <f>IF(Theory!D$9="YES",VLOOKUP(B32,'CIA MARKS'!C41:EC110,131,FALSE),"")</f>
        <v/>
      </c>
      <c r="K32" s="311" t="str">
        <f>IF(Theory!D$9="YES",VLOOKUP(B32,'CIA MARKS'!C41:EG110,135,FALSE),"")</f>
        <v/>
      </c>
      <c r="L32" s="311" t="str">
        <f>IF(Theory!D$9="YES",VLOOKUP(B32,'CIA MARKS'!C41:EJ110,138,FALSE),"")</f>
        <v/>
      </c>
      <c r="M32" s="318">
        <f t="shared" si="2"/>
        <v>0</v>
      </c>
      <c r="N32" s="364"/>
      <c r="O32" s="312" t="str">
        <f>IF(Theory!D$8="YES",VLOOKUP(B32,'CIA MARKS'!C41:ES110,147,FALSE),"")</f>
        <v/>
      </c>
      <c r="P32" s="312" t="str">
        <f>IF(Theory!D$8="YES",VLOOKUP(B32,'CIA MARKS'!C41:EC110,131,FALSE),"")</f>
        <v/>
      </c>
      <c r="Q32" s="312" t="str">
        <f>IF(Theory!D$8="YES",VLOOKUP(B32,'CIA MARKS'!C41:EG110,135,FALSE),"")</f>
        <v/>
      </c>
      <c r="R32" s="137">
        <f t="shared" si="0"/>
        <v>0</v>
      </c>
      <c r="T32" s="64">
        <v>0</v>
      </c>
      <c r="U32" s="64">
        <v>0</v>
      </c>
      <c r="V32" s="64">
        <v>0</v>
      </c>
      <c r="W32" s="48">
        <v>0</v>
      </c>
      <c r="X32" s="64">
        <f>IF(Theory!D$7="YES",VLOOKUP(B32,'CIA MARKS'!C41:DT110,122,FALSE),"")</f>
        <v>24</v>
      </c>
      <c r="Y32" s="64">
        <f>IF(Theory!D$7="YES",VLOOKUP(B32,'CIA MARKS'!C41:DW110,125,FALSE),"")</f>
        <v>20</v>
      </c>
      <c r="Z32" s="315">
        <f t="shared" si="1"/>
        <v>44</v>
      </c>
    </row>
    <row r="33" spans="1:26" x14ac:dyDescent="0.3">
      <c r="A33" s="64">
        <v>29</v>
      </c>
      <c r="B33" s="48" t="str">
        <f>Theory!B45</f>
        <v>1DS21AI052</v>
      </c>
      <c r="C33" s="310"/>
      <c r="D33" s="310"/>
      <c r="E33" s="310"/>
      <c r="F33" s="311" t="str">
        <f>IF(Theory!D$9="YES",VLOOKUP(B33,'CIA MARKS'!C42:ER111,146,FALSE),"")</f>
        <v/>
      </c>
      <c r="G33" s="311" t="str">
        <f>IF(Theory!D$9="YES",VLOOKUP(B33,'CIA MARKS'!C42:ES111,147,FALSE),"")</f>
        <v/>
      </c>
      <c r="H33" s="311" t="str">
        <f>IF(Theory!D$9="YES",VLOOKUP(B33,'CIA MARKS'!C42:DT111,122,FALSE),"")</f>
        <v/>
      </c>
      <c r="I33" s="311" t="str">
        <f>IF(Theory!D$9="YES",VLOOKUP(B33,'CIA MARKS'!C42:DW111,125,FALSE),"")</f>
        <v/>
      </c>
      <c r="J33" s="311" t="str">
        <f>IF(Theory!D$9="YES",VLOOKUP(B33,'CIA MARKS'!C42:EC111,131,FALSE),"")</f>
        <v/>
      </c>
      <c r="K33" s="311" t="str">
        <f>IF(Theory!D$9="YES",VLOOKUP(B33,'CIA MARKS'!C42:EG111,135,FALSE),"")</f>
        <v/>
      </c>
      <c r="L33" s="311" t="str">
        <f>IF(Theory!D$9="YES",VLOOKUP(B33,'CIA MARKS'!C42:EJ111,138,FALSE),"")</f>
        <v/>
      </c>
      <c r="M33" s="318">
        <f t="shared" si="2"/>
        <v>0</v>
      </c>
      <c r="N33" s="364"/>
      <c r="O33" s="312" t="str">
        <f>IF(Theory!D$8="YES",VLOOKUP(B33,'CIA MARKS'!C42:ES111,147,FALSE),"")</f>
        <v/>
      </c>
      <c r="P33" s="312" t="str">
        <f>IF(Theory!D$8="YES",VLOOKUP(B33,'CIA MARKS'!C42:EC111,131,FALSE),"")</f>
        <v/>
      </c>
      <c r="Q33" s="312" t="str">
        <f>IF(Theory!D$8="YES",VLOOKUP(B33,'CIA MARKS'!C42:EG111,135,FALSE),"")</f>
        <v/>
      </c>
      <c r="R33" s="137">
        <f t="shared" si="0"/>
        <v>0</v>
      </c>
      <c r="T33" s="64">
        <v>0</v>
      </c>
      <c r="U33" s="64">
        <v>0</v>
      </c>
      <c r="V33" s="64">
        <v>0</v>
      </c>
      <c r="W33" s="48">
        <v>0</v>
      </c>
      <c r="X33" s="64">
        <f>IF(Theory!D$7="YES",VLOOKUP(B33,'CIA MARKS'!C42:DT111,122,FALSE),"")</f>
        <v>23</v>
      </c>
      <c r="Y33" s="64">
        <f>IF(Theory!D$7="YES",VLOOKUP(B33,'CIA MARKS'!C42:DW111,125,FALSE),"")</f>
        <v>20</v>
      </c>
      <c r="Z33" s="315">
        <f t="shared" si="1"/>
        <v>43</v>
      </c>
    </row>
    <row r="34" spans="1:26" x14ac:dyDescent="0.3">
      <c r="A34" s="64">
        <v>30</v>
      </c>
      <c r="B34" s="48" t="str">
        <f>Theory!B46</f>
        <v>1DS21AI053</v>
      </c>
      <c r="C34" s="310"/>
      <c r="D34" s="310"/>
      <c r="E34" s="310"/>
      <c r="F34" s="311" t="str">
        <f>IF(Theory!D$9="YES",VLOOKUP(B34,'CIA MARKS'!C43:ER112,146,FALSE),"")</f>
        <v/>
      </c>
      <c r="G34" s="311" t="str">
        <f>IF(Theory!D$9="YES",VLOOKUP(B34,'CIA MARKS'!C43:ES112,147,FALSE),"")</f>
        <v/>
      </c>
      <c r="H34" s="311" t="str">
        <f>IF(Theory!D$9="YES",VLOOKUP(B34,'CIA MARKS'!C43:DT112,122,FALSE),"")</f>
        <v/>
      </c>
      <c r="I34" s="311" t="str">
        <f>IF(Theory!D$9="YES",VLOOKUP(B34,'CIA MARKS'!C43:DW112,125,FALSE),"")</f>
        <v/>
      </c>
      <c r="J34" s="311" t="str">
        <f>IF(Theory!D$9="YES",VLOOKUP(B34,'CIA MARKS'!C43:EC112,131,FALSE),"")</f>
        <v/>
      </c>
      <c r="K34" s="311" t="str">
        <f>IF(Theory!D$9="YES",VLOOKUP(B34,'CIA MARKS'!C43:EG112,135,FALSE),"")</f>
        <v/>
      </c>
      <c r="L34" s="311" t="str">
        <f>IF(Theory!D$9="YES",VLOOKUP(B34,'CIA MARKS'!C43:EJ112,138,FALSE),"")</f>
        <v/>
      </c>
      <c r="M34" s="318">
        <f t="shared" si="2"/>
        <v>0</v>
      </c>
      <c r="N34" s="364"/>
      <c r="O34" s="312" t="str">
        <f>IF(Theory!D$8="YES",VLOOKUP(B34,'CIA MARKS'!C43:ES112,147,FALSE),"")</f>
        <v/>
      </c>
      <c r="P34" s="312" t="str">
        <f>IF(Theory!D$8="YES",VLOOKUP(B34,'CIA MARKS'!C43:EC112,131,FALSE),"")</f>
        <v/>
      </c>
      <c r="Q34" s="312" t="str">
        <f>IF(Theory!D$8="YES",VLOOKUP(B34,'CIA MARKS'!C43:EG112,135,FALSE),"")</f>
        <v/>
      </c>
      <c r="R34" s="137">
        <f t="shared" si="0"/>
        <v>0</v>
      </c>
      <c r="T34" s="64">
        <v>0</v>
      </c>
      <c r="U34" s="64">
        <v>0</v>
      </c>
      <c r="V34" s="64">
        <v>0</v>
      </c>
      <c r="W34" s="48">
        <v>0</v>
      </c>
      <c r="X34" s="64">
        <f>IF(Theory!D$7="YES",VLOOKUP(B34,'CIA MARKS'!C43:DT112,122,FALSE),"")</f>
        <v>11</v>
      </c>
      <c r="Y34" s="64">
        <f>IF(Theory!D$7="YES",VLOOKUP(B34,'CIA MARKS'!C43:DW112,125,FALSE),"")</f>
        <v>20</v>
      </c>
      <c r="Z34" s="315">
        <f t="shared" si="1"/>
        <v>31</v>
      </c>
    </row>
    <row r="35" spans="1:26" x14ac:dyDescent="0.3">
      <c r="A35" s="64">
        <v>31</v>
      </c>
      <c r="B35" s="48" t="str">
        <f>Theory!B47</f>
        <v>1DS21AI054</v>
      </c>
      <c r="C35" s="310"/>
      <c r="D35" s="310"/>
      <c r="E35" s="310"/>
      <c r="F35" s="311" t="str">
        <f>IF(Theory!D$9="YES",VLOOKUP(B35,'CIA MARKS'!C44:ER113,146,FALSE),"")</f>
        <v/>
      </c>
      <c r="G35" s="311" t="str">
        <f>IF(Theory!D$9="YES",VLOOKUP(B35,'CIA MARKS'!C44:ES113,147,FALSE),"")</f>
        <v/>
      </c>
      <c r="H35" s="311" t="str">
        <f>IF(Theory!D$9="YES",VLOOKUP(B35,'CIA MARKS'!C44:DT113,122,FALSE),"")</f>
        <v/>
      </c>
      <c r="I35" s="311" t="str">
        <f>IF(Theory!D$9="YES",VLOOKUP(B35,'CIA MARKS'!C44:DW113,125,FALSE),"")</f>
        <v/>
      </c>
      <c r="J35" s="311" t="str">
        <f>IF(Theory!D$9="YES",VLOOKUP(B35,'CIA MARKS'!C44:EC113,131,FALSE),"")</f>
        <v/>
      </c>
      <c r="K35" s="311" t="str">
        <f>IF(Theory!D$9="YES",VLOOKUP(B35,'CIA MARKS'!C44:EG113,135,FALSE),"")</f>
        <v/>
      </c>
      <c r="L35" s="311" t="str">
        <f>IF(Theory!D$9="YES",VLOOKUP(B35,'CIA MARKS'!C44:EJ113,138,FALSE),"")</f>
        <v/>
      </c>
      <c r="M35" s="318">
        <f t="shared" si="2"/>
        <v>0</v>
      </c>
      <c r="N35" s="364"/>
      <c r="O35" s="312" t="str">
        <f>IF(Theory!D$8="YES",VLOOKUP(B35,'CIA MARKS'!C44:ES113,147,FALSE),"")</f>
        <v/>
      </c>
      <c r="P35" s="312" t="str">
        <f>IF(Theory!D$8="YES",VLOOKUP(B35,'CIA MARKS'!C44:EC113,131,FALSE),"")</f>
        <v/>
      </c>
      <c r="Q35" s="312" t="str">
        <f>IF(Theory!D$8="YES",VLOOKUP(B35,'CIA MARKS'!C44:EG113,135,FALSE),"")</f>
        <v/>
      </c>
      <c r="R35" s="137">
        <f t="shared" si="0"/>
        <v>0</v>
      </c>
      <c r="T35" s="64">
        <v>0</v>
      </c>
      <c r="U35" s="64">
        <v>0</v>
      </c>
      <c r="V35" s="64">
        <v>0</v>
      </c>
      <c r="W35" s="48">
        <v>0</v>
      </c>
      <c r="X35" s="64">
        <f>IF(Theory!D$7="YES",VLOOKUP(B35,'CIA MARKS'!C44:DT113,122,FALSE),"")</f>
        <v>27</v>
      </c>
      <c r="Y35" s="64">
        <f>IF(Theory!D$7="YES",VLOOKUP(B35,'CIA MARKS'!C44:DW113,125,FALSE),"")</f>
        <v>20</v>
      </c>
      <c r="Z35" s="315">
        <f t="shared" si="1"/>
        <v>47</v>
      </c>
    </row>
    <row r="36" spans="1:26" x14ac:dyDescent="0.3">
      <c r="A36" s="64">
        <v>32</v>
      </c>
      <c r="B36" s="48" t="str">
        <f>Theory!B48</f>
        <v>1DS21AI055</v>
      </c>
      <c r="C36" s="310"/>
      <c r="D36" s="310"/>
      <c r="E36" s="310"/>
      <c r="F36" s="311" t="str">
        <f>IF(Theory!D$9="YES",VLOOKUP(B36,'CIA MARKS'!C45:ER114,146,FALSE),"")</f>
        <v/>
      </c>
      <c r="G36" s="311" t="str">
        <f>IF(Theory!D$9="YES",VLOOKUP(B36,'CIA MARKS'!C45:ES114,147,FALSE),"")</f>
        <v/>
      </c>
      <c r="H36" s="311" t="str">
        <f>IF(Theory!D$9="YES",VLOOKUP(B36,'CIA MARKS'!C45:DT114,122,FALSE),"")</f>
        <v/>
      </c>
      <c r="I36" s="311" t="str">
        <f>IF(Theory!D$9="YES",VLOOKUP(B36,'CIA MARKS'!C45:DW114,125,FALSE),"")</f>
        <v/>
      </c>
      <c r="J36" s="311" t="str">
        <f>IF(Theory!D$9="YES",VLOOKUP(B36,'CIA MARKS'!C45:EC114,131,FALSE),"")</f>
        <v/>
      </c>
      <c r="K36" s="311" t="str">
        <f>IF(Theory!D$9="YES",VLOOKUP(B36,'CIA MARKS'!C45:EG114,135,FALSE),"")</f>
        <v/>
      </c>
      <c r="L36" s="311" t="str">
        <f>IF(Theory!D$9="YES",VLOOKUP(B36,'CIA MARKS'!C45:EJ114,138,FALSE),"")</f>
        <v/>
      </c>
      <c r="M36" s="318">
        <f t="shared" si="2"/>
        <v>0</v>
      </c>
      <c r="N36" s="364"/>
      <c r="O36" s="312" t="str">
        <f>IF(Theory!D$8="YES",VLOOKUP(B36,'CIA MARKS'!C45:ES114,147,FALSE),"")</f>
        <v/>
      </c>
      <c r="P36" s="312" t="str">
        <f>IF(Theory!D$8="YES",VLOOKUP(B36,'CIA MARKS'!C45:EC114,131,FALSE),"")</f>
        <v/>
      </c>
      <c r="Q36" s="312" t="str">
        <f>IF(Theory!D$8="YES",VLOOKUP(B36,'CIA MARKS'!C45:EG114,135,FALSE),"")</f>
        <v/>
      </c>
      <c r="R36" s="137">
        <f t="shared" si="0"/>
        <v>0</v>
      </c>
      <c r="T36" s="64">
        <v>0</v>
      </c>
      <c r="U36" s="64">
        <v>0</v>
      </c>
      <c r="V36" s="64">
        <v>0</v>
      </c>
      <c r="W36" s="48">
        <v>0</v>
      </c>
      <c r="X36" s="64">
        <f>IF(Theory!D$7="YES",VLOOKUP(B36,'CIA MARKS'!C45:DT114,122,FALSE),"")</f>
        <v>28</v>
      </c>
      <c r="Y36" s="64">
        <f>IF(Theory!D$7="YES",VLOOKUP(B36,'CIA MARKS'!C45:DW114,125,FALSE),"")</f>
        <v>20</v>
      </c>
      <c r="Z36" s="315">
        <f t="shared" si="1"/>
        <v>48</v>
      </c>
    </row>
    <row r="37" spans="1:26" x14ac:dyDescent="0.3">
      <c r="A37" s="64">
        <v>33</v>
      </c>
      <c r="B37" s="48" t="str">
        <f>Theory!B49</f>
        <v>1DS21AI056</v>
      </c>
      <c r="C37" s="310"/>
      <c r="D37" s="310"/>
      <c r="E37" s="310"/>
      <c r="F37" s="311" t="str">
        <f>IF(Theory!D$9="YES",VLOOKUP(B37,'CIA MARKS'!C46:ER115,146,FALSE),"")</f>
        <v/>
      </c>
      <c r="G37" s="311" t="str">
        <f>IF(Theory!D$9="YES",VLOOKUP(B37,'CIA MARKS'!C46:ES115,147,FALSE),"")</f>
        <v/>
      </c>
      <c r="H37" s="311" t="str">
        <f>IF(Theory!D$9="YES",VLOOKUP(B37,'CIA MARKS'!C46:DT115,122,FALSE),"")</f>
        <v/>
      </c>
      <c r="I37" s="311" t="str">
        <f>IF(Theory!D$9="YES",VLOOKUP(B37,'CIA MARKS'!C46:DW115,125,FALSE),"")</f>
        <v/>
      </c>
      <c r="J37" s="311" t="str">
        <f>IF(Theory!D$9="YES",VLOOKUP(B37,'CIA MARKS'!C46:EC115,131,FALSE),"")</f>
        <v/>
      </c>
      <c r="K37" s="311" t="str">
        <f>IF(Theory!D$9="YES",VLOOKUP(B37,'CIA MARKS'!C46:EG115,135,FALSE),"")</f>
        <v/>
      </c>
      <c r="L37" s="311" t="str">
        <f>IF(Theory!D$9="YES",VLOOKUP(B37,'CIA MARKS'!C46:EJ115,138,FALSE),"")</f>
        <v/>
      </c>
      <c r="M37" s="318">
        <f t="shared" si="2"/>
        <v>0</v>
      </c>
      <c r="N37" s="364"/>
      <c r="O37" s="312" t="str">
        <f>IF(Theory!D$8="YES",VLOOKUP(B37,'CIA MARKS'!C46:ES115,147,FALSE),"")</f>
        <v/>
      </c>
      <c r="P37" s="312" t="str">
        <f>IF(Theory!D$8="YES",VLOOKUP(B37,'CIA MARKS'!C46:EC115,131,FALSE),"")</f>
        <v/>
      </c>
      <c r="Q37" s="312" t="str">
        <f>IF(Theory!D$8="YES",VLOOKUP(B37,'CIA MARKS'!C46:EG115,135,FALSE),"")</f>
        <v/>
      </c>
      <c r="R37" s="137">
        <f t="shared" si="0"/>
        <v>0</v>
      </c>
      <c r="T37" s="64">
        <v>0</v>
      </c>
      <c r="U37" s="64">
        <v>0</v>
      </c>
      <c r="V37" s="64">
        <v>0</v>
      </c>
      <c r="W37" s="48">
        <v>0</v>
      </c>
      <c r="X37" s="64">
        <f>IF(Theory!D$7="YES",VLOOKUP(B37,'CIA MARKS'!C46:DT115,122,FALSE),"")</f>
        <v>14</v>
      </c>
      <c r="Y37" s="64">
        <f>IF(Theory!D$7="YES",VLOOKUP(B37,'CIA MARKS'!C46:DW115,125,FALSE),"")</f>
        <v>20</v>
      </c>
      <c r="Z37" s="315">
        <f t="shared" si="1"/>
        <v>34</v>
      </c>
    </row>
    <row r="38" spans="1:26" x14ac:dyDescent="0.3">
      <c r="A38" s="64">
        <v>34</v>
      </c>
      <c r="B38" s="48" t="str">
        <f>Theory!B50</f>
        <v>1DS21AI057</v>
      </c>
      <c r="C38" s="310"/>
      <c r="D38" s="310"/>
      <c r="E38" s="310"/>
      <c r="F38" s="311" t="str">
        <f>IF(Theory!D$9="YES",VLOOKUP(B38,'CIA MARKS'!C47:ER116,146,FALSE),"")</f>
        <v/>
      </c>
      <c r="G38" s="311" t="str">
        <f>IF(Theory!D$9="YES",VLOOKUP(B38,'CIA MARKS'!C47:ES116,147,FALSE),"")</f>
        <v/>
      </c>
      <c r="H38" s="311" t="str">
        <f>IF(Theory!D$9="YES",VLOOKUP(B38,'CIA MARKS'!C47:DT116,122,FALSE),"")</f>
        <v/>
      </c>
      <c r="I38" s="311" t="str">
        <f>IF(Theory!D$9="YES",VLOOKUP(B38,'CIA MARKS'!C47:DW116,125,FALSE),"")</f>
        <v/>
      </c>
      <c r="J38" s="311" t="str">
        <f>IF(Theory!D$9="YES",VLOOKUP(B38,'CIA MARKS'!C47:EC116,131,FALSE),"")</f>
        <v/>
      </c>
      <c r="K38" s="311" t="str">
        <f>IF(Theory!D$9="YES",VLOOKUP(B38,'CIA MARKS'!C47:EG116,135,FALSE),"")</f>
        <v/>
      </c>
      <c r="L38" s="311" t="str">
        <f>IF(Theory!D$9="YES",VLOOKUP(B38,'CIA MARKS'!C47:EJ116,138,FALSE),"")</f>
        <v/>
      </c>
      <c r="M38" s="318">
        <f t="shared" si="2"/>
        <v>0</v>
      </c>
      <c r="N38" s="364"/>
      <c r="O38" s="312" t="str">
        <f>IF(Theory!D$8="YES",VLOOKUP(B38,'CIA MARKS'!C47:ES116,147,FALSE),"")</f>
        <v/>
      </c>
      <c r="P38" s="312" t="str">
        <f>IF(Theory!D$8="YES",VLOOKUP(B38,'CIA MARKS'!C47:EC116,131,FALSE),"")</f>
        <v/>
      </c>
      <c r="Q38" s="312" t="str">
        <f>IF(Theory!D$8="YES",VLOOKUP(B38,'CIA MARKS'!C47:EG116,135,FALSE),"")</f>
        <v/>
      </c>
      <c r="R38" s="137">
        <f t="shared" si="0"/>
        <v>0</v>
      </c>
      <c r="T38" s="64">
        <v>0</v>
      </c>
      <c r="U38" s="64">
        <v>0</v>
      </c>
      <c r="V38" s="64">
        <v>0</v>
      </c>
      <c r="W38" s="48">
        <v>0</v>
      </c>
      <c r="X38" s="64">
        <f>IF(Theory!D$7="YES",VLOOKUP(B38,'CIA MARKS'!C47:DT116,122,FALSE),"")</f>
        <v>27</v>
      </c>
      <c r="Y38" s="64">
        <f>IF(Theory!D$7="YES",VLOOKUP(B38,'CIA MARKS'!C47:DW116,125,FALSE),"")</f>
        <v>20</v>
      </c>
      <c r="Z38" s="315">
        <f t="shared" si="1"/>
        <v>47</v>
      </c>
    </row>
    <row r="39" spans="1:26" x14ac:dyDescent="0.3">
      <c r="A39" s="64">
        <v>35</v>
      </c>
      <c r="B39" s="48" t="str">
        <f>Theory!B51</f>
        <v>1DS21AI058</v>
      </c>
      <c r="C39" s="310"/>
      <c r="D39" s="310"/>
      <c r="E39" s="310"/>
      <c r="F39" s="311" t="str">
        <f>IF(Theory!D$9="YES",VLOOKUP(B39,'CIA MARKS'!C48:ER117,146,FALSE),"")</f>
        <v/>
      </c>
      <c r="G39" s="311" t="str">
        <f>IF(Theory!D$9="YES",VLOOKUP(B39,'CIA MARKS'!C48:ES117,147,FALSE),"")</f>
        <v/>
      </c>
      <c r="H39" s="311" t="str">
        <f>IF(Theory!D$9="YES",VLOOKUP(B39,'CIA MARKS'!C48:DT117,122,FALSE),"")</f>
        <v/>
      </c>
      <c r="I39" s="311" t="str">
        <f>IF(Theory!D$9="YES",VLOOKUP(B39,'CIA MARKS'!C48:DW117,125,FALSE),"")</f>
        <v/>
      </c>
      <c r="J39" s="311" t="str">
        <f>IF(Theory!D$9="YES",VLOOKUP(B39,'CIA MARKS'!C48:EC117,131,FALSE),"")</f>
        <v/>
      </c>
      <c r="K39" s="311" t="str">
        <f>IF(Theory!D$9="YES",VLOOKUP(B39,'CIA MARKS'!C48:EG117,135,FALSE),"")</f>
        <v/>
      </c>
      <c r="L39" s="311" t="str">
        <f>IF(Theory!D$9="YES",VLOOKUP(B39,'CIA MARKS'!C48:EJ117,138,FALSE),"")</f>
        <v/>
      </c>
      <c r="M39" s="318">
        <f t="shared" si="2"/>
        <v>0</v>
      </c>
      <c r="N39" s="364"/>
      <c r="O39" s="312" t="str">
        <f>IF(Theory!D$8="YES",VLOOKUP(B39,'CIA MARKS'!C48:ES117,147,FALSE),"")</f>
        <v/>
      </c>
      <c r="P39" s="312" t="str">
        <f>IF(Theory!D$8="YES",VLOOKUP(B39,'CIA MARKS'!C48:EC117,131,FALSE),"")</f>
        <v/>
      </c>
      <c r="Q39" s="312" t="str">
        <f>IF(Theory!D$8="YES",VLOOKUP(B39,'CIA MARKS'!C48:EG117,135,FALSE),"")</f>
        <v/>
      </c>
      <c r="R39" s="137">
        <f t="shared" si="0"/>
        <v>0</v>
      </c>
      <c r="T39" s="64">
        <v>0</v>
      </c>
      <c r="U39" s="64">
        <v>0</v>
      </c>
      <c r="V39" s="64">
        <v>0</v>
      </c>
      <c r="W39" s="48">
        <v>0</v>
      </c>
      <c r="X39" s="64">
        <f>IF(Theory!D$7="YES",VLOOKUP(B39,'CIA MARKS'!C48:DT117,122,FALSE),"")</f>
        <v>27</v>
      </c>
      <c r="Y39" s="64">
        <f>IF(Theory!D$7="YES",VLOOKUP(B39,'CIA MARKS'!C48:DW117,125,FALSE),"")</f>
        <v>20</v>
      </c>
      <c r="Z39" s="315">
        <f t="shared" si="1"/>
        <v>47</v>
      </c>
    </row>
    <row r="40" spans="1:26" x14ac:dyDescent="0.3">
      <c r="A40" s="64">
        <v>36</v>
      </c>
      <c r="B40" s="48" t="str">
        <f>Theory!B52</f>
        <v>1DS22AI400</v>
      </c>
      <c r="C40" s="310"/>
      <c r="D40" s="310"/>
      <c r="E40" s="310"/>
      <c r="F40" s="311" t="str">
        <f>IF(Theory!D$9="YES",VLOOKUP(B40,'CIA MARKS'!C49:ER118,146,FALSE),"")</f>
        <v/>
      </c>
      <c r="G40" s="311" t="str">
        <f>IF(Theory!D$9="YES",VLOOKUP(B40,'CIA MARKS'!C49:ES118,147,FALSE),"")</f>
        <v/>
      </c>
      <c r="H40" s="311" t="str">
        <f>IF(Theory!D$9="YES",VLOOKUP(B40,'CIA MARKS'!C49:DT118,122,FALSE),"")</f>
        <v/>
      </c>
      <c r="I40" s="311" t="str">
        <f>IF(Theory!D$9="YES",VLOOKUP(B40,'CIA MARKS'!C49:DW118,125,FALSE),"")</f>
        <v/>
      </c>
      <c r="J40" s="311" t="str">
        <f>IF(Theory!D$9="YES",VLOOKUP(B40,'CIA MARKS'!C49:EC118,131,FALSE),"")</f>
        <v/>
      </c>
      <c r="K40" s="311" t="str">
        <f>IF(Theory!D$9="YES",VLOOKUP(B40,'CIA MARKS'!C49:EG118,135,FALSE),"")</f>
        <v/>
      </c>
      <c r="L40" s="311" t="str">
        <f>IF(Theory!D$9="YES",VLOOKUP(B40,'CIA MARKS'!C49:EJ118,138,FALSE),"")</f>
        <v/>
      </c>
      <c r="M40" s="318">
        <f t="shared" si="2"/>
        <v>0</v>
      </c>
      <c r="N40" s="364"/>
      <c r="O40" s="312" t="str">
        <f>IF(Theory!D$8="YES",VLOOKUP(B40,'CIA MARKS'!C49:ES118,147,FALSE),"")</f>
        <v/>
      </c>
      <c r="P40" s="312" t="str">
        <f>IF(Theory!D$8="YES",VLOOKUP(B40,'CIA MARKS'!C49:EC118,131,FALSE),"")</f>
        <v/>
      </c>
      <c r="Q40" s="312" t="str">
        <f>IF(Theory!D$8="YES",VLOOKUP(B40,'CIA MARKS'!C49:EG118,135,FALSE),"")</f>
        <v/>
      </c>
      <c r="R40" s="137">
        <f t="shared" si="0"/>
        <v>0</v>
      </c>
      <c r="T40" s="64">
        <v>0</v>
      </c>
      <c r="U40" s="64">
        <v>0</v>
      </c>
      <c r="V40" s="64">
        <v>0</v>
      </c>
      <c r="W40" s="48">
        <v>0</v>
      </c>
      <c r="X40" s="64">
        <f>IF(Theory!D$7="YES",VLOOKUP(B40,'CIA MARKS'!C49:DT118,122,FALSE),"")</f>
        <v>24</v>
      </c>
      <c r="Y40" s="64">
        <f>IF(Theory!D$7="YES",VLOOKUP(B40,'CIA MARKS'!C49:DW118,125,FALSE),"")</f>
        <v>20</v>
      </c>
      <c r="Z40" s="315">
        <f t="shared" si="1"/>
        <v>44</v>
      </c>
    </row>
    <row r="41" spans="1:26" x14ac:dyDescent="0.3">
      <c r="A41" s="64">
        <v>37</v>
      </c>
      <c r="B41" s="48" t="str">
        <f>Theory!B53</f>
        <v>1DS22AI401</v>
      </c>
      <c r="C41" s="310"/>
      <c r="D41" s="310"/>
      <c r="E41" s="310"/>
      <c r="F41" s="311" t="str">
        <f>IF(Theory!D$9="YES",VLOOKUP(B41,'CIA MARKS'!C50:ER119,146,FALSE),"")</f>
        <v/>
      </c>
      <c r="G41" s="311" t="str">
        <f>IF(Theory!D$9="YES",VLOOKUP(B41,'CIA MARKS'!C50:ES119,147,FALSE),"")</f>
        <v/>
      </c>
      <c r="H41" s="311" t="str">
        <f>IF(Theory!D$9="YES",VLOOKUP(B41,'CIA MARKS'!C50:DT119,122,FALSE),"")</f>
        <v/>
      </c>
      <c r="I41" s="311" t="str">
        <f>IF(Theory!D$9="YES",VLOOKUP(B41,'CIA MARKS'!C50:DW119,125,FALSE),"")</f>
        <v/>
      </c>
      <c r="J41" s="311" t="str">
        <f>IF(Theory!D$9="YES",VLOOKUP(B41,'CIA MARKS'!C50:EC119,131,FALSE),"")</f>
        <v/>
      </c>
      <c r="K41" s="311" t="str">
        <f>IF(Theory!D$9="YES",VLOOKUP(B41,'CIA MARKS'!C50:EG119,135,FALSE),"")</f>
        <v/>
      </c>
      <c r="L41" s="311" t="str">
        <f>IF(Theory!D$9="YES",VLOOKUP(B41,'CIA MARKS'!C50:EJ119,138,FALSE),"")</f>
        <v/>
      </c>
      <c r="M41" s="318">
        <f t="shared" si="2"/>
        <v>0</v>
      </c>
      <c r="N41" s="364"/>
      <c r="O41" s="312" t="str">
        <f>IF(Theory!D$8="YES",VLOOKUP(B41,'CIA MARKS'!C50:ES119,147,FALSE),"")</f>
        <v/>
      </c>
      <c r="P41" s="312" t="str">
        <f>IF(Theory!D$8="YES",VLOOKUP(B41,'CIA MARKS'!C50:EC119,131,FALSE),"")</f>
        <v/>
      </c>
      <c r="Q41" s="312" t="str">
        <f>IF(Theory!D$8="YES",VLOOKUP(B41,'CIA MARKS'!C50:EG119,135,FALSE),"")</f>
        <v/>
      </c>
      <c r="R41" s="137">
        <f t="shared" si="0"/>
        <v>0</v>
      </c>
      <c r="T41" s="64">
        <v>0</v>
      </c>
      <c r="U41" s="64">
        <v>0</v>
      </c>
      <c r="V41" s="64">
        <v>0</v>
      </c>
      <c r="W41" s="48">
        <v>0</v>
      </c>
      <c r="X41" s="64">
        <f>IF(Theory!D$7="YES",VLOOKUP(B41,'CIA MARKS'!C50:DT119,122,FALSE),"")</f>
        <v>25</v>
      </c>
      <c r="Y41" s="64">
        <f>IF(Theory!D$7="YES",VLOOKUP(B41,'CIA MARKS'!C50:DW119,125,FALSE),"")</f>
        <v>20</v>
      </c>
      <c r="Z41" s="315">
        <f t="shared" si="1"/>
        <v>45</v>
      </c>
    </row>
    <row r="42" spans="1:26" x14ac:dyDescent="0.3">
      <c r="A42" s="64">
        <v>38</v>
      </c>
      <c r="B42" s="48" t="str">
        <f>Theory!B54</f>
        <v>1DS22AI405</v>
      </c>
      <c r="C42" s="310"/>
      <c r="D42" s="310"/>
      <c r="E42" s="310"/>
      <c r="F42" s="311" t="str">
        <f>IF(Theory!D$9="YES",VLOOKUP(B42,'CIA MARKS'!C51:ER120,146,FALSE),"")</f>
        <v/>
      </c>
      <c r="G42" s="311" t="str">
        <f>IF(Theory!D$9="YES",VLOOKUP(B42,'CIA MARKS'!C51:ES120,147,FALSE),"")</f>
        <v/>
      </c>
      <c r="H42" s="311" t="str">
        <f>IF(Theory!D$9="YES",VLOOKUP(B42,'CIA MARKS'!C51:DT120,122,FALSE),"")</f>
        <v/>
      </c>
      <c r="I42" s="311" t="str">
        <f>IF(Theory!D$9="YES",VLOOKUP(B42,'CIA MARKS'!C51:DW120,125,FALSE),"")</f>
        <v/>
      </c>
      <c r="J42" s="311" t="str">
        <f>IF(Theory!D$9="YES",VLOOKUP(B42,'CIA MARKS'!C51:EC120,131,FALSE),"")</f>
        <v/>
      </c>
      <c r="K42" s="311" t="str">
        <f>IF(Theory!D$9="YES",VLOOKUP(B42,'CIA MARKS'!C51:EG120,135,FALSE),"")</f>
        <v/>
      </c>
      <c r="L42" s="311" t="str">
        <f>IF(Theory!D$9="YES",VLOOKUP(B42,'CIA MARKS'!C51:EJ120,138,FALSE),"")</f>
        <v/>
      </c>
      <c r="M42" s="318">
        <f t="shared" si="2"/>
        <v>0</v>
      </c>
      <c r="N42" s="364"/>
      <c r="O42" s="312" t="str">
        <f>IF(Theory!D$8="YES",VLOOKUP(B42,'CIA MARKS'!C51:ES120,147,FALSE),"")</f>
        <v/>
      </c>
      <c r="P42" s="312" t="str">
        <f>IF(Theory!D$8="YES",VLOOKUP(B42,'CIA MARKS'!C51:EC120,131,FALSE),"")</f>
        <v/>
      </c>
      <c r="Q42" s="312" t="str">
        <f>IF(Theory!D$8="YES",VLOOKUP(B42,'CIA MARKS'!C51:EG120,135,FALSE),"")</f>
        <v/>
      </c>
      <c r="R42" s="137">
        <f t="shared" si="0"/>
        <v>0</v>
      </c>
      <c r="T42" s="64">
        <v>0</v>
      </c>
      <c r="U42" s="64">
        <v>0</v>
      </c>
      <c r="V42" s="64">
        <v>0</v>
      </c>
      <c r="W42" s="48">
        <v>0</v>
      </c>
      <c r="X42" s="64">
        <f>IF(Theory!D$7="YES",VLOOKUP(B42,'CIA MARKS'!C51:DT120,122,FALSE),"")</f>
        <v>27</v>
      </c>
      <c r="Y42" s="64">
        <f>IF(Theory!D$7="YES",VLOOKUP(B42,'CIA MARKS'!C51:DW120,125,FALSE),"")</f>
        <v>20</v>
      </c>
      <c r="Z42" s="315">
        <f t="shared" si="1"/>
        <v>47</v>
      </c>
    </row>
    <row r="43" spans="1:26" x14ac:dyDescent="0.3">
      <c r="A43" s="64">
        <v>39</v>
      </c>
      <c r="B43" s="48" t="str">
        <f>Theory!B55</f>
        <v>1DS22AI404</v>
      </c>
      <c r="C43" s="310"/>
      <c r="D43" s="310"/>
      <c r="E43" s="310"/>
      <c r="F43" s="311" t="str">
        <f>IF(Theory!D$9="YES",VLOOKUP(B43,'CIA MARKS'!C52:ER121,146,FALSE),"")</f>
        <v/>
      </c>
      <c r="G43" s="311" t="str">
        <f>IF(Theory!D$9="YES",VLOOKUP(B43,'CIA MARKS'!C52:ES121,147,FALSE),"")</f>
        <v/>
      </c>
      <c r="H43" s="311" t="str">
        <f>IF(Theory!D$9="YES",VLOOKUP(B43,'CIA MARKS'!C52:DT121,122,FALSE),"")</f>
        <v/>
      </c>
      <c r="I43" s="311" t="str">
        <f>IF(Theory!D$9="YES",VLOOKUP(B43,'CIA MARKS'!C52:DW121,125,FALSE),"")</f>
        <v/>
      </c>
      <c r="J43" s="311" t="str">
        <f>IF(Theory!D$9="YES",VLOOKUP(B43,'CIA MARKS'!C52:EC121,131,FALSE),"")</f>
        <v/>
      </c>
      <c r="K43" s="311" t="str">
        <f>IF(Theory!D$9="YES",VLOOKUP(B43,'CIA MARKS'!C52:EG121,135,FALSE),"")</f>
        <v/>
      </c>
      <c r="L43" s="311" t="str">
        <f>IF(Theory!D$9="YES",VLOOKUP(B43,'CIA MARKS'!C52:EJ121,138,FALSE),"")</f>
        <v/>
      </c>
      <c r="M43" s="318">
        <f t="shared" si="2"/>
        <v>0</v>
      </c>
      <c r="N43" s="364"/>
      <c r="O43" s="312" t="str">
        <f>IF(Theory!D$8="YES",VLOOKUP(B43,'CIA MARKS'!C52:ES121,147,FALSE),"")</f>
        <v/>
      </c>
      <c r="P43" s="312" t="str">
        <f>IF(Theory!D$8="YES",VLOOKUP(B43,'CIA MARKS'!C52:EC121,131,FALSE),"")</f>
        <v/>
      </c>
      <c r="Q43" s="312" t="str">
        <f>IF(Theory!D$8="YES",VLOOKUP(B43,'CIA MARKS'!C52:EG121,135,FALSE),"")</f>
        <v/>
      </c>
      <c r="R43" s="137">
        <f t="shared" si="0"/>
        <v>0</v>
      </c>
      <c r="T43" s="64">
        <v>0</v>
      </c>
      <c r="U43" s="64">
        <v>0</v>
      </c>
      <c r="V43" s="64">
        <v>0</v>
      </c>
      <c r="W43" s="48">
        <v>0</v>
      </c>
      <c r="X43" s="64">
        <f>IF(Theory!D$7="YES",VLOOKUP(B43,'CIA MARKS'!C52:DT121,122,FALSE),"")</f>
        <v>17</v>
      </c>
      <c r="Y43" s="64">
        <f>IF(Theory!D$7="YES",VLOOKUP(B43,'CIA MARKS'!C52:DW121,125,FALSE),"")</f>
        <v>20</v>
      </c>
      <c r="Z43" s="315">
        <f t="shared" si="1"/>
        <v>37</v>
      </c>
    </row>
    <row r="44" spans="1:26" x14ac:dyDescent="0.3">
      <c r="A44" s="64">
        <v>40</v>
      </c>
      <c r="B44" s="48" t="str">
        <f>Theory!B56</f>
        <v>1DS22AI406</v>
      </c>
      <c r="C44" s="310"/>
      <c r="D44" s="310"/>
      <c r="E44" s="310"/>
      <c r="F44" s="311" t="str">
        <f>IF(Theory!D$9="YES",VLOOKUP(B44,'CIA MARKS'!C53:ER122,146,FALSE),"")</f>
        <v/>
      </c>
      <c r="G44" s="311" t="str">
        <f>IF(Theory!D$9="YES",VLOOKUP(B44,'CIA MARKS'!C53:ES122,147,FALSE),"")</f>
        <v/>
      </c>
      <c r="H44" s="311" t="str">
        <f>IF(Theory!D$9="YES",VLOOKUP(B44,'CIA MARKS'!C53:DT122,122,FALSE),"")</f>
        <v/>
      </c>
      <c r="I44" s="311" t="str">
        <f>IF(Theory!D$9="YES",VLOOKUP(B44,'CIA MARKS'!C53:DW122,125,FALSE),"")</f>
        <v/>
      </c>
      <c r="J44" s="311" t="str">
        <f>IF(Theory!D$9="YES",VLOOKUP(B44,'CIA MARKS'!C53:EC122,131,FALSE),"")</f>
        <v/>
      </c>
      <c r="K44" s="311" t="str">
        <f>IF(Theory!D$9="YES",VLOOKUP(B44,'CIA MARKS'!C53:EG122,135,FALSE),"")</f>
        <v/>
      </c>
      <c r="L44" s="311" t="str">
        <f>IF(Theory!D$9="YES",VLOOKUP(B44,'CIA MARKS'!C53:EJ122,138,FALSE),"")</f>
        <v/>
      </c>
      <c r="M44" s="318">
        <f t="shared" si="2"/>
        <v>0</v>
      </c>
      <c r="N44" s="364"/>
      <c r="O44" s="312" t="str">
        <f>IF(Theory!D$8="YES",VLOOKUP(B44,'CIA MARKS'!C53:ES122,147,FALSE),"")</f>
        <v/>
      </c>
      <c r="P44" s="312" t="str">
        <f>IF(Theory!D$8="YES",VLOOKUP(B44,'CIA MARKS'!C53:EC122,131,FALSE),"")</f>
        <v/>
      </c>
      <c r="Q44" s="312" t="str">
        <f>IF(Theory!D$8="YES",VLOOKUP(B44,'CIA MARKS'!C53:EG122,135,FALSE),"")</f>
        <v/>
      </c>
      <c r="R44" s="137">
        <f t="shared" si="0"/>
        <v>0</v>
      </c>
      <c r="T44" s="64">
        <v>0</v>
      </c>
      <c r="U44" s="64">
        <v>0</v>
      </c>
      <c r="V44" s="64">
        <v>0</v>
      </c>
      <c r="W44" s="48">
        <v>0</v>
      </c>
      <c r="X44" s="64">
        <f>IF(Theory!D$7="YES",VLOOKUP(B44,'CIA MARKS'!C53:DT122,122,FALSE),"")</f>
        <v>21</v>
      </c>
      <c r="Y44" s="64">
        <f>IF(Theory!D$7="YES",VLOOKUP(B44,'CIA MARKS'!C53:DW122,125,FALSE),"")</f>
        <v>20</v>
      </c>
      <c r="Z44" s="315">
        <f t="shared" si="1"/>
        <v>41</v>
      </c>
    </row>
    <row r="45" spans="1:26" x14ac:dyDescent="0.3">
      <c r="A45" s="64">
        <v>41</v>
      </c>
      <c r="B45" s="48">
        <f>Theory!B57</f>
        <v>0</v>
      </c>
      <c r="C45" s="310"/>
      <c r="D45" s="310"/>
      <c r="E45" s="310"/>
      <c r="F45" s="311" t="str">
        <f>IF(Theory!D$9="YES",VLOOKUP(B45,'CIA MARKS'!C54:ER123,146,FALSE),"")</f>
        <v/>
      </c>
      <c r="G45" s="311" t="str">
        <f>IF(Theory!D$9="YES",VLOOKUP(B45,'CIA MARKS'!C54:ES123,147,FALSE),"")</f>
        <v/>
      </c>
      <c r="H45" s="311" t="str">
        <f>IF(Theory!D$9="YES",VLOOKUP(B45,'CIA MARKS'!C54:DT123,122,FALSE),"")</f>
        <v/>
      </c>
      <c r="I45" s="311" t="str">
        <f>IF(Theory!D$9="YES",VLOOKUP(B45,'CIA MARKS'!C54:DW123,125,FALSE),"")</f>
        <v/>
      </c>
      <c r="J45" s="311" t="str">
        <f>IF(Theory!D$9="YES",VLOOKUP(B45,'CIA MARKS'!C54:EC123,131,FALSE),"")</f>
        <v/>
      </c>
      <c r="K45" s="311" t="str">
        <f>IF(Theory!D$9="YES",VLOOKUP(B45,'CIA MARKS'!C54:EG123,135,FALSE),"")</f>
        <v/>
      </c>
      <c r="L45" s="311" t="str">
        <f>IF(Theory!D$9="YES",VLOOKUP(B45,'CIA MARKS'!C54:EJ123,138,FALSE),"")</f>
        <v/>
      </c>
      <c r="M45" s="318">
        <f t="shared" si="2"/>
        <v>0</v>
      </c>
      <c r="N45" s="364"/>
      <c r="O45" s="312" t="str">
        <f>IF(Theory!D$8="YES",VLOOKUP(B45,'CIA MARKS'!C54:ES123,147,FALSE),"")</f>
        <v/>
      </c>
      <c r="P45" s="312" t="str">
        <f>IF(Theory!D$8="YES",VLOOKUP(B45,'CIA MARKS'!C54:EC123,131,FALSE),"")</f>
        <v/>
      </c>
      <c r="Q45" s="312" t="str">
        <f>IF(Theory!D$8="YES",VLOOKUP(B45,'CIA MARKS'!C54:EG123,135,FALSE),"")</f>
        <v/>
      </c>
      <c r="R45" s="137">
        <f t="shared" si="0"/>
        <v>0</v>
      </c>
      <c r="T45" s="64">
        <v>0</v>
      </c>
      <c r="U45" s="64">
        <v>0</v>
      </c>
      <c r="V45" s="64">
        <v>0</v>
      </c>
      <c r="W45" s="48">
        <v>0</v>
      </c>
      <c r="X45" s="64" t="e">
        <f>IF(Theory!D$7="YES",VLOOKUP(B45,'CIA MARKS'!C54:DT123,122,FALSE),"")</f>
        <v>#N/A</v>
      </c>
      <c r="Y45" s="64" t="e">
        <f>IF(Theory!D$7="YES",VLOOKUP(B45,'CIA MARKS'!C54:DW123,125,FALSE),"")</f>
        <v>#N/A</v>
      </c>
      <c r="Z45" s="315" t="e">
        <f t="shared" si="1"/>
        <v>#N/A</v>
      </c>
    </row>
    <row r="46" spans="1:26" x14ac:dyDescent="0.3">
      <c r="A46" s="64">
        <v>42</v>
      </c>
      <c r="B46" s="48">
        <f>Theory!B58</f>
        <v>0</v>
      </c>
      <c r="C46" s="310"/>
      <c r="D46" s="310"/>
      <c r="E46" s="310"/>
      <c r="F46" s="311" t="str">
        <f>IF(Theory!D$9="YES",VLOOKUP(B46,'CIA MARKS'!C55:ER124,146,FALSE),"")</f>
        <v/>
      </c>
      <c r="G46" s="311" t="str">
        <f>IF(Theory!D$9="YES",VLOOKUP(B46,'CIA MARKS'!C55:ES124,147,FALSE),"")</f>
        <v/>
      </c>
      <c r="H46" s="311" t="str">
        <f>IF(Theory!D$9="YES",VLOOKUP(B46,'CIA MARKS'!C55:DT124,122,FALSE),"")</f>
        <v/>
      </c>
      <c r="I46" s="311" t="str">
        <f>IF(Theory!D$9="YES",VLOOKUP(B46,'CIA MARKS'!C55:DW124,125,FALSE),"")</f>
        <v/>
      </c>
      <c r="J46" s="311" t="str">
        <f>IF(Theory!D$9="YES",VLOOKUP(B46,'CIA MARKS'!C55:EC124,131,FALSE),"")</f>
        <v/>
      </c>
      <c r="K46" s="311" t="str">
        <f>IF(Theory!D$9="YES",VLOOKUP(B46,'CIA MARKS'!C55:EG124,135,FALSE),"")</f>
        <v/>
      </c>
      <c r="L46" s="311" t="str">
        <f>IF(Theory!D$9="YES",VLOOKUP(B46,'CIA MARKS'!C55:EJ124,138,FALSE),"")</f>
        <v/>
      </c>
      <c r="M46" s="318">
        <f t="shared" si="2"/>
        <v>0</v>
      </c>
      <c r="N46" s="364"/>
      <c r="O46" s="312" t="str">
        <f>IF(Theory!D$8="YES",VLOOKUP(B46,'CIA MARKS'!C55:ES124,147,FALSE),"")</f>
        <v/>
      </c>
      <c r="P46" s="312" t="str">
        <f>IF(Theory!D$8="YES",VLOOKUP(B46,'CIA MARKS'!C55:EC124,131,FALSE),"")</f>
        <v/>
      </c>
      <c r="Q46" s="312" t="str">
        <f>IF(Theory!D$8="YES",VLOOKUP(B46,'CIA MARKS'!C55:EG124,135,FALSE),"")</f>
        <v/>
      </c>
      <c r="R46" s="137">
        <f t="shared" si="0"/>
        <v>0</v>
      </c>
      <c r="T46" s="64">
        <v>0</v>
      </c>
      <c r="U46" s="64">
        <v>0</v>
      </c>
      <c r="V46" s="64">
        <v>0</v>
      </c>
      <c r="W46" s="48">
        <v>0</v>
      </c>
      <c r="X46" s="64" t="e">
        <f>IF(Theory!D$7="YES",VLOOKUP(B46,'CIA MARKS'!C55:DT124,122,FALSE),"")</f>
        <v>#N/A</v>
      </c>
      <c r="Y46" s="64" t="e">
        <f>IF(Theory!D$7="YES",VLOOKUP(B46,'CIA MARKS'!C55:DW124,125,FALSE),"")</f>
        <v>#N/A</v>
      </c>
      <c r="Z46" s="315" t="e">
        <f t="shared" si="1"/>
        <v>#N/A</v>
      </c>
    </row>
    <row r="47" spans="1:26" x14ac:dyDescent="0.3">
      <c r="A47" s="64">
        <v>43</v>
      </c>
      <c r="B47" s="48">
        <f>Theory!B59</f>
        <v>0</v>
      </c>
      <c r="C47" s="310"/>
      <c r="D47" s="310"/>
      <c r="E47" s="310"/>
      <c r="F47" s="311" t="str">
        <f>IF(Theory!D$9="YES",VLOOKUP(B47,'CIA MARKS'!C56:ER125,146,FALSE),"")</f>
        <v/>
      </c>
      <c r="G47" s="311" t="str">
        <f>IF(Theory!D$9="YES",VLOOKUP(B47,'CIA MARKS'!C56:ES125,147,FALSE),"")</f>
        <v/>
      </c>
      <c r="H47" s="311" t="str">
        <f>IF(Theory!D$9="YES",VLOOKUP(B47,'CIA MARKS'!C56:DT125,122,FALSE),"")</f>
        <v/>
      </c>
      <c r="I47" s="311" t="str">
        <f>IF(Theory!D$9="YES",VLOOKUP(B47,'CIA MARKS'!C56:DW125,125,FALSE),"")</f>
        <v/>
      </c>
      <c r="J47" s="311" t="str">
        <f>IF(Theory!D$9="YES",VLOOKUP(B47,'CIA MARKS'!C56:EC125,131,FALSE),"")</f>
        <v/>
      </c>
      <c r="K47" s="311" t="str">
        <f>IF(Theory!D$9="YES",VLOOKUP(B47,'CIA MARKS'!C56:EG125,135,FALSE),"")</f>
        <v/>
      </c>
      <c r="L47" s="311" t="str">
        <f>IF(Theory!D$9="YES",VLOOKUP(B47,'CIA MARKS'!C56:EJ125,138,FALSE),"")</f>
        <v/>
      </c>
      <c r="M47" s="318">
        <f t="shared" si="2"/>
        <v>0</v>
      </c>
      <c r="N47" s="364"/>
      <c r="O47" s="312" t="str">
        <f>IF(Theory!D$8="YES",VLOOKUP(B47,'CIA MARKS'!C56:ES125,147,FALSE),"")</f>
        <v/>
      </c>
      <c r="P47" s="312" t="str">
        <f>IF(Theory!D$8="YES",VLOOKUP(B47,'CIA MARKS'!C56:EC125,131,FALSE),"")</f>
        <v/>
      </c>
      <c r="Q47" s="312" t="str">
        <f>IF(Theory!D$8="YES",VLOOKUP(B47,'CIA MARKS'!C56:EG125,135,FALSE),"")</f>
        <v/>
      </c>
      <c r="R47" s="137">
        <f t="shared" si="0"/>
        <v>0</v>
      </c>
      <c r="T47" s="64">
        <v>0</v>
      </c>
      <c r="U47" s="64">
        <v>0</v>
      </c>
      <c r="V47" s="64">
        <v>0</v>
      </c>
      <c r="W47" s="48">
        <v>0</v>
      </c>
      <c r="X47" s="64" t="e">
        <f>IF(Theory!D$7="YES",VLOOKUP(B47,'CIA MARKS'!C56:DT125,122,FALSE),"")</f>
        <v>#N/A</v>
      </c>
      <c r="Y47" s="64" t="e">
        <f>IF(Theory!D$7="YES",VLOOKUP(B47,'CIA MARKS'!C56:DW125,125,FALSE),"")</f>
        <v>#N/A</v>
      </c>
      <c r="Z47" s="315" t="e">
        <f t="shared" si="1"/>
        <v>#N/A</v>
      </c>
    </row>
    <row r="48" spans="1:26" x14ac:dyDescent="0.3">
      <c r="A48" s="64">
        <v>44</v>
      </c>
      <c r="B48" s="48">
        <f>Theory!B60</f>
        <v>0</v>
      </c>
      <c r="C48" s="310"/>
      <c r="D48" s="310"/>
      <c r="E48" s="310"/>
      <c r="F48" s="311" t="str">
        <f>IF(Theory!D$9="YES",VLOOKUP(B48,'CIA MARKS'!C57:ER126,146,FALSE),"")</f>
        <v/>
      </c>
      <c r="G48" s="311" t="str">
        <f>IF(Theory!D$9="YES",VLOOKUP(B48,'CIA MARKS'!C57:ES126,147,FALSE),"")</f>
        <v/>
      </c>
      <c r="H48" s="311" t="str">
        <f>IF(Theory!D$9="YES",VLOOKUP(B48,'CIA MARKS'!C57:DT126,122,FALSE),"")</f>
        <v/>
      </c>
      <c r="I48" s="311" t="str">
        <f>IF(Theory!D$9="YES",VLOOKUP(B48,'CIA MARKS'!C57:DW126,125,FALSE),"")</f>
        <v/>
      </c>
      <c r="J48" s="311" t="str">
        <f>IF(Theory!D$9="YES",VLOOKUP(B48,'CIA MARKS'!C57:EC126,131,FALSE),"")</f>
        <v/>
      </c>
      <c r="K48" s="311" t="str">
        <f>IF(Theory!D$9="YES",VLOOKUP(B48,'CIA MARKS'!C57:EG126,135,FALSE),"")</f>
        <v/>
      </c>
      <c r="L48" s="311" t="str">
        <f>IF(Theory!D$9="YES",VLOOKUP(B48,'CIA MARKS'!C57:EJ126,138,FALSE),"")</f>
        <v/>
      </c>
      <c r="M48" s="318">
        <f t="shared" si="2"/>
        <v>0</v>
      </c>
      <c r="N48" s="364"/>
      <c r="O48" s="312" t="str">
        <f>IF(Theory!D$8="YES",VLOOKUP(B48,'CIA MARKS'!C57:ES126,147,FALSE),"")</f>
        <v/>
      </c>
      <c r="P48" s="312" t="str">
        <f>IF(Theory!D$8="YES",VLOOKUP(B48,'CIA MARKS'!C57:EC126,131,FALSE),"")</f>
        <v/>
      </c>
      <c r="Q48" s="312" t="str">
        <f>IF(Theory!D$8="YES",VLOOKUP(B48,'CIA MARKS'!C57:EG126,135,FALSE),"")</f>
        <v/>
      </c>
      <c r="R48" s="137">
        <f t="shared" si="0"/>
        <v>0</v>
      </c>
      <c r="T48" s="64">
        <v>0</v>
      </c>
      <c r="U48" s="64">
        <v>0</v>
      </c>
      <c r="V48" s="64">
        <v>0</v>
      </c>
      <c r="W48" s="48">
        <v>0</v>
      </c>
      <c r="X48" s="64" t="e">
        <f>IF(Theory!D$7="YES",VLOOKUP(B48,'CIA MARKS'!C57:DT126,122,FALSE),"")</f>
        <v>#N/A</v>
      </c>
      <c r="Y48" s="64" t="e">
        <f>IF(Theory!D$7="YES",VLOOKUP(B48,'CIA MARKS'!C57:DW126,125,FALSE),"")</f>
        <v>#N/A</v>
      </c>
      <c r="Z48" s="315" t="e">
        <f t="shared" si="1"/>
        <v>#N/A</v>
      </c>
    </row>
    <row r="49" spans="1:26" x14ac:dyDescent="0.3">
      <c r="A49" s="64">
        <v>45</v>
      </c>
      <c r="B49" s="48">
        <f>Theory!B61</f>
        <v>0</v>
      </c>
      <c r="C49" s="310"/>
      <c r="D49" s="310"/>
      <c r="E49" s="310"/>
      <c r="F49" s="311" t="str">
        <f>IF(Theory!D$9="YES",VLOOKUP(B49,'CIA MARKS'!C58:ER127,146,FALSE),"")</f>
        <v/>
      </c>
      <c r="G49" s="311" t="str">
        <f>IF(Theory!D$9="YES",VLOOKUP(B49,'CIA MARKS'!C58:ES127,147,FALSE),"")</f>
        <v/>
      </c>
      <c r="H49" s="311" t="str">
        <f>IF(Theory!D$9="YES",VLOOKUP(B49,'CIA MARKS'!C58:DT127,122,FALSE),"")</f>
        <v/>
      </c>
      <c r="I49" s="311" t="str">
        <f>IF(Theory!D$9="YES",VLOOKUP(B49,'CIA MARKS'!C58:DW127,125,FALSE),"")</f>
        <v/>
      </c>
      <c r="J49" s="311" t="str">
        <f>IF(Theory!D$9="YES",VLOOKUP(B49,'CIA MARKS'!C58:EC127,131,FALSE),"")</f>
        <v/>
      </c>
      <c r="K49" s="311" t="str">
        <f>IF(Theory!D$9="YES",VLOOKUP(B49,'CIA MARKS'!C58:EG127,135,FALSE),"")</f>
        <v/>
      </c>
      <c r="L49" s="311" t="str">
        <f>IF(Theory!D$9="YES",VLOOKUP(B49,'CIA MARKS'!C58:EJ127,138,FALSE),"")</f>
        <v/>
      </c>
      <c r="M49" s="318">
        <f t="shared" si="2"/>
        <v>0</v>
      </c>
      <c r="N49" s="364"/>
      <c r="O49" s="312" t="str">
        <f>IF(Theory!D$8="YES",VLOOKUP(B49,'CIA MARKS'!C58:ES127,147,FALSE),"")</f>
        <v/>
      </c>
      <c r="P49" s="312" t="str">
        <f>IF(Theory!D$8="YES",VLOOKUP(B49,'CIA MARKS'!C58:EC127,131,FALSE),"")</f>
        <v/>
      </c>
      <c r="Q49" s="312" t="str">
        <f>IF(Theory!D$8="YES",VLOOKUP(B49,'CIA MARKS'!C58:EG127,135,FALSE),"")</f>
        <v/>
      </c>
      <c r="R49" s="137">
        <f t="shared" si="0"/>
        <v>0</v>
      </c>
      <c r="T49" s="64">
        <v>0</v>
      </c>
      <c r="U49" s="64">
        <v>0</v>
      </c>
      <c r="V49" s="64">
        <v>0</v>
      </c>
      <c r="W49" s="48">
        <v>0</v>
      </c>
      <c r="X49" s="64" t="e">
        <f>IF(Theory!D$7="YES",VLOOKUP(B49,'CIA MARKS'!C58:DT127,122,FALSE),"")</f>
        <v>#N/A</v>
      </c>
      <c r="Y49" s="64" t="e">
        <f>IF(Theory!D$7="YES",VLOOKUP(B49,'CIA MARKS'!C58:DW127,125,FALSE),"")</f>
        <v>#N/A</v>
      </c>
      <c r="Z49" s="315" t="e">
        <f t="shared" si="1"/>
        <v>#N/A</v>
      </c>
    </row>
    <row r="50" spans="1:26" x14ac:dyDescent="0.3">
      <c r="A50" s="64">
        <v>46</v>
      </c>
      <c r="B50" s="48">
        <f>Theory!B62</f>
        <v>0</v>
      </c>
      <c r="C50" s="310"/>
      <c r="D50" s="310"/>
      <c r="E50" s="310"/>
      <c r="F50" s="311" t="str">
        <f>IF(Theory!D$9="YES",VLOOKUP(B50,'CIA MARKS'!C59:ER128,146,FALSE),"")</f>
        <v/>
      </c>
      <c r="G50" s="311" t="str">
        <f>IF(Theory!D$9="YES",VLOOKUP(B50,'CIA MARKS'!C59:ES128,147,FALSE),"")</f>
        <v/>
      </c>
      <c r="H50" s="311" t="str">
        <f>IF(Theory!D$9="YES",VLOOKUP(B50,'CIA MARKS'!C59:DT128,122,FALSE),"")</f>
        <v/>
      </c>
      <c r="I50" s="311" t="str">
        <f>IF(Theory!D$9="YES",VLOOKUP(B50,'CIA MARKS'!C59:DW128,125,FALSE),"")</f>
        <v/>
      </c>
      <c r="J50" s="311" t="str">
        <f>IF(Theory!D$9="YES",VLOOKUP(B50,'CIA MARKS'!C59:EC128,131,FALSE),"")</f>
        <v/>
      </c>
      <c r="K50" s="311" t="str">
        <f>IF(Theory!D$9="YES",VLOOKUP(B50,'CIA MARKS'!C59:EG128,135,FALSE),"")</f>
        <v/>
      </c>
      <c r="L50" s="311" t="str">
        <f>IF(Theory!D$9="YES",VLOOKUP(B50,'CIA MARKS'!C59:EJ128,138,FALSE),"")</f>
        <v/>
      </c>
      <c r="M50" s="318">
        <f t="shared" si="2"/>
        <v>0</v>
      </c>
      <c r="N50" s="364"/>
      <c r="O50" s="312" t="str">
        <f>IF(Theory!D$8="YES",VLOOKUP(B50,'CIA MARKS'!C59:ES128,147,FALSE),"")</f>
        <v/>
      </c>
      <c r="P50" s="312" t="str">
        <f>IF(Theory!D$8="YES",VLOOKUP(B50,'CIA MARKS'!C59:EC128,131,FALSE),"")</f>
        <v/>
      </c>
      <c r="Q50" s="312" t="str">
        <f>IF(Theory!D$8="YES",VLOOKUP(B50,'CIA MARKS'!C59:EG128,135,FALSE),"")</f>
        <v/>
      </c>
      <c r="R50" s="137">
        <f t="shared" si="0"/>
        <v>0</v>
      </c>
      <c r="T50" s="64">
        <v>0</v>
      </c>
      <c r="U50" s="64">
        <v>0</v>
      </c>
      <c r="V50" s="64">
        <v>0</v>
      </c>
      <c r="W50" s="48">
        <v>0</v>
      </c>
      <c r="X50" s="64" t="e">
        <f>IF(Theory!D$7="YES",VLOOKUP(B50,'CIA MARKS'!C59:DT128,122,FALSE),"")</f>
        <v>#N/A</v>
      </c>
      <c r="Y50" s="64" t="e">
        <f>IF(Theory!D$7="YES",VLOOKUP(B50,'CIA MARKS'!C59:DW128,125,FALSE),"")</f>
        <v>#N/A</v>
      </c>
      <c r="Z50" s="315" t="e">
        <f t="shared" si="1"/>
        <v>#N/A</v>
      </c>
    </row>
    <row r="51" spans="1:26" x14ac:dyDescent="0.3">
      <c r="A51" s="64">
        <v>47</v>
      </c>
      <c r="B51" s="48">
        <f>Theory!B63</f>
        <v>0</v>
      </c>
      <c r="C51" s="310"/>
      <c r="D51" s="310"/>
      <c r="E51" s="310"/>
      <c r="F51" s="311" t="str">
        <f>IF(Theory!D$9="YES",VLOOKUP(B51,'CIA MARKS'!C60:ER129,146,FALSE),"")</f>
        <v/>
      </c>
      <c r="G51" s="311" t="str">
        <f>IF(Theory!D$9="YES",VLOOKUP(B51,'CIA MARKS'!C60:ES129,147,FALSE),"")</f>
        <v/>
      </c>
      <c r="H51" s="311" t="str">
        <f>IF(Theory!D$9="YES",VLOOKUP(B51,'CIA MARKS'!C60:DT129,122,FALSE),"")</f>
        <v/>
      </c>
      <c r="I51" s="311" t="str">
        <f>IF(Theory!D$9="YES",VLOOKUP(B51,'CIA MARKS'!C60:DW129,125,FALSE),"")</f>
        <v/>
      </c>
      <c r="J51" s="311" t="str">
        <f>IF(Theory!D$9="YES",VLOOKUP(B51,'CIA MARKS'!C60:EC129,131,FALSE),"")</f>
        <v/>
      </c>
      <c r="K51" s="311" t="str">
        <f>IF(Theory!D$9="YES",VLOOKUP(B51,'CIA MARKS'!C60:EG129,135,FALSE),"")</f>
        <v/>
      </c>
      <c r="L51" s="311" t="str">
        <f>IF(Theory!D$9="YES",VLOOKUP(B51,'CIA MARKS'!C60:EJ129,138,FALSE),"")</f>
        <v/>
      </c>
      <c r="M51" s="318">
        <f t="shared" si="2"/>
        <v>0</v>
      </c>
      <c r="N51" s="364"/>
      <c r="O51" s="312" t="str">
        <f>IF(Theory!D$8="YES",VLOOKUP(B51,'CIA MARKS'!C60:ES129,147,FALSE),"")</f>
        <v/>
      </c>
      <c r="P51" s="312" t="str">
        <f>IF(Theory!D$8="YES",VLOOKUP(B51,'CIA MARKS'!C60:EC129,131,FALSE),"")</f>
        <v/>
      </c>
      <c r="Q51" s="312" t="str">
        <f>IF(Theory!D$8="YES",VLOOKUP(B51,'CIA MARKS'!C60:EG129,135,FALSE),"")</f>
        <v/>
      </c>
      <c r="R51" s="137">
        <f t="shared" si="0"/>
        <v>0</v>
      </c>
      <c r="T51" s="64">
        <v>0</v>
      </c>
      <c r="U51" s="64">
        <v>0</v>
      </c>
      <c r="V51" s="64">
        <v>0</v>
      </c>
      <c r="W51" s="48">
        <v>0</v>
      </c>
      <c r="X51" s="64" t="e">
        <f>IF(Theory!D$7="YES",VLOOKUP(B51,'CIA MARKS'!C60:DT129,122,FALSE),"")</f>
        <v>#N/A</v>
      </c>
      <c r="Y51" s="64" t="e">
        <f>IF(Theory!D$7="YES",VLOOKUP(B51,'CIA MARKS'!C60:DW129,125,FALSE),"")</f>
        <v>#N/A</v>
      </c>
      <c r="Z51" s="315" t="e">
        <f t="shared" si="1"/>
        <v>#N/A</v>
      </c>
    </row>
    <row r="52" spans="1:26" x14ac:dyDescent="0.3">
      <c r="A52" s="64">
        <v>48</v>
      </c>
      <c r="B52" s="48">
        <f>Theory!B64</f>
        <v>0</v>
      </c>
      <c r="C52" s="310"/>
      <c r="D52" s="310"/>
      <c r="E52" s="310"/>
      <c r="F52" s="311" t="str">
        <f>IF(Theory!D$9="YES",VLOOKUP(B52,'CIA MARKS'!C61:ER130,146,FALSE),"")</f>
        <v/>
      </c>
      <c r="G52" s="311" t="str">
        <f>IF(Theory!D$9="YES",VLOOKUP(B52,'CIA MARKS'!C61:ES130,147,FALSE),"")</f>
        <v/>
      </c>
      <c r="H52" s="311" t="str">
        <f>IF(Theory!D$9="YES",VLOOKUP(B52,'CIA MARKS'!C61:DT130,122,FALSE),"")</f>
        <v/>
      </c>
      <c r="I52" s="311" t="str">
        <f>IF(Theory!D$9="YES",VLOOKUP(B52,'CIA MARKS'!C61:DW130,125,FALSE),"")</f>
        <v/>
      </c>
      <c r="J52" s="311" t="str">
        <f>IF(Theory!D$9="YES",VLOOKUP(B52,'CIA MARKS'!C61:EC130,131,FALSE),"")</f>
        <v/>
      </c>
      <c r="K52" s="311" t="str">
        <f>IF(Theory!D$9="YES",VLOOKUP(B52,'CIA MARKS'!C61:EG130,135,FALSE),"")</f>
        <v/>
      </c>
      <c r="L52" s="311" t="str">
        <f>IF(Theory!D$9="YES",VLOOKUP(B52,'CIA MARKS'!C61:EJ130,138,FALSE),"")</f>
        <v/>
      </c>
      <c r="M52" s="318">
        <f t="shared" si="2"/>
        <v>0</v>
      </c>
      <c r="N52" s="364"/>
      <c r="O52" s="312" t="str">
        <f>IF(Theory!D$8="YES",VLOOKUP(B52,'CIA MARKS'!C61:ES130,147,FALSE),"")</f>
        <v/>
      </c>
      <c r="P52" s="312" t="str">
        <f>IF(Theory!D$8="YES",VLOOKUP(B52,'CIA MARKS'!C61:EC130,131,FALSE),"")</f>
        <v/>
      </c>
      <c r="Q52" s="312" t="str">
        <f>IF(Theory!D$8="YES",VLOOKUP(B52,'CIA MARKS'!C61:EG130,135,FALSE),"")</f>
        <v/>
      </c>
      <c r="R52" s="137">
        <f t="shared" si="0"/>
        <v>0</v>
      </c>
      <c r="T52" s="64">
        <v>0</v>
      </c>
      <c r="U52" s="64">
        <v>0</v>
      </c>
      <c r="V52" s="64">
        <v>0</v>
      </c>
      <c r="W52" s="48">
        <v>0</v>
      </c>
      <c r="X52" s="64" t="e">
        <f>IF(Theory!D$7="YES",VLOOKUP(B52,'CIA MARKS'!C61:DT130,122,FALSE),"")</f>
        <v>#N/A</v>
      </c>
      <c r="Y52" s="64" t="e">
        <f>IF(Theory!D$7="YES",VLOOKUP(B52,'CIA MARKS'!C61:DW130,125,FALSE),"")</f>
        <v>#N/A</v>
      </c>
      <c r="Z52" s="315" t="e">
        <f t="shared" si="1"/>
        <v>#N/A</v>
      </c>
    </row>
    <row r="53" spans="1:26" x14ac:dyDescent="0.3">
      <c r="A53" s="64">
        <v>49</v>
      </c>
      <c r="B53" s="48">
        <f>Theory!B65</f>
        <v>0</v>
      </c>
      <c r="C53" s="310"/>
      <c r="D53" s="310"/>
      <c r="E53" s="310"/>
      <c r="F53" s="311" t="str">
        <f>IF(Theory!D$9="YES",VLOOKUP(B53,'CIA MARKS'!C62:ER131,146,FALSE),"")</f>
        <v/>
      </c>
      <c r="G53" s="311" t="str">
        <f>IF(Theory!D$9="YES",VLOOKUP(B53,'CIA MARKS'!C62:ES131,147,FALSE),"")</f>
        <v/>
      </c>
      <c r="H53" s="311" t="str">
        <f>IF(Theory!D$9="YES",VLOOKUP(B53,'CIA MARKS'!C62:DT131,122,FALSE),"")</f>
        <v/>
      </c>
      <c r="I53" s="311" t="str">
        <f>IF(Theory!D$9="YES",VLOOKUP(B53,'CIA MARKS'!C62:DW131,125,FALSE),"")</f>
        <v/>
      </c>
      <c r="J53" s="311" t="str">
        <f>IF(Theory!D$9="YES",VLOOKUP(B53,'CIA MARKS'!C62:EC131,131,FALSE),"")</f>
        <v/>
      </c>
      <c r="K53" s="311" t="str">
        <f>IF(Theory!D$9="YES",VLOOKUP(B53,'CIA MARKS'!C62:EG131,135,FALSE),"")</f>
        <v/>
      </c>
      <c r="L53" s="311" t="str">
        <f>IF(Theory!D$9="YES",VLOOKUP(B53,'CIA MARKS'!C62:EJ131,138,FALSE),"")</f>
        <v/>
      </c>
      <c r="M53" s="318">
        <f t="shared" si="2"/>
        <v>0</v>
      </c>
      <c r="N53" s="364"/>
      <c r="O53" s="312" t="str">
        <f>IF(Theory!D$8="YES",VLOOKUP(B53,'CIA MARKS'!C62:ES131,147,FALSE),"")</f>
        <v/>
      </c>
      <c r="P53" s="312" t="str">
        <f>IF(Theory!D$8="YES",VLOOKUP(B53,'CIA MARKS'!C62:EC131,131,FALSE),"")</f>
        <v/>
      </c>
      <c r="Q53" s="312" t="str">
        <f>IF(Theory!D$8="YES",VLOOKUP(B53,'CIA MARKS'!C62:EG131,135,FALSE),"")</f>
        <v/>
      </c>
      <c r="R53" s="137">
        <f t="shared" si="0"/>
        <v>0</v>
      </c>
      <c r="T53" s="64">
        <v>0</v>
      </c>
      <c r="U53" s="64">
        <v>0</v>
      </c>
      <c r="V53" s="64">
        <v>0</v>
      </c>
      <c r="W53" s="48">
        <v>0</v>
      </c>
      <c r="X53" s="64" t="e">
        <f>IF(Theory!D$7="YES",VLOOKUP(B53,'CIA MARKS'!C62:DT131,122,FALSE),"")</f>
        <v>#N/A</v>
      </c>
      <c r="Y53" s="64" t="e">
        <f>IF(Theory!D$7="YES",VLOOKUP(B53,'CIA MARKS'!C62:DW131,125,FALSE),"")</f>
        <v>#N/A</v>
      </c>
      <c r="Z53" s="315" t="e">
        <f t="shared" si="1"/>
        <v>#N/A</v>
      </c>
    </row>
    <row r="54" spans="1:26" x14ac:dyDescent="0.3">
      <c r="A54" s="64">
        <v>50</v>
      </c>
      <c r="B54" s="48">
        <f>Theory!B66</f>
        <v>0</v>
      </c>
      <c r="C54" s="310"/>
      <c r="D54" s="310"/>
      <c r="E54" s="310"/>
      <c r="F54" s="311" t="str">
        <f>IF(Theory!D$9="YES",VLOOKUP(B54,'CIA MARKS'!C63:ER132,146,FALSE),"")</f>
        <v/>
      </c>
      <c r="G54" s="311" t="str">
        <f>IF(Theory!D$9="YES",VLOOKUP(B54,'CIA MARKS'!C63:ES132,147,FALSE),"")</f>
        <v/>
      </c>
      <c r="H54" s="311" t="str">
        <f>IF(Theory!D$9="YES",VLOOKUP(B54,'CIA MARKS'!C63:DT132,122,FALSE),"")</f>
        <v/>
      </c>
      <c r="I54" s="311" t="str">
        <f>IF(Theory!D$9="YES",VLOOKUP(B54,'CIA MARKS'!C63:DW132,125,FALSE),"")</f>
        <v/>
      </c>
      <c r="J54" s="311" t="str">
        <f>IF(Theory!D$9="YES",VLOOKUP(B54,'CIA MARKS'!C63:EC132,131,FALSE),"")</f>
        <v/>
      </c>
      <c r="K54" s="311" t="str">
        <f>IF(Theory!D$9="YES",VLOOKUP(B54,'CIA MARKS'!C63:EG132,135,FALSE),"")</f>
        <v/>
      </c>
      <c r="L54" s="311" t="str">
        <f>IF(Theory!D$9="YES",VLOOKUP(B54,'CIA MARKS'!C63:EJ132,138,FALSE),"")</f>
        <v/>
      </c>
      <c r="M54" s="318">
        <f t="shared" si="2"/>
        <v>0</v>
      </c>
      <c r="N54" s="364"/>
      <c r="O54" s="312" t="str">
        <f>IF(Theory!D$8="YES",VLOOKUP(B54,'CIA MARKS'!C63:ES132,147,FALSE),"")</f>
        <v/>
      </c>
      <c r="P54" s="312" t="str">
        <f>IF(Theory!D$8="YES",VLOOKUP(B54,'CIA MARKS'!C63:EC132,131,FALSE),"")</f>
        <v/>
      </c>
      <c r="Q54" s="312" t="str">
        <f>IF(Theory!D$8="YES",VLOOKUP(B54,'CIA MARKS'!C63:EG132,135,FALSE),"")</f>
        <v/>
      </c>
      <c r="R54" s="137">
        <f t="shared" si="0"/>
        <v>0</v>
      </c>
      <c r="T54" s="64">
        <v>0</v>
      </c>
      <c r="U54" s="64">
        <v>0</v>
      </c>
      <c r="V54" s="64">
        <v>0</v>
      </c>
      <c r="W54" s="48">
        <v>0</v>
      </c>
      <c r="X54" s="64" t="e">
        <f>IF(Theory!D$7="YES",VLOOKUP(B54,'CIA MARKS'!C63:DT132,122,FALSE),"")</f>
        <v>#N/A</v>
      </c>
      <c r="Y54" s="64" t="e">
        <f>IF(Theory!D$7="YES",VLOOKUP(B54,'CIA MARKS'!C63:DW132,125,FALSE),"")</f>
        <v>#N/A</v>
      </c>
      <c r="Z54" s="315" t="e">
        <f t="shared" si="1"/>
        <v>#N/A</v>
      </c>
    </row>
    <row r="55" spans="1:26" x14ac:dyDescent="0.3">
      <c r="A55" s="64">
        <v>51</v>
      </c>
      <c r="B55" s="48">
        <f>Theory!B67</f>
        <v>0</v>
      </c>
      <c r="C55" s="310"/>
      <c r="D55" s="310"/>
      <c r="E55" s="310"/>
      <c r="F55" s="311" t="str">
        <f>IF(Theory!D$9="YES",VLOOKUP(B55,'CIA MARKS'!C64:ER133,146,FALSE),"")</f>
        <v/>
      </c>
      <c r="G55" s="311" t="str">
        <f>IF(Theory!D$9="YES",VLOOKUP(B55,'CIA MARKS'!C64:ES133,147,FALSE),"")</f>
        <v/>
      </c>
      <c r="H55" s="311" t="str">
        <f>IF(Theory!D$9="YES",VLOOKUP(B55,'CIA MARKS'!C64:DT133,122,FALSE),"")</f>
        <v/>
      </c>
      <c r="I55" s="311" t="str">
        <f>IF(Theory!D$9="YES",VLOOKUP(B55,'CIA MARKS'!C64:DW133,125,FALSE),"")</f>
        <v/>
      </c>
      <c r="J55" s="311" t="str">
        <f>IF(Theory!D$9="YES",VLOOKUP(B55,'CIA MARKS'!C64:EC133,131,FALSE),"")</f>
        <v/>
      </c>
      <c r="K55" s="311" t="str">
        <f>IF(Theory!D$9="YES",VLOOKUP(B55,'CIA MARKS'!C64:EG133,135,FALSE),"")</f>
        <v/>
      </c>
      <c r="L55" s="311" t="str">
        <f>IF(Theory!D$9="YES",VLOOKUP(B55,'CIA MARKS'!C64:EJ133,138,FALSE),"")</f>
        <v/>
      </c>
      <c r="M55" s="318">
        <f t="shared" si="2"/>
        <v>0</v>
      </c>
      <c r="N55" s="364"/>
      <c r="O55" s="312" t="str">
        <f>IF(Theory!D$8="YES",VLOOKUP(B55,'CIA MARKS'!C64:ES133,147,FALSE),"")</f>
        <v/>
      </c>
      <c r="P55" s="312" t="str">
        <f>IF(Theory!D$8="YES",VLOOKUP(B55,'CIA MARKS'!C64:EC133,131,FALSE),"")</f>
        <v/>
      </c>
      <c r="Q55" s="312" t="str">
        <f>IF(Theory!D$8="YES",VLOOKUP(B55,'CIA MARKS'!C64:EG133,135,FALSE),"")</f>
        <v/>
      </c>
      <c r="R55" s="137">
        <f t="shared" si="0"/>
        <v>0</v>
      </c>
      <c r="T55" s="64">
        <v>0</v>
      </c>
      <c r="U55" s="64">
        <v>0</v>
      </c>
      <c r="V55" s="64">
        <v>0</v>
      </c>
      <c r="W55" s="48">
        <v>0</v>
      </c>
      <c r="X55" s="64" t="e">
        <f>IF(Theory!D$7="YES",VLOOKUP(B55,'CIA MARKS'!C64:DT133,122,FALSE),"")</f>
        <v>#N/A</v>
      </c>
      <c r="Y55" s="64" t="e">
        <f>IF(Theory!D$7="YES",VLOOKUP(B55,'CIA MARKS'!C64:DW133,125,FALSE),"")</f>
        <v>#N/A</v>
      </c>
      <c r="Z55" s="315" t="e">
        <f t="shared" si="1"/>
        <v>#N/A</v>
      </c>
    </row>
    <row r="56" spans="1:26" x14ac:dyDescent="0.3">
      <c r="A56" s="64">
        <v>52</v>
      </c>
      <c r="B56" s="48">
        <f>Theory!B68</f>
        <v>0</v>
      </c>
      <c r="C56" s="310"/>
      <c r="D56" s="310"/>
      <c r="E56" s="310"/>
      <c r="F56" s="311" t="str">
        <f>IF(Theory!D$9="YES",VLOOKUP(B56,'CIA MARKS'!C65:ER134,146,FALSE),"")</f>
        <v/>
      </c>
      <c r="G56" s="311" t="str">
        <f>IF(Theory!D$9="YES",VLOOKUP(B56,'CIA MARKS'!C65:ES134,147,FALSE),"")</f>
        <v/>
      </c>
      <c r="H56" s="311" t="str">
        <f>IF(Theory!D$9="YES",VLOOKUP(B56,'CIA MARKS'!C65:DT134,122,FALSE),"")</f>
        <v/>
      </c>
      <c r="I56" s="311" t="str">
        <f>IF(Theory!D$9="YES",VLOOKUP(B56,'CIA MARKS'!C65:DW134,125,FALSE),"")</f>
        <v/>
      </c>
      <c r="J56" s="311" t="str">
        <f>IF(Theory!D$9="YES",VLOOKUP(B56,'CIA MARKS'!C65:EC134,131,FALSE),"")</f>
        <v/>
      </c>
      <c r="K56" s="311" t="str">
        <f>IF(Theory!D$9="YES",VLOOKUP(B56,'CIA MARKS'!C65:EG134,135,FALSE),"")</f>
        <v/>
      </c>
      <c r="L56" s="311" t="str">
        <f>IF(Theory!D$9="YES",VLOOKUP(B56,'CIA MARKS'!C65:EJ134,138,FALSE),"")</f>
        <v/>
      </c>
      <c r="M56" s="318">
        <f t="shared" si="2"/>
        <v>0</v>
      </c>
      <c r="N56" s="364"/>
      <c r="O56" s="312" t="str">
        <f>IF(Theory!D$8="YES",VLOOKUP(B56,'CIA MARKS'!C65:ES134,147,FALSE),"")</f>
        <v/>
      </c>
      <c r="P56" s="312" t="str">
        <f>IF(Theory!D$8="YES",VLOOKUP(B56,'CIA MARKS'!C65:EC134,131,FALSE),"")</f>
        <v/>
      </c>
      <c r="Q56" s="312" t="str">
        <f>IF(Theory!D$8="YES",VLOOKUP(B56,'CIA MARKS'!C65:EG134,135,FALSE),"")</f>
        <v/>
      </c>
      <c r="R56" s="137">
        <f t="shared" si="0"/>
        <v>0</v>
      </c>
      <c r="T56" s="64">
        <v>0</v>
      </c>
      <c r="U56" s="64">
        <v>0</v>
      </c>
      <c r="V56" s="64">
        <v>0</v>
      </c>
      <c r="W56" s="48">
        <v>0</v>
      </c>
      <c r="X56" s="64" t="e">
        <f>IF(Theory!D$7="YES",VLOOKUP(B56,'CIA MARKS'!C65:DT134,122,FALSE),"")</f>
        <v>#N/A</v>
      </c>
      <c r="Y56" s="64" t="e">
        <f>IF(Theory!D$7="YES",VLOOKUP(B56,'CIA MARKS'!C65:DW134,125,FALSE),"")</f>
        <v>#N/A</v>
      </c>
      <c r="Z56" s="315" t="e">
        <f t="shared" si="1"/>
        <v>#N/A</v>
      </c>
    </row>
    <row r="57" spans="1:26" x14ac:dyDescent="0.3">
      <c r="A57" s="64">
        <v>53</v>
      </c>
      <c r="B57" s="48">
        <f>Theory!B69</f>
        <v>0</v>
      </c>
      <c r="C57" s="310"/>
      <c r="D57" s="310"/>
      <c r="E57" s="310"/>
      <c r="F57" s="311" t="str">
        <f>IF(Theory!D$9="YES",VLOOKUP(B57,'CIA MARKS'!C66:ER135,146,FALSE),"")</f>
        <v/>
      </c>
      <c r="G57" s="311" t="str">
        <f>IF(Theory!D$9="YES",VLOOKUP(B57,'CIA MARKS'!C66:ES135,147,FALSE),"")</f>
        <v/>
      </c>
      <c r="H57" s="311" t="str">
        <f>IF(Theory!D$9="YES",VLOOKUP(B57,'CIA MARKS'!C66:DT135,122,FALSE),"")</f>
        <v/>
      </c>
      <c r="I57" s="311" t="str">
        <f>IF(Theory!D$9="YES",VLOOKUP(B57,'CIA MARKS'!C66:DW135,125,FALSE),"")</f>
        <v/>
      </c>
      <c r="J57" s="311" t="str">
        <f>IF(Theory!D$9="YES",VLOOKUP(B57,'CIA MARKS'!C66:EC135,131,FALSE),"")</f>
        <v/>
      </c>
      <c r="K57" s="311" t="str">
        <f>IF(Theory!D$9="YES",VLOOKUP(B57,'CIA MARKS'!C66:EG135,135,FALSE),"")</f>
        <v/>
      </c>
      <c r="L57" s="311" t="str">
        <f>IF(Theory!D$9="YES",VLOOKUP(B57,'CIA MARKS'!C66:EJ135,138,FALSE),"")</f>
        <v/>
      </c>
      <c r="M57" s="318">
        <f t="shared" si="2"/>
        <v>0</v>
      </c>
      <c r="N57" s="364"/>
      <c r="O57" s="312" t="str">
        <f>IF(Theory!D$8="YES",VLOOKUP(B57,'CIA MARKS'!C66:ES135,147,FALSE),"")</f>
        <v/>
      </c>
      <c r="P57" s="312" t="str">
        <f>IF(Theory!D$8="YES",VLOOKUP(B57,'CIA MARKS'!C66:EC135,131,FALSE),"")</f>
        <v/>
      </c>
      <c r="Q57" s="312" t="str">
        <f>IF(Theory!D$8="YES",VLOOKUP(B57,'CIA MARKS'!C66:EG135,135,FALSE),"")</f>
        <v/>
      </c>
      <c r="R57" s="137">
        <f t="shared" si="0"/>
        <v>0</v>
      </c>
      <c r="T57" s="64">
        <v>0</v>
      </c>
      <c r="U57" s="64">
        <v>0</v>
      </c>
      <c r="V57" s="64">
        <v>0</v>
      </c>
      <c r="W57" s="48">
        <v>0</v>
      </c>
      <c r="X57" s="64" t="e">
        <f>IF(Theory!D$7="YES",VLOOKUP(B57,'CIA MARKS'!C66:DT135,122,FALSE),"")</f>
        <v>#N/A</v>
      </c>
      <c r="Y57" s="64" t="e">
        <f>IF(Theory!D$7="YES",VLOOKUP(B57,'CIA MARKS'!C66:DW135,125,FALSE),"")</f>
        <v>#N/A</v>
      </c>
      <c r="Z57" s="315" t="e">
        <f t="shared" si="1"/>
        <v>#N/A</v>
      </c>
    </row>
    <row r="58" spans="1:26" x14ac:dyDescent="0.3">
      <c r="A58" s="64">
        <v>54</v>
      </c>
      <c r="B58" s="48">
        <f>Theory!B70</f>
        <v>0</v>
      </c>
      <c r="C58" s="310"/>
      <c r="D58" s="310"/>
      <c r="E58" s="310"/>
      <c r="F58" s="311" t="str">
        <f>IF(Theory!D$9="YES",VLOOKUP(B58,'CIA MARKS'!C67:ER136,146,FALSE),"")</f>
        <v/>
      </c>
      <c r="G58" s="311" t="str">
        <f>IF(Theory!D$9="YES",VLOOKUP(B58,'CIA MARKS'!C67:ES136,147,FALSE),"")</f>
        <v/>
      </c>
      <c r="H58" s="311" t="str">
        <f>IF(Theory!D$9="YES",VLOOKUP(B58,'CIA MARKS'!C67:DT136,122,FALSE),"")</f>
        <v/>
      </c>
      <c r="I58" s="311" t="str">
        <f>IF(Theory!D$9="YES",VLOOKUP(B58,'CIA MARKS'!C67:DW136,125,FALSE),"")</f>
        <v/>
      </c>
      <c r="J58" s="311" t="str">
        <f>IF(Theory!D$9="YES",VLOOKUP(B58,'CIA MARKS'!C67:EC136,131,FALSE),"")</f>
        <v/>
      </c>
      <c r="K58" s="311" t="str">
        <f>IF(Theory!D$9="YES",VLOOKUP(B58,'CIA MARKS'!C67:EG136,135,FALSE),"")</f>
        <v/>
      </c>
      <c r="L58" s="311" t="str">
        <f>IF(Theory!D$9="YES",VLOOKUP(B58,'CIA MARKS'!C67:EJ136,138,FALSE),"")</f>
        <v/>
      </c>
      <c r="M58" s="318">
        <f t="shared" si="2"/>
        <v>0</v>
      </c>
      <c r="N58" s="364"/>
      <c r="O58" s="312" t="str">
        <f>IF(Theory!D$8="YES",VLOOKUP(B58,'CIA MARKS'!C67:ES136,147,FALSE),"")</f>
        <v/>
      </c>
      <c r="P58" s="312" t="str">
        <f>IF(Theory!D$8="YES",VLOOKUP(B58,'CIA MARKS'!C67:EC136,131,FALSE),"")</f>
        <v/>
      </c>
      <c r="Q58" s="312" t="str">
        <f>IF(Theory!D$8="YES",VLOOKUP(B58,'CIA MARKS'!C67:EG136,135,FALSE),"")</f>
        <v/>
      </c>
      <c r="R58" s="137">
        <f t="shared" si="0"/>
        <v>0</v>
      </c>
      <c r="T58" s="64">
        <v>0</v>
      </c>
      <c r="U58" s="64">
        <v>0</v>
      </c>
      <c r="V58" s="64">
        <v>0</v>
      </c>
      <c r="W58" s="48">
        <v>0</v>
      </c>
      <c r="X58" s="64" t="e">
        <f>IF(Theory!D$7="YES",VLOOKUP(B58,'CIA MARKS'!C67:DT136,122,FALSE),"")</f>
        <v>#N/A</v>
      </c>
      <c r="Y58" s="64" t="e">
        <f>IF(Theory!D$7="YES",VLOOKUP(B58,'CIA MARKS'!C67:DW136,125,FALSE),"")</f>
        <v>#N/A</v>
      </c>
      <c r="Z58" s="315" t="e">
        <f t="shared" si="1"/>
        <v>#N/A</v>
      </c>
    </row>
    <row r="59" spans="1:26" x14ac:dyDescent="0.3">
      <c r="A59" s="64">
        <v>55</v>
      </c>
      <c r="B59" s="48">
        <f>Theory!B71</f>
        <v>0</v>
      </c>
      <c r="C59" s="310"/>
      <c r="D59" s="310"/>
      <c r="E59" s="310"/>
      <c r="F59" s="311" t="str">
        <f>IF(Theory!D$9="YES",VLOOKUP(B59,'CIA MARKS'!C68:ER137,146,FALSE),"")</f>
        <v/>
      </c>
      <c r="G59" s="311" t="str">
        <f>IF(Theory!D$9="YES",VLOOKUP(B59,'CIA MARKS'!C68:ES137,147,FALSE),"")</f>
        <v/>
      </c>
      <c r="H59" s="311" t="str">
        <f>IF(Theory!D$9="YES",VLOOKUP(B59,'CIA MARKS'!C68:DT137,122,FALSE),"")</f>
        <v/>
      </c>
      <c r="I59" s="311" t="str">
        <f>IF(Theory!D$9="YES",VLOOKUP(B59,'CIA MARKS'!C68:DW137,125,FALSE),"")</f>
        <v/>
      </c>
      <c r="J59" s="311" t="str">
        <f>IF(Theory!D$9="YES",VLOOKUP(B59,'CIA MARKS'!C68:EC137,131,FALSE),"")</f>
        <v/>
      </c>
      <c r="K59" s="311" t="str">
        <f>IF(Theory!D$9="YES",VLOOKUP(B59,'CIA MARKS'!C68:EG137,135,FALSE),"")</f>
        <v/>
      </c>
      <c r="L59" s="311" t="str">
        <f>IF(Theory!D$9="YES",VLOOKUP(B59,'CIA MARKS'!C68:EJ137,138,FALSE),"")</f>
        <v/>
      </c>
      <c r="M59" s="318">
        <f t="shared" si="2"/>
        <v>0</v>
      </c>
      <c r="N59" s="364"/>
      <c r="O59" s="312" t="str">
        <f>IF(Theory!D$8="YES",VLOOKUP(B59,'CIA MARKS'!C68:ES137,147,FALSE),"")</f>
        <v/>
      </c>
      <c r="P59" s="312" t="str">
        <f>IF(Theory!D$8="YES",VLOOKUP(B59,'CIA MARKS'!C68:EC137,131,FALSE),"")</f>
        <v/>
      </c>
      <c r="Q59" s="312" t="str">
        <f>IF(Theory!D$8="YES",VLOOKUP(B59,'CIA MARKS'!C68:EG137,135,FALSE),"")</f>
        <v/>
      </c>
      <c r="R59" s="137">
        <f t="shared" si="0"/>
        <v>0</v>
      </c>
      <c r="T59" s="64">
        <v>0</v>
      </c>
      <c r="U59" s="64">
        <v>0</v>
      </c>
      <c r="V59" s="64">
        <v>0</v>
      </c>
      <c r="W59" s="48">
        <v>0</v>
      </c>
      <c r="X59" s="64" t="e">
        <f>IF(Theory!D$7="YES",VLOOKUP(B59,'CIA MARKS'!C68:DT137,122,FALSE),"")</f>
        <v>#N/A</v>
      </c>
      <c r="Y59" s="64" t="e">
        <f>IF(Theory!D$7="YES",VLOOKUP(B59,'CIA MARKS'!C68:DW137,125,FALSE),"")</f>
        <v>#N/A</v>
      </c>
      <c r="Z59" s="315" t="e">
        <f t="shared" si="1"/>
        <v>#N/A</v>
      </c>
    </row>
    <row r="60" spans="1:26" x14ac:dyDescent="0.3">
      <c r="A60" s="64">
        <v>56</v>
      </c>
      <c r="B60" s="48">
        <f>Theory!B72</f>
        <v>0</v>
      </c>
      <c r="C60" s="310"/>
      <c r="D60" s="310"/>
      <c r="E60" s="310"/>
      <c r="F60" s="311" t="str">
        <f>IF(Theory!D$9="YES",VLOOKUP(B60,'CIA MARKS'!C69:ER138,146,FALSE),"")</f>
        <v/>
      </c>
      <c r="G60" s="311" t="str">
        <f>IF(Theory!D$9="YES",VLOOKUP(B60,'CIA MARKS'!C69:ES138,147,FALSE),"")</f>
        <v/>
      </c>
      <c r="H60" s="311" t="str">
        <f>IF(Theory!D$9="YES",VLOOKUP(B60,'CIA MARKS'!C69:DT138,122,FALSE),"")</f>
        <v/>
      </c>
      <c r="I60" s="311" t="str">
        <f>IF(Theory!D$9="YES",VLOOKUP(B60,'CIA MARKS'!C69:DW138,125,FALSE),"")</f>
        <v/>
      </c>
      <c r="J60" s="311" t="str">
        <f>IF(Theory!D$9="YES",VLOOKUP(B60,'CIA MARKS'!C69:EC138,131,FALSE),"")</f>
        <v/>
      </c>
      <c r="K60" s="311" t="str">
        <f>IF(Theory!D$9="YES",VLOOKUP(B60,'CIA MARKS'!C69:EG138,135,FALSE),"")</f>
        <v/>
      </c>
      <c r="L60" s="311" t="str">
        <f>IF(Theory!D$9="YES",VLOOKUP(B60,'CIA MARKS'!C69:EJ138,138,FALSE),"")</f>
        <v/>
      </c>
      <c r="M60" s="318">
        <f t="shared" si="2"/>
        <v>0</v>
      </c>
      <c r="N60" s="364"/>
      <c r="O60" s="312" t="str">
        <f>IF(Theory!D$8="YES",VLOOKUP(B60,'CIA MARKS'!C69:ES138,147,FALSE),"")</f>
        <v/>
      </c>
      <c r="P60" s="312" t="str">
        <f>IF(Theory!D$8="YES",VLOOKUP(B60,'CIA MARKS'!C69:EC138,131,FALSE),"")</f>
        <v/>
      </c>
      <c r="Q60" s="312" t="str">
        <f>IF(Theory!D$8="YES",VLOOKUP(B60,'CIA MARKS'!C69:EG138,135,FALSE),"")</f>
        <v/>
      </c>
      <c r="R60" s="137">
        <f t="shared" si="0"/>
        <v>0</v>
      </c>
      <c r="T60" s="64">
        <v>0</v>
      </c>
      <c r="U60" s="64">
        <v>0</v>
      </c>
      <c r="V60" s="64">
        <v>0</v>
      </c>
      <c r="W60" s="48">
        <v>0</v>
      </c>
      <c r="X60" s="64" t="e">
        <f>IF(Theory!D$7="YES",VLOOKUP(B60,'CIA MARKS'!C69:DT138,122,FALSE),"")</f>
        <v>#N/A</v>
      </c>
      <c r="Y60" s="64" t="e">
        <f>IF(Theory!D$7="YES",VLOOKUP(B60,'CIA MARKS'!C69:DW138,125,FALSE),"")</f>
        <v>#N/A</v>
      </c>
      <c r="Z60" s="315" t="e">
        <f t="shared" si="1"/>
        <v>#N/A</v>
      </c>
    </row>
    <row r="61" spans="1:26" x14ac:dyDescent="0.3">
      <c r="A61" s="64">
        <v>57</v>
      </c>
      <c r="B61" s="48">
        <f>Theory!B73</f>
        <v>0</v>
      </c>
      <c r="C61" s="310"/>
      <c r="D61" s="310"/>
      <c r="E61" s="310"/>
      <c r="F61" s="311" t="str">
        <f>IF(Theory!D$9="YES",VLOOKUP(B61,'CIA MARKS'!C70:ER139,146,FALSE),"")</f>
        <v/>
      </c>
      <c r="G61" s="311" t="str">
        <f>IF(Theory!D$9="YES",VLOOKUP(B61,'CIA MARKS'!C70:ES139,147,FALSE),"")</f>
        <v/>
      </c>
      <c r="H61" s="311" t="str">
        <f>IF(Theory!D$9="YES",VLOOKUP(B61,'CIA MARKS'!C70:DT139,122,FALSE),"")</f>
        <v/>
      </c>
      <c r="I61" s="311" t="str">
        <f>IF(Theory!D$9="YES",VLOOKUP(B61,'CIA MARKS'!C70:DW139,125,FALSE),"")</f>
        <v/>
      </c>
      <c r="J61" s="311" t="str">
        <f>IF(Theory!D$9="YES",VLOOKUP(B61,'CIA MARKS'!C70:EC139,131,FALSE),"")</f>
        <v/>
      </c>
      <c r="K61" s="311" t="str">
        <f>IF(Theory!D$9="YES",VLOOKUP(B61,'CIA MARKS'!C70:EG139,135,FALSE),"")</f>
        <v/>
      </c>
      <c r="L61" s="311" t="str">
        <f>IF(Theory!D$9="YES",VLOOKUP(B61,'CIA MARKS'!C70:EJ139,138,FALSE),"")</f>
        <v/>
      </c>
      <c r="M61" s="318">
        <f t="shared" si="2"/>
        <v>0</v>
      </c>
      <c r="N61" s="364"/>
      <c r="O61" s="312" t="str">
        <f>IF(Theory!D$8="YES",VLOOKUP(B61,'CIA MARKS'!C70:ES139,147,FALSE),"")</f>
        <v/>
      </c>
      <c r="P61" s="312" t="str">
        <f>IF(Theory!D$8="YES",VLOOKUP(B61,'CIA MARKS'!C70:EC139,131,FALSE),"")</f>
        <v/>
      </c>
      <c r="Q61" s="312" t="str">
        <f>IF(Theory!D$8="YES",VLOOKUP(B61,'CIA MARKS'!C70:EG139,135,FALSE),"")</f>
        <v/>
      </c>
      <c r="R61" s="137">
        <f t="shared" si="0"/>
        <v>0</v>
      </c>
      <c r="T61" s="64">
        <v>0</v>
      </c>
      <c r="U61" s="64">
        <v>0</v>
      </c>
      <c r="V61" s="64">
        <v>0</v>
      </c>
      <c r="W61" s="48">
        <v>0</v>
      </c>
      <c r="X61" s="64" t="e">
        <f>IF(Theory!D$7="YES",VLOOKUP(B61,'CIA MARKS'!C70:DT139,122,FALSE),"")</f>
        <v>#N/A</v>
      </c>
      <c r="Y61" s="64" t="e">
        <f>IF(Theory!D$7="YES",VLOOKUP(B61,'CIA MARKS'!C70:DW139,125,FALSE),"")</f>
        <v>#N/A</v>
      </c>
      <c r="Z61" s="315" t="e">
        <f t="shared" si="1"/>
        <v>#N/A</v>
      </c>
    </row>
    <row r="62" spans="1:26" x14ac:dyDescent="0.3">
      <c r="A62" s="64">
        <v>58</v>
      </c>
      <c r="B62" s="48">
        <f>Theory!B74</f>
        <v>0</v>
      </c>
      <c r="C62" s="310"/>
      <c r="D62" s="310"/>
      <c r="E62" s="310"/>
      <c r="F62" s="311" t="str">
        <f>IF(Theory!D$9="YES",VLOOKUP(B62,'CIA MARKS'!C71:ER140,146,FALSE),"")</f>
        <v/>
      </c>
      <c r="G62" s="311" t="str">
        <f>IF(Theory!D$9="YES",VLOOKUP(B62,'CIA MARKS'!C71:ES140,147,FALSE),"")</f>
        <v/>
      </c>
      <c r="H62" s="311" t="str">
        <f>IF(Theory!D$9="YES",VLOOKUP(B62,'CIA MARKS'!C71:DT140,122,FALSE),"")</f>
        <v/>
      </c>
      <c r="I62" s="311" t="str">
        <f>IF(Theory!D$9="YES",VLOOKUP(B62,'CIA MARKS'!C71:DW140,125,FALSE),"")</f>
        <v/>
      </c>
      <c r="J62" s="311" t="str">
        <f>IF(Theory!D$9="YES",VLOOKUP(B62,'CIA MARKS'!C71:EC140,131,FALSE),"")</f>
        <v/>
      </c>
      <c r="K62" s="311" t="str">
        <f>IF(Theory!D$9="YES",VLOOKUP(B62,'CIA MARKS'!C71:EG140,135,FALSE),"")</f>
        <v/>
      </c>
      <c r="L62" s="311" t="str">
        <f>IF(Theory!D$9="YES",VLOOKUP(B62,'CIA MARKS'!C71:EJ140,138,FALSE),"")</f>
        <v/>
      </c>
      <c r="M62" s="318">
        <f t="shared" si="2"/>
        <v>0</v>
      </c>
      <c r="N62" s="364"/>
      <c r="O62" s="312" t="str">
        <f>IF(Theory!D$8="YES",VLOOKUP(B62,'CIA MARKS'!C71:ES140,147,FALSE),"")</f>
        <v/>
      </c>
      <c r="P62" s="312" t="str">
        <f>IF(Theory!D$8="YES",VLOOKUP(B62,'CIA MARKS'!C71:EC140,131,FALSE),"")</f>
        <v/>
      </c>
      <c r="Q62" s="312" t="str">
        <f>IF(Theory!D$8="YES",VLOOKUP(B62,'CIA MARKS'!C71:EG140,135,FALSE),"")</f>
        <v/>
      </c>
      <c r="R62" s="137">
        <f t="shared" si="0"/>
        <v>0</v>
      </c>
      <c r="T62" s="64">
        <v>0</v>
      </c>
      <c r="U62" s="64">
        <v>0</v>
      </c>
      <c r="V62" s="64">
        <v>0</v>
      </c>
      <c r="W62" s="48">
        <v>0</v>
      </c>
      <c r="X62" s="64" t="e">
        <f>IF(Theory!D$7="YES",VLOOKUP(B62,'CIA MARKS'!C71:DT140,122,FALSE),"")</f>
        <v>#N/A</v>
      </c>
      <c r="Y62" s="64" t="e">
        <f>IF(Theory!D$7="YES",VLOOKUP(B62,'CIA MARKS'!C71:DW140,125,FALSE),"")</f>
        <v>#N/A</v>
      </c>
      <c r="Z62" s="315" t="e">
        <f t="shared" si="1"/>
        <v>#N/A</v>
      </c>
    </row>
    <row r="63" spans="1:26" x14ac:dyDescent="0.3">
      <c r="A63" s="64">
        <v>59</v>
      </c>
      <c r="B63" s="48">
        <f>Theory!B75</f>
        <v>0</v>
      </c>
      <c r="C63" s="310"/>
      <c r="D63" s="310"/>
      <c r="E63" s="310"/>
      <c r="F63" s="311" t="str">
        <f>IF(Theory!D$9="YES",VLOOKUP(B63,'CIA MARKS'!C72:ER141,146,FALSE),"")</f>
        <v/>
      </c>
      <c r="G63" s="311" t="str">
        <f>IF(Theory!D$9="YES",VLOOKUP(B63,'CIA MARKS'!C72:ES141,147,FALSE),"")</f>
        <v/>
      </c>
      <c r="H63" s="311" t="str">
        <f>IF(Theory!D$9="YES",VLOOKUP(B63,'CIA MARKS'!C72:DT141,122,FALSE),"")</f>
        <v/>
      </c>
      <c r="I63" s="311" t="str">
        <f>IF(Theory!D$9="YES",VLOOKUP(B63,'CIA MARKS'!C72:DW141,125,FALSE),"")</f>
        <v/>
      </c>
      <c r="J63" s="311" t="str">
        <f>IF(Theory!D$9="YES",VLOOKUP(B63,'CIA MARKS'!C72:EC141,131,FALSE),"")</f>
        <v/>
      </c>
      <c r="K63" s="311" t="str">
        <f>IF(Theory!D$9="YES",VLOOKUP(B63,'CIA MARKS'!C72:EG141,135,FALSE),"")</f>
        <v/>
      </c>
      <c r="L63" s="311" t="str">
        <f>IF(Theory!D$9="YES",VLOOKUP(B63,'CIA MARKS'!C72:EJ141,138,FALSE),"")</f>
        <v/>
      </c>
      <c r="M63" s="318">
        <f t="shared" si="2"/>
        <v>0</v>
      </c>
      <c r="N63" s="364"/>
      <c r="O63" s="312" t="str">
        <f>IF(Theory!D$8="YES",VLOOKUP(B63,'CIA MARKS'!C72:ES141,147,FALSE),"")</f>
        <v/>
      </c>
      <c r="P63" s="312" t="str">
        <f>IF(Theory!D$8="YES",VLOOKUP(B63,'CIA MARKS'!C72:EC141,131,FALSE),"")</f>
        <v/>
      </c>
      <c r="Q63" s="312" t="str">
        <f>IF(Theory!D$8="YES",VLOOKUP(B63,'CIA MARKS'!C72:EG141,135,FALSE),"")</f>
        <v/>
      </c>
      <c r="R63" s="137">
        <f t="shared" si="0"/>
        <v>0</v>
      </c>
      <c r="T63" s="64">
        <v>0</v>
      </c>
      <c r="U63" s="64">
        <v>0</v>
      </c>
      <c r="V63" s="64">
        <v>0</v>
      </c>
      <c r="W63" s="48">
        <v>0</v>
      </c>
      <c r="X63" s="64" t="e">
        <f>IF(Theory!D$7="YES",VLOOKUP(B63,'CIA MARKS'!C72:DT141,122,FALSE),"")</f>
        <v>#N/A</v>
      </c>
      <c r="Y63" s="64" t="e">
        <f>IF(Theory!D$7="YES",VLOOKUP(B63,'CIA MARKS'!C72:DW141,125,FALSE),"")</f>
        <v>#N/A</v>
      </c>
      <c r="Z63" s="315" t="e">
        <f t="shared" si="1"/>
        <v>#N/A</v>
      </c>
    </row>
    <row r="64" spans="1:26" x14ac:dyDescent="0.3">
      <c r="A64" s="64">
        <v>60</v>
      </c>
      <c r="B64" s="48">
        <f>Theory!B76</f>
        <v>0</v>
      </c>
      <c r="C64" s="310"/>
      <c r="D64" s="310"/>
      <c r="E64" s="310"/>
      <c r="F64" s="311" t="str">
        <f>IF(Theory!D$9="YES",VLOOKUP(B64,'CIA MARKS'!C73:ER142,146,FALSE),"")</f>
        <v/>
      </c>
      <c r="G64" s="311" t="str">
        <f>IF(Theory!D$9="YES",VLOOKUP(B64,'CIA MARKS'!C73:ES142,147,FALSE),"")</f>
        <v/>
      </c>
      <c r="H64" s="311" t="str">
        <f>IF(Theory!D$9="YES",VLOOKUP(B64,'CIA MARKS'!C73:DT142,122,FALSE),"")</f>
        <v/>
      </c>
      <c r="I64" s="311" t="str">
        <f>IF(Theory!D$9="YES",VLOOKUP(B64,'CIA MARKS'!C73:DW142,125,FALSE),"")</f>
        <v/>
      </c>
      <c r="J64" s="311" t="str">
        <f>IF(Theory!D$9="YES",VLOOKUP(B64,'CIA MARKS'!C73:EC142,131,FALSE),"")</f>
        <v/>
      </c>
      <c r="K64" s="311" t="str">
        <f>IF(Theory!D$9="YES",VLOOKUP(B64,'CIA MARKS'!C73:EG142,135,FALSE),"")</f>
        <v/>
      </c>
      <c r="L64" s="311" t="str">
        <f>IF(Theory!D$9="YES",VLOOKUP(B64,'CIA MARKS'!C73:EJ142,138,FALSE),"")</f>
        <v/>
      </c>
      <c r="M64" s="318">
        <f t="shared" si="2"/>
        <v>0</v>
      </c>
      <c r="N64" s="364"/>
      <c r="O64" s="312" t="str">
        <f>IF(Theory!D$8="YES",VLOOKUP(B64,'CIA MARKS'!C73:ES142,147,FALSE),"")</f>
        <v/>
      </c>
      <c r="P64" s="312" t="str">
        <f>IF(Theory!D$8="YES",VLOOKUP(B64,'CIA MARKS'!C73:EC142,131,FALSE),"")</f>
        <v/>
      </c>
      <c r="Q64" s="312" t="str">
        <f>IF(Theory!D$8="YES",VLOOKUP(B64,'CIA MARKS'!C73:EG142,135,FALSE),"")</f>
        <v/>
      </c>
      <c r="R64" s="137">
        <f t="shared" si="0"/>
        <v>0</v>
      </c>
      <c r="T64" s="64">
        <v>0</v>
      </c>
      <c r="U64" s="64">
        <v>0</v>
      </c>
      <c r="V64" s="64">
        <v>0</v>
      </c>
      <c r="W64" s="48">
        <v>0</v>
      </c>
      <c r="X64" s="64" t="e">
        <f>IF(Theory!D$7="YES",VLOOKUP(B64,'CIA MARKS'!C73:DT142,122,FALSE),"")</f>
        <v>#N/A</v>
      </c>
      <c r="Y64" s="64" t="e">
        <f>IF(Theory!D$7="YES",VLOOKUP(B64,'CIA MARKS'!C73:DW142,125,FALSE),"")</f>
        <v>#N/A</v>
      </c>
      <c r="Z64" s="315" t="e">
        <f t="shared" si="1"/>
        <v>#N/A</v>
      </c>
    </row>
    <row r="65" spans="1:26" x14ac:dyDescent="0.3">
      <c r="A65" s="64">
        <v>61</v>
      </c>
      <c r="B65" s="48">
        <f>Theory!B77</f>
        <v>0</v>
      </c>
      <c r="C65" s="310"/>
      <c r="D65" s="310"/>
      <c r="E65" s="310"/>
      <c r="F65" s="311" t="str">
        <f>IF(Theory!D$9="YES",VLOOKUP(B65,'CIA MARKS'!C74:ER143,146,FALSE),"")</f>
        <v/>
      </c>
      <c r="G65" s="311" t="str">
        <f>IF(Theory!D$9="YES",VLOOKUP(B65,'CIA MARKS'!C74:ES143,147,FALSE),"")</f>
        <v/>
      </c>
      <c r="H65" s="311" t="str">
        <f>IF(Theory!D$9="YES",VLOOKUP(B65,'CIA MARKS'!C74:DT143,122,FALSE),"")</f>
        <v/>
      </c>
      <c r="I65" s="311" t="str">
        <f>IF(Theory!D$9="YES",VLOOKUP(B65,'CIA MARKS'!C74:DW143,125,FALSE),"")</f>
        <v/>
      </c>
      <c r="J65" s="311" t="str">
        <f>IF(Theory!D$9="YES",VLOOKUP(B65,'CIA MARKS'!C74:EC143,131,FALSE),"")</f>
        <v/>
      </c>
      <c r="K65" s="311" t="str">
        <f>IF(Theory!D$9="YES",VLOOKUP(B65,'CIA MARKS'!C74:EG143,135,FALSE),"")</f>
        <v/>
      </c>
      <c r="L65" s="311" t="str">
        <f>IF(Theory!D$9="YES",VLOOKUP(B65,'CIA MARKS'!C74:EJ143,138,FALSE),"")</f>
        <v/>
      </c>
      <c r="M65" s="318">
        <f t="shared" si="2"/>
        <v>0</v>
      </c>
      <c r="N65" s="364"/>
      <c r="O65" s="312" t="str">
        <f>IF(Theory!D$8="YES",VLOOKUP(B65,'CIA MARKS'!C74:ES143,147,FALSE),"")</f>
        <v/>
      </c>
      <c r="P65" s="312" t="str">
        <f>IF(Theory!D$8="YES",VLOOKUP(B65,'CIA MARKS'!C74:EC143,131,FALSE),"")</f>
        <v/>
      </c>
      <c r="Q65" s="312" t="str">
        <f>IF(Theory!D$8="YES",VLOOKUP(B65,'CIA MARKS'!C74:EG143,135,FALSE),"")</f>
        <v/>
      </c>
      <c r="R65" s="137">
        <f t="shared" si="0"/>
        <v>0</v>
      </c>
      <c r="T65" s="64">
        <v>0</v>
      </c>
      <c r="U65" s="64">
        <v>0</v>
      </c>
      <c r="V65" s="64">
        <v>0</v>
      </c>
      <c r="W65" s="48">
        <v>0</v>
      </c>
      <c r="X65" s="64" t="e">
        <f>IF(Theory!D$7="YES",VLOOKUP(B65,'CIA MARKS'!C74:DT143,122,FALSE),"")</f>
        <v>#N/A</v>
      </c>
      <c r="Y65" s="64" t="e">
        <f>IF(Theory!D$7="YES",VLOOKUP(B65,'CIA MARKS'!C74:DW143,125,FALSE),"")</f>
        <v>#N/A</v>
      </c>
      <c r="Z65" s="315" t="e">
        <f t="shared" si="1"/>
        <v>#N/A</v>
      </c>
    </row>
    <row r="66" spans="1:26" x14ac:dyDescent="0.3">
      <c r="A66" s="64">
        <v>62</v>
      </c>
      <c r="B66" s="48">
        <f>Theory!B78</f>
        <v>0</v>
      </c>
      <c r="C66" s="310"/>
      <c r="D66" s="310"/>
      <c r="E66" s="310"/>
      <c r="F66" s="311" t="str">
        <f>IF(Theory!D$9="YES",VLOOKUP(B66,'CIA MARKS'!C75:ER144,146,FALSE),"")</f>
        <v/>
      </c>
      <c r="G66" s="311" t="str">
        <f>IF(Theory!D$9="YES",VLOOKUP(B66,'CIA MARKS'!C75:ES144,147,FALSE),"")</f>
        <v/>
      </c>
      <c r="H66" s="311" t="str">
        <f>IF(Theory!D$9="YES",VLOOKUP(B66,'CIA MARKS'!C75:DT144,122,FALSE),"")</f>
        <v/>
      </c>
      <c r="I66" s="311" t="str">
        <f>IF(Theory!D$9="YES",VLOOKUP(B66,'CIA MARKS'!C75:DW144,125,FALSE),"")</f>
        <v/>
      </c>
      <c r="J66" s="311" t="str">
        <f>IF(Theory!D$9="YES",VLOOKUP(B66,'CIA MARKS'!C75:EC144,131,FALSE),"")</f>
        <v/>
      </c>
      <c r="K66" s="311" t="str">
        <f>IF(Theory!D$9="YES",VLOOKUP(B66,'CIA MARKS'!C75:EG144,135,FALSE),"")</f>
        <v/>
      </c>
      <c r="L66" s="311" t="str">
        <f>IF(Theory!D$9="YES",VLOOKUP(B66,'CIA MARKS'!C75:EJ144,138,FALSE),"")</f>
        <v/>
      </c>
      <c r="M66" s="318">
        <f t="shared" si="2"/>
        <v>0</v>
      </c>
      <c r="N66" s="364"/>
      <c r="O66" s="312" t="str">
        <f>IF(Theory!D$8="YES",VLOOKUP(B66,'CIA MARKS'!C75:ES144,147,FALSE),"")</f>
        <v/>
      </c>
      <c r="P66" s="312" t="str">
        <f>IF(Theory!D$8="YES",VLOOKUP(B66,'CIA MARKS'!C75:EC144,131,FALSE),"")</f>
        <v/>
      </c>
      <c r="Q66" s="312" t="str">
        <f>IF(Theory!D$8="YES",VLOOKUP(B66,'CIA MARKS'!C75:EG144,135,FALSE),"")</f>
        <v/>
      </c>
      <c r="R66" s="137">
        <f t="shared" si="0"/>
        <v>0</v>
      </c>
      <c r="T66" s="64">
        <v>0</v>
      </c>
      <c r="U66" s="64">
        <v>0</v>
      </c>
      <c r="V66" s="64">
        <v>0</v>
      </c>
      <c r="W66" s="48">
        <v>0</v>
      </c>
      <c r="X66" s="64" t="e">
        <f>IF(Theory!D$7="YES",VLOOKUP(B66,'CIA MARKS'!C75:DT144,122,FALSE),"")</f>
        <v>#N/A</v>
      </c>
      <c r="Y66" s="64" t="e">
        <f>IF(Theory!D$7="YES",VLOOKUP(B66,'CIA MARKS'!C75:DW144,125,FALSE),"")</f>
        <v>#N/A</v>
      </c>
      <c r="Z66" s="315" t="e">
        <f t="shared" si="1"/>
        <v>#N/A</v>
      </c>
    </row>
    <row r="67" spans="1:26" x14ac:dyDescent="0.3">
      <c r="A67" s="64">
        <v>63</v>
      </c>
      <c r="B67" s="48">
        <f>Theory!B79</f>
        <v>0</v>
      </c>
      <c r="C67" s="310"/>
      <c r="D67" s="310"/>
      <c r="E67" s="310"/>
      <c r="F67" s="311" t="str">
        <f>IF(Theory!D$9="YES",VLOOKUP(B67,'CIA MARKS'!C76:ER145,146,FALSE),"")</f>
        <v/>
      </c>
      <c r="G67" s="311" t="str">
        <f>IF(Theory!D$9="YES",VLOOKUP(B67,'CIA MARKS'!C76:ES145,147,FALSE),"")</f>
        <v/>
      </c>
      <c r="H67" s="311" t="str">
        <f>IF(Theory!D$9="YES",VLOOKUP(B67,'CIA MARKS'!C76:DT145,122,FALSE),"")</f>
        <v/>
      </c>
      <c r="I67" s="311" t="str">
        <f>IF(Theory!D$9="YES",VLOOKUP(B67,'CIA MARKS'!C76:DW145,125,FALSE),"")</f>
        <v/>
      </c>
      <c r="J67" s="311" t="str">
        <f>IF(Theory!D$9="YES",VLOOKUP(B67,'CIA MARKS'!C76:EC145,131,FALSE),"")</f>
        <v/>
      </c>
      <c r="K67" s="311" t="str">
        <f>IF(Theory!D$9="YES",VLOOKUP(B67,'CIA MARKS'!C76:EG145,135,FALSE),"")</f>
        <v/>
      </c>
      <c r="L67" s="311" t="str">
        <f>IF(Theory!D$9="YES",VLOOKUP(B67,'CIA MARKS'!C76:EJ145,138,FALSE),"")</f>
        <v/>
      </c>
      <c r="M67" s="318">
        <f t="shared" si="2"/>
        <v>0</v>
      </c>
      <c r="N67" s="364"/>
      <c r="O67" s="312" t="str">
        <f>IF(Theory!D$8="YES",VLOOKUP(B67,'CIA MARKS'!C76:ES145,147,FALSE),"")</f>
        <v/>
      </c>
      <c r="P67" s="312" t="str">
        <f>IF(Theory!D$8="YES",VLOOKUP(B67,'CIA MARKS'!C76:EC145,131,FALSE),"")</f>
        <v/>
      </c>
      <c r="Q67" s="312" t="str">
        <f>IF(Theory!D$8="YES",VLOOKUP(B67,'CIA MARKS'!C76:EG145,135,FALSE),"")</f>
        <v/>
      </c>
      <c r="R67" s="137">
        <f t="shared" si="0"/>
        <v>0</v>
      </c>
      <c r="T67" s="64">
        <v>0</v>
      </c>
      <c r="U67" s="64">
        <v>0</v>
      </c>
      <c r="V67" s="64">
        <v>0</v>
      </c>
      <c r="W67" s="48">
        <v>0</v>
      </c>
      <c r="X67" s="64" t="e">
        <f>IF(Theory!D$7="YES",VLOOKUP(B67,'CIA MARKS'!C76:DT145,122,FALSE),"")</f>
        <v>#N/A</v>
      </c>
      <c r="Y67" s="64" t="e">
        <f>IF(Theory!D$7="YES",VLOOKUP(B67,'CIA MARKS'!C76:DW145,125,FALSE),"")</f>
        <v>#N/A</v>
      </c>
      <c r="Z67" s="315" t="e">
        <f t="shared" si="1"/>
        <v>#N/A</v>
      </c>
    </row>
    <row r="68" spans="1:26" x14ac:dyDescent="0.3">
      <c r="A68" s="64">
        <v>64</v>
      </c>
      <c r="B68" s="48">
        <f>Theory!B80</f>
        <v>0</v>
      </c>
      <c r="C68" s="310"/>
      <c r="D68" s="310"/>
      <c r="E68" s="310"/>
      <c r="F68" s="311" t="str">
        <f>IF(Theory!D$9="YES",VLOOKUP(B68,'CIA MARKS'!C77:ER146,146,FALSE),"")</f>
        <v/>
      </c>
      <c r="G68" s="311" t="str">
        <f>IF(Theory!D$9="YES",VLOOKUP(B68,'CIA MARKS'!C77:ES146,147,FALSE),"")</f>
        <v/>
      </c>
      <c r="H68" s="311" t="str">
        <f>IF(Theory!D$9="YES",VLOOKUP(B68,'CIA MARKS'!C77:DT146,122,FALSE),"")</f>
        <v/>
      </c>
      <c r="I68" s="311" t="str">
        <f>IF(Theory!D$9="YES",VLOOKUP(B68,'CIA MARKS'!C77:DW146,125,FALSE),"")</f>
        <v/>
      </c>
      <c r="J68" s="311" t="str">
        <f>IF(Theory!D$9="YES",VLOOKUP(B68,'CIA MARKS'!C77:EC146,131,FALSE),"")</f>
        <v/>
      </c>
      <c r="K68" s="311" t="str">
        <f>IF(Theory!D$9="YES",VLOOKUP(B68,'CIA MARKS'!C77:EG146,135,FALSE),"")</f>
        <v/>
      </c>
      <c r="L68" s="311" t="str">
        <f>IF(Theory!D$9="YES",VLOOKUP(B68,'CIA MARKS'!C77:EJ146,138,FALSE),"")</f>
        <v/>
      </c>
      <c r="M68" s="318">
        <f t="shared" si="2"/>
        <v>0</v>
      </c>
      <c r="N68" s="364"/>
      <c r="O68" s="312" t="str">
        <f>IF(Theory!D$8="YES",VLOOKUP(B68,'CIA MARKS'!C77:ES146,147,FALSE),"")</f>
        <v/>
      </c>
      <c r="P68" s="312" t="str">
        <f>IF(Theory!D$8="YES",VLOOKUP(B68,'CIA MARKS'!C77:EC146,131,FALSE),"")</f>
        <v/>
      </c>
      <c r="Q68" s="312" t="str">
        <f>IF(Theory!D$8="YES",VLOOKUP(B68,'CIA MARKS'!C77:EG146,135,FALSE),"")</f>
        <v/>
      </c>
      <c r="R68" s="137">
        <f t="shared" ref="R68:R74" si="3">SUM(P68:Q68)</f>
        <v>0</v>
      </c>
      <c r="T68" s="64">
        <v>0</v>
      </c>
      <c r="U68" s="64">
        <v>0</v>
      </c>
      <c r="V68" s="64">
        <v>0</v>
      </c>
      <c r="W68" s="48">
        <v>0</v>
      </c>
      <c r="X68" s="64" t="e">
        <f>IF(Theory!D$7="YES",VLOOKUP(B68,'CIA MARKS'!C77:DT146,122,FALSE),"")</f>
        <v>#N/A</v>
      </c>
      <c r="Y68" s="64" t="e">
        <f>IF(Theory!D$7="YES",VLOOKUP(B68,'CIA MARKS'!C77:DW146,125,FALSE),"")</f>
        <v>#N/A</v>
      </c>
      <c r="Z68" s="315" t="e">
        <f t="shared" ref="Z68:Z74" si="4">SUM(X68:Y68)</f>
        <v>#N/A</v>
      </c>
    </row>
    <row r="69" spans="1:26" x14ac:dyDescent="0.3">
      <c r="A69" s="64">
        <v>65</v>
      </c>
      <c r="B69" s="48">
        <f>Theory!B81</f>
        <v>0</v>
      </c>
      <c r="C69" s="310"/>
      <c r="D69" s="310"/>
      <c r="E69" s="310"/>
      <c r="F69" s="311" t="str">
        <f>IF(Theory!D$9="YES",VLOOKUP(B69,'CIA MARKS'!C78:ER147,146,FALSE),"")</f>
        <v/>
      </c>
      <c r="G69" s="311" t="str">
        <f>IF(Theory!D$9="YES",VLOOKUP(B69,'CIA MARKS'!C78:ES147,147,FALSE),"")</f>
        <v/>
      </c>
      <c r="H69" s="311" t="str">
        <f>IF(Theory!D$9="YES",VLOOKUP(B69,'CIA MARKS'!C78:DT147,122,FALSE),"")</f>
        <v/>
      </c>
      <c r="I69" s="311" t="str">
        <f>IF(Theory!D$9="YES",VLOOKUP(B69,'CIA MARKS'!C78:DW147,125,FALSE),"")</f>
        <v/>
      </c>
      <c r="J69" s="311" t="str">
        <f>IF(Theory!D$9="YES",VLOOKUP(B69,'CIA MARKS'!C78:EC147,131,FALSE),"")</f>
        <v/>
      </c>
      <c r="K69" s="311" t="str">
        <f>IF(Theory!D$9="YES",VLOOKUP(B69,'CIA MARKS'!C78:EG147,135,FALSE),"")</f>
        <v/>
      </c>
      <c r="L69" s="311" t="str">
        <f>IF(Theory!D$9="YES",VLOOKUP(B69,'CIA MARKS'!C78:EJ147,138,FALSE),"")</f>
        <v/>
      </c>
      <c r="M69" s="318">
        <f t="shared" ref="M69:M74" si="5">SUM(F69:G69)</f>
        <v>0</v>
      </c>
      <c r="N69" s="364"/>
      <c r="O69" s="312" t="str">
        <f>IF(Theory!D$8="YES",VLOOKUP(B69,'CIA MARKS'!C78:ES147,147,FALSE),"")</f>
        <v/>
      </c>
      <c r="P69" s="312" t="str">
        <f>IF(Theory!D$8="YES",VLOOKUP(B69,'CIA MARKS'!C78:EC147,131,FALSE),"")</f>
        <v/>
      </c>
      <c r="Q69" s="312" t="str">
        <f>IF(Theory!D$8="YES",VLOOKUP(B69,'CIA MARKS'!C78:EG147,135,FALSE),"")</f>
        <v/>
      </c>
      <c r="R69" s="137">
        <f t="shared" si="3"/>
        <v>0</v>
      </c>
      <c r="T69" s="64">
        <v>0</v>
      </c>
      <c r="U69" s="64">
        <v>0</v>
      </c>
      <c r="V69" s="64">
        <v>0</v>
      </c>
      <c r="W69" s="48">
        <v>0</v>
      </c>
      <c r="X69" s="64" t="e">
        <f>IF(Theory!D$7="YES",VLOOKUP(B69,'CIA MARKS'!C78:DT147,122,FALSE),"")</f>
        <v>#N/A</v>
      </c>
      <c r="Y69" s="64" t="e">
        <f>IF(Theory!D$7="YES",VLOOKUP(B69,'CIA MARKS'!C78:DW147,125,FALSE),"")</f>
        <v>#N/A</v>
      </c>
      <c r="Z69" s="315" t="e">
        <f t="shared" si="4"/>
        <v>#N/A</v>
      </c>
    </row>
    <row r="70" spans="1:26" x14ac:dyDescent="0.3">
      <c r="A70" s="64">
        <v>66</v>
      </c>
      <c r="B70" s="48">
        <f>Theory!B82</f>
        <v>0</v>
      </c>
      <c r="C70" s="310"/>
      <c r="D70" s="310"/>
      <c r="E70" s="310"/>
      <c r="F70" s="311" t="str">
        <f>IF(Theory!D$9="YES",VLOOKUP(B70,'CIA MARKS'!C79:ER148,146,FALSE),"")</f>
        <v/>
      </c>
      <c r="G70" s="311" t="str">
        <f>IF(Theory!D$9="YES",VLOOKUP(B70,'CIA MARKS'!C79:ES148,147,FALSE),"")</f>
        <v/>
      </c>
      <c r="H70" s="311" t="str">
        <f>IF(Theory!D$9="YES",VLOOKUP(B70,'CIA MARKS'!C79:DT148,122,FALSE),"")</f>
        <v/>
      </c>
      <c r="I70" s="311" t="str">
        <f>IF(Theory!D$9="YES",VLOOKUP(B70,'CIA MARKS'!C79:DW148,125,FALSE),"")</f>
        <v/>
      </c>
      <c r="J70" s="311" t="str">
        <f>IF(Theory!D$9="YES",VLOOKUP(B70,'CIA MARKS'!C79:EC148,131,FALSE),"")</f>
        <v/>
      </c>
      <c r="K70" s="311" t="str">
        <f>IF(Theory!D$9="YES",VLOOKUP(B70,'CIA MARKS'!C79:EG148,135,FALSE),"")</f>
        <v/>
      </c>
      <c r="L70" s="311" t="str">
        <f>IF(Theory!D$9="YES",VLOOKUP(B70,'CIA MARKS'!C79:EJ148,138,FALSE),"")</f>
        <v/>
      </c>
      <c r="M70" s="318">
        <f t="shared" si="5"/>
        <v>0</v>
      </c>
      <c r="N70" s="364"/>
      <c r="O70" s="312" t="str">
        <f>IF(Theory!D$8="YES",VLOOKUP(B70,'CIA MARKS'!C79:ES148,147,FALSE),"")</f>
        <v/>
      </c>
      <c r="P70" s="312" t="str">
        <f>IF(Theory!D$8="YES",VLOOKUP(B70,'CIA MARKS'!C79:EC148,131,FALSE),"")</f>
        <v/>
      </c>
      <c r="Q70" s="312" t="str">
        <f>IF(Theory!D$8="YES",VLOOKUP(B70,'CIA MARKS'!C79:EG148,135,FALSE),"")</f>
        <v/>
      </c>
      <c r="R70" s="137">
        <f t="shared" si="3"/>
        <v>0</v>
      </c>
      <c r="T70" s="64">
        <v>0</v>
      </c>
      <c r="U70" s="64">
        <v>0</v>
      </c>
      <c r="V70" s="64">
        <v>0</v>
      </c>
      <c r="W70" s="48">
        <v>0</v>
      </c>
      <c r="X70" s="64" t="e">
        <f>IF(Theory!D$7="YES",VLOOKUP(B70,'CIA MARKS'!C79:DT148,122,FALSE),"")</f>
        <v>#N/A</v>
      </c>
      <c r="Y70" s="64" t="e">
        <f>IF(Theory!D$7="YES",VLOOKUP(B70,'CIA MARKS'!C79:DW148,125,FALSE),"")</f>
        <v>#N/A</v>
      </c>
      <c r="Z70" s="315" t="e">
        <f t="shared" si="4"/>
        <v>#N/A</v>
      </c>
    </row>
    <row r="71" spans="1:26" x14ac:dyDescent="0.3">
      <c r="A71" s="64">
        <v>67</v>
      </c>
      <c r="B71" s="48">
        <f>Theory!B83</f>
        <v>0</v>
      </c>
      <c r="C71" s="310"/>
      <c r="D71" s="310"/>
      <c r="E71" s="310"/>
      <c r="F71" s="311" t="str">
        <f>IF(Theory!D$9="YES",VLOOKUP(B71,'CIA MARKS'!C80:ER149,146,FALSE),"")</f>
        <v/>
      </c>
      <c r="G71" s="311" t="str">
        <f>IF(Theory!D$9="YES",VLOOKUP(B71,'CIA MARKS'!C80:ES149,147,FALSE),"")</f>
        <v/>
      </c>
      <c r="H71" s="311" t="str">
        <f>IF(Theory!D$9="YES",VLOOKUP(B71,'CIA MARKS'!C80:DT149,122,FALSE),"")</f>
        <v/>
      </c>
      <c r="I71" s="311" t="str">
        <f>IF(Theory!D$9="YES",VLOOKUP(B71,'CIA MARKS'!C80:DW149,125,FALSE),"")</f>
        <v/>
      </c>
      <c r="J71" s="311" t="str">
        <f>IF(Theory!D$9="YES",VLOOKUP(B71,'CIA MARKS'!C80:EC149,131,FALSE),"")</f>
        <v/>
      </c>
      <c r="K71" s="311" t="str">
        <f>IF(Theory!D$9="YES",VLOOKUP(B71,'CIA MARKS'!C80:EG149,135,FALSE),"")</f>
        <v/>
      </c>
      <c r="L71" s="311" t="str">
        <f>IF(Theory!D$9="YES",VLOOKUP(B71,'CIA MARKS'!C80:EJ149,138,FALSE),"")</f>
        <v/>
      </c>
      <c r="M71" s="318">
        <f t="shared" si="5"/>
        <v>0</v>
      </c>
      <c r="N71" s="364"/>
      <c r="O71" s="312" t="str">
        <f>IF(Theory!D$8="YES",VLOOKUP(B71,'CIA MARKS'!C80:ES149,147,FALSE),"")</f>
        <v/>
      </c>
      <c r="P71" s="312" t="str">
        <f>IF(Theory!D$8="YES",VLOOKUP(B71,'CIA MARKS'!C80:EC149,131,FALSE),"")</f>
        <v/>
      </c>
      <c r="Q71" s="312" t="str">
        <f>IF(Theory!D$8="YES",VLOOKUP(B71,'CIA MARKS'!C80:EG149,135,FALSE),"")</f>
        <v/>
      </c>
      <c r="R71" s="137">
        <f t="shared" si="3"/>
        <v>0</v>
      </c>
      <c r="T71" s="64">
        <v>0</v>
      </c>
      <c r="U71" s="64">
        <v>0</v>
      </c>
      <c r="V71" s="64">
        <v>0</v>
      </c>
      <c r="W71" s="48">
        <v>0</v>
      </c>
      <c r="X71" s="64" t="e">
        <f>IF(Theory!D$7="YES",VLOOKUP(B71,'CIA MARKS'!C80:DT149,122,FALSE),"")</f>
        <v>#N/A</v>
      </c>
      <c r="Y71" s="64" t="e">
        <f>IF(Theory!D$7="YES",VLOOKUP(B71,'CIA MARKS'!C80:DW149,125,FALSE),"")</f>
        <v>#N/A</v>
      </c>
      <c r="Z71" s="315" t="e">
        <f t="shared" si="4"/>
        <v>#N/A</v>
      </c>
    </row>
    <row r="72" spans="1:26" x14ac:dyDescent="0.3">
      <c r="A72" s="64">
        <v>68</v>
      </c>
      <c r="B72" s="48" t="e">
        <f>Theory!#REF!</f>
        <v>#REF!</v>
      </c>
      <c r="C72" s="310"/>
      <c r="D72" s="310"/>
      <c r="E72" s="310"/>
      <c r="F72" s="311" t="str">
        <f>IF(Theory!D$9="YES",VLOOKUP(B72,'CIA MARKS'!C81:ER150,146,FALSE),"")</f>
        <v/>
      </c>
      <c r="G72" s="311" t="str">
        <f>IF(Theory!D$9="YES",VLOOKUP(B72,'CIA MARKS'!C81:ES150,147,FALSE),"")</f>
        <v/>
      </c>
      <c r="H72" s="311" t="str">
        <f>IF(Theory!D$9="YES",VLOOKUP(B72,'CIA MARKS'!C81:DT150,122,FALSE),"")</f>
        <v/>
      </c>
      <c r="I72" s="311" t="str">
        <f>IF(Theory!D$9="YES",VLOOKUP(B72,'CIA MARKS'!C81:DW150,125,FALSE),"")</f>
        <v/>
      </c>
      <c r="J72" s="311" t="str">
        <f>IF(Theory!D$9="YES",VLOOKUP(B72,'CIA MARKS'!C81:EC150,131,FALSE),"")</f>
        <v/>
      </c>
      <c r="K72" s="311" t="str">
        <f>IF(Theory!D$9="YES",VLOOKUP(B72,'CIA MARKS'!C81:EG150,135,FALSE),"")</f>
        <v/>
      </c>
      <c r="L72" s="311" t="str">
        <f>IF(Theory!D$9="YES",VLOOKUP(B72,'CIA MARKS'!C81:EJ150,138,FALSE),"")</f>
        <v/>
      </c>
      <c r="M72" s="318">
        <f t="shared" si="5"/>
        <v>0</v>
      </c>
      <c r="N72" s="364"/>
      <c r="O72" s="312" t="str">
        <f>IF(Theory!D$8="YES",VLOOKUP(B72,'CIA MARKS'!C81:ES150,147,FALSE),"")</f>
        <v/>
      </c>
      <c r="P72" s="312" t="str">
        <f>IF(Theory!D$8="YES",VLOOKUP(B72,'CIA MARKS'!C81:EC150,131,FALSE),"")</f>
        <v/>
      </c>
      <c r="Q72" s="312" t="str">
        <f>IF(Theory!D$8="YES",VLOOKUP(B72,'CIA MARKS'!C81:EG150,135,FALSE),"")</f>
        <v/>
      </c>
      <c r="R72" s="137">
        <f t="shared" si="3"/>
        <v>0</v>
      </c>
      <c r="T72" s="64"/>
      <c r="U72" s="64"/>
      <c r="V72" s="64"/>
      <c r="W72" s="48"/>
      <c r="X72" s="64" t="e">
        <f>IF(Theory!D$7="YES",VLOOKUP(B72,'CIA MARKS'!C81:DT150,122,FALSE),"")</f>
        <v>#REF!</v>
      </c>
      <c r="Y72" s="64" t="e">
        <f>IF(Theory!D$7="YES",VLOOKUP(B72,'CIA MARKS'!C81:DW150,125,FALSE),"")</f>
        <v>#REF!</v>
      </c>
      <c r="Z72" s="315" t="e">
        <f t="shared" si="4"/>
        <v>#REF!</v>
      </c>
    </row>
    <row r="73" spans="1:26" x14ac:dyDescent="0.3">
      <c r="A73" s="64">
        <v>69</v>
      </c>
      <c r="B73" s="48" t="e">
        <f>Theory!#REF!</f>
        <v>#REF!</v>
      </c>
      <c r="C73" s="310"/>
      <c r="D73" s="310"/>
      <c r="E73" s="310"/>
      <c r="F73" s="311" t="str">
        <f>IF(Theory!D$9="YES",VLOOKUP(B73,'CIA MARKS'!C82:ER151,146,FALSE),"")</f>
        <v/>
      </c>
      <c r="G73" s="311" t="str">
        <f>IF(Theory!D$9="YES",VLOOKUP(B73,'CIA MARKS'!C82:ES151,147,FALSE),"")</f>
        <v/>
      </c>
      <c r="H73" s="311" t="str">
        <f>IF(Theory!D$9="YES",VLOOKUP(B73,'CIA MARKS'!C82:DT151,122,FALSE),"")</f>
        <v/>
      </c>
      <c r="I73" s="311" t="str">
        <f>IF(Theory!D$9="YES",VLOOKUP(B73,'CIA MARKS'!C82:DW151,125,FALSE),"")</f>
        <v/>
      </c>
      <c r="J73" s="311" t="str">
        <f>IF(Theory!D$9="YES",VLOOKUP(B73,'CIA MARKS'!C82:EC151,131,FALSE),"")</f>
        <v/>
      </c>
      <c r="K73" s="311" t="str">
        <f>IF(Theory!D$9="YES",VLOOKUP(B73,'CIA MARKS'!C82:EG151,135,FALSE),"")</f>
        <v/>
      </c>
      <c r="L73" s="311" t="str">
        <f>IF(Theory!D$9="YES",VLOOKUP(B73,'CIA MARKS'!C82:EJ151,138,FALSE),"")</f>
        <v/>
      </c>
      <c r="M73" s="318">
        <f t="shared" si="5"/>
        <v>0</v>
      </c>
      <c r="N73" s="364"/>
      <c r="O73" s="312" t="str">
        <f>IF(Theory!D$8="YES",VLOOKUP(B73,'CIA MARKS'!C82:ES151,147,FALSE),"")</f>
        <v/>
      </c>
      <c r="P73" s="312" t="str">
        <f>IF(Theory!D$8="YES",VLOOKUP(B73,'CIA MARKS'!C82:EC151,131,FALSE),"")</f>
        <v/>
      </c>
      <c r="Q73" s="312" t="str">
        <f>IF(Theory!D$8="YES",VLOOKUP(B73,'CIA MARKS'!C82:EG151,135,FALSE),"")</f>
        <v/>
      </c>
      <c r="R73" s="137">
        <f t="shared" si="3"/>
        <v>0</v>
      </c>
      <c r="T73" s="64"/>
      <c r="U73" s="64"/>
      <c r="V73" s="64"/>
      <c r="W73" s="48"/>
      <c r="X73" s="64" t="e">
        <f>IF(Theory!D$7="YES",VLOOKUP(B73,'CIA MARKS'!C82:DT151,122,FALSE),"")</f>
        <v>#REF!</v>
      </c>
      <c r="Y73" s="64" t="e">
        <f>IF(Theory!D$7="YES",VLOOKUP(B73,'CIA MARKS'!C82:DW151,125,FALSE),"")</f>
        <v>#REF!</v>
      </c>
      <c r="Z73" s="315" t="e">
        <f t="shared" si="4"/>
        <v>#REF!</v>
      </c>
    </row>
    <row r="74" spans="1:26" x14ac:dyDescent="0.3">
      <c r="A74" s="64">
        <v>70</v>
      </c>
      <c r="B74" s="48" t="e">
        <f>Theory!#REF!</f>
        <v>#REF!</v>
      </c>
      <c r="C74" s="310"/>
      <c r="D74" s="310"/>
      <c r="E74" s="310"/>
      <c r="F74" s="311" t="str">
        <f>IF(Theory!D$9="YES",VLOOKUP(B74,'CIA MARKS'!C83:ER152,146,FALSE),"")</f>
        <v/>
      </c>
      <c r="G74" s="311" t="str">
        <f>IF(Theory!D$9="YES",VLOOKUP(B74,'CIA MARKS'!C83:ES152,147,FALSE),"")</f>
        <v/>
      </c>
      <c r="H74" s="311" t="str">
        <f>IF(Theory!D$9="YES",VLOOKUP(B74,'CIA MARKS'!C83:DT152,122,FALSE),"")</f>
        <v/>
      </c>
      <c r="I74" s="311" t="str">
        <f>IF(Theory!D$9="YES",VLOOKUP(B74,'CIA MARKS'!C83:DW152,125,FALSE),"")</f>
        <v/>
      </c>
      <c r="J74" s="311" t="str">
        <f>IF(Theory!D$9="YES",VLOOKUP(B74,'CIA MARKS'!C83:EC152,131,FALSE),"")</f>
        <v/>
      </c>
      <c r="K74" s="311" t="str">
        <f>IF(Theory!D$9="YES",VLOOKUP(B74,'CIA MARKS'!C83:EG152,135,FALSE),"")</f>
        <v/>
      </c>
      <c r="L74" s="311" t="str">
        <f>IF(Theory!D$9="YES",VLOOKUP(B74,'CIA MARKS'!C83:EJ152,138,FALSE),"")</f>
        <v/>
      </c>
      <c r="M74" s="318">
        <f t="shared" si="5"/>
        <v>0</v>
      </c>
      <c r="N74" s="364"/>
      <c r="O74" s="312" t="str">
        <f>IF(Theory!D$8="YES",VLOOKUP(B74,'CIA MARKS'!C83:ES152,147,FALSE),"")</f>
        <v/>
      </c>
      <c r="P74" s="312" t="str">
        <f>IF(Theory!D$8="YES",VLOOKUP(B74,'CIA MARKS'!C83:EC152,131,FALSE),"")</f>
        <v/>
      </c>
      <c r="Q74" s="312" t="str">
        <f>IF(Theory!D$8="YES",VLOOKUP(B74,'CIA MARKS'!C83:EG152,135,FALSE),"")</f>
        <v/>
      </c>
      <c r="R74" s="137">
        <f t="shared" si="3"/>
        <v>0</v>
      </c>
      <c r="T74" s="64"/>
      <c r="U74" s="64"/>
      <c r="V74" s="64"/>
      <c r="W74" s="48"/>
      <c r="X74" s="64" t="e">
        <f>IF(Theory!D$7="YES",VLOOKUP(B74,'CIA MARKS'!C83:DT152,122,FALSE),"")</f>
        <v>#REF!</v>
      </c>
      <c r="Y74" s="64" t="e">
        <f>IF(Theory!D$7="YES",VLOOKUP(B74,'CIA MARKS'!C83:DW152,125,FALSE),"")</f>
        <v>#REF!</v>
      </c>
      <c r="Z74" s="315" t="e">
        <f t="shared" si="4"/>
        <v>#REF!</v>
      </c>
    </row>
  </sheetData>
  <mergeCells count="3">
    <mergeCell ref="N1:R1"/>
    <mergeCell ref="A1:M1"/>
    <mergeCell ref="S1:W1"/>
  </mergeCells>
  <conditionalFormatting sqref="I5:I74 K5:K74 Q5:Q74 Y5:Y74">
    <cfRule type="cellIs" dxfId="11" priority="5" operator="lessThan">
      <formula>8</formula>
    </cfRule>
  </conditionalFormatting>
  <conditionalFormatting sqref="J5:J74 P5:P74 X5:X74">
    <cfRule type="cellIs" dxfId="10" priority="6" operator="lessThan">
      <formula>12</formula>
    </cfRule>
  </conditionalFormatting>
  <conditionalFormatting sqref="O5:O74">
    <cfRule type="cellIs" dxfId="9" priority="3" operator="lessThan">
      <formula>11</formula>
    </cfRule>
  </conditionalFormatting>
  <conditionalFormatting sqref="T3">
    <cfRule type="cellIs" dxfId="8" priority="2" operator="lessThan">
      <formula>11</formula>
    </cfRule>
  </conditionalFormatting>
  <conditionalFormatting sqref="U3">
    <cfRule type="cellIs" dxfId="7" priority="1" operator="lessThan">
      <formula>21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98"/>
  <sheetViews>
    <sheetView topLeftCell="A12" zoomScaleNormal="100" workbookViewId="0">
      <selection activeCell="A49" sqref="A49:K75"/>
    </sheetView>
  </sheetViews>
  <sheetFormatPr defaultRowHeight="14.4" x14ac:dyDescent="0.3"/>
  <cols>
    <col min="2" max="2" width="16.44140625" customWidth="1"/>
    <col min="3" max="3" width="19.44140625" customWidth="1"/>
    <col min="4" max="8" width="10.5546875" bestFit="1" customWidth="1"/>
    <col min="9" max="9" width="11.5546875" bestFit="1" customWidth="1"/>
    <col min="10" max="13" width="10.5546875" bestFit="1" customWidth="1"/>
    <col min="258" max="258" width="18" customWidth="1"/>
    <col min="259" max="259" width="12.6640625" bestFit="1" customWidth="1"/>
    <col min="514" max="514" width="18" customWidth="1"/>
    <col min="515" max="515" width="12.6640625" bestFit="1" customWidth="1"/>
    <col min="770" max="770" width="18" customWidth="1"/>
    <col min="771" max="771" width="12.6640625" bestFit="1" customWidth="1"/>
    <col min="1026" max="1026" width="18" customWidth="1"/>
    <col min="1027" max="1027" width="12.6640625" bestFit="1" customWidth="1"/>
    <col min="1282" max="1282" width="18" customWidth="1"/>
    <col min="1283" max="1283" width="12.6640625" bestFit="1" customWidth="1"/>
    <col min="1538" max="1538" width="18" customWidth="1"/>
    <col min="1539" max="1539" width="12.6640625" bestFit="1" customWidth="1"/>
    <col min="1794" max="1794" width="18" customWidth="1"/>
    <col min="1795" max="1795" width="12.6640625" bestFit="1" customWidth="1"/>
    <col min="2050" max="2050" width="18" customWidth="1"/>
    <col min="2051" max="2051" width="12.6640625" bestFit="1" customWidth="1"/>
    <col min="2306" max="2306" width="18" customWidth="1"/>
    <col min="2307" max="2307" width="12.6640625" bestFit="1" customWidth="1"/>
    <col min="2562" max="2562" width="18" customWidth="1"/>
    <col min="2563" max="2563" width="12.6640625" bestFit="1" customWidth="1"/>
    <col min="2818" max="2818" width="18" customWidth="1"/>
    <col min="2819" max="2819" width="12.6640625" bestFit="1" customWidth="1"/>
    <col min="3074" max="3074" width="18" customWidth="1"/>
    <col min="3075" max="3075" width="12.6640625" bestFit="1" customWidth="1"/>
    <col min="3330" max="3330" width="18" customWidth="1"/>
    <col min="3331" max="3331" width="12.6640625" bestFit="1" customWidth="1"/>
    <col min="3586" max="3586" width="18" customWidth="1"/>
    <col min="3587" max="3587" width="12.6640625" bestFit="1" customWidth="1"/>
    <col min="3842" max="3842" width="18" customWidth="1"/>
    <col min="3843" max="3843" width="12.6640625" bestFit="1" customWidth="1"/>
    <col min="4098" max="4098" width="18" customWidth="1"/>
    <col min="4099" max="4099" width="12.6640625" bestFit="1" customWidth="1"/>
    <col min="4354" max="4354" width="18" customWidth="1"/>
    <col min="4355" max="4355" width="12.6640625" bestFit="1" customWidth="1"/>
    <col min="4610" max="4610" width="18" customWidth="1"/>
    <col min="4611" max="4611" width="12.6640625" bestFit="1" customWidth="1"/>
    <col min="4866" max="4866" width="18" customWidth="1"/>
    <col min="4867" max="4867" width="12.6640625" bestFit="1" customWidth="1"/>
    <col min="5122" max="5122" width="18" customWidth="1"/>
    <col min="5123" max="5123" width="12.6640625" bestFit="1" customWidth="1"/>
    <col min="5378" max="5378" width="18" customWidth="1"/>
    <col min="5379" max="5379" width="12.6640625" bestFit="1" customWidth="1"/>
    <col min="5634" max="5634" width="18" customWidth="1"/>
    <col min="5635" max="5635" width="12.6640625" bestFit="1" customWidth="1"/>
    <col min="5890" max="5890" width="18" customWidth="1"/>
    <col min="5891" max="5891" width="12.6640625" bestFit="1" customWidth="1"/>
    <col min="6146" max="6146" width="18" customWidth="1"/>
    <col min="6147" max="6147" width="12.6640625" bestFit="1" customWidth="1"/>
    <col min="6402" max="6402" width="18" customWidth="1"/>
    <col min="6403" max="6403" width="12.6640625" bestFit="1" customWidth="1"/>
    <col min="6658" max="6658" width="18" customWidth="1"/>
    <col min="6659" max="6659" width="12.6640625" bestFit="1" customWidth="1"/>
    <col min="6914" max="6914" width="18" customWidth="1"/>
    <col min="6915" max="6915" width="12.6640625" bestFit="1" customWidth="1"/>
    <col min="7170" max="7170" width="18" customWidth="1"/>
    <col min="7171" max="7171" width="12.6640625" bestFit="1" customWidth="1"/>
    <col min="7426" max="7426" width="18" customWidth="1"/>
    <col min="7427" max="7427" width="12.6640625" bestFit="1" customWidth="1"/>
    <col min="7682" max="7682" width="18" customWidth="1"/>
    <col min="7683" max="7683" width="12.6640625" bestFit="1" customWidth="1"/>
    <col min="7938" max="7938" width="18" customWidth="1"/>
    <col min="7939" max="7939" width="12.6640625" bestFit="1" customWidth="1"/>
    <col min="8194" max="8194" width="18" customWidth="1"/>
    <col min="8195" max="8195" width="12.6640625" bestFit="1" customWidth="1"/>
    <col min="8450" max="8450" width="18" customWidth="1"/>
    <col min="8451" max="8451" width="12.6640625" bestFit="1" customWidth="1"/>
    <col min="8706" max="8706" width="18" customWidth="1"/>
    <col min="8707" max="8707" width="12.6640625" bestFit="1" customWidth="1"/>
    <col min="8962" max="8962" width="18" customWidth="1"/>
    <col min="8963" max="8963" width="12.6640625" bestFit="1" customWidth="1"/>
    <col min="9218" max="9218" width="18" customWidth="1"/>
    <col min="9219" max="9219" width="12.6640625" bestFit="1" customWidth="1"/>
    <col min="9474" max="9474" width="18" customWidth="1"/>
    <col min="9475" max="9475" width="12.6640625" bestFit="1" customWidth="1"/>
    <col min="9730" max="9730" width="18" customWidth="1"/>
    <col min="9731" max="9731" width="12.6640625" bestFit="1" customWidth="1"/>
    <col min="9986" max="9986" width="18" customWidth="1"/>
    <col min="9987" max="9987" width="12.6640625" bestFit="1" customWidth="1"/>
    <col min="10242" max="10242" width="18" customWidth="1"/>
    <col min="10243" max="10243" width="12.6640625" bestFit="1" customWidth="1"/>
    <col min="10498" max="10498" width="18" customWidth="1"/>
    <col min="10499" max="10499" width="12.6640625" bestFit="1" customWidth="1"/>
    <col min="10754" max="10754" width="18" customWidth="1"/>
    <col min="10755" max="10755" width="12.6640625" bestFit="1" customWidth="1"/>
    <col min="11010" max="11010" width="18" customWidth="1"/>
    <col min="11011" max="11011" width="12.6640625" bestFit="1" customWidth="1"/>
    <col min="11266" max="11266" width="18" customWidth="1"/>
    <col min="11267" max="11267" width="12.6640625" bestFit="1" customWidth="1"/>
    <col min="11522" max="11522" width="18" customWidth="1"/>
    <col min="11523" max="11523" width="12.6640625" bestFit="1" customWidth="1"/>
    <col min="11778" max="11778" width="18" customWidth="1"/>
    <col min="11779" max="11779" width="12.6640625" bestFit="1" customWidth="1"/>
    <col min="12034" max="12034" width="18" customWidth="1"/>
    <col min="12035" max="12035" width="12.6640625" bestFit="1" customWidth="1"/>
    <col min="12290" max="12290" width="18" customWidth="1"/>
    <col min="12291" max="12291" width="12.6640625" bestFit="1" customWidth="1"/>
    <col min="12546" max="12546" width="18" customWidth="1"/>
    <col min="12547" max="12547" width="12.6640625" bestFit="1" customWidth="1"/>
    <col min="12802" max="12802" width="18" customWidth="1"/>
    <col min="12803" max="12803" width="12.6640625" bestFit="1" customWidth="1"/>
    <col min="13058" max="13058" width="18" customWidth="1"/>
    <col min="13059" max="13059" width="12.6640625" bestFit="1" customWidth="1"/>
    <col min="13314" max="13314" width="18" customWidth="1"/>
    <col min="13315" max="13315" width="12.6640625" bestFit="1" customWidth="1"/>
    <col min="13570" max="13570" width="18" customWidth="1"/>
    <col min="13571" max="13571" width="12.6640625" bestFit="1" customWidth="1"/>
    <col min="13826" max="13826" width="18" customWidth="1"/>
    <col min="13827" max="13827" width="12.6640625" bestFit="1" customWidth="1"/>
    <col min="14082" max="14082" width="18" customWidth="1"/>
    <col min="14083" max="14083" width="12.6640625" bestFit="1" customWidth="1"/>
    <col min="14338" max="14338" width="18" customWidth="1"/>
    <col min="14339" max="14339" width="12.6640625" bestFit="1" customWidth="1"/>
    <col min="14594" max="14594" width="18" customWidth="1"/>
    <col min="14595" max="14595" width="12.6640625" bestFit="1" customWidth="1"/>
    <col min="14850" max="14850" width="18" customWidth="1"/>
    <col min="14851" max="14851" width="12.6640625" bestFit="1" customWidth="1"/>
    <col min="15106" max="15106" width="18" customWidth="1"/>
    <col min="15107" max="15107" width="12.6640625" bestFit="1" customWidth="1"/>
    <col min="15362" max="15362" width="18" customWidth="1"/>
    <col min="15363" max="15363" width="12.6640625" bestFit="1" customWidth="1"/>
    <col min="15618" max="15618" width="18" customWidth="1"/>
    <col min="15619" max="15619" width="12.6640625" bestFit="1" customWidth="1"/>
    <col min="15874" max="15874" width="18" customWidth="1"/>
    <col min="15875" max="15875" width="12.6640625" bestFit="1" customWidth="1"/>
    <col min="16130" max="16130" width="18" customWidth="1"/>
    <col min="16131" max="16131" width="12.6640625" bestFit="1" customWidth="1"/>
  </cols>
  <sheetData>
    <row r="1" spans="1:13" ht="111.6" customHeight="1" x14ac:dyDescent="0.3">
      <c r="A1" s="600"/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</row>
    <row r="2" spans="1:13" ht="15.6" x14ac:dyDescent="0.3">
      <c r="A2" s="632" t="str">
        <f>Theory!A5</f>
        <v>COURSE CODE : 21AI643</v>
      </c>
      <c r="B2" s="632"/>
      <c r="D2" s="633" t="str">
        <f>Theory!A6</f>
        <v>COURSE TITLE :IoT &amp; 5G</v>
      </c>
      <c r="E2" s="633"/>
      <c r="F2" s="633"/>
      <c r="G2" s="633"/>
      <c r="H2" s="633"/>
      <c r="I2" s="633"/>
      <c r="J2" s="633"/>
      <c r="K2" s="633"/>
      <c r="L2" s="633"/>
      <c r="M2" s="633"/>
    </row>
    <row r="3" spans="1:13" ht="15.6" x14ac:dyDescent="0.3">
      <c r="A3" s="632" t="s">
        <v>292</v>
      </c>
      <c r="B3" s="632"/>
      <c r="D3" s="633" t="str">
        <f>Theory!A4</f>
        <v>Academic Year : 2023 -24</v>
      </c>
      <c r="E3" s="633"/>
      <c r="F3" s="633"/>
      <c r="G3" s="633"/>
      <c r="H3" s="633"/>
      <c r="I3" s="633"/>
      <c r="J3" s="633"/>
      <c r="K3" s="633"/>
      <c r="L3" s="633"/>
      <c r="M3" s="633"/>
    </row>
    <row r="4" spans="1:13" ht="20.399999999999999" x14ac:dyDescent="0.3">
      <c r="A4" s="634" t="s">
        <v>293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</row>
    <row r="6" spans="1:13" ht="18" x14ac:dyDescent="0.35">
      <c r="C6" s="63" t="s">
        <v>116</v>
      </c>
      <c r="D6" s="241">
        <v>1</v>
      </c>
      <c r="E6" s="241">
        <v>2</v>
      </c>
      <c r="F6" s="241">
        <v>3</v>
      </c>
      <c r="G6" s="241">
        <v>4</v>
      </c>
      <c r="H6" s="241">
        <v>5</v>
      </c>
      <c r="I6" s="241">
        <v>6</v>
      </c>
      <c r="J6" s="241">
        <v>7</v>
      </c>
      <c r="K6" s="241">
        <v>8</v>
      </c>
      <c r="L6" s="241">
        <v>9</v>
      </c>
      <c r="M6" s="241">
        <v>10</v>
      </c>
    </row>
    <row r="7" spans="1:13" ht="18" x14ac:dyDescent="0.35">
      <c r="C7" s="63" t="s">
        <v>110</v>
      </c>
      <c r="D7" s="419">
        <v>1</v>
      </c>
      <c r="E7" s="419">
        <v>1</v>
      </c>
      <c r="F7" s="419">
        <v>2</v>
      </c>
      <c r="G7" s="419">
        <v>2</v>
      </c>
      <c r="H7" s="419">
        <v>3</v>
      </c>
      <c r="I7" s="419">
        <v>3</v>
      </c>
      <c r="J7" s="419">
        <v>4</v>
      </c>
      <c r="K7" s="419">
        <v>4</v>
      </c>
      <c r="L7" s="419">
        <v>5</v>
      </c>
      <c r="M7" s="419">
        <v>5</v>
      </c>
    </row>
    <row r="8" spans="1:13" ht="15.6" x14ac:dyDescent="0.3">
      <c r="A8" s="65">
        <v>1</v>
      </c>
      <c r="B8" s="552" t="s">
        <v>388</v>
      </c>
      <c r="C8" s="552" t="s">
        <v>389</v>
      </c>
      <c r="D8" s="552">
        <v>4</v>
      </c>
      <c r="E8" s="552">
        <v>4</v>
      </c>
      <c r="F8" s="552">
        <v>5</v>
      </c>
      <c r="G8" s="552">
        <v>5</v>
      </c>
      <c r="H8" s="552">
        <v>4</v>
      </c>
      <c r="I8" s="552">
        <v>4</v>
      </c>
      <c r="J8" s="552">
        <v>5</v>
      </c>
      <c r="K8" s="552">
        <v>5</v>
      </c>
      <c r="L8" s="272"/>
      <c r="M8" s="272"/>
    </row>
    <row r="9" spans="1:13" ht="15.6" x14ac:dyDescent="0.3">
      <c r="A9" s="66">
        <v>2</v>
      </c>
      <c r="B9" s="552" t="s">
        <v>390</v>
      </c>
      <c r="C9" s="552" t="s">
        <v>391</v>
      </c>
      <c r="D9" s="552">
        <v>5</v>
      </c>
      <c r="E9" s="552">
        <v>5</v>
      </c>
      <c r="F9" s="552">
        <v>5</v>
      </c>
      <c r="G9" s="552">
        <v>5</v>
      </c>
      <c r="H9" s="552">
        <v>5</v>
      </c>
      <c r="I9" s="552">
        <v>5</v>
      </c>
      <c r="J9" s="552">
        <v>5</v>
      </c>
      <c r="K9" s="552">
        <v>5</v>
      </c>
      <c r="L9" s="272"/>
      <c r="M9" s="272"/>
    </row>
    <row r="10" spans="1:13" ht="15.6" x14ac:dyDescent="0.3">
      <c r="A10" s="65">
        <v>3</v>
      </c>
      <c r="B10" s="552" t="s">
        <v>392</v>
      </c>
      <c r="C10" s="552" t="s">
        <v>393</v>
      </c>
      <c r="D10" s="552">
        <v>5</v>
      </c>
      <c r="E10" s="552">
        <v>5</v>
      </c>
      <c r="F10" s="552">
        <v>5</v>
      </c>
      <c r="G10" s="552">
        <v>5</v>
      </c>
      <c r="H10" s="552">
        <v>5</v>
      </c>
      <c r="I10" s="552">
        <v>5</v>
      </c>
      <c r="J10" s="552">
        <v>5</v>
      </c>
      <c r="K10" s="552">
        <v>5</v>
      </c>
      <c r="L10" s="272"/>
      <c r="M10" s="272"/>
    </row>
    <row r="11" spans="1:13" ht="15.6" x14ac:dyDescent="0.3">
      <c r="A11" s="66">
        <v>4</v>
      </c>
      <c r="B11" s="552" t="s">
        <v>394</v>
      </c>
      <c r="C11" s="552" t="s">
        <v>395</v>
      </c>
      <c r="D11" s="552">
        <v>5</v>
      </c>
      <c r="E11" s="552">
        <v>5</v>
      </c>
      <c r="F11" s="552">
        <v>4</v>
      </c>
      <c r="G11" s="552">
        <v>4</v>
      </c>
      <c r="H11" s="552">
        <v>5</v>
      </c>
      <c r="I11" s="552">
        <v>5</v>
      </c>
      <c r="J11" s="552">
        <v>5</v>
      </c>
      <c r="K11" s="552">
        <v>5</v>
      </c>
      <c r="L11" s="272"/>
      <c r="M11" s="272"/>
    </row>
    <row r="12" spans="1:13" ht="15.6" x14ac:dyDescent="0.3">
      <c r="A12" s="65">
        <v>5</v>
      </c>
      <c r="B12" s="552" t="s">
        <v>396</v>
      </c>
      <c r="C12" s="552" t="s">
        <v>309</v>
      </c>
      <c r="D12" s="552">
        <v>5</v>
      </c>
      <c r="E12" s="552">
        <v>5</v>
      </c>
      <c r="F12" s="552">
        <v>4</v>
      </c>
      <c r="G12" s="552">
        <v>4</v>
      </c>
      <c r="H12" s="552">
        <v>5</v>
      </c>
      <c r="I12" s="552">
        <v>5</v>
      </c>
      <c r="J12" s="552">
        <v>5</v>
      </c>
      <c r="K12" s="552">
        <v>5</v>
      </c>
      <c r="L12" s="272"/>
      <c r="M12" s="272"/>
    </row>
    <row r="13" spans="1:13" ht="15.6" x14ac:dyDescent="0.3">
      <c r="A13" s="66">
        <v>6</v>
      </c>
      <c r="B13" s="552" t="s">
        <v>396</v>
      </c>
      <c r="C13" s="552" t="s">
        <v>397</v>
      </c>
      <c r="D13" s="552">
        <v>5</v>
      </c>
      <c r="E13" s="552">
        <v>5</v>
      </c>
      <c r="F13" s="552">
        <v>5</v>
      </c>
      <c r="G13" s="552">
        <v>5</v>
      </c>
      <c r="H13" s="552">
        <v>5</v>
      </c>
      <c r="I13" s="552">
        <v>5</v>
      </c>
      <c r="J13" s="552">
        <v>5</v>
      </c>
      <c r="K13" s="552">
        <v>5</v>
      </c>
      <c r="L13" s="272"/>
      <c r="M13" s="272"/>
    </row>
    <row r="14" spans="1:13" ht="15.6" x14ac:dyDescent="0.3">
      <c r="A14" s="65">
        <v>7</v>
      </c>
      <c r="B14" s="552" t="s">
        <v>398</v>
      </c>
      <c r="C14" s="552" t="s">
        <v>311</v>
      </c>
      <c r="D14" s="552">
        <v>5</v>
      </c>
      <c r="E14" s="552">
        <v>5</v>
      </c>
      <c r="F14" s="552">
        <v>4</v>
      </c>
      <c r="G14" s="552">
        <v>4</v>
      </c>
      <c r="H14" s="552">
        <v>5</v>
      </c>
      <c r="I14" s="552">
        <v>5</v>
      </c>
      <c r="J14" s="552">
        <v>5</v>
      </c>
      <c r="K14" s="552">
        <v>5</v>
      </c>
      <c r="L14" s="272"/>
      <c r="M14" s="272"/>
    </row>
    <row r="15" spans="1:13" ht="15.6" x14ac:dyDescent="0.3">
      <c r="A15" s="66">
        <v>8</v>
      </c>
      <c r="B15" s="552" t="s">
        <v>399</v>
      </c>
      <c r="C15" s="552" t="s">
        <v>400</v>
      </c>
      <c r="D15" s="552">
        <v>4</v>
      </c>
      <c r="E15" s="552">
        <v>4</v>
      </c>
      <c r="F15" s="552">
        <v>5</v>
      </c>
      <c r="G15" s="552">
        <v>5</v>
      </c>
      <c r="H15" s="552">
        <v>5</v>
      </c>
      <c r="I15" s="552">
        <v>5</v>
      </c>
      <c r="J15" s="552">
        <v>5</v>
      </c>
      <c r="K15" s="552">
        <v>5</v>
      </c>
      <c r="L15" s="272"/>
      <c r="M15" s="272"/>
    </row>
    <row r="16" spans="1:13" ht="15.6" x14ac:dyDescent="0.3">
      <c r="A16" s="65">
        <v>9</v>
      </c>
      <c r="B16" s="552" t="s">
        <v>401</v>
      </c>
      <c r="C16" s="552" t="s">
        <v>313</v>
      </c>
      <c r="D16" s="552">
        <v>5</v>
      </c>
      <c r="E16" s="552">
        <v>5</v>
      </c>
      <c r="F16" s="552">
        <v>5</v>
      </c>
      <c r="G16" s="552">
        <v>5</v>
      </c>
      <c r="H16" s="552">
        <v>5</v>
      </c>
      <c r="I16" s="552">
        <v>5</v>
      </c>
      <c r="J16" s="552">
        <v>5</v>
      </c>
      <c r="K16" s="552">
        <v>5</v>
      </c>
      <c r="L16" s="272"/>
      <c r="M16" s="272"/>
    </row>
    <row r="17" spans="1:13" ht="15.6" x14ac:dyDescent="0.3">
      <c r="A17" s="66">
        <v>10</v>
      </c>
      <c r="B17" s="552" t="s">
        <v>402</v>
      </c>
      <c r="C17" s="552" t="s">
        <v>315</v>
      </c>
      <c r="D17" s="552">
        <v>5</v>
      </c>
      <c r="E17" s="552">
        <v>5</v>
      </c>
      <c r="F17" s="552">
        <v>5</v>
      </c>
      <c r="G17" s="552">
        <v>5</v>
      </c>
      <c r="H17" s="552">
        <v>5</v>
      </c>
      <c r="I17" s="552">
        <v>5</v>
      </c>
      <c r="J17" s="552">
        <v>5</v>
      </c>
      <c r="K17" s="552">
        <v>5</v>
      </c>
      <c r="L17" s="272"/>
      <c r="M17" s="272"/>
    </row>
    <row r="18" spans="1:13" ht="15.6" x14ac:dyDescent="0.3">
      <c r="A18" s="65">
        <v>11</v>
      </c>
      <c r="B18" s="552" t="s">
        <v>402</v>
      </c>
      <c r="C18" s="552" t="s">
        <v>403</v>
      </c>
      <c r="D18" s="552">
        <v>5</v>
      </c>
      <c r="E18" s="552">
        <v>5</v>
      </c>
      <c r="F18" s="552">
        <v>5</v>
      </c>
      <c r="G18" s="552">
        <v>5</v>
      </c>
      <c r="H18" s="552">
        <v>5</v>
      </c>
      <c r="I18" s="552">
        <v>5</v>
      </c>
      <c r="J18" s="552">
        <v>5</v>
      </c>
      <c r="K18" s="552">
        <v>5</v>
      </c>
      <c r="L18" s="272"/>
      <c r="M18" s="272"/>
    </row>
    <row r="19" spans="1:13" ht="15.6" x14ac:dyDescent="0.3">
      <c r="A19" s="66">
        <v>12</v>
      </c>
      <c r="B19" s="552" t="s">
        <v>404</v>
      </c>
      <c r="C19" s="552" t="s">
        <v>317</v>
      </c>
      <c r="D19" s="552">
        <v>4</v>
      </c>
      <c r="E19" s="552">
        <v>4</v>
      </c>
      <c r="F19" s="552">
        <v>4</v>
      </c>
      <c r="G19" s="552">
        <v>4</v>
      </c>
      <c r="H19" s="552">
        <v>4</v>
      </c>
      <c r="I19" s="552">
        <v>4</v>
      </c>
      <c r="J19" s="552">
        <v>4</v>
      </c>
      <c r="K19" s="552">
        <v>4</v>
      </c>
      <c r="L19" s="272"/>
      <c r="M19" s="272"/>
    </row>
    <row r="20" spans="1:13" ht="15.6" x14ac:dyDescent="0.3">
      <c r="A20" s="65">
        <v>13</v>
      </c>
      <c r="B20" s="552" t="s">
        <v>405</v>
      </c>
      <c r="C20" s="552" t="s">
        <v>319</v>
      </c>
      <c r="D20" s="552">
        <v>4</v>
      </c>
      <c r="E20" s="552">
        <v>4</v>
      </c>
      <c r="F20" s="552">
        <v>4</v>
      </c>
      <c r="G20" s="552">
        <v>4</v>
      </c>
      <c r="H20" s="552">
        <v>4</v>
      </c>
      <c r="I20" s="552">
        <v>4</v>
      </c>
      <c r="J20" s="552">
        <v>4</v>
      </c>
      <c r="K20" s="552">
        <v>4</v>
      </c>
      <c r="L20" s="272"/>
      <c r="M20" s="272"/>
    </row>
    <row r="21" spans="1:13" ht="15.6" x14ac:dyDescent="0.3">
      <c r="A21" s="66">
        <v>14</v>
      </c>
      <c r="B21" s="552" t="s">
        <v>406</v>
      </c>
      <c r="C21" s="552" t="s">
        <v>407</v>
      </c>
      <c r="D21" s="552">
        <v>5</v>
      </c>
      <c r="E21" s="552">
        <v>5</v>
      </c>
      <c r="F21" s="552">
        <v>5</v>
      </c>
      <c r="G21" s="552">
        <v>5</v>
      </c>
      <c r="H21" s="552">
        <v>5</v>
      </c>
      <c r="I21" s="552">
        <v>5</v>
      </c>
      <c r="J21" s="552">
        <v>5</v>
      </c>
      <c r="K21" s="552">
        <v>5</v>
      </c>
      <c r="L21" s="272"/>
      <c r="M21" s="272"/>
    </row>
    <row r="22" spans="1:13" ht="15.6" x14ac:dyDescent="0.3">
      <c r="A22" s="65">
        <v>15</v>
      </c>
      <c r="B22" s="552" t="s">
        <v>408</v>
      </c>
      <c r="C22" s="552" t="s">
        <v>323</v>
      </c>
      <c r="D22" s="552">
        <v>5</v>
      </c>
      <c r="E22" s="552">
        <v>5</v>
      </c>
      <c r="F22" s="552">
        <v>4</v>
      </c>
      <c r="G22" s="552">
        <v>4</v>
      </c>
      <c r="H22" s="552">
        <v>5</v>
      </c>
      <c r="I22" s="552">
        <v>5</v>
      </c>
      <c r="J22" s="552">
        <v>5</v>
      </c>
      <c r="K22" s="552">
        <v>5</v>
      </c>
      <c r="L22" s="272"/>
      <c r="M22" s="272"/>
    </row>
    <row r="23" spans="1:13" ht="15.6" x14ac:dyDescent="0.3">
      <c r="A23" s="66">
        <v>16</v>
      </c>
      <c r="B23" s="552" t="s">
        <v>409</v>
      </c>
      <c r="C23" s="552" t="s">
        <v>325</v>
      </c>
      <c r="D23" s="552">
        <v>5</v>
      </c>
      <c r="E23" s="552">
        <v>5</v>
      </c>
      <c r="F23" s="552">
        <v>5</v>
      </c>
      <c r="G23" s="552">
        <v>5</v>
      </c>
      <c r="H23" s="552">
        <v>5</v>
      </c>
      <c r="I23" s="552">
        <v>5</v>
      </c>
      <c r="J23" s="552">
        <v>5</v>
      </c>
      <c r="K23" s="552">
        <v>5</v>
      </c>
      <c r="L23" s="272"/>
      <c r="M23" s="272"/>
    </row>
    <row r="24" spans="1:13" ht="15.6" x14ac:dyDescent="0.3">
      <c r="A24" s="65">
        <v>17</v>
      </c>
      <c r="B24" s="552" t="s">
        <v>410</v>
      </c>
      <c r="C24" s="552" t="s">
        <v>329</v>
      </c>
      <c r="D24" s="552">
        <v>4</v>
      </c>
      <c r="E24" s="552">
        <v>4</v>
      </c>
      <c r="F24" s="552">
        <v>4</v>
      </c>
      <c r="G24" s="552">
        <v>4</v>
      </c>
      <c r="H24" s="552">
        <v>4</v>
      </c>
      <c r="I24" s="552">
        <v>4</v>
      </c>
      <c r="J24" s="552">
        <v>4</v>
      </c>
      <c r="K24" s="552">
        <v>4</v>
      </c>
      <c r="L24" s="272"/>
      <c r="M24" s="272"/>
    </row>
    <row r="25" spans="1:13" ht="15.6" x14ac:dyDescent="0.3">
      <c r="A25" s="66">
        <v>18</v>
      </c>
      <c r="B25" s="552" t="s">
        <v>411</v>
      </c>
      <c r="C25" s="552" t="s">
        <v>412</v>
      </c>
      <c r="D25" s="552">
        <v>4</v>
      </c>
      <c r="E25" s="552">
        <v>4</v>
      </c>
      <c r="F25" s="552">
        <v>4</v>
      </c>
      <c r="G25" s="552">
        <v>4</v>
      </c>
      <c r="H25" s="552">
        <v>4</v>
      </c>
      <c r="I25" s="552">
        <v>4</v>
      </c>
      <c r="J25" s="552">
        <v>4</v>
      </c>
      <c r="K25" s="552">
        <v>4</v>
      </c>
      <c r="L25" s="272"/>
      <c r="M25" s="272"/>
    </row>
    <row r="26" spans="1:13" ht="15.6" x14ac:dyDescent="0.3">
      <c r="A26" s="65">
        <v>19</v>
      </c>
      <c r="B26" s="552" t="s">
        <v>413</v>
      </c>
      <c r="C26" s="552" t="s">
        <v>333</v>
      </c>
      <c r="D26" s="552">
        <v>5</v>
      </c>
      <c r="E26" s="552">
        <v>5</v>
      </c>
      <c r="F26" s="552">
        <v>5</v>
      </c>
      <c r="G26" s="552">
        <v>5</v>
      </c>
      <c r="H26" s="552">
        <v>5</v>
      </c>
      <c r="I26" s="552">
        <v>5</v>
      </c>
      <c r="J26" s="552">
        <v>5</v>
      </c>
      <c r="K26" s="552">
        <v>5</v>
      </c>
      <c r="L26" s="272"/>
      <c r="M26" s="272"/>
    </row>
    <row r="27" spans="1:13" ht="15.6" x14ac:dyDescent="0.3">
      <c r="A27" s="66">
        <v>20</v>
      </c>
      <c r="B27" s="552" t="s">
        <v>414</v>
      </c>
      <c r="C27" s="552" t="s">
        <v>337</v>
      </c>
      <c r="D27" s="552">
        <v>5</v>
      </c>
      <c r="E27" s="552">
        <v>5</v>
      </c>
      <c r="F27" s="552">
        <v>5</v>
      </c>
      <c r="G27" s="552">
        <v>5</v>
      </c>
      <c r="H27" s="552">
        <v>5</v>
      </c>
      <c r="I27" s="552">
        <v>5</v>
      </c>
      <c r="J27" s="552">
        <v>5</v>
      </c>
      <c r="K27" s="552">
        <v>5</v>
      </c>
      <c r="L27" s="272"/>
      <c r="M27" s="272"/>
    </row>
    <row r="28" spans="1:13" ht="15.6" x14ac:dyDescent="0.3">
      <c r="A28" s="65">
        <v>21</v>
      </c>
      <c r="B28" s="552" t="s">
        <v>415</v>
      </c>
      <c r="C28" s="552" t="s">
        <v>339</v>
      </c>
      <c r="D28" s="552">
        <v>5</v>
      </c>
      <c r="E28" s="552">
        <v>5</v>
      </c>
      <c r="F28" s="552">
        <v>5</v>
      </c>
      <c r="G28" s="552">
        <v>5</v>
      </c>
      <c r="H28" s="552">
        <v>5</v>
      </c>
      <c r="I28" s="552">
        <v>5</v>
      </c>
      <c r="J28" s="552">
        <v>5</v>
      </c>
      <c r="K28" s="552">
        <v>5</v>
      </c>
      <c r="L28" s="272"/>
      <c r="M28" s="272"/>
    </row>
    <row r="29" spans="1:13" ht="15.6" x14ac:dyDescent="0.3">
      <c r="A29" s="66">
        <v>22</v>
      </c>
      <c r="B29" s="552" t="s">
        <v>416</v>
      </c>
      <c r="C29" s="552" t="s">
        <v>341</v>
      </c>
      <c r="D29" s="552">
        <v>4</v>
      </c>
      <c r="E29" s="552">
        <v>4</v>
      </c>
      <c r="F29" s="552">
        <v>4</v>
      </c>
      <c r="G29" s="552">
        <v>4</v>
      </c>
      <c r="H29" s="552">
        <v>4</v>
      </c>
      <c r="I29" s="552">
        <v>4</v>
      </c>
      <c r="J29" s="552">
        <v>4</v>
      </c>
      <c r="K29" s="552">
        <v>4</v>
      </c>
      <c r="L29" s="272"/>
      <c r="M29" s="272"/>
    </row>
    <row r="30" spans="1:13" ht="15.6" x14ac:dyDescent="0.3">
      <c r="A30" s="65">
        <v>23</v>
      </c>
      <c r="B30" s="552" t="s">
        <v>417</v>
      </c>
      <c r="C30" s="552" t="s">
        <v>343</v>
      </c>
      <c r="D30" s="552">
        <v>4</v>
      </c>
      <c r="E30" s="552">
        <v>4</v>
      </c>
      <c r="F30" s="552">
        <v>4</v>
      </c>
      <c r="G30" s="552">
        <v>4</v>
      </c>
      <c r="H30" s="552">
        <v>4</v>
      </c>
      <c r="I30" s="552">
        <v>4</v>
      </c>
      <c r="J30" s="552">
        <v>4</v>
      </c>
      <c r="K30" s="552">
        <v>4</v>
      </c>
      <c r="L30" s="272"/>
      <c r="M30" s="272"/>
    </row>
    <row r="31" spans="1:13" ht="15.6" x14ac:dyDescent="0.3">
      <c r="A31" s="66">
        <v>24</v>
      </c>
      <c r="B31" s="552" t="s">
        <v>418</v>
      </c>
      <c r="C31" s="552" t="s">
        <v>419</v>
      </c>
      <c r="D31" s="552">
        <v>5</v>
      </c>
      <c r="E31" s="552">
        <v>5</v>
      </c>
      <c r="F31" s="552">
        <v>5</v>
      </c>
      <c r="G31" s="552">
        <v>5</v>
      </c>
      <c r="H31" s="552">
        <v>5</v>
      </c>
      <c r="I31" s="552">
        <v>5</v>
      </c>
      <c r="J31" s="552">
        <v>5</v>
      </c>
      <c r="K31" s="552">
        <v>5</v>
      </c>
      <c r="L31" s="272"/>
      <c r="M31" s="272"/>
    </row>
    <row r="32" spans="1:13" ht="15.6" x14ac:dyDescent="0.3">
      <c r="A32" s="65">
        <v>25</v>
      </c>
      <c r="B32" s="552" t="s">
        <v>418</v>
      </c>
      <c r="C32" s="552" t="s">
        <v>419</v>
      </c>
      <c r="D32" s="552">
        <v>5</v>
      </c>
      <c r="E32" s="552">
        <v>5</v>
      </c>
      <c r="F32" s="552">
        <v>5</v>
      </c>
      <c r="G32" s="552">
        <v>5</v>
      </c>
      <c r="H32" s="552">
        <v>5</v>
      </c>
      <c r="I32" s="552">
        <v>5</v>
      </c>
      <c r="J32" s="552">
        <v>5</v>
      </c>
      <c r="K32" s="552">
        <v>5</v>
      </c>
      <c r="L32" s="272"/>
      <c r="M32" s="272"/>
    </row>
    <row r="33" spans="1:13" ht="15.6" x14ac:dyDescent="0.3">
      <c r="A33" s="66">
        <v>26</v>
      </c>
      <c r="B33" s="552" t="s">
        <v>420</v>
      </c>
      <c r="C33" s="552" t="s">
        <v>347</v>
      </c>
      <c r="D33" s="552">
        <v>5</v>
      </c>
      <c r="E33" s="552">
        <v>5</v>
      </c>
      <c r="F33" s="552">
        <v>5</v>
      </c>
      <c r="G33" s="552">
        <v>5</v>
      </c>
      <c r="H33" s="552">
        <v>5</v>
      </c>
      <c r="I33" s="552">
        <v>5</v>
      </c>
      <c r="J33" s="552">
        <v>5</v>
      </c>
      <c r="K33" s="552">
        <v>5</v>
      </c>
      <c r="L33" s="272"/>
      <c r="M33" s="272"/>
    </row>
    <row r="34" spans="1:13" ht="15.6" x14ac:dyDescent="0.3">
      <c r="A34" s="65">
        <v>27</v>
      </c>
      <c r="B34" s="552" t="s">
        <v>420</v>
      </c>
      <c r="C34" s="552" t="s">
        <v>347</v>
      </c>
      <c r="D34" s="552">
        <v>5</v>
      </c>
      <c r="E34" s="552">
        <v>5</v>
      </c>
      <c r="F34" s="552">
        <v>5</v>
      </c>
      <c r="G34" s="552">
        <v>5</v>
      </c>
      <c r="H34" s="552">
        <v>5</v>
      </c>
      <c r="I34" s="552">
        <v>5</v>
      </c>
      <c r="J34" s="552">
        <v>5</v>
      </c>
      <c r="K34" s="552">
        <v>5</v>
      </c>
      <c r="L34" s="272"/>
      <c r="M34" s="272"/>
    </row>
    <row r="35" spans="1:13" ht="15.6" x14ac:dyDescent="0.3">
      <c r="A35" s="66">
        <v>28</v>
      </c>
      <c r="B35" s="552" t="s">
        <v>421</v>
      </c>
      <c r="C35" s="552" t="s">
        <v>349</v>
      </c>
      <c r="D35" s="552">
        <v>5</v>
      </c>
      <c r="E35" s="552">
        <v>5</v>
      </c>
      <c r="F35" s="552">
        <v>5</v>
      </c>
      <c r="G35" s="552">
        <v>5</v>
      </c>
      <c r="H35" s="552">
        <v>5</v>
      </c>
      <c r="I35" s="552">
        <v>5</v>
      </c>
      <c r="J35" s="552">
        <v>5</v>
      </c>
      <c r="K35" s="552">
        <v>5</v>
      </c>
      <c r="L35" s="272"/>
      <c r="M35" s="272"/>
    </row>
    <row r="36" spans="1:13" ht="15.6" x14ac:dyDescent="0.3">
      <c r="A36" s="65">
        <v>29</v>
      </c>
      <c r="B36" s="552" t="s">
        <v>422</v>
      </c>
      <c r="C36" s="552" t="s">
        <v>423</v>
      </c>
      <c r="D36" s="552">
        <v>5</v>
      </c>
      <c r="E36" s="552">
        <v>5</v>
      </c>
      <c r="F36" s="552">
        <v>5</v>
      </c>
      <c r="G36" s="552">
        <v>5</v>
      </c>
      <c r="H36" s="552">
        <v>5</v>
      </c>
      <c r="I36" s="552">
        <v>5</v>
      </c>
      <c r="J36" s="552">
        <v>5</v>
      </c>
      <c r="K36" s="552">
        <v>5</v>
      </c>
      <c r="L36" s="272"/>
      <c r="M36" s="272"/>
    </row>
    <row r="37" spans="1:13" ht="15.6" x14ac:dyDescent="0.3">
      <c r="A37" s="66">
        <v>30</v>
      </c>
      <c r="B37" s="552" t="s">
        <v>424</v>
      </c>
      <c r="C37" s="552" t="s">
        <v>425</v>
      </c>
      <c r="D37" s="552">
        <v>4</v>
      </c>
      <c r="E37" s="552">
        <v>4</v>
      </c>
      <c r="F37" s="552">
        <v>4</v>
      </c>
      <c r="G37" s="552">
        <v>4</v>
      </c>
      <c r="H37" s="552">
        <v>4</v>
      </c>
      <c r="I37" s="552">
        <v>4</v>
      </c>
      <c r="J37" s="552">
        <v>4</v>
      </c>
      <c r="K37" s="552">
        <v>4</v>
      </c>
      <c r="L37" s="272"/>
      <c r="M37" s="272"/>
    </row>
    <row r="38" spans="1:13" ht="15.6" x14ac:dyDescent="0.3">
      <c r="A38" s="65">
        <v>31</v>
      </c>
      <c r="B38" s="552" t="s">
        <v>426</v>
      </c>
      <c r="C38" s="552" t="s">
        <v>427</v>
      </c>
      <c r="D38" s="552">
        <v>5</v>
      </c>
      <c r="E38" s="552">
        <v>5</v>
      </c>
      <c r="F38" s="552">
        <v>5</v>
      </c>
      <c r="G38" s="552">
        <v>5</v>
      </c>
      <c r="H38" s="552">
        <v>5</v>
      </c>
      <c r="I38" s="552">
        <v>5</v>
      </c>
      <c r="J38" s="552">
        <v>5</v>
      </c>
      <c r="K38" s="552">
        <v>5</v>
      </c>
      <c r="L38" s="272"/>
      <c r="M38" s="272"/>
    </row>
    <row r="39" spans="1:13" ht="15.6" x14ac:dyDescent="0.3">
      <c r="A39" s="66">
        <v>32</v>
      </c>
      <c r="B39" s="552" t="s">
        <v>428</v>
      </c>
      <c r="C39" s="552" t="s">
        <v>429</v>
      </c>
      <c r="D39" s="552">
        <v>5</v>
      </c>
      <c r="E39" s="552">
        <v>5</v>
      </c>
      <c r="F39" s="552">
        <v>5</v>
      </c>
      <c r="G39" s="552">
        <v>5</v>
      </c>
      <c r="H39" s="552">
        <v>5</v>
      </c>
      <c r="I39" s="552">
        <v>5</v>
      </c>
      <c r="J39" s="552">
        <v>5</v>
      </c>
      <c r="K39" s="552">
        <v>5</v>
      </c>
      <c r="L39" s="272"/>
      <c r="M39" s="272"/>
    </row>
    <row r="40" spans="1:13" ht="15.6" x14ac:dyDescent="0.3">
      <c r="A40" s="65">
        <v>33</v>
      </c>
      <c r="B40" s="552" t="s">
        <v>430</v>
      </c>
      <c r="C40" s="552" t="s">
        <v>358</v>
      </c>
      <c r="D40" s="552">
        <v>4</v>
      </c>
      <c r="E40" s="552">
        <v>4</v>
      </c>
      <c r="F40" s="552">
        <v>4</v>
      </c>
      <c r="G40" s="552">
        <v>4</v>
      </c>
      <c r="H40" s="552">
        <v>4</v>
      </c>
      <c r="I40" s="552">
        <v>4</v>
      </c>
      <c r="J40" s="552">
        <v>4</v>
      </c>
      <c r="K40" s="552">
        <v>4</v>
      </c>
      <c r="L40" s="272"/>
      <c r="M40" s="272"/>
    </row>
    <row r="41" spans="1:13" ht="15.6" x14ac:dyDescent="0.3">
      <c r="A41" s="66">
        <v>34</v>
      </c>
      <c r="B41" s="552" t="s">
        <v>431</v>
      </c>
      <c r="C41" s="552" t="s">
        <v>432</v>
      </c>
      <c r="D41" s="552">
        <v>4</v>
      </c>
      <c r="E41" s="552">
        <v>4</v>
      </c>
      <c r="F41" s="552">
        <v>4</v>
      </c>
      <c r="G41" s="552">
        <v>4</v>
      </c>
      <c r="H41" s="552">
        <v>4</v>
      </c>
      <c r="I41" s="552">
        <v>4</v>
      </c>
      <c r="J41" s="552">
        <v>4</v>
      </c>
      <c r="K41" s="552">
        <v>4</v>
      </c>
      <c r="L41" s="272"/>
      <c r="M41" s="272"/>
    </row>
    <row r="42" spans="1:13" ht="15.6" x14ac:dyDescent="0.3">
      <c r="A42" s="65">
        <v>35</v>
      </c>
      <c r="B42" s="552" t="s">
        <v>433</v>
      </c>
      <c r="C42" s="552" t="s">
        <v>362</v>
      </c>
      <c r="D42" s="552">
        <v>5</v>
      </c>
      <c r="E42" s="552">
        <v>5</v>
      </c>
      <c r="F42" s="552">
        <v>5</v>
      </c>
      <c r="G42" s="552">
        <v>5</v>
      </c>
      <c r="H42" s="552">
        <v>5</v>
      </c>
      <c r="I42" s="552">
        <v>5</v>
      </c>
      <c r="J42" s="552">
        <v>5</v>
      </c>
      <c r="K42" s="552">
        <v>5</v>
      </c>
      <c r="L42" s="272"/>
      <c r="M42" s="272"/>
    </row>
    <row r="43" spans="1:13" ht="15.6" x14ac:dyDescent="0.3">
      <c r="A43" s="66">
        <v>36</v>
      </c>
      <c r="B43" s="552" t="s">
        <v>433</v>
      </c>
      <c r="C43" s="552" t="s">
        <v>362</v>
      </c>
      <c r="D43" s="552">
        <v>5</v>
      </c>
      <c r="E43" s="552">
        <v>5</v>
      </c>
      <c r="F43" s="552">
        <v>5</v>
      </c>
      <c r="G43" s="552">
        <v>5</v>
      </c>
      <c r="H43" s="552">
        <v>5</v>
      </c>
      <c r="I43" s="552">
        <v>5</v>
      </c>
      <c r="J43" s="552">
        <v>5</v>
      </c>
      <c r="K43" s="552">
        <v>5</v>
      </c>
      <c r="L43" s="272"/>
      <c r="M43" s="272"/>
    </row>
    <row r="44" spans="1:13" ht="15.6" x14ac:dyDescent="0.3">
      <c r="A44" s="65">
        <v>37</v>
      </c>
      <c r="B44" s="552" t="s">
        <v>365</v>
      </c>
      <c r="C44" s="552" t="s">
        <v>434</v>
      </c>
      <c r="D44" s="552">
        <v>4</v>
      </c>
      <c r="E44" s="552">
        <v>4</v>
      </c>
      <c r="F44" s="552">
        <v>4</v>
      </c>
      <c r="G44" s="552">
        <v>4</v>
      </c>
      <c r="H44" s="552">
        <v>5</v>
      </c>
      <c r="I44" s="552">
        <v>5</v>
      </c>
      <c r="J44" s="552">
        <v>4</v>
      </c>
      <c r="K44" s="552">
        <v>4</v>
      </c>
      <c r="L44" s="272"/>
      <c r="M44" s="272"/>
    </row>
    <row r="45" spans="1:13" ht="15.6" x14ac:dyDescent="0.3">
      <c r="A45" s="66">
        <v>38</v>
      </c>
      <c r="B45" s="552" t="s">
        <v>435</v>
      </c>
      <c r="C45" s="552" t="s">
        <v>366</v>
      </c>
      <c r="D45" s="552">
        <v>4</v>
      </c>
      <c r="E45" s="552">
        <v>4</v>
      </c>
      <c r="F45" s="552">
        <v>4</v>
      </c>
      <c r="G45" s="552">
        <v>4</v>
      </c>
      <c r="H45" s="552">
        <v>4</v>
      </c>
      <c r="I45" s="552">
        <v>4</v>
      </c>
      <c r="J45" s="552">
        <v>4</v>
      </c>
      <c r="K45" s="552">
        <v>4</v>
      </c>
      <c r="L45" s="272"/>
      <c r="M45" s="272"/>
    </row>
    <row r="46" spans="1:13" ht="15.6" x14ac:dyDescent="0.3">
      <c r="A46" s="65">
        <v>39</v>
      </c>
      <c r="B46" s="552" t="s">
        <v>436</v>
      </c>
      <c r="C46" s="552" t="s">
        <v>370</v>
      </c>
      <c r="D46" s="552">
        <v>5</v>
      </c>
      <c r="E46" s="552">
        <v>5</v>
      </c>
      <c r="F46" s="552">
        <v>5</v>
      </c>
      <c r="G46" s="552">
        <v>5</v>
      </c>
      <c r="H46" s="552">
        <v>5</v>
      </c>
      <c r="I46" s="552">
        <v>5</v>
      </c>
      <c r="J46" s="552">
        <v>5</v>
      </c>
      <c r="K46" s="552">
        <v>5</v>
      </c>
      <c r="L46" s="272"/>
      <c r="M46" s="272"/>
    </row>
    <row r="47" spans="1:13" ht="15.6" x14ac:dyDescent="0.3">
      <c r="A47" s="66">
        <v>40</v>
      </c>
      <c r="B47" s="552" t="s">
        <v>437</v>
      </c>
      <c r="C47" s="552" t="s">
        <v>372</v>
      </c>
      <c r="D47" s="552">
        <v>4</v>
      </c>
      <c r="E47" s="552">
        <v>4</v>
      </c>
      <c r="F47" s="552">
        <v>4</v>
      </c>
      <c r="G47" s="552">
        <v>4</v>
      </c>
      <c r="H47" s="552">
        <v>4</v>
      </c>
      <c r="I47" s="552">
        <v>4</v>
      </c>
      <c r="J47" s="552">
        <v>4</v>
      </c>
      <c r="K47" s="552">
        <v>4</v>
      </c>
      <c r="L47" s="272"/>
      <c r="M47" s="272"/>
    </row>
    <row r="48" spans="1:13" ht="16.2" thickBot="1" x14ac:dyDescent="0.35">
      <c r="A48" s="65">
        <v>41</v>
      </c>
      <c r="B48" s="552" t="s">
        <v>438</v>
      </c>
      <c r="C48" s="552" t="s">
        <v>373</v>
      </c>
      <c r="D48" s="552">
        <v>5</v>
      </c>
      <c r="E48" s="552">
        <v>5</v>
      </c>
      <c r="F48" s="552">
        <v>5</v>
      </c>
      <c r="G48" s="552">
        <v>5</v>
      </c>
      <c r="H48" s="552">
        <v>5</v>
      </c>
      <c r="I48" s="552">
        <v>5</v>
      </c>
      <c r="J48" s="552">
        <v>5</v>
      </c>
      <c r="K48" s="552">
        <v>5</v>
      </c>
      <c r="L48" s="272"/>
      <c r="M48" s="272"/>
    </row>
    <row r="49" spans="1:13" ht="16.2" thickBot="1" x14ac:dyDescent="0.35">
      <c r="A49" s="66"/>
      <c r="B49" s="472"/>
      <c r="C49" s="472"/>
      <c r="D49" s="513"/>
      <c r="E49" s="514"/>
      <c r="F49" s="514"/>
      <c r="G49" s="514"/>
      <c r="H49" s="514"/>
      <c r="I49" s="514"/>
      <c r="J49" s="514"/>
      <c r="K49" s="514"/>
      <c r="L49" s="272"/>
      <c r="M49" s="272"/>
    </row>
    <row r="50" spans="1:13" ht="16.2" thickBot="1" x14ac:dyDescent="0.35">
      <c r="A50" s="65"/>
      <c r="B50" s="472"/>
      <c r="C50" s="472"/>
      <c r="D50" s="513"/>
      <c r="E50" s="514"/>
      <c r="F50" s="514"/>
      <c r="G50" s="514"/>
      <c r="H50" s="514"/>
      <c r="I50" s="514"/>
      <c r="J50" s="514"/>
      <c r="K50" s="514"/>
      <c r="L50" s="272"/>
      <c r="M50" s="272"/>
    </row>
    <row r="51" spans="1:13" ht="16.2" thickBot="1" x14ac:dyDescent="0.35">
      <c r="A51" s="66"/>
      <c r="B51" s="472"/>
      <c r="C51" s="472"/>
      <c r="D51" s="513"/>
      <c r="E51" s="514"/>
      <c r="F51" s="514"/>
      <c r="G51" s="514"/>
      <c r="H51" s="514"/>
      <c r="I51" s="514"/>
      <c r="J51" s="514"/>
      <c r="K51" s="514"/>
      <c r="L51" s="272"/>
      <c r="M51" s="272"/>
    </row>
    <row r="52" spans="1:13" ht="16.2" thickBot="1" x14ac:dyDescent="0.35">
      <c r="A52" s="65"/>
      <c r="B52" s="472"/>
      <c r="C52" s="472"/>
      <c r="D52" s="513"/>
      <c r="E52" s="514"/>
      <c r="F52" s="514"/>
      <c r="G52" s="514"/>
      <c r="H52" s="514"/>
      <c r="I52" s="514"/>
      <c r="J52" s="514"/>
      <c r="K52" s="514"/>
      <c r="L52" s="272"/>
      <c r="M52" s="272"/>
    </row>
    <row r="53" spans="1:13" ht="16.2" thickBot="1" x14ac:dyDescent="0.35">
      <c r="A53" s="66"/>
      <c r="B53" s="472"/>
      <c r="C53" s="472"/>
      <c r="D53" s="513"/>
      <c r="E53" s="514"/>
      <c r="F53" s="514"/>
      <c r="G53" s="514"/>
      <c r="H53" s="514"/>
      <c r="I53" s="514"/>
      <c r="J53" s="514"/>
      <c r="K53" s="514"/>
      <c r="L53" s="272"/>
      <c r="M53" s="272"/>
    </row>
    <row r="54" spans="1:13" ht="16.2" thickBot="1" x14ac:dyDescent="0.35">
      <c r="A54" s="65"/>
      <c r="B54" s="472"/>
      <c r="C54" s="472"/>
      <c r="D54" s="513"/>
      <c r="E54" s="514"/>
      <c r="F54" s="514"/>
      <c r="G54" s="514"/>
      <c r="H54" s="514"/>
      <c r="I54" s="514"/>
      <c r="J54" s="514"/>
      <c r="K54" s="514"/>
      <c r="L54" s="272"/>
      <c r="M54" s="272"/>
    </row>
    <row r="55" spans="1:13" ht="16.2" thickBot="1" x14ac:dyDescent="0.35">
      <c r="A55" s="66"/>
      <c r="B55" s="472"/>
      <c r="C55" s="472"/>
      <c r="D55" s="513"/>
      <c r="E55" s="514"/>
      <c r="F55" s="514"/>
      <c r="G55" s="514"/>
      <c r="H55" s="514"/>
      <c r="I55" s="514"/>
      <c r="J55" s="514"/>
      <c r="K55" s="514"/>
      <c r="L55" s="272"/>
      <c r="M55" s="272"/>
    </row>
    <row r="56" spans="1:13" ht="16.2" thickBot="1" x14ac:dyDescent="0.35">
      <c r="A56" s="65"/>
      <c r="B56" s="472"/>
      <c r="C56" s="472"/>
      <c r="D56" s="513"/>
      <c r="E56" s="514"/>
      <c r="F56" s="514"/>
      <c r="G56" s="514"/>
      <c r="H56" s="514"/>
      <c r="I56" s="514"/>
      <c r="J56" s="514"/>
      <c r="K56" s="514"/>
      <c r="L56" s="272"/>
      <c r="M56" s="272"/>
    </row>
    <row r="57" spans="1:13" ht="16.2" thickBot="1" x14ac:dyDescent="0.35">
      <c r="A57" s="66"/>
      <c r="B57" s="472"/>
      <c r="C57" s="472"/>
      <c r="D57" s="513"/>
      <c r="E57" s="514"/>
      <c r="F57" s="514"/>
      <c r="G57" s="514"/>
      <c r="H57" s="514"/>
      <c r="I57" s="514"/>
      <c r="J57" s="514"/>
      <c r="K57" s="514"/>
      <c r="L57" s="272"/>
      <c r="M57" s="272"/>
    </row>
    <row r="58" spans="1:13" ht="16.2" thickBot="1" x14ac:dyDescent="0.35">
      <c r="A58" s="65"/>
      <c r="B58" s="472"/>
      <c r="C58" s="472"/>
      <c r="D58" s="513"/>
      <c r="E58" s="514"/>
      <c r="F58" s="514"/>
      <c r="G58" s="514"/>
      <c r="H58" s="514"/>
      <c r="I58" s="514"/>
      <c r="J58" s="514"/>
      <c r="K58" s="514"/>
      <c r="L58" s="272"/>
      <c r="M58" s="272"/>
    </row>
    <row r="59" spans="1:13" ht="16.2" thickBot="1" x14ac:dyDescent="0.35">
      <c r="A59" s="66"/>
      <c r="B59" s="472"/>
      <c r="C59" s="472"/>
      <c r="D59" s="513"/>
      <c r="E59" s="514"/>
      <c r="F59" s="514"/>
      <c r="G59" s="514"/>
      <c r="H59" s="514"/>
      <c r="I59" s="514"/>
      <c r="J59" s="514"/>
      <c r="K59" s="514"/>
      <c r="L59" s="272"/>
      <c r="M59" s="272"/>
    </row>
    <row r="60" spans="1:13" ht="16.2" thickBot="1" x14ac:dyDescent="0.35">
      <c r="A60" s="65"/>
      <c r="B60" s="472"/>
      <c r="C60" s="472"/>
      <c r="D60" s="513"/>
      <c r="E60" s="514"/>
      <c r="F60" s="514"/>
      <c r="G60" s="514"/>
      <c r="H60" s="514"/>
      <c r="I60" s="514"/>
      <c r="J60" s="514"/>
      <c r="K60" s="514"/>
      <c r="L60" s="272"/>
      <c r="M60" s="272"/>
    </row>
    <row r="61" spans="1:13" ht="16.2" thickBot="1" x14ac:dyDescent="0.35">
      <c r="A61" s="66"/>
      <c r="B61" s="472"/>
      <c r="C61" s="472"/>
      <c r="D61" s="513"/>
      <c r="E61" s="514"/>
      <c r="F61" s="514"/>
      <c r="G61" s="514"/>
      <c r="H61" s="514"/>
      <c r="I61" s="514"/>
      <c r="J61" s="514"/>
      <c r="K61" s="514"/>
      <c r="L61" s="272"/>
      <c r="M61" s="272"/>
    </row>
    <row r="62" spans="1:13" ht="16.2" thickBot="1" x14ac:dyDescent="0.35">
      <c r="A62" s="65"/>
      <c r="B62" s="472"/>
      <c r="C62" s="472"/>
      <c r="D62" s="513"/>
      <c r="E62" s="514"/>
      <c r="F62" s="514"/>
      <c r="G62" s="514"/>
      <c r="H62" s="514"/>
      <c r="I62" s="514"/>
      <c r="J62" s="514"/>
      <c r="K62" s="514"/>
      <c r="L62" s="272"/>
      <c r="M62" s="272"/>
    </row>
    <row r="63" spans="1:13" ht="16.2" thickBot="1" x14ac:dyDescent="0.35">
      <c r="A63" s="66"/>
      <c r="B63" s="472"/>
      <c r="C63" s="472"/>
      <c r="D63" s="513"/>
      <c r="E63" s="514"/>
      <c r="F63" s="514"/>
      <c r="G63" s="514"/>
      <c r="H63" s="514"/>
      <c r="I63" s="514"/>
      <c r="J63" s="514"/>
      <c r="K63" s="514"/>
      <c r="L63" s="272"/>
      <c r="M63" s="272"/>
    </row>
    <row r="64" spans="1:13" ht="16.2" thickBot="1" x14ac:dyDescent="0.35">
      <c r="A64" s="65"/>
      <c r="B64" s="472"/>
      <c r="C64" s="472"/>
      <c r="D64" s="513"/>
      <c r="E64" s="514"/>
      <c r="F64" s="514"/>
      <c r="G64" s="514"/>
      <c r="H64" s="514"/>
      <c r="I64" s="514"/>
      <c r="J64" s="514"/>
      <c r="K64" s="514"/>
      <c r="L64" s="272"/>
      <c r="M64" s="272"/>
    </row>
    <row r="65" spans="1:18" ht="16.2" thickBot="1" x14ac:dyDescent="0.35">
      <c r="A65" s="66"/>
      <c r="B65" s="472"/>
      <c r="C65" s="472"/>
      <c r="D65" s="513"/>
      <c r="E65" s="514"/>
      <c r="F65" s="514"/>
      <c r="G65" s="514"/>
      <c r="H65" s="514"/>
      <c r="I65" s="514"/>
      <c r="J65" s="514"/>
      <c r="K65" s="514"/>
      <c r="L65" s="272"/>
      <c r="M65" s="272"/>
    </row>
    <row r="66" spans="1:18" ht="16.2" thickBot="1" x14ac:dyDescent="0.35">
      <c r="A66" s="65"/>
      <c r="B66" s="472"/>
      <c r="C66" s="472"/>
      <c r="D66" s="513"/>
      <c r="E66" s="514"/>
      <c r="F66" s="514"/>
      <c r="G66" s="514"/>
      <c r="H66" s="514"/>
      <c r="I66" s="514"/>
      <c r="J66" s="514"/>
      <c r="K66" s="514"/>
      <c r="L66" s="272"/>
      <c r="M66" s="272"/>
    </row>
    <row r="67" spans="1:18" ht="16.2" thickBot="1" x14ac:dyDescent="0.35">
      <c r="A67" s="66"/>
      <c r="B67" s="472"/>
      <c r="C67" s="472"/>
      <c r="D67" s="513"/>
      <c r="E67" s="514"/>
      <c r="F67" s="514"/>
      <c r="G67" s="514"/>
      <c r="H67" s="514"/>
      <c r="I67" s="514"/>
      <c r="J67" s="514"/>
      <c r="K67" s="514"/>
      <c r="L67" s="272"/>
      <c r="M67" s="272"/>
    </row>
    <row r="68" spans="1:18" ht="16.2" thickBot="1" x14ac:dyDescent="0.35">
      <c r="A68" s="65"/>
      <c r="B68" s="472"/>
      <c r="C68" s="472"/>
      <c r="D68" s="513"/>
      <c r="E68" s="514"/>
      <c r="F68" s="514"/>
      <c r="G68" s="514"/>
      <c r="H68" s="514"/>
      <c r="I68" s="514"/>
      <c r="J68" s="514"/>
      <c r="K68" s="514"/>
      <c r="L68" s="272"/>
      <c r="M68" s="272"/>
    </row>
    <row r="69" spans="1:18" ht="16.2" thickBot="1" x14ac:dyDescent="0.35">
      <c r="A69" s="66"/>
      <c r="B69" s="472"/>
      <c r="C69" s="472"/>
      <c r="D69" s="513"/>
      <c r="E69" s="514"/>
      <c r="F69" s="514"/>
      <c r="G69" s="514"/>
      <c r="H69" s="514"/>
      <c r="I69" s="514"/>
      <c r="J69" s="514"/>
      <c r="K69" s="514"/>
      <c r="L69" s="272"/>
      <c r="M69" s="272"/>
    </row>
    <row r="70" spans="1:18" ht="16.2" thickBot="1" x14ac:dyDescent="0.35">
      <c r="A70" s="65"/>
      <c r="B70" s="472"/>
      <c r="C70" s="472"/>
      <c r="D70" s="513"/>
      <c r="E70" s="514"/>
      <c r="F70" s="514"/>
      <c r="G70" s="514"/>
      <c r="H70" s="514"/>
      <c r="I70" s="514"/>
      <c r="J70" s="514"/>
      <c r="K70" s="514"/>
      <c r="L70" s="272"/>
      <c r="M70" s="272"/>
    </row>
    <row r="71" spans="1:18" ht="16.2" thickBot="1" x14ac:dyDescent="0.35">
      <c r="A71" s="66"/>
      <c r="B71" s="472"/>
      <c r="C71" s="473"/>
      <c r="D71" s="513"/>
      <c r="E71" s="514"/>
      <c r="F71" s="514"/>
      <c r="G71" s="514"/>
      <c r="H71" s="514"/>
      <c r="I71" s="514"/>
      <c r="J71" s="514"/>
      <c r="K71" s="514"/>
      <c r="L71" s="272"/>
      <c r="M71" s="272"/>
    </row>
    <row r="72" spans="1:18" ht="16.2" thickBot="1" x14ac:dyDescent="0.35">
      <c r="A72" s="65"/>
      <c r="B72" s="474"/>
      <c r="C72" s="472"/>
      <c r="D72" s="513"/>
      <c r="E72" s="514"/>
      <c r="F72" s="514"/>
      <c r="G72" s="514"/>
      <c r="H72" s="514"/>
      <c r="I72" s="514"/>
      <c r="J72" s="514"/>
      <c r="K72" s="514"/>
      <c r="L72" s="272"/>
      <c r="M72" s="272"/>
    </row>
    <row r="73" spans="1:18" ht="16.2" thickBot="1" x14ac:dyDescent="0.35">
      <c r="A73" s="66"/>
      <c r="B73" s="474"/>
      <c r="C73" s="472"/>
      <c r="D73" s="513"/>
      <c r="E73" s="514"/>
      <c r="F73" s="514"/>
      <c r="G73" s="514"/>
      <c r="H73" s="514"/>
      <c r="I73" s="514"/>
      <c r="J73" s="514"/>
      <c r="K73" s="514"/>
      <c r="L73" s="272"/>
      <c r="M73" s="272"/>
    </row>
    <row r="74" spans="1:18" ht="16.2" thickBot="1" x14ac:dyDescent="0.35">
      <c r="A74" s="65"/>
      <c r="B74" s="474"/>
      <c r="C74" s="472"/>
      <c r="D74" s="513"/>
      <c r="E74" s="514"/>
      <c r="F74" s="514"/>
      <c r="G74" s="514"/>
      <c r="H74" s="514"/>
      <c r="I74" s="514"/>
      <c r="J74" s="514"/>
      <c r="K74" s="514"/>
      <c r="L74" s="272"/>
      <c r="M74" s="272"/>
    </row>
    <row r="75" spans="1:18" ht="15.6" x14ac:dyDescent="0.3">
      <c r="A75" s="66"/>
      <c r="B75" s="18"/>
      <c r="C75" s="18"/>
      <c r="D75" s="272"/>
      <c r="E75" s="272"/>
      <c r="F75" s="272"/>
      <c r="G75" s="272"/>
      <c r="H75" s="272"/>
      <c r="I75" s="272"/>
      <c r="J75" s="272"/>
      <c r="K75" s="272"/>
      <c r="L75" s="272"/>
      <c r="M75" s="272"/>
    </row>
    <row r="76" spans="1:18" ht="15.6" x14ac:dyDescent="0.3">
      <c r="A76" s="65">
        <v>69</v>
      </c>
      <c r="B76" s="18"/>
      <c r="C76" s="18"/>
      <c r="D76" s="272"/>
      <c r="E76" s="272"/>
      <c r="F76" s="272"/>
      <c r="G76" s="272"/>
      <c r="H76" s="272"/>
      <c r="I76" s="272"/>
      <c r="J76" s="272"/>
      <c r="K76" s="272"/>
      <c r="L76" s="272"/>
      <c r="M76" s="272"/>
    </row>
    <row r="77" spans="1:18" ht="15.6" x14ac:dyDescent="0.3">
      <c r="A77" s="66">
        <v>70</v>
      </c>
      <c r="B77" s="18"/>
      <c r="C77" s="18"/>
      <c r="D77" s="272"/>
      <c r="E77" s="272"/>
      <c r="F77" s="272"/>
      <c r="G77" s="272"/>
      <c r="H77" s="272"/>
      <c r="I77" s="272"/>
      <c r="J77" s="272"/>
      <c r="K77" s="272"/>
      <c r="L77" s="272"/>
      <c r="M77" s="272"/>
    </row>
    <row r="78" spans="1:18" ht="23.25" customHeight="1" x14ac:dyDescent="0.3">
      <c r="D78" s="420">
        <f t="shared" ref="D78:M78" si="0">AVERAGE(D11:D74)</f>
        <v>4.6578947368421053</v>
      </c>
      <c r="E78" s="420">
        <f t="shared" si="0"/>
        <v>4.6578947368421053</v>
      </c>
      <c r="F78" s="420">
        <f t="shared" si="0"/>
        <v>4.5789473684210522</v>
      </c>
      <c r="G78" s="420">
        <f t="shared" si="0"/>
        <v>4.5789473684210522</v>
      </c>
      <c r="H78" s="420">
        <f t="shared" si="0"/>
        <v>4.7105263157894735</v>
      </c>
      <c r="I78" s="420">
        <f t="shared" si="0"/>
        <v>4.7105263157894735</v>
      </c>
      <c r="J78" s="420">
        <f t="shared" si="0"/>
        <v>4.6842105263157894</v>
      </c>
      <c r="K78" s="420">
        <f t="shared" si="0"/>
        <v>4.6842105263157894</v>
      </c>
      <c r="L78" s="420" t="e">
        <f t="shared" si="0"/>
        <v>#DIV/0!</v>
      </c>
      <c r="M78" s="420" t="e">
        <f t="shared" si="0"/>
        <v>#DIV/0!</v>
      </c>
    </row>
    <row r="79" spans="1:18" ht="21.6" customHeight="1" x14ac:dyDescent="0.3">
      <c r="D79" s="67">
        <f>D78/$C$82</f>
        <v>0.93157894736842106</v>
      </c>
      <c r="E79" s="67">
        <f t="shared" ref="E79:M79" si="1">E78/$C$82</f>
        <v>0.93157894736842106</v>
      </c>
      <c r="F79" s="67">
        <f t="shared" si="1"/>
        <v>0.91578947368421049</v>
      </c>
      <c r="G79" s="67">
        <f t="shared" si="1"/>
        <v>0.91578947368421049</v>
      </c>
      <c r="H79" s="67">
        <f t="shared" si="1"/>
        <v>0.94210526315789467</v>
      </c>
      <c r="I79" s="67">
        <f t="shared" si="1"/>
        <v>0.94210526315789467</v>
      </c>
      <c r="J79" s="67">
        <f t="shared" si="1"/>
        <v>0.93684210526315792</v>
      </c>
      <c r="K79" s="67">
        <f t="shared" si="1"/>
        <v>0.93684210526315792</v>
      </c>
      <c r="L79" s="67" t="e">
        <f t="shared" si="1"/>
        <v>#DIV/0!</v>
      </c>
      <c r="M79" s="67" t="e">
        <f t="shared" si="1"/>
        <v>#DIV/0!</v>
      </c>
    </row>
    <row r="80" spans="1:18" s="41" customFormat="1" ht="15.6" x14ac:dyDescent="0.3">
      <c r="A80"/>
      <c r="B80"/>
      <c r="C80" s="241" t="s">
        <v>110</v>
      </c>
      <c r="D80" s="419">
        <f>D7</f>
        <v>1</v>
      </c>
      <c r="E80" s="419">
        <v>2</v>
      </c>
      <c r="F80" s="419">
        <v>3</v>
      </c>
      <c r="G80" s="419">
        <v>4</v>
      </c>
      <c r="H80" s="419">
        <v>5</v>
      </c>
      <c r="I80" s="419">
        <v>6</v>
      </c>
      <c r="J80" s="419">
        <v>7</v>
      </c>
      <c r="K80" s="419">
        <v>8</v>
      </c>
      <c r="L80" s="419">
        <v>9</v>
      </c>
      <c r="M80" s="419">
        <v>10</v>
      </c>
      <c r="N80"/>
      <c r="R80" s="41">
        <v>7</v>
      </c>
    </row>
    <row r="81" spans="1:14" s="444" customFormat="1" ht="15.6" x14ac:dyDescent="0.3">
      <c r="A81" s="442"/>
      <c r="B81" s="442"/>
      <c r="C81" s="442"/>
      <c r="D81" s="443">
        <f>AVERAGEIF($D$7:$M$7,"1",$D$79:$M$79)</f>
        <v>0.93157894736842106</v>
      </c>
      <c r="E81" s="443">
        <f>AVERAGEIF($D$7:$M$7,"2",$D$79:$M$79)</f>
        <v>0.91578947368421049</v>
      </c>
      <c r="F81" s="443">
        <f>AVERAGEIF($D$7:$M$7,"3",$D$79:$M$79)</f>
        <v>0.94210526315789467</v>
      </c>
      <c r="G81" s="443">
        <f>AVERAGEIF($D$7:$M$7,"4",$D$79:$M$79)</f>
        <v>0.93684210526315792</v>
      </c>
      <c r="H81" s="443" t="e">
        <f>AVERAGEIF($D$7:$M$7,"5",$D$79:$M$79)</f>
        <v>#DIV/0!</v>
      </c>
      <c r="I81" s="443" t="e">
        <f>AVERAGEIF($D$7:$M$7,"6",$D$79:$M$79)</f>
        <v>#DIV/0!</v>
      </c>
      <c r="J81" s="443" t="e">
        <f>AVERAGEIF($D$7:$M$7,"7",$D$79:$M$79)</f>
        <v>#DIV/0!</v>
      </c>
      <c r="K81" s="443" t="e">
        <f>AVERAGEIF($D$7:$M$7,"8",$D$79:$M$79)</f>
        <v>#DIV/0!</v>
      </c>
      <c r="L81" s="443" t="e">
        <f>AVERAGEIF($D$7:$M$7,"9",$D$79:$M$79)</f>
        <v>#DIV/0!</v>
      </c>
      <c r="M81" s="443" t="e">
        <f>AVERAGEIF($D$7:$M$7,"10",$D$79:$M$79)</f>
        <v>#DIV/0!</v>
      </c>
      <c r="N81" s="442"/>
    </row>
    <row r="82" spans="1:14" ht="15.6" customHeight="1" x14ac:dyDescent="0.3">
      <c r="A82" s="631" t="s">
        <v>291</v>
      </c>
      <c r="B82" s="631"/>
      <c r="C82" s="421">
        <v>5</v>
      </c>
    </row>
    <row r="83" spans="1:14" ht="18" x14ac:dyDescent="0.35">
      <c r="A83" s="445"/>
      <c r="D83" s="438">
        <v>5</v>
      </c>
      <c r="E83" s="438">
        <v>4</v>
      </c>
      <c r="F83" s="439">
        <v>3</v>
      </c>
      <c r="G83" s="439">
        <v>2</v>
      </c>
      <c r="H83" s="439">
        <v>1</v>
      </c>
      <c r="I83" s="68" t="s">
        <v>89</v>
      </c>
      <c r="J83" s="440" t="s">
        <v>90</v>
      </c>
    </row>
    <row r="84" spans="1:14" x14ac:dyDescent="0.3">
      <c r="C84" s="69" t="s">
        <v>64</v>
      </c>
      <c r="D84" s="441">
        <f>ROUND((IF(D$7=1, COUNTIF(D$8:D$77, 5), 0)+IF(E$7=1, COUNTIF(E$8:E$77, 5), 0)+IF(F$7=1, COUNTIF(F$8:F$77, 5), 0)+IF(G$7=1, COUNTIF(G$8:G$77, 5), 0)+IF(H$7=1, COUNTIF(H$8:H$77, 5), 0)+IF(I$7=1, COUNTIF(I$8:I$77, 5), 0)+IF(J$7=1, COUNTIF(J$8:J$77, 5), 0)+IF(K$7=1, COUNTIF(K$8:K$77, 5), 0)+IF(L$7=1, COUNTIF(L$8:L$77, 5), 0)+IF(M$7=1, COUNTIF(M$8:M$77, 5), 0))/COUNTIF(D$7:M$7,"=1"),0)</f>
        <v>27</v>
      </c>
      <c r="E84" s="48">
        <f>ROUND((IF(D$7=1, COUNTIF(D$8:D$77,4), 0)+IF(E$7=1, COUNTIF(E$8:E$77, 4), 0)+IF(F$7=1, COUNTIF(F$8:F$77,4), 0)+IF(G$7=1, COUNTIF(G$8:G$77, 4), 0)+IF(H$7=1, COUNTIF(H$8:H$77, 4), 0)+IF(I$7=1, COUNTIF(I$8:I$77, 4), 0)+IF(J$7=1, COUNTIF(J$8:J$77, 4), 0)+IF(K$7=1, COUNTIF(K$8:K$77, 4), 0)+IF(L$7=1, COUNTIF(L$8:L$77, 4), 0)+IF(M$7=1, COUNTIF(M$8:M$77, 4), 0))/COUNTIF(D$7:M$7,"=1"),0)</f>
        <v>14</v>
      </c>
      <c r="F84" s="441">
        <f>ROUND((IF(D$7=1, COUNTIF(D$8:D$77, 3), 0)+IF(E$7=1, COUNTIF(E$8:E$77, 3), 0)+IF(F$7=1, COUNTIF(F$8:F$77, 3), 0)+IF(G$7=1, COUNTIF(G$8:G$77, 3), 0)+IF(H$7=1, COUNTIF(H$8:H$77, 3), 0)+IF(I$7=1, COUNTIF(I$8:I$77, 3), 0)+IF(J$7=1, COUNTIF(J$8:J$77, 3), 0)+IF(K$7=1, COUNTIF(K$8:K$77, 3), 0)+IF(L$7=1, COUNTIF(L$8:L$77, 3), 0)+IF(M$7=1, COUNTIF(M$8:M$77, 3), 0))/COUNTIF(D$7:M$7,"=1"),0)</f>
        <v>0</v>
      </c>
      <c r="G84" s="441">
        <f>ROUND((IF(D$7=1,COUNTIF(D$8:D$77,2),0)+IF(E$7=1,COUNTIF(E$8:E$77,2),0)+IF(F$7=1,COUNTIF(F$8:F$77,2),0)+IF(G$7=1,COUNTIF(G$8:G$77,2),0)+IF(H$7=1,COUNTIF(H$8:H$77,2),0)+IF(I$7=1,COUNTIF(I$8:I$77,2),0)+IF(J$7=1,COUNTIF(J$8:J$77,2),0)+IF(K$7=1,COUNTIF(K$8:K$77,2),0)+IF(L$7=1,COUNTIF(L$8:L$77,2),0)+IF(M$7=1,COUNTIF(M$8:M$77,2),0))/COUNTIF(D$7:M$7,"=1"),0)</f>
        <v>0</v>
      </c>
      <c r="H84" s="441">
        <f>ROUND((IF(D$7=1, COUNTIF(D$8:D$77, 1), 0)+IF(E$7=1, COUNTIF(E$8:E$77,1), 0)+IF(F$7=1, COUNTIF(F$8:F$77,1), 0)+IF(G$7=1, COUNTIF(G$8:G$77,1), 0)+IF(H$7=1, COUNTIF(H$8:H$77, 1), 0)+IF(I$7=1, COUNTIF(I$8:I$77,1), 0)+IF(J$7=1, COUNTIF(J$8:J$77,1), 0)+IF(K$7=1, COUNTIF(K$8:K$77,1), 0)+IF(L$7=1, COUNTIF(L$8:L$77,1), 0)+IF(M$7=1, COUNTIF(M$8:M$77,1), 0))/COUNTIF(D$7:M$7,"=1"),0)</f>
        <v>0</v>
      </c>
      <c r="I84" s="446">
        <f>(((D84*D$83)+(E84*E$83)+(F84*F$83)+(G84*G$83)+(H84*H$83))/SUM(D84:H84))</f>
        <v>4.6585365853658534</v>
      </c>
      <c r="J84" s="446">
        <f>I84*3/C$82</f>
        <v>2.795121951219512</v>
      </c>
      <c r="K84" s="70">
        <f>J84/$C$82</f>
        <v>0.55902439024390238</v>
      </c>
    </row>
    <row r="85" spans="1:14" x14ac:dyDescent="0.3">
      <c r="C85" s="69" t="s">
        <v>65</v>
      </c>
      <c r="D85" s="441">
        <f>ROUND((IF(D$7=2, COUNTIF(D$8:D$77, 5), 0)+IF(E$7=2, COUNTIF(E$8:E$77, 5), 0)+IF(F$7=2, COUNTIF(F$8:F$77, 5), 0)+IF(G$7=2, COUNTIF(G$8:G$77, 5), 0)+IF(H$7=2, COUNTIF(H$8:H$77, 5), 0)+IF(I$7=2, COUNTIF(I$8:I$77, 5), 0)+IF(J$7=2, COUNTIF(J$8:J$77, 5), 0)+IF(K$7=2, COUNTIF(K$8:K$77, 5), 0)+IF(L$7=2, COUNTIF(L$8:L$77, 5), 0)+IF(M$7=2, COUNTIF(M$8:M$77, 5), 0))/COUNTIF(D$7:M$7,"=2"),0)</f>
        <v>25</v>
      </c>
      <c r="E85" s="48">
        <f>ROUND((IF(D$7=2, COUNTIF(D$8:D$77,4), 0)+IF(E$7=2, COUNTIF(E$8:E$77, 4), 0)+IF(F$7=2, COUNTIF(F$8:F$77,4), 0)+IF(G$7=2, COUNTIF(G$8:G$77, 4), 0)+IF(H$7=2, COUNTIF(H$8:H$77, 4), 0)+IF(I$7=2, COUNTIF(I$8:I$77, 4), 0)+IF(J$7=2, COUNTIF(J$8:J$77, 4), 0)+IF(K$7=2, COUNTIF(K$8:K$77, 4), 0)+IF(L$7=2, COUNTIF(L$8:L$77, 4), 0)+IF(M$7=2, COUNTIF(M$8:M$77, 4), 0))/COUNTIF(D$7:M$7,"=2"),0)</f>
        <v>16</v>
      </c>
      <c r="F85" s="441">
        <f>ROUND((IF(D$7=2, COUNTIF(D$8:D$77, 3), 0)+IF(E$7=2, COUNTIF(E$8:E$77, 3), 0)+IF(F$7=2, COUNTIF(F$8:F$77, 3), 0)+IF(G$7=2, COUNTIF(G$8:G$77, 3), 0)+IF(H$7=2, COUNTIF(H$8:H$77, 3), 0)+IF(I$7=2, COUNTIF(I$8:I$77, 3), 0)+IF(J$7=2, COUNTIF(J$8:J$77, 3), 0)+IF(K$7=2, COUNTIF(K$8:K$77, 3), 0)+IF(L$7=2, COUNTIF(L$8:L$77, 3), 0)+IF(M$7=2, COUNTIF(M$8:M$77, 3), 0))/COUNTIF(D$7:M$7,"=2"),0)</f>
        <v>0</v>
      </c>
      <c r="G85" s="441">
        <f>ROUND((IF(D$7=2,COUNTIF(D$8:D$77,2),0)+IF(E$7=2,COUNTIF(E$8:E$77,2),0)+IF(F$7=2,COUNTIF(F$8:F$77,2),0)+IF(G$7=2,COUNTIF(G$8:G$77,2),0)+IF(H$7=2,COUNTIF(H$8:H$77,2),0)+IF(I$7=2,COUNTIF(I$8:I$77,2),0)+IF(J$7=2,COUNTIF(J$8:J$77,2),0)+IF(K$7=2,COUNTIF(K$8:K$77,2),0)+IF(L$7=2,COUNTIF(L$8:L$77,2),0)+IF(M$7=2,COUNTIF(M$8:M$77,2),0))/COUNTIF(D$7:M$7,"=2"),0)</f>
        <v>0</v>
      </c>
      <c r="H85" s="441">
        <f>ROUND((IF(D$7=2, COUNTIF(D$8:D$77, 1), 0)+IF(E$7=2, COUNTIF(E$8:E$77,1), 0)+IF(F$7=2, COUNTIF(F$8:F$77,1), 0)+IF(G$7=2, COUNTIF(G$8:G$77,1), 0)+IF(H$7=2, COUNTIF(H$8:H$77, 1), 0)+IF(I$7=2, COUNTIF(I$8:I$77,1), 0)+IF(J$7=2, COUNTIF(J$8:J$77,1), 0)+IF(K$7=2, COUNTIF(K$8:K$77,1), 0)+IF(L$7=2, COUNTIF(L$8:L$77,1), 0)+IF(M$7=2, COUNTIF(M$8:M$77,1), 0))/COUNTIF(D$7:M$7,"=2"),0)</f>
        <v>0</v>
      </c>
      <c r="I85" s="446">
        <f t="shared" ref="I85:I89" si="2">(((D85*D$83)+(E85*E$83)+(F85*F$83)+(G85*G$83)+(H85*H$83))/SUM(D85:H85))</f>
        <v>4.6097560975609753</v>
      </c>
      <c r="J85" s="446">
        <f t="shared" ref="J85:J89" si="3">I85*3/C$82</f>
        <v>2.7658536585365852</v>
      </c>
      <c r="K85" s="70">
        <f t="shared" ref="K85:K89" si="4">J85/$C$82</f>
        <v>0.55317073170731701</v>
      </c>
    </row>
    <row r="86" spans="1:14" x14ac:dyDescent="0.3">
      <c r="C86" s="69" t="s">
        <v>66</v>
      </c>
      <c r="D86" s="441">
        <f>ROUND((IF(D$7=3, COUNTIF(D$8:D$77, 5), 0)+IF(E$7=3, COUNTIF(E$8:E$77, 5), 0)+IF(F$7=3, COUNTIF(F$8:F$77, 5), 0)+IF(G$7=3, COUNTIF(G$8:G$77, 5), 0)+IF(H$7=3, COUNTIF(H$8:H$77, 5), 0)+IF(I$7=3, COUNTIF(I$8:I$77, 5), 0)+IF(J$7=3, COUNTIF(J$8:J$77, 5), 0)+IF(K$7=3, COUNTIF(K$8:K$77, 5), 0)+IF(L$7=3, COUNTIF(L$8:L$77, 5), 0)+IF(M$7=3, COUNTIF(M$8:M$77, 5), 0))/COUNTIF(D$7:M$7,"=3"),0)</f>
        <v>29</v>
      </c>
      <c r="E86" s="48">
        <f>ROUND((IF(D$7=3, COUNTIF(D$8:D$77,4), 0)+IF(E$7=3, COUNTIF(E$8:E$77, 4), 0)+IF(F$7=3, COUNTIF(F$8:F$77,4), 0)+IF(G$7=3, COUNTIF(G$8:G$77, 4), 0)+IF(H$7=3, COUNTIF(H$8:H$77, 4), 0)+IF(I$7=3, COUNTIF(I$8:I$77, 4), 0)+IF(J$7=3, COUNTIF(J$8:J$77, 4), 0)+IF(K$7=3, COUNTIF(K$8:K$77, 4), 0)+IF(L$7=3, COUNTIF(L$8:L$77, 4), 0)+IF(M$7=3, COUNTIF(M$8:M$77, 4), 0))/COUNTIF(D$7:M$7,"=3"),0)</f>
        <v>12</v>
      </c>
      <c r="F86" s="441">
        <f>ROUND((IF(D$7=3, COUNTIF(D$8:D$77, 3), 0)+IF(E$7=3, COUNTIF(E$8:E$77, 3), 0)+IF(F$7=3, COUNTIF(F$8:F$77, 3), 0)+IF(G$7=3, COUNTIF(G$8:G$77, 3), 0)+IF(H$7=3, COUNTIF(H$8:H$77, 3), 0)+IF(I$7=3, COUNTIF(I$8:I$77, 3), 0)+IF(J$7=3, COUNTIF(J$8:J$77, 3), 0)+IF(K$7=3, COUNTIF(K$8:K$77, 3), 0)+IF(L$7=3, COUNTIF(L$8:L$77, 3), 0)+IF(M$7=3, COUNTIF(M$8:M$77, 3), 0))/COUNTIF(D$7:M$7,"=3"),0)</f>
        <v>0</v>
      </c>
      <c r="G86" s="441">
        <f>ROUND((IF(D$7=3,COUNTIF(D$8:D$77,2),0)+IF(E$7=3,COUNTIF(E$8:E$77,2),0)+IF(F$7=3,COUNTIF(F$8:F$77,2),0)+IF(G$7=3,COUNTIF(G$8:G$77,2),0)+IF(H$7=3,COUNTIF(H$8:H$77,2),0)+IF(I$7=3,COUNTIF(I$8:I$77,2),0)+IF(J$7=3,COUNTIF(J$8:J$77,2),0)+IF(K$7=3,COUNTIF(K$8:K$77,2),0)+IF(L$7=3,COUNTIF(L$8:L$77,2),0)+IF(M$7=3,COUNTIF(M$8:M$77,2),0))/COUNTIF(D$7:M$7,"=3"),0)</f>
        <v>0</v>
      </c>
      <c r="H86" s="441">
        <f>ROUND((IF(D$7=3, COUNTIF(D$8:D$77, 1), 0)+IF(E$7=3, COUNTIF(E$8:E$77,1), 0)+IF(F$7=3, COUNTIF(F$8:F$77,1), 0)+IF(G$7=3, COUNTIF(G$8:G$77,1), 0)+IF(H$7=3, COUNTIF(H$8:H$77, 1), 0)+IF(I$7=3, COUNTIF(I$8:I$77,1), 0)+IF(J$7=3, COUNTIF(J$8:J$77,1), 0)+IF(K$7=3, COUNTIF(K$8:K$77,1), 0)+IF(L$7=3, COUNTIF(L$8:L$77,1), 0)+IF(M$7=3, COUNTIF(M$8:M$77,1), 0))/COUNTIF(D$7:M$7,"=3"),0)</f>
        <v>0</v>
      </c>
      <c r="I86" s="446">
        <f t="shared" si="2"/>
        <v>4.7073170731707314</v>
      </c>
      <c r="J86" s="446">
        <f t="shared" si="3"/>
        <v>2.8243902439024389</v>
      </c>
      <c r="K86" s="70">
        <f t="shared" si="4"/>
        <v>0.56487804878048775</v>
      </c>
    </row>
    <row r="87" spans="1:14" x14ac:dyDescent="0.3">
      <c r="C87" s="69" t="s">
        <v>67</v>
      </c>
      <c r="D87" s="441">
        <f>ROUND((IF(D$7=4, COUNTIF(D$8:D$77, 5), 0)+IF(E$7=4, COUNTIF(E$8:E$77, 5), 0)+IF(F$7=4, COUNTIF(F$8:F$77, 5), 0)+IF(G$7=4, COUNTIF(G$8:G$77, 5), 0)+IF(H$7=4, COUNTIF(H$8:H$77, 5), 0)+IF(I$7=4, COUNTIF(I$8:I$77, 5), 0)+IF(J$7=4, COUNTIF(J$8:J$77, 5), 0)+IF(K$7=4, COUNTIF(K$8:K$77, 5), 0)+IF(L$7=4, COUNTIF(L$8:L$77, 5), 0)+IF(M$7=4, COUNTIF(M$8:M$77, 5), 0))/COUNTIF(D$7:M$7,"=4"),0)</f>
        <v>29</v>
      </c>
      <c r="E87" s="48">
        <f>ROUND((IF(D$7=4, COUNTIF(D$8:D$77,4), 0)+IF(E$7=4, COUNTIF(E$8:E$77, 4), 0)+IF(F$7=4, COUNTIF(F$8:F$77,4), 0)+IF(G$7=4, COUNTIF(G$8:G$77, 4), 0)+IF(H$7=4, COUNTIF(H$8:H$77, 4), 0)+IF(I$7=4, COUNTIF(I$8:I$77, 4), 0)+IF(J$7=4, COUNTIF(J$8:J$77, 4), 0)+IF(K$7=4, COUNTIF(K$8:K$77, 4), 0)+IF(L$7=4, COUNTIF(L$8:L$77, 4), 0)+IF(M$7=4, COUNTIF(M$8:M$77, 4), 0))/COUNTIF(D$7:M$7,"=4"),0)</f>
        <v>12</v>
      </c>
      <c r="F87" s="441">
        <f>ROUND((IF(D$7=4, COUNTIF(D$8:D$77, 3), 0)+IF(E$7=4, COUNTIF(E$8:E$77, 3), 0)+IF(F$7=4, COUNTIF(F$8:F$77, 3), 0)+IF(G$7=4, COUNTIF(G$8:G$77, 3), 0)+IF(H$7=4, COUNTIF(H$8:H$77, 3), 0)+IF(I$7=4, COUNTIF(I$8:I$77, 3), 0)+IF(J$7=4, COUNTIF(J$8:J$77, 3), 0)+IF(K$7=4, COUNTIF(K$8:K$77, 3), 0)+IF(L$7=4, COUNTIF(L$8:L$77, 3), 0)+IF(M$7=4, COUNTIF(M$8:M$77, 3), 0))/COUNTIF(D$7:M$7,"=4"),0)</f>
        <v>0</v>
      </c>
      <c r="G87" s="441">
        <f>ROUND((IF(D$7=4,COUNTIF(D$8:D$77,2),0)+IF(E$7=4,COUNTIF(E$8:E$77,2),0)+IF(F$7=4,COUNTIF(F$8:F$77,2),0)+IF(G$7=4,COUNTIF(G$8:G$77,2),0)+IF(H$7=4,COUNTIF(H$8:H$77,2),0)+IF(I$7=4,COUNTIF(I$8:I$77,2),0)+IF(J$7=4,COUNTIF(J$8:J$77,2),0)+IF(K$7=4,COUNTIF(K$8:K$77,2),0)+IF(L$7=4,COUNTIF(L$8:L$77,2),0)+IF(M$7=4,COUNTIF(M$8:M$77,2),0))/COUNTIF(D$7:M$7,"=4"),0)</f>
        <v>0</v>
      </c>
      <c r="H87" s="441">
        <f>ROUND((IF(D$7=4, COUNTIF(D$8:D$77, 1), 0)+IF(E$7=4, COUNTIF(E$8:E$77,1), 0)+IF(F$7=4, COUNTIF(F$8:F$77,1), 0)+IF(G$7=4, COUNTIF(G$8:G$77,1), 0)+IF(H$7=4, COUNTIF(H$8:H$77, 1), 0)+IF(I$7=4, COUNTIF(I$8:I$77,1), 0)+IF(J$7=4, COUNTIF(J$8:J$77,1), 0)+IF(K$7=4, COUNTIF(K$8:K$77,1), 0)+IF(L$7=4, COUNTIF(L$8:L$77,1), 0)+IF(M$7=4, COUNTIF(M$8:M$77,1), 0))/COUNTIF(D$7:M$7,"=4"),0)</f>
        <v>0</v>
      </c>
      <c r="I87" s="446">
        <f t="shared" si="2"/>
        <v>4.7073170731707314</v>
      </c>
      <c r="J87" s="446">
        <f t="shared" si="3"/>
        <v>2.8243902439024389</v>
      </c>
      <c r="K87" s="70">
        <f t="shared" si="4"/>
        <v>0.56487804878048775</v>
      </c>
    </row>
    <row r="88" spans="1:14" x14ac:dyDescent="0.3">
      <c r="C88" s="69" t="s">
        <v>68</v>
      </c>
      <c r="D88" s="441">
        <f>ROUND((IF(D$7=5, COUNTIF(D$8:D$77, 5), 0)+IF(E$7=5, COUNTIF(E$8:E$77, 5), 0)+IF(F$7=5, COUNTIF(F$8:F$77, 5), 0)+IF(G$7=5, COUNTIF(G$8:G$77, 5), 0)+IF(H$7=5, COUNTIF(H$8:H$77, 5), 0)+IF(I$7=5, COUNTIF(I$8:I$77, 5), 0)+IF(J$7=5, COUNTIF(J$8:J$77, 5), 0)+IF(K$7=5, COUNTIF(K$8:K$77, 5), 0)+IF(L$7=5, COUNTIF(L$8:L$77, 5), 0)+IF(M$7=5, COUNTIF(M$8:M$77, 5), 0))/COUNTIF(D$7:M$7,"=5"),0)</f>
        <v>0</v>
      </c>
      <c r="E88" s="48">
        <f>ROUND((IF(D$7=5, COUNTIF(D$8:D$77,4), 0)+IF(E$7=5, COUNTIF(E$8:E$77, 4), 0)+IF(F$7=5, COUNTIF(F$8:F$77,4), 0)+IF(G$7=5, COUNTIF(G$8:G$77, 4), 0)+IF(H$7=5, COUNTIF(H$8:H$77, 4), 0)+IF(I$7=5, COUNTIF(I$8:I$77, 4), 0)+IF(J$7=5, COUNTIF(J$8:J$77, 4), 0)+IF(K$7=5, COUNTIF(K$8:K$77, 4), 0)+IF(L$7=5, COUNTIF(L$8:L$77, 4), 0)+IF(M$7=5, COUNTIF(M$8:M$77, 4), 0))/COUNTIF(D$7:M$7,"=5"),0)</f>
        <v>0</v>
      </c>
      <c r="F88" s="441">
        <f>ROUND((IF(D$7=5, COUNTIF(D$8:D$77, 3), 0)+IF(E$7=5, COUNTIF(E$8:E$77, 3), 0)+IF(F$7=5, COUNTIF(F$8:F$77, 3), 0)+IF(G$7=5, COUNTIF(G$8:G$77, 3), 0)+IF(H$7=5, COUNTIF(H$8:H$77, 3), 0)+IF(I$7=5, COUNTIF(I$8:I$77, 3), 0)+IF(J$7=5, COUNTIF(J$8:J$77, 3), 0)+IF(K$7=5, COUNTIF(K$8:K$77, 3), 0)+IF(L$7=5, COUNTIF(L$8:L$77, 3), 0)+IF(M$7=5, COUNTIF(M$8:M$77, 3), 0))/COUNTIF(D$7:M$7,"=5"),0)</f>
        <v>0</v>
      </c>
      <c r="G88" s="441">
        <f>ROUND((IF(D$7=5,COUNTIF(D$8:D$77,2),0)+IF(E$7=5,COUNTIF(E$8:E$77,2),0)+IF(F$7=5,COUNTIF(F$8:F$77,2),0)+IF(G$7=5,COUNTIF(G$8:G$77,2),0)+IF(H$7=5,COUNTIF(H$8:H$77,2),0)+IF(I$7=5,COUNTIF(I$8:I$77,2),0)+IF(J$7=5,COUNTIF(J$8:J$77,2),0)+IF(K$7=5,COUNTIF(K$8:K$77,2),0)+IF(L$7=5,COUNTIF(L$8:L$77,2),0)+IF(M$7=5,COUNTIF(M$8:M$77,2),0))/COUNTIF(D$7:M$7,"=5"),0)</f>
        <v>0</v>
      </c>
      <c r="H88" s="441">
        <f>ROUND((IF(D$7=5, COUNTIF(D$8:D$77, 1), 0)+IF(E$7=5, COUNTIF(E$8:E$77,1), 0)+IF(F$7=5, COUNTIF(F$8:F$77,1), 0)+IF(G$7=5, COUNTIF(G$8:G$77,1), 0)+IF(H$7=5, COUNTIF(H$8:H$77, 1), 0)+IF(I$7=5, COUNTIF(I$8:I$77,1), 0)+IF(J$7=5, COUNTIF(J$8:J$77,1), 0)+IF(K$7=5, COUNTIF(K$8:K$77,1), 0)+IF(L$7=5, COUNTIF(L$8:L$77,1), 0)+IF(M$7=5, COUNTIF(M$8:M$77,1), 0))/COUNTIF(D$7:M$7,"=5"),0)</f>
        <v>0</v>
      </c>
      <c r="I88" s="446" t="e">
        <f t="shared" si="2"/>
        <v>#DIV/0!</v>
      </c>
      <c r="J88" s="446" t="e">
        <f t="shared" si="3"/>
        <v>#DIV/0!</v>
      </c>
      <c r="K88" s="70" t="e">
        <f t="shared" si="4"/>
        <v>#DIV/0!</v>
      </c>
    </row>
    <row r="89" spans="1:14" x14ac:dyDescent="0.3">
      <c r="C89" s="69" t="s">
        <v>69</v>
      </c>
      <c r="D89" s="441" t="e">
        <f>ROUND((IF(D$7=6, COUNTIF(D$8:D$77, 5), 0)+IF(E$7=6, COUNTIF(E$8:E$77, 5), 0)+IF(F$7=6, COUNTIF(F$8:F$77, 5), 0)+IF(G$7=6, COUNTIF(G$8:G$77, 5), 0)+IF(H$7=6, COUNTIF(H$8:H$77, 5), 0)+IF(I$7=6, COUNTIF(I$8:I$77, 5), 0)+IF(J$7=6, COUNTIF(J$8:J$77, 5), 0)+IF(K$7=6, COUNTIF(K$8:K$77, 5), 0)+IF(L$7=6, COUNTIF(L$8:L$77, 5), 0)+IF(M$7=6, COUNTIF(M$8:M$77, 5), 0))/COUNTIF(D$7:M$7,"=6"),0)</f>
        <v>#DIV/0!</v>
      </c>
      <c r="E89" s="441" t="e">
        <f>ROUND((IF(E$7=6, COUNTIF(E$8:E$77, 4), 0)+IF(F$7=6, COUNTIF(F$8:F$77,4), 0)+IF(G$7=6, COUNTIF(G$8:G$77,4), 0)+IF(H$7=6, COUNTIF(H$8:H$77,4), 0)+IF(I$7=6, COUNTIF(I$8:I$77,4), 0)+IF(J$7=6, COUNTIF(J$8:J$77, 4), 0)+IF(K$7=6, COUNTIF(K$8:K$77, 4), 0)+IF(L$7=6, COUNTIF(L$8:L$77, 4), 0)+IF(M$7=6, COUNTIF(M$8:M$77, 4), 0)+IF(N$7=6, COUNTIF(N$8:N$77, 4), 0))/COUNTIF(E$7:N$7,"=6"),0)</f>
        <v>#DIV/0!</v>
      </c>
      <c r="F89" s="441" t="e">
        <f>ROUND((IF(F$7=6, COUNTIF(F$8:F$77, 3), 0)+IF(G$7=6, COUNTIF(G$8:G$77, 3), 0)+IF(H$7=6, COUNTIF(H$8:H$77, 3), 0)+IF(I$7=6, COUNTIF(I$8:I$77, 3), 0)+IF(J$7=6, COUNTIF(J$8:J$77, 3), 0)+IF(K$7=6, COUNTIF(K$8:K$77, 3), 0)+IF(L$7=6, COUNTIF(L$8:L$77, 3), 0)+IF(M$7=6, COUNTIF(M$8:M$77, 3), 0)+IF(N$7=6, COUNTIF(N$8:N$77, 3), 0)+IF(O$7=6, COUNTIF(O$8:O$77, 3), 0))/COUNTIF(F$7:O$7,"=6"),0)</f>
        <v>#DIV/0!</v>
      </c>
      <c r="G89" s="441" t="e">
        <f>ROUND((IF(G$7=6, COUNTIF(G$8:G$77, 2), 0)+IF(H$7=6, COUNTIF(H$8:H$77, 2), 0)+IF(I$7=6, COUNTIF(I$8:I$77, 2), 0)+IF(J$7=6, COUNTIF(J$8:J$77, 2), 0)+IF(K$7=6, COUNTIF(K$8:K$77, 2), 0)+IF(L$7=6, COUNTIF(L$8:L$77, 2), 0)+IF(M$7=6, COUNTIF(M$8:M$77, 2), 0)+IF(N$7=6, COUNTIF(N$8:N$77, 2), 0)+IF(O$7=6, COUNTIF(O$8:O$77, 2), 0)+IF(P$7=6, COUNTIF(P$8:P$77, 2), 0))/COUNTIF(G$7:P$7,"=6"),0)</f>
        <v>#DIV/0!</v>
      </c>
      <c r="H89" s="441" t="e">
        <f>ROUND((IF(H$7=6, COUNTIF(H$8:H$77, 1), 0)+IF(I$7=6, COUNTIF(I$8:I$77, 1), 0)+IF(J$7=6, COUNTIF(J$8:J$77, 1), 0)+IF(K$7=6, COUNTIF(K$8:K$77, 1), 0)+IF(L$7=6, COUNTIF(L$8:L$77, 1), 0)+IF(M$7=6, COUNTIF(M$8:M$77, 1), 0)+IF(N$7=6, COUNTIF(N$8:N$77, 1), 0)+IF(O$7=6, COUNTIF(O$8:O$77,1), 0)+IF(P$7=6, COUNTIF(P$8:P$77, 1), 0)+IF(Q$7=6, COUNTIF(Q$8:Q$77, 1), 0))/COUNTIF(H$7:Q$7,"=6"),0)</f>
        <v>#DIV/0!</v>
      </c>
      <c r="I89" s="446" t="e">
        <f t="shared" si="2"/>
        <v>#DIV/0!</v>
      </c>
      <c r="J89" s="446" t="e">
        <f t="shared" si="3"/>
        <v>#DIV/0!</v>
      </c>
      <c r="K89" s="70" t="e">
        <f t="shared" si="4"/>
        <v>#DIV/0!</v>
      </c>
    </row>
    <row r="91" spans="1:14" x14ac:dyDescent="0.3">
      <c r="F91" s="214"/>
      <c r="G91" s="214"/>
      <c r="H91" s="214"/>
    </row>
    <row r="92" spans="1:14" x14ac:dyDescent="0.3">
      <c r="F92" s="214"/>
      <c r="G92" s="214"/>
      <c r="H92" s="214"/>
    </row>
    <row r="93" spans="1:14" x14ac:dyDescent="0.3">
      <c r="F93" s="214"/>
      <c r="G93" s="214"/>
      <c r="H93" s="214"/>
    </row>
    <row r="94" spans="1:14" x14ac:dyDescent="0.3">
      <c r="F94" s="214"/>
      <c r="G94" s="214"/>
      <c r="H94" s="214"/>
    </row>
    <row r="95" spans="1:14" x14ac:dyDescent="0.3">
      <c r="F95" s="214"/>
      <c r="G95" s="214"/>
      <c r="H95" s="214"/>
    </row>
    <row r="96" spans="1:14" x14ac:dyDescent="0.3">
      <c r="F96" s="214"/>
      <c r="G96" s="214"/>
      <c r="H96" s="214"/>
    </row>
    <row r="98" spans="6:6" x14ac:dyDescent="0.3">
      <c r="F98" s="214"/>
    </row>
  </sheetData>
  <mergeCells count="7">
    <mergeCell ref="A82:B82"/>
    <mergeCell ref="A1:M1"/>
    <mergeCell ref="A2:B2"/>
    <mergeCell ref="D2:M2"/>
    <mergeCell ref="A3:B3"/>
    <mergeCell ref="D3:M3"/>
    <mergeCell ref="A4:M4"/>
  </mergeCells>
  <phoneticPr fontId="7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E85"/>
  <sheetViews>
    <sheetView workbookViewId="0">
      <selection activeCell="F10" sqref="F10"/>
    </sheetView>
  </sheetViews>
  <sheetFormatPr defaultColWidth="9" defaultRowHeight="14.4" x14ac:dyDescent="0.3"/>
  <cols>
    <col min="1" max="1" width="6.6640625" customWidth="1"/>
    <col min="2" max="2" width="12.33203125" customWidth="1"/>
    <col min="3" max="3" width="29.33203125" customWidth="1"/>
    <col min="4" max="5" width="4.33203125" customWidth="1"/>
    <col min="6" max="6" width="4.6640625" customWidth="1"/>
    <col min="7" max="7" width="4.5546875" customWidth="1"/>
    <col min="8" max="8" width="4.88671875" customWidth="1"/>
    <col min="9" max="83" width="3.88671875" customWidth="1"/>
    <col min="257" max="257" width="6.6640625" customWidth="1"/>
    <col min="258" max="258" width="12.33203125" customWidth="1"/>
    <col min="259" max="259" width="29.33203125" customWidth="1"/>
    <col min="260" max="261" width="4.33203125" customWidth="1"/>
    <col min="262" max="262" width="4.6640625" customWidth="1"/>
    <col min="263" max="263" width="4.5546875" customWidth="1"/>
    <col min="264" max="264" width="4.88671875" customWidth="1"/>
    <col min="265" max="339" width="3.88671875" customWidth="1"/>
    <col min="513" max="513" width="6.6640625" customWidth="1"/>
    <col min="514" max="514" width="12.33203125" customWidth="1"/>
    <col min="515" max="515" width="29.33203125" customWidth="1"/>
    <col min="516" max="517" width="4.33203125" customWidth="1"/>
    <col min="518" max="518" width="4.6640625" customWidth="1"/>
    <col min="519" max="519" width="4.5546875" customWidth="1"/>
    <col min="520" max="520" width="4.88671875" customWidth="1"/>
    <col min="521" max="595" width="3.88671875" customWidth="1"/>
    <col min="769" max="769" width="6.6640625" customWidth="1"/>
    <col min="770" max="770" width="12.33203125" customWidth="1"/>
    <col min="771" max="771" width="29.33203125" customWidth="1"/>
    <col min="772" max="773" width="4.33203125" customWidth="1"/>
    <col min="774" max="774" width="4.6640625" customWidth="1"/>
    <col min="775" max="775" width="4.5546875" customWidth="1"/>
    <col min="776" max="776" width="4.88671875" customWidth="1"/>
    <col min="777" max="851" width="3.88671875" customWidth="1"/>
    <col min="1025" max="1025" width="6.6640625" customWidth="1"/>
    <col min="1026" max="1026" width="12.33203125" customWidth="1"/>
    <col min="1027" max="1027" width="29.33203125" customWidth="1"/>
    <col min="1028" max="1029" width="4.33203125" customWidth="1"/>
    <col min="1030" max="1030" width="4.6640625" customWidth="1"/>
    <col min="1031" max="1031" width="4.5546875" customWidth="1"/>
    <col min="1032" max="1032" width="4.88671875" customWidth="1"/>
    <col min="1033" max="1107" width="3.88671875" customWidth="1"/>
    <col min="1281" max="1281" width="6.6640625" customWidth="1"/>
    <col min="1282" max="1282" width="12.33203125" customWidth="1"/>
    <col min="1283" max="1283" width="29.33203125" customWidth="1"/>
    <col min="1284" max="1285" width="4.33203125" customWidth="1"/>
    <col min="1286" max="1286" width="4.6640625" customWidth="1"/>
    <col min="1287" max="1287" width="4.5546875" customWidth="1"/>
    <col min="1288" max="1288" width="4.88671875" customWidth="1"/>
    <col min="1289" max="1363" width="3.88671875" customWidth="1"/>
    <col min="1537" max="1537" width="6.6640625" customWidth="1"/>
    <col min="1538" max="1538" width="12.33203125" customWidth="1"/>
    <col min="1539" max="1539" width="29.33203125" customWidth="1"/>
    <col min="1540" max="1541" width="4.33203125" customWidth="1"/>
    <col min="1542" max="1542" width="4.6640625" customWidth="1"/>
    <col min="1543" max="1543" width="4.5546875" customWidth="1"/>
    <col min="1544" max="1544" width="4.88671875" customWidth="1"/>
    <col min="1545" max="1619" width="3.88671875" customWidth="1"/>
    <col min="1793" max="1793" width="6.6640625" customWidth="1"/>
    <col min="1794" max="1794" width="12.33203125" customWidth="1"/>
    <col min="1795" max="1795" width="29.33203125" customWidth="1"/>
    <col min="1796" max="1797" width="4.33203125" customWidth="1"/>
    <col min="1798" max="1798" width="4.6640625" customWidth="1"/>
    <col min="1799" max="1799" width="4.5546875" customWidth="1"/>
    <col min="1800" max="1800" width="4.88671875" customWidth="1"/>
    <col min="1801" max="1875" width="3.88671875" customWidth="1"/>
    <col min="2049" max="2049" width="6.6640625" customWidth="1"/>
    <col min="2050" max="2050" width="12.33203125" customWidth="1"/>
    <col min="2051" max="2051" width="29.33203125" customWidth="1"/>
    <col min="2052" max="2053" width="4.33203125" customWidth="1"/>
    <col min="2054" max="2054" width="4.6640625" customWidth="1"/>
    <col min="2055" max="2055" width="4.5546875" customWidth="1"/>
    <col min="2056" max="2056" width="4.88671875" customWidth="1"/>
    <col min="2057" max="2131" width="3.88671875" customWidth="1"/>
    <col min="2305" max="2305" width="6.6640625" customWidth="1"/>
    <col min="2306" max="2306" width="12.33203125" customWidth="1"/>
    <col min="2307" max="2307" width="29.33203125" customWidth="1"/>
    <col min="2308" max="2309" width="4.33203125" customWidth="1"/>
    <col min="2310" max="2310" width="4.6640625" customWidth="1"/>
    <col min="2311" max="2311" width="4.5546875" customWidth="1"/>
    <col min="2312" max="2312" width="4.88671875" customWidth="1"/>
    <col min="2313" max="2387" width="3.88671875" customWidth="1"/>
    <col min="2561" max="2561" width="6.6640625" customWidth="1"/>
    <col min="2562" max="2562" width="12.33203125" customWidth="1"/>
    <col min="2563" max="2563" width="29.33203125" customWidth="1"/>
    <col min="2564" max="2565" width="4.33203125" customWidth="1"/>
    <col min="2566" max="2566" width="4.6640625" customWidth="1"/>
    <col min="2567" max="2567" width="4.5546875" customWidth="1"/>
    <col min="2568" max="2568" width="4.88671875" customWidth="1"/>
    <col min="2569" max="2643" width="3.88671875" customWidth="1"/>
    <col min="2817" max="2817" width="6.6640625" customWidth="1"/>
    <col min="2818" max="2818" width="12.33203125" customWidth="1"/>
    <col min="2819" max="2819" width="29.33203125" customWidth="1"/>
    <col min="2820" max="2821" width="4.33203125" customWidth="1"/>
    <col min="2822" max="2822" width="4.6640625" customWidth="1"/>
    <col min="2823" max="2823" width="4.5546875" customWidth="1"/>
    <col min="2824" max="2824" width="4.88671875" customWidth="1"/>
    <col min="2825" max="2899" width="3.88671875" customWidth="1"/>
    <col min="3073" max="3073" width="6.6640625" customWidth="1"/>
    <col min="3074" max="3074" width="12.33203125" customWidth="1"/>
    <col min="3075" max="3075" width="29.33203125" customWidth="1"/>
    <col min="3076" max="3077" width="4.33203125" customWidth="1"/>
    <col min="3078" max="3078" width="4.6640625" customWidth="1"/>
    <col min="3079" max="3079" width="4.5546875" customWidth="1"/>
    <col min="3080" max="3080" width="4.88671875" customWidth="1"/>
    <col min="3081" max="3155" width="3.88671875" customWidth="1"/>
    <col min="3329" max="3329" width="6.6640625" customWidth="1"/>
    <col min="3330" max="3330" width="12.33203125" customWidth="1"/>
    <col min="3331" max="3331" width="29.33203125" customWidth="1"/>
    <col min="3332" max="3333" width="4.33203125" customWidth="1"/>
    <col min="3334" max="3334" width="4.6640625" customWidth="1"/>
    <col min="3335" max="3335" width="4.5546875" customWidth="1"/>
    <col min="3336" max="3336" width="4.88671875" customWidth="1"/>
    <col min="3337" max="3411" width="3.88671875" customWidth="1"/>
    <col min="3585" max="3585" width="6.6640625" customWidth="1"/>
    <col min="3586" max="3586" width="12.33203125" customWidth="1"/>
    <col min="3587" max="3587" width="29.33203125" customWidth="1"/>
    <col min="3588" max="3589" width="4.33203125" customWidth="1"/>
    <col min="3590" max="3590" width="4.6640625" customWidth="1"/>
    <col min="3591" max="3591" width="4.5546875" customWidth="1"/>
    <col min="3592" max="3592" width="4.88671875" customWidth="1"/>
    <col min="3593" max="3667" width="3.88671875" customWidth="1"/>
    <col min="3841" max="3841" width="6.6640625" customWidth="1"/>
    <col min="3842" max="3842" width="12.33203125" customWidth="1"/>
    <col min="3843" max="3843" width="29.33203125" customWidth="1"/>
    <col min="3844" max="3845" width="4.33203125" customWidth="1"/>
    <col min="3846" max="3846" width="4.6640625" customWidth="1"/>
    <col min="3847" max="3847" width="4.5546875" customWidth="1"/>
    <col min="3848" max="3848" width="4.88671875" customWidth="1"/>
    <col min="3849" max="3923" width="3.88671875" customWidth="1"/>
    <col min="4097" max="4097" width="6.6640625" customWidth="1"/>
    <col min="4098" max="4098" width="12.33203125" customWidth="1"/>
    <col min="4099" max="4099" width="29.33203125" customWidth="1"/>
    <col min="4100" max="4101" width="4.33203125" customWidth="1"/>
    <col min="4102" max="4102" width="4.6640625" customWidth="1"/>
    <col min="4103" max="4103" width="4.5546875" customWidth="1"/>
    <col min="4104" max="4104" width="4.88671875" customWidth="1"/>
    <col min="4105" max="4179" width="3.88671875" customWidth="1"/>
    <col min="4353" max="4353" width="6.6640625" customWidth="1"/>
    <col min="4354" max="4354" width="12.33203125" customWidth="1"/>
    <col min="4355" max="4355" width="29.33203125" customWidth="1"/>
    <col min="4356" max="4357" width="4.33203125" customWidth="1"/>
    <col min="4358" max="4358" width="4.6640625" customWidth="1"/>
    <col min="4359" max="4359" width="4.5546875" customWidth="1"/>
    <col min="4360" max="4360" width="4.88671875" customWidth="1"/>
    <col min="4361" max="4435" width="3.88671875" customWidth="1"/>
    <col min="4609" max="4609" width="6.6640625" customWidth="1"/>
    <col min="4610" max="4610" width="12.33203125" customWidth="1"/>
    <col min="4611" max="4611" width="29.33203125" customWidth="1"/>
    <col min="4612" max="4613" width="4.33203125" customWidth="1"/>
    <col min="4614" max="4614" width="4.6640625" customWidth="1"/>
    <col min="4615" max="4615" width="4.5546875" customWidth="1"/>
    <col min="4616" max="4616" width="4.88671875" customWidth="1"/>
    <col min="4617" max="4691" width="3.88671875" customWidth="1"/>
    <col min="4865" max="4865" width="6.6640625" customWidth="1"/>
    <col min="4866" max="4866" width="12.33203125" customWidth="1"/>
    <col min="4867" max="4867" width="29.33203125" customWidth="1"/>
    <col min="4868" max="4869" width="4.33203125" customWidth="1"/>
    <col min="4870" max="4870" width="4.6640625" customWidth="1"/>
    <col min="4871" max="4871" width="4.5546875" customWidth="1"/>
    <col min="4872" max="4872" width="4.88671875" customWidth="1"/>
    <col min="4873" max="4947" width="3.88671875" customWidth="1"/>
    <col min="5121" max="5121" width="6.6640625" customWidth="1"/>
    <col min="5122" max="5122" width="12.33203125" customWidth="1"/>
    <col min="5123" max="5123" width="29.33203125" customWidth="1"/>
    <col min="5124" max="5125" width="4.33203125" customWidth="1"/>
    <col min="5126" max="5126" width="4.6640625" customWidth="1"/>
    <col min="5127" max="5127" width="4.5546875" customWidth="1"/>
    <col min="5128" max="5128" width="4.88671875" customWidth="1"/>
    <col min="5129" max="5203" width="3.88671875" customWidth="1"/>
    <col min="5377" max="5377" width="6.6640625" customWidth="1"/>
    <col min="5378" max="5378" width="12.33203125" customWidth="1"/>
    <col min="5379" max="5379" width="29.33203125" customWidth="1"/>
    <col min="5380" max="5381" width="4.33203125" customWidth="1"/>
    <col min="5382" max="5382" width="4.6640625" customWidth="1"/>
    <col min="5383" max="5383" width="4.5546875" customWidth="1"/>
    <col min="5384" max="5384" width="4.88671875" customWidth="1"/>
    <col min="5385" max="5459" width="3.88671875" customWidth="1"/>
    <col min="5633" max="5633" width="6.6640625" customWidth="1"/>
    <col min="5634" max="5634" width="12.33203125" customWidth="1"/>
    <col min="5635" max="5635" width="29.33203125" customWidth="1"/>
    <col min="5636" max="5637" width="4.33203125" customWidth="1"/>
    <col min="5638" max="5638" width="4.6640625" customWidth="1"/>
    <col min="5639" max="5639" width="4.5546875" customWidth="1"/>
    <col min="5640" max="5640" width="4.88671875" customWidth="1"/>
    <col min="5641" max="5715" width="3.88671875" customWidth="1"/>
    <col min="5889" max="5889" width="6.6640625" customWidth="1"/>
    <col min="5890" max="5890" width="12.33203125" customWidth="1"/>
    <col min="5891" max="5891" width="29.33203125" customWidth="1"/>
    <col min="5892" max="5893" width="4.33203125" customWidth="1"/>
    <col min="5894" max="5894" width="4.6640625" customWidth="1"/>
    <col min="5895" max="5895" width="4.5546875" customWidth="1"/>
    <col min="5896" max="5896" width="4.88671875" customWidth="1"/>
    <col min="5897" max="5971" width="3.88671875" customWidth="1"/>
    <col min="6145" max="6145" width="6.6640625" customWidth="1"/>
    <col min="6146" max="6146" width="12.33203125" customWidth="1"/>
    <col min="6147" max="6147" width="29.33203125" customWidth="1"/>
    <col min="6148" max="6149" width="4.33203125" customWidth="1"/>
    <col min="6150" max="6150" width="4.6640625" customWidth="1"/>
    <col min="6151" max="6151" width="4.5546875" customWidth="1"/>
    <col min="6152" max="6152" width="4.88671875" customWidth="1"/>
    <col min="6153" max="6227" width="3.88671875" customWidth="1"/>
    <col min="6401" max="6401" width="6.6640625" customWidth="1"/>
    <col min="6402" max="6402" width="12.33203125" customWidth="1"/>
    <col min="6403" max="6403" width="29.33203125" customWidth="1"/>
    <col min="6404" max="6405" width="4.33203125" customWidth="1"/>
    <col min="6406" max="6406" width="4.6640625" customWidth="1"/>
    <col min="6407" max="6407" width="4.5546875" customWidth="1"/>
    <col min="6408" max="6408" width="4.88671875" customWidth="1"/>
    <col min="6409" max="6483" width="3.88671875" customWidth="1"/>
    <col min="6657" max="6657" width="6.6640625" customWidth="1"/>
    <col min="6658" max="6658" width="12.33203125" customWidth="1"/>
    <col min="6659" max="6659" width="29.33203125" customWidth="1"/>
    <col min="6660" max="6661" width="4.33203125" customWidth="1"/>
    <col min="6662" max="6662" width="4.6640625" customWidth="1"/>
    <col min="6663" max="6663" width="4.5546875" customWidth="1"/>
    <col min="6664" max="6664" width="4.88671875" customWidth="1"/>
    <col min="6665" max="6739" width="3.88671875" customWidth="1"/>
    <col min="6913" max="6913" width="6.6640625" customWidth="1"/>
    <col min="6914" max="6914" width="12.33203125" customWidth="1"/>
    <col min="6915" max="6915" width="29.33203125" customWidth="1"/>
    <col min="6916" max="6917" width="4.33203125" customWidth="1"/>
    <col min="6918" max="6918" width="4.6640625" customWidth="1"/>
    <col min="6919" max="6919" width="4.5546875" customWidth="1"/>
    <col min="6920" max="6920" width="4.88671875" customWidth="1"/>
    <col min="6921" max="6995" width="3.88671875" customWidth="1"/>
    <col min="7169" max="7169" width="6.6640625" customWidth="1"/>
    <col min="7170" max="7170" width="12.33203125" customWidth="1"/>
    <col min="7171" max="7171" width="29.33203125" customWidth="1"/>
    <col min="7172" max="7173" width="4.33203125" customWidth="1"/>
    <col min="7174" max="7174" width="4.6640625" customWidth="1"/>
    <col min="7175" max="7175" width="4.5546875" customWidth="1"/>
    <col min="7176" max="7176" width="4.88671875" customWidth="1"/>
    <col min="7177" max="7251" width="3.88671875" customWidth="1"/>
    <col min="7425" max="7425" width="6.6640625" customWidth="1"/>
    <col min="7426" max="7426" width="12.33203125" customWidth="1"/>
    <col min="7427" max="7427" width="29.33203125" customWidth="1"/>
    <col min="7428" max="7429" width="4.33203125" customWidth="1"/>
    <col min="7430" max="7430" width="4.6640625" customWidth="1"/>
    <col min="7431" max="7431" width="4.5546875" customWidth="1"/>
    <col min="7432" max="7432" width="4.88671875" customWidth="1"/>
    <col min="7433" max="7507" width="3.88671875" customWidth="1"/>
    <col min="7681" max="7681" width="6.6640625" customWidth="1"/>
    <col min="7682" max="7682" width="12.33203125" customWidth="1"/>
    <col min="7683" max="7683" width="29.33203125" customWidth="1"/>
    <col min="7684" max="7685" width="4.33203125" customWidth="1"/>
    <col min="7686" max="7686" width="4.6640625" customWidth="1"/>
    <col min="7687" max="7687" width="4.5546875" customWidth="1"/>
    <col min="7688" max="7688" width="4.88671875" customWidth="1"/>
    <col min="7689" max="7763" width="3.88671875" customWidth="1"/>
    <col min="7937" max="7937" width="6.6640625" customWidth="1"/>
    <col min="7938" max="7938" width="12.33203125" customWidth="1"/>
    <col min="7939" max="7939" width="29.33203125" customWidth="1"/>
    <col min="7940" max="7941" width="4.33203125" customWidth="1"/>
    <col min="7942" max="7942" width="4.6640625" customWidth="1"/>
    <col min="7943" max="7943" width="4.5546875" customWidth="1"/>
    <col min="7944" max="7944" width="4.88671875" customWidth="1"/>
    <col min="7945" max="8019" width="3.88671875" customWidth="1"/>
    <col min="8193" max="8193" width="6.6640625" customWidth="1"/>
    <col min="8194" max="8194" width="12.33203125" customWidth="1"/>
    <col min="8195" max="8195" width="29.33203125" customWidth="1"/>
    <col min="8196" max="8197" width="4.33203125" customWidth="1"/>
    <col min="8198" max="8198" width="4.6640625" customWidth="1"/>
    <col min="8199" max="8199" width="4.5546875" customWidth="1"/>
    <col min="8200" max="8200" width="4.88671875" customWidth="1"/>
    <col min="8201" max="8275" width="3.88671875" customWidth="1"/>
    <col min="8449" max="8449" width="6.6640625" customWidth="1"/>
    <col min="8450" max="8450" width="12.33203125" customWidth="1"/>
    <col min="8451" max="8451" width="29.33203125" customWidth="1"/>
    <col min="8452" max="8453" width="4.33203125" customWidth="1"/>
    <col min="8454" max="8454" width="4.6640625" customWidth="1"/>
    <col min="8455" max="8455" width="4.5546875" customWidth="1"/>
    <col min="8456" max="8456" width="4.88671875" customWidth="1"/>
    <col min="8457" max="8531" width="3.88671875" customWidth="1"/>
    <col min="8705" max="8705" width="6.6640625" customWidth="1"/>
    <col min="8706" max="8706" width="12.33203125" customWidth="1"/>
    <col min="8707" max="8707" width="29.33203125" customWidth="1"/>
    <col min="8708" max="8709" width="4.33203125" customWidth="1"/>
    <col min="8710" max="8710" width="4.6640625" customWidth="1"/>
    <col min="8711" max="8711" width="4.5546875" customWidth="1"/>
    <col min="8712" max="8712" width="4.88671875" customWidth="1"/>
    <col min="8713" max="8787" width="3.88671875" customWidth="1"/>
    <col min="8961" max="8961" width="6.6640625" customWidth="1"/>
    <col min="8962" max="8962" width="12.33203125" customWidth="1"/>
    <col min="8963" max="8963" width="29.33203125" customWidth="1"/>
    <col min="8964" max="8965" width="4.33203125" customWidth="1"/>
    <col min="8966" max="8966" width="4.6640625" customWidth="1"/>
    <col min="8967" max="8967" width="4.5546875" customWidth="1"/>
    <col min="8968" max="8968" width="4.88671875" customWidth="1"/>
    <col min="8969" max="9043" width="3.88671875" customWidth="1"/>
    <col min="9217" max="9217" width="6.6640625" customWidth="1"/>
    <col min="9218" max="9218" width="12.33203125" customWidth="1"/>
    <col min="9219" max="9219" width="29.33203125" customWidth="1"/>
    <col min="9220" max="9221" width="4.33203125" customWidth="1"/>
    <col min="9222" max="9222" width="4.6640625" customWidth="1"/>
    <col min="9223" max="9223" width="4.5546875" customWidth="1"/>
    <col min="9224" max="9224" width="4.88671875" customWidth="1"/>
    <col min="9225" max="9299" width="3.88671875" customWidth="1"/>
    <col min="9473" max="9473" width="6.6640625" customWidth="1"/>
    <col min="9474" max="9474" width="12.33203125" customWidth="1"/>
    <col min="9475" max="9475" width="29.33203125" customWidth="1"/>
    <col min="9476" max="9477" width="4.33203125" customWidth="1"/>
    <col min="9478" max="9478" width="4.6640625" customWidth="1"/>
    <col min="9479" max="9479" width="4.5546875" customWidth="1"/>
    <col min="9480" max="9480" width="4.88671875" customWidth="1"/>
    <col min="9481" max="9555" width="3.88671875" customWidth="1"/>
    <col min="9729" max="9729" width="6.6640625" customWidth="1"/>
    <col min="9730" max="9730" width="12.33203125" customWidth="1"/>
    <col min="9731" max="9731" width="29.33203125" customWidth="1"/>
    <col min="9732" max="9733" width="4.33203125" customWidth="1"/>
    <col min="9734" max="9734" width="4.6640625" customWidth="1"/>
    <col min="9735" max="9735" width="4.5546875" customWidth="1"/>
    <col min="9736" max="9736" width="4.88671875" customWidth="1"/>
    <col min="9737" max="9811" width="3.88671875" customWidth="1"/>
    <col min="9985" max="9985" width="6.6640625" customWidth="1"/>
    <col min="9986" max="9986" width="12.33203125" customWidth="1"/>
    <col min="9987" max="9987" width="29.33203125" customWidth="1"/>
    <col min="9988" max="9989" width="4.33203125" customWidth="1"/>
    <col min="9990" max="9990" width="4.6640625" customWidth="1"/>
    <col min="9991" max="9991" width="4.5546875" customWidth="1"/>
    <col min="9992" max="9992" width="4.88671875" customWidth="1"/>
    <col min="9993" max="10067" width="3.88671875" customWidth="1"/>
    <col min="10241" max="10241" width="6.6640625" customWidth="1"/>
    <col min="10242" max="10242" width="12.33203125" customWidth="1"/>
    <col min="10243" max="10243" width="29.33203125" customWidth="1"/>
    <col min="10244" max="10245" width="4.33203125" customWidth="1"/>
    <col min="10246" max="10246" width="4.6640625" customWidth="1"/>
    <col min="10247" max="10247" width="4.5546875" customWidth="1"/>
    <col min="10248" max="10248" width="4.88671875" customWidth="1"/>
    <col min="10249" max="10323" width="3.88671875" customWidth="1"/>
    <col min="10497" max="10497" width="6.6640625" customWidth="1"/>
    <col min="10498" max="10498" width="12.33203125" customWidth="1"/>
    <col min="10499" max="10499" width="29.33203125" customWidth="1"/>
    <col min="10500" max="10501" width="4.33203125" customWidth="1"/>
    <col min="10502" max="10502" width="4.6640625" customWidth="1"/>
    <col min="10503" max="10503" width="4.5546875" customWidth="1"/>
    <col min="10504" max="10504" width="4.88671875" customWidth="1"/>
    <col min="10505" max="10579" width="3.88671875" customWidth="1"/>
    <col min="10753" max="10753" width="6.6640625" customWidth="1"/>
    <col min="10754" max="10754" width="12.33203125" customWidth="1"/>
    <col min="10755" max="10755" width="29.33203125" customWidth="1"/>
    <col min="10756" max="10757" width="4.33203125" customWidth="1"/>
    <col min="10758" max="10758" width="4.6640625" customWidth="1"/>
    <col min="10759" max="10759" width="4.5546875" customWidth="1"/>
    <col min="10760" max="10760" width="4.88671875" customWidth="1"/>
    <col min="10761" max="10835" width="3.88671875" customWidth="1"/>
    <col min="11009" max="11009" width="6.6640625" customWidth="1"/>
    <col min="11010" max="11010" width="12.33203125" customWidth="1"/>
    <col min="11011" max="11011" width="29.33203125" customWidth="1"/>
    <col min="11012" max="11013" width="4.33203125" customWidth="1"/>
    <col min="11014" max="11014" width="4.6640625" customWidth="1"/>
    <col min="11015" max="11015" width="4.5546875" customWidth="1"/>
    <col min="11016" max="11016" width="4.88671875" customWidth="1"/>
    <col min="11017" max="11091" width="3.88671875" customWidth="1"/>
    <col min="11265" max="11265" width="6.6640625" customWidth="1"/>
    <col min="11266" max="11266" width="12.33203125" customWidth="1"/>
    <col min="11267" max="11267" width="29.33203125" customWidth="1"/>
    <col min="11268" max="11269" width="4.33203125" customWidth="1"/>
    <col min="11270" max="11270" width="4.6640625" customWidth="1"/>
    <col min="11271" max="11271" width="4.5546875" customWidth="1"/>
    <col min="11272" max="11272" width="4.88671875" customWidth="1"/>
    <col min="11273" max="11347" width="3.88671875" customWidth="1"/>
    <col min="11521" max="11521" width="6.6640625" customWidth="1"/>
    <col min="11522" max="11522" width="12.33203125" customWidth="1"/>
    <col min="11523" max="11523" width="29.33203125" customWidth="1"/>
    <col min="11524" max="11525" width="4.33203125" customWidth="1"/>
    <col min="11526" max="11526" width="4.6640625" customWidth="1"/>
    <col min="11527" max="11527" width="4.5546875" customWidth="1"/>
    <col min="11528" max="11528" width="4.88671875" customWidth="1"/>
    <col min="11529" max="11603" width="3.88671875" customWidth="1"/>
    <col min="11777" max="11777" width="6.6640625" customWidth="1"/>
    <col min="11778" max="11778" width="12.33203125" customWidth="1"/>
    <col min="11779" max="11779" width="29.33203125" customWidth="1"/>
    <col min="11780" max="11781" width="4.33203125" customWidth="1"/>
    <col min="11782" max="11782" width="4.6640625" customWidth="1"/>
    <col min="11783" max="11783" width="4.5546875" customWidth="1"/>
    <col min="11784" max="11784" width="4.88671875" customWidth="1"/>
    <col min="11785" max="11859" width="3.88671875" customWidth="1"/>
    <col min="12033" max="12033" width="6.6640625" customWidth="1"/>
    <col min="12034" max="12034" width="12.33203125" customWidth="1"/>
    <col min="12035" max="12035" width="29.33203125" customWidth="1"/>
    <col min="12036" max="12037" width="4.33203125" customWidth="1"/>
    <col min="12038" max="12038" width="4.6640625" customWidth="1"/>
    <col min="12039" max="12039" width="4.5546875" customWidth="1"/>
    <col min="12040" max="12040" width="4.88671875" customWidth="1"/>
    <col min="12041" max="12115" width="3.88671875" customWidth="1"/>
    <col min="12289" max="12289" width="6.6640625" customWidth="1"/>
    <col min="12290" max="12290" width="12.33203125" customWidth="1"/>
    <col min="12291" max="12291" width="29.33203125" customWidth="1"/>
    <col min="12292" max="12293" width="4.33203125" customWidth="1"/>
    <col min="12294" max="12294" width="4.6640625" customWidth="1"/>
    <col min="12295" max="12295" width="4.5546875" customWidth="1"/>
    <col min="12296" max="12296" width="4.88671875" customWidth="1"/>
    <col min="12297" max="12371" width="3.88671875" customWidth="1"/>
    <col min="12545" max="12545" width="6.6640625" customWidth="1"/>
    <col min="12546" max="12546" width="12.33203125" customWidth="1"/>
    <col min="12547" max="12547" width="29.33203125" customWidth="1"/>
    <col min="12548" max="12549" width="4.33203125" customWidth="1"/>
    <col min="12550" max="12550" width="4.6640625" customWidth="1"/>
    <col min="12551" max="12551" width="4.5546875" customWidth="1"/>
    <col min="12552" max="12552" width="4.88671875" customWidth="1"/>
    <col min="12553" max="12627" width="3.88671875" customWidth="1"/>
    <col min="12801" max="12801" width="6.6640625" customWidth="1"/>
    <col min="12802" max="12802" width="12.33203125" customWidth="1"/>
    <col min="12803" max="12803" width="29.33203125" customWidth="1"/>
    <col min="12804" max="12805" width="4.33203125" customWidth="1"/>
    <col min="12806" max="12806" width="4.6640625" customWidth="1"/>
    <col min="12807" max="12807" width="4.5546875" customWidth="1"/>
    <col min="12808" max="12808" width="4.88671875" customWidth="1"/>
    <col min="12809" max="12883" width="3.88671875" customWidth="1"/>
    <col min="13057" max="13057" width="6.6640625" customWidth="1"/>
    <col min="13058" max="13058" width="12.33203125" customWidth="1"/>
    <col min="13059" max="13059" width="29.33203125" customWidth="1"/>
    <col min="13060" max="13061" width="4.33203125" customWidth="1"/>
    <col min="13062" max="13062" width="4.6640625" customWidth="1"/>
    <col min="13063" max="13063" width="4.5546875" customWidth="1"/>
    <col min="13064" max="13064" width="4.88671875" customWidth="1"/>
    <col min="13065" max="13139" width="3.88671875" customWidth="1"/>
    <col min="13313" max="13313" width="6.6640625" customWidth="1"/>
    <col min="13314" max="13314" width="12.33203125" customWidth="1"/>
    <col min="13315" max="13315" width="29.33203125" customWidth="1"/>
    <col min="13316" max="13317" width="4.33203125" customWidth="1"/>
    <col min="13318" max="13318" width="4.6640625" customWidth="1"/>
    <col min="13319" max="13319" width="4.5546875" customWidth="1"/>
    <col min="13320" max="13320" width="4.88671875" customWidth="1"/>
    <col min="13321" max="13395" width="3.88671875" customWidth="1"/>
    <col min="13569" max="13569" width="6.6640625" customWidth="1"/>
    <col min="13570" max="13570" width="12.33203125" customWidth="1"/>
    <col min="13571" max="13571" width="29.33203125" customWidth="1"/>
    <col min="13572" max="13573" width="4.33203125" customWidth="1"/>
    <col min="13574" max="13574" width="4.6640625" customWidth="1"/>
    <col min="13575" max="13575" width="4.5546875" customWidth="1"/>
    <col min="13576" max="13576" width="4.88671875" customWidth="1"/>
    <col min="13577" max="13651" width="3.88671875" customWidth="1"/>
    <col min="13825" max="13825" width="6.6640625" customWidth="1"/>
    <col min="13826" max="13826" width="12.33203125" customWidth="1"/>
    <col min="13827" max="13827" width="29.33203125" customWidth="1"/>
    <col min="13828" max="13829" width="4.33203125" customWidth="1"/>
    <col min="13830" max="13830" width="4.6640625" customWidth="1"/>
    <col min="13831" max="13831" width="4.5546875" customWidth="1"/>
    <col min="13832" max="13832" width="4.88671875" customWidth="1"/>
    <col min="13833" max="13907" width="3.88671875" customWidth="1"/>
    <col min="14081" max="14081" width="6.6640625" customWidth="1"/>
    <col min="14082" max="14082" width="12.33203125" customWidth="1"/>
    <col min="14083" max="14083" width="29.33203125" customWidth="1"/>
    <col min="14084" max="14085" width="4.33203125" customWidth="1"/>
    <col min="14086" max="14086" width="4.6640625" customWidth="1"/>
    <col min="14087" max="14087" width="4.5546875" customWidth="1"/>
    <col min="14088" max="14088" width="4.88671875" customWidth="1"/>
    <col min="14089" max="14163" width="3.88671875" customWidth="1"/>
    <col min="14337" max="14337" width="6.6640625" customWidth="1"/>
    <col min="14338" max="14338" width="12.33203125" customWidth="1"/>
    <col min="14339" max="14339" width="29.33203125" customWidth="1"/>
    <col min="14340" max="14341" width="4.33203125" customWidth="1"/>
    <col min="14342" max="14342" width="4.6640625" customWidth="1"/>
    <col min="14343" max="14343" width="4.5546875" customWidth="1"/>
    <col min="14344" max="14344" width="4.88671875" customWidth="1"/>
    <col min="14345" max="14419" width="3.88671875" customWidth="1"/>
    <col min="14593" max="14593" width="6.6640625" customWidth="1"/>
    <col min="14594" max="14594" width="12.33203125" customWidth="1"/>
    <col min="14595" max="14595" width="29.33203125" customWidth="1"/>
    <col min="14596" max="14597" width="4.33203125" customWidth="1"/>
    <col min="14598" max="14598" width="4.6640625" customWidth="1"/>
    <col min="14599" max="14599" width="4.5546875" customWidth="1"/>
    <col min="14600" max="14600" width="4.88671875" customWidth="1"/>
    <col min="14601" max="14675" width="3.88671875" customWidth="1"/>
    <col min="14849" max="14849" width="6.6640625" customWidth="1"/>
    <col min="14850" max="14850" width="12.33203125" customWidth="1"/>
    <col min="14851" max="14851" width="29.33203125" customWidth="1"/>
    <col min="14852" max="14853" width="4.33203125" customWidth="1"/>
    <col min="14854" max="14854" width="4.6640625" customWidth="1"/>
    <col min="14855" max="14855" width="4.5546875" customWidth="1"/>
    <col min="14856" max="14856" width="4.88671875" customWidth="1"/>
    <col min="14857" max="14931" width="3.88671875" customWidth="1"/>
    <col min="15105" max="15105" width="6.6640625" customWidth="1"/>
    <col min="15106" max="15106" width="12.33203125" customWidth="1"/>
    <col min="15107" max="15107" width="29.33203125" customWidth="1"/>
    <col min="15108" max="15109" width="4.33203125" customWidth="1"/>
    <col min="15110" max="15110" width="4.6640625" customWidth="1"/>
    <col min="15111" max="15111" width="4.5546875" customWidth="1"/>
    <col min="15112" max="15112" width="4.88671875" customWidth="1"/>
    <col min="15113" max="15187" width="3.88671875" customWidth="1"/>
    <col min="15361" max="15361" width="6.6640625" customWidth="1"/>
    <col min="15362" max="15362" width="12.33203125" customWidth="1"/>
    <col min="15363" max="15363" width="29.33203125" customWidth="1"/>
    <col min="15364" max="15365" width="4.33203125" customWidth="1"/>
    <col min="15366" max="15366" width="4.6640625" customWidth="1"/>
    <col min="15367" max="15367" width="4.5546875" customWidth="1"/>
    <col min="15368" max="15368" width="4.88671875" customWidth="1"/>
    <col min="15369" max="15443" width="3.88671875" customWidth="1"/>
    <col min="15617" max="15617" width="6.6640625" customWidth="1"/>
    <col min="15618" max="15618" width="12.33203125" customWidth="1"/>
    <col min="15619" max="15619" width="29.33203125" customWidth="1"/>
    <col min="15620" max="15621" width="4.33203125" customWidth="1"/>
    <col min="15622" max="15622" width="4.6640625" customWidth="1"/>
    <col min="15623" max="15623" width="4.5546875" customWidth="1"/>
    <col min="15624" max="15624" width="4.88671875" customWidth="1"/>
    <col min="15625" max="15699" width="3.88671875" customWidth="1"/>
    <col min="15873" max="15873" width="6.6640625" customWidth="1"/>
    <col min="15874" max="15874" width="12.33203125" customWidth="1"/>
    <col min="15875" max="15875" width="29.33203125" customWidth="1"/>
    <col min="15876" max="15877" width="4.33203125" customWidth="1"/>
    <col min="15878" max="15878" width="4.6640625" customWidth="1"/>
    <col min="15879" max="15879" width="4.5546875" customWidth="1"/>
    <col min="15880" max="15880" width="4.88671875" customWidth="1"/>
    <col min="15881" max="15955" width="3.88671875" customWidth="1"/>
    <col min="16129" max="16129" width="6.6640625" customWidth="1"/>
    <col min="16130" max="16130" width="12.33203125" customWidth="1"/>
    <col min="16131" max="16131" width="29.33203125" customWidth="1"/>
    <col min="16132" max="16133" width="4.33203125" customWidth="1"/>
    <col min="16134" max="16134" width="4.6640625" customWidth="1"/>
    <col min="16135" max="16135" width="4.5546875" customWidth="1"/>
    <col min="16136" max="16136" width="4.88671875" customWidth="1"/>
    <col min="16137" max="16211" width="3.88671875" customWidth="1"/>
  </cols>
  <sheetData>
    <row r="1" spans="1:83" ht="23.4" x14ac:dyDescent="0.45">
      <c r="P1" s="215" t="s">
        <v>184</v>
      </c>
    </row>
    <row r="4" spans="1:83" ht="15.6" x14ac:dyDescent="0.3">
      <c r="C4" s="216" t="s">
        <v>185</v>
      </c>
      <c r="D4" s="48" t="s">
        <v>2</v>
      </c>
      <c r="E4" s="48" t="s">
        <v>4</v>
      </c>
      <c r="F4" s="48" t="s">
        <v>4</v>
      </c>
      <c r="G4" s="48" t="s">
        <v>4</v>
      </c>
      <c r="H4" s="48" t="s">
        <v>4</v>
      </c>
      <c r="I4" s="48" t="s">
        <v>4</v>
      </c>
      <c r="J4" s="48" t="s">
        <v>2</v>
      </c>
      <c r="K4" s="48" t="s">
        <v>4</v>
      </c>
      <c r="L4" s="48" t="s">
        <v>4</v>
      </c>
      <c r="M4" s="48" t="s">
        <v>2</v>
      </c>
      <c r="N4" s="48" t="s">
        <v>4</v>
      </c>
      <c r="O4" s="48" t="s">
        <v>2</v>
      </c>
      <c r="P4" s="48" t="s">
        <v>4</v>
      </c>
      <c r="Q4" s="48" t="s">
        <v>4</v>
      </c>
      <c r="R4" s="48" t="s">
        <v>4</v>
      </c>
      <c r="S4" s="48" t="s">
        <v>2</v>
      </c>
      <c r="T4" s="48" t="s">
        <v>4</v>
      </c>
      <c r="U4" s="48" t="s">
        <v>2</v>
      </c>
      <c r="V4" s="48" t="s">
        <v>4</v>
      </c>
      <c r="W4" s="48" t="s">
        <v>4</v>
      </c>
      <c r="X4" s="48" t="s">
        <v>4</v>
      </c>
      <c r="Y4" s="48" t="s">
        <v>2</v>
      </c>
      <c r="Z4" s="48" t="s">
        <v>4</v>
      </c>
      <c r="AA4" s="48" t="s">
        <v>4</v>
      </c>
      <c r="AB4" s="48" t="s">
        <v>2</v>
      </c>
      <c r="AC4" s="48" t="s">
        <v>4</v>
      </c>
      <c r="AD4" s="48" t="s">
        <v>4</v>
      </c>
      <c r="AE4" s="48" t="s">
        <v>4</v>
      </c>
      <c r="AF4" s="48" t="s">
        <v>2</v>
      </c>
      <c r="AG4" s="48" t="s">
        <v>4</v>
      </c>
      <c r="AH4" s="48" t="s">
        <v>2</v>
      </c>
      <c r="AI4" s="48" t="s">
        <v>2</v>
      </c>
      <c r="AJ4" s="48" t="s">
        <v>4</v>
      </c>
      <c r="AK4" s="48" t="s">
        <v>2</v>
      </c>
      <c r="AL4" s="48" t="s">
        <v>2</v>
      </c>
      <c r="AM4" s="48" t="s">
        <v>2</v>
      </c>
      <c r="AN4" s="48" t="s">
        <v>2</v>
      </c>
      <c r="AO4" s="48" t="s">
        <v>2</v>
      </c>
      <c r="AP4" s="48" t="s">
        <v>4</v>
      </c>
      <c r="AQ4" s="48" t="s">
        <v>4</v>
      </c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</row>
    <row r="5" spans="1:83" x14ac:dyDescent="0.3">
      <c r="C5" s="217" t="s">
        <v>1</v>
      </c>
      <c r="D5" s="48">
        <v>2</v>
      </c>
      <c r="E5" s="48">
        <v>1</v>
      </c>
      <c r="F5" s="48">
        <v>2</v>
      </c>
      <c r="G5" s="48">
        <v>1</v>
      </c>
      <c r="H5" s="48">
        <v>1</v>
      </c>
      <c r="I5" s="48">
        <v>1</v>
      </c>
      <c r="J5" s="48">
        <v>3</v>
      </c>
      <c r="K5" s="48">
        <v>3</v>
      </c>
      <c r="L5" s="48">
        <v>1</v>
      </c>
      <c r="M5" s="48">
        <v>3</v>
      </c>
      <c r="N5" s="48">
        <v>1</v>
      </c>
      <c r="O5" s="48">
        <v>3</v>
      </c>
      <c r="P5" s="48">
        <v>3</v>
      </c>
      <c r="Q5" s="48">
        <v>3</v>
      </c>
      <c r="R5" s="48">
        <v>1</v>
      </c>
      <c r="S5" s="48">
        <v>2</v>
      </c>
      <c r="T5" s="48">
        <v>2</v>
      </c>
      <c r="U5" s="48">
        <v>2</v>
      </c>
      <c r="V5" s="48">
        <v>1</v>
      </c>
      <c r="W5" s="48">
        <v>1</v>
      </c>
      <c r="X5" s="48">
        <v>1</v>
      </c>
      <c r="Y5" s="48">
        <v>2</v>
      </c>
      <c r="Z5" s="48">
        <v>1</v>
      </c>
      <c r="AA5" s="48">
        <v>1</v>
      </c>
      <c r="AB5" s="48">
        <v>2</v>
      </c>
      <c r="AC5" s="48">
        <v>1</v>
      </c>
      <c r="AD5" s="48">
        <v>1</v>
      </c>
      <c r="AE5" s="48">
        <v>3</v>
      </c>
      <c r="AF5" s="48">
        <v>3</v>
      </c>
      <c r="AG5" s="48">
        <v>1</v>
      </c>
      <c r="AH5" s="48">
        <v>3</v>
      </c>
      <c r="AI5" s="48">
        <v>3</v>
      </c>
      <c r="AJ5" s="48">
        <v>3</v>
      </c>
      <c r="AK5" s="48">
        <v>3</v>
      </c>
      <c r="AL5" s="48">
        <v>2</v>
      </c>
      <c r="AM5" s="48">
        <v>2</v>
      </c>
      <c r="AN5" s="48">
        <v>2</v>
      </c>
      <c r="AO5" s="48">
        <v>2</v>
      </c>
      <c r="AP5" s="48">
        <v>3</v>
      </c>
      <c r="AQ5" s="48">
        <v>1</v>
      </c>
      <c r="AR5" s="48">
        <v>1</v>
      </c>
      <c r="AS5" s="48">
        <v>2</v>
      </c>
      <c r="AT5" s="48">
        <v>1</v>
      </c>
      <c r="AU5" s="48">
        <v>2</v>
      </c>
      <c r="AV5" s="48">
        <v>3</v>
      </c>
      <c r="AW5" s="48">
        <v>4</v>
      </c>
      <c r="AX5" s="48">
        <v>5</v>
      </c>
      <c r="AY5" s="48">
        <v>1</v>
      </c>
      <c r="AZ5" s="48">
        <v>2</v>
      </c>
      <c r="BA5" s="48">
        <v>3</v>
      </c>
      <c r="BB5" s="48">
        <v>4</v>
      </c>
      <c r="BC5" s="48">
        <v>5</v>
      </c>
      <c r="BD5" s="48">
        <v>1</v>
      </c>
      <c r="BE5" s="48">
        <v>2</v>
      </c>
      <c r="BF5" s="48">
        <v>3</v>
      </c>
      <c r="BG5" s="48">
        <v>4</v>
      </c>
      <c r="BH5" s="48">
        <v>5</v>
      </c>
      <c r="BI5" s="48">
        <v>1</v>
      </c>
      <c r="BJ5" s="48">
        <v>2</v>
      </c>
      <c r="BK5" s="48">
        <v>3</v>
      </c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</row>
    <row r="6" spans="1:83" ht="15.6" x14ac:dyDescent="0.3">
      <c r="C6" s="218" t="s">
        <v>12</v>
      </c>
      <c r="D6" s="64">
        <v>1</v>
      </c>
      <c r="E6" s="64">
        <v>1</v>
      </c>
      <c r="F6" s="64">
        <v>1</v>
      </c>
      <c r="G6" s="64">
        <v>1</v>
      </c>
      <c r="H6" s="64">
        <v>1</v>
      </c>
      <c r="I6" s="64">
        <v>1</v>
      </c>
      <c r="J6" s="64">
        <v>1</v>
      </c>
      <c r="K6" s="64">
        <v>1</v>
      </c>
      <c r="L6" s="64">
        <v>1</v>
      </c>
      <c r="M6" s="64">
        <v>1</v>
      </c>
      <c r="N6" s="64">
        <v>1</v>
      </c>
      <c r="O6" s="64">
        <v>1</v>
      </c>
      <c r="P6" s="64">
        <v>1</v>
      </c>
      <c r="Q6" s="64">
        <v>1</v>
      </c>
      <c r="R6" s="64">
        <v>1</v>
      </c>
      <c r="S6" s="64">
        <v>1</v>
      </c>
      <c r="T6" s="64">
        <v>1</v>
      </c>
      <c r="U6" s="64">
        <v>1</v>
      </c>
      <c r="V6" s="64">
        <v>1</v>
      </c>
      <c r="W6" s="64">
        <v>1</v>
      </c>
      <c r="X6" s="64">
        <v>1</v>
      </c>
      <c r="Y6" s="64">
        <v>1</v>
      </c>
      <c r="Z6" s="64">
        <v>1</v>
      </c>
      <c r="AA6" s="64">
        <v>1</v>
      </c>
      <c r="AB6" s="64">
        <v>1</v>
      </c>
      <c r="AC6" s="64">
        <v>1</v>
      </c>
      <c r="AD6" s="64">
        <v>1</v>
      </c>
      <c r="AE6" s="64">
        <v>1</v>
      </c>
      <c r="AF6" s="64">
        <v>1</v>
      </c>
      <c r="AG6" s="64">
        <v>1</v>
      </c>
      <c r="AH6" s="64">
        <v>1</v>
      </c>
      <c r="AI6" s="64">
        <v>1</v>
      </c>
      <c r="AJ6" s="64">
        <v>1</v>
      </c>
      <c r="AK6" s="64">
        <v>1</v>
      </c>
      <c r="AL6" s="64">
        <v>1</v>
      </c>
      <c r="AM6" s="64">
        <v>1</v>
      </c>
      <c r="AN6" s="64">
        <v>1</v>
      </c>
      <c r="AO6" s="64">
        <v>1</v>
      </c>
      <c r="AP6" s="64">
        <v>1</v>
      </c>
      <c r="AQ6" s="64">
        <v>1</v>
      </c>
      <c r="AR6" s="64">
        <v>1</v>
      </c>
      <c r="AS6" s="64">
        <v>1</v>
      </c>
      <c r="AT6" s="64">
        <v>1</v>
      </c>
      <c r="AU6" s="64">
        <v>1</v>
      </c>
      <c r="AV6" s="64">
        <v>1</v>
      </c>
      <c r="AW6" s="64">
        <v>1</v>
      </c>
      <c r="AX6" s="64">
        <v>1</v>
      </c>
      <c r="AY6" s="64">
        <v>1</v>
      </c>
      <c r="AZ6" s="64">
        <v>1</v>
      </c>
      <c r="BA6" s="64">
        <v>1</v>
      </c>
      <c r="BB6" s="64">
        <v>1</v>
      </c>
      <c r="BC6" s="64">
        <v>1</v>
      </c>
      <c r="BD6" s="64">
        <v>1</v>
      </c>
      <c r="BE6" s="64">
        <v>1</v>
      </c>
      <c r="BF6" s="64">
        <v>1</v>
      </c>
      <c r="BG6" s="64">
        <v>1</v>
      </c>
      <c r="BH6" s="64">
        <v>1</v>
      </c>
      <c r="BI6" s="64">
        <v>1</v>
      </c>
      <c r="BJ6" s="64">
        <v>1</v>
      </c>
      <c r="BK6" s="64">
        <v>1</v>
      </c>
      <c r="BL6" s="64">
        <v>1</v>
      </c>
      <c r="BM6" s="64">
        <v>1</v>
      </c>
      <c r="BN6" s="64">
        <v>1</v>
      </c>
      <c r="BO6" s="64">
        <v>1</v>
      </c>
      <c r="BP6" s="64">
        <v>1</v>
      </c>
      <c r="BQ6" s="64">
        <v>1</v>
      </c>
      <c r="BR6" s="64">
        <v>1</v>
      </c>
      <c r="BS6" s="64">
        <v>1</v>
      </c>
      <c r="BT6" s="64">
        <v>1</v>
      </c>
      <c r="BU6" s="64">
        <v>1</v>
      </c>
      <c r="BV6" s="64">
        <v>1</v>
      </c>
      <c r="BW6" s="64">
        <v>1</v>
      </c>
      <c r="BX6" s="64">
        <v>1</v>
      </c>
      <c r="BY6" s="64">
        <v>1</v>
      </c>
      <c r="BZ6" s="64">
        <v>1</v>
      </c>
      <c r="CA6" s="64">
        <v>1</v>
      </c>
      <c r="CB6" s="64">
        <v>1</v>
      </c>
      <c r="CC6" s="64">
        <v>1</v>
      </c>
      <c r="CD6" s="64">
        <v>1</v>
      </c>
      <c r="CE6" s="64">
        <v>1</v>
      </c>
    </row>
    <row r="7" spans="1:83" ht="15.6" x14ac:dyDescent="0.3">
      <c r="C7" s="219"/>
      <c r="D7" s="635" t="s">
        <v>186</v>
      </c>
      <c r="E7" s="635"/>
      <c r="F7" s="635"/>
      <c r="G7" s="635"/>
      <c r="H7" s="635"/>
      <c r="I7" s="635"/>
      <c r="J7" s="635"/>
      <c r="K7" s="635"/>
      <c r="L7" s="635"/>
      <c r="M7" s="635"/>
      <c r="N7" s="635"/>
      <c r="O7" s="635"/>
      <c r="P7" s="635"/>
      <c r="Q7" s="635"/>
      <c r="R7" s="635"/>
      <c r="S7" s="635"/>
      <c r="T7" s="635"/>
      <c r="U7" s="635"/>
      <c r="V7" s="635"/>
      <c r="W7" s="635"/>
      <c r="X7" s="636" t="s">
        <v>187</v>
      </c>
      <c r="Y7" s="636"/>
      <c r="Z7" s="636"/>
      <c r="AA7" s="636"/>
      <c r="AB7" s="636"/>
      <c r="AC7" s="636"/>
      <c r="AD7" s="636"/>
      <c r="AE7" s="636"/>
      <c r="AF7" s="636"/>
      <c r="AG7" s="636"/>
      <c r="AH7" s="636"/>
      <c r="AI7" s="636"/>
      <c r="AJ7" s="636"/>
      <c r="AK7" s="636"/>
      <c r="AL7" s="636"/>
      <c r="AM7" s="636"/>
      <c r="AN7" s="636"/>
      <c r="AO7" s="636"/>
      <c r="AP7" s="636"/>
      <c r="AQ7" s="636"/>
      <c r="AR7" s="635" t="s">
        <v>188</v>
      </c>
      <c r="AS7" s="635"/>
      <c r="AT7" s="635"/>
      <c r="AU7" s="635"/>
      <c r="AV7" s="635"/>
      <c r="AW7" s="635"/>
      <c r="AX7" s="635"/>
      <c r="AY7" s="635"/>
      <c r="AZ7" s="635"/>
      <c r="BA7" s="635"/>
      <c r="BB7" s="635"/>
      <c r="BC7" s="635"/>
      <c r="BD7" s="635"/>
      <c r="BE7" s="635"/>
      <c r="BF7" s="635"/>
      <c r="BG7" s="635"/>
      <c r="BH7" s="635"/>
      <c r="BI7" s="635"/>
      <c r="BJ7" s="635"/>
      <c r="BK7" s="635"/>
      <c r="BL7" s="636" t="s">
        <v>189</v>
      </c>
      <c r="BM7" s="636"/>
      <c r="BN7" s="636"/>
      <c r="BO7" s="636"/>
      <c r="BP7" s="636"/>
      <c r="BQ7" s="636"/>
      <c r="BR7" s="636"/>
      <c r="BS7" s="636"/>
      <c r="BT7" s="636"/>
      <c r="BU7" s="636"/>
      <c r="BV7" s="636"/>
      <c r="BW7" s="636"/>
      <c r="BX7" s="636"/>
      <c r="BY7" s="636"/>
      <c r="BZ7" s="636"/>
      <c r="CA7" s="636"/>
      <c r="CB7" s="636"/>
      <c r="CC7" s="636"/>
      <c r="CD7" s="636"/>
      <c r="CE7" s="636"/>
    </row>
    <row r="8" spans="1:83" x14ac:dyDescent="0.3">
      <c r="A8" s="39" t="s">
        <v>14</v>
      </c>
      <c r="B8" s="39" t="s">
        <v>15</v>
      </c>
      <c r="C8" s="40" t="s">
        <v>16</v>
      </c>
      <c r="D8" s="64">
        <v>1</v>
      </c>
      <c r="E8" s="48">
        <v>2</v>
      </c>
      <c r="F8" s="48">
        <v>3</v>
      </c>
      <c r="G8" s="48">
        <v>4</v>
      </c>
      <c r="H8" s="64">
        <v>5</v>
      </c>
      <c r="I8" s="48">
        <v>6</v>
      </c>
      <c r="J8" s="48">
        <v>7</v>
      </c>
      <c r="K8" s="48">
        <v>8</v>
      </c>
      <c r="L8" s="64">
        <v>9</v>
      </c>
      <c r="M8" s="48">
        <v>10</v>
      </c>
      <c r="N8" s="48">
        <v>11</v>
      </c>
      <c r="O8" s="48">
        <v>12</v>
      </c>
      <c r="P8" s="64">
        <v>13</v>
      </c>
      <c r="Q8" s="48">
        <v>14</v>
      </c>
      <c r="R8" s="48">
        <v>15</v>
      </c>
      <c r="S8" s="48">
        <v>16</v>
      </c>
      <c r="T8" s="64">
        <v>17</v>
      </c>
      <c r="U8" s="48">
        <v>18</v>
      </c>
      <c r="V8" s="48">
        <v>19</v>
      </c>
      <c r="W8" s="48">
        <v>20</v>
      </c>
      <c r="X8" s="64">
        <v>1</v>
      </c>
      <c r="Y8" s="48">
        <v>2</v>
      </c>
      <c r="Z8" s="48">
        <v>3</v>
      </c>
      <c r="AA8" s="48">
        <v>4</v>
      </c>
      <c r="AB8" s="64">
        <v>5</v>
      </c>
      <c r="AC8" s="48">
        <v>6</v>
      </c>
      <c r="AD8" s="48">
        <v>7</v>
      </c>
      <c r="AE8" s="48">
        <v>8</v>
      </c>
      <c r="AF8" s="64">
        <v>9</v>
      </c>
      <c r="AG8" s="48">
        <v>10</v>
      </c>
      <c r="AH8" s="48">
        <v>11</v>
      </c>
      <c r="AI8" s="48">
        <v>12</v>
      </c>
      <c r="AJ8" s="64">
        <v>13</v>
      </c>
      <c r="AK8" s="48">
        <v>14</v>
      </c>
      <c r="AL8" s="48">
        <v>15</v>
      </c>
      <c r="AM8" s="48">
        <v>16</v>
      </c>
      <c r="AN8" s="64">
        <v>17</v>
      </c>
      <c r="AO8" s="48">
        <v>18</v>
      </c>
      <c r="AP8" s="48">
        <v>19</v>
      </c>
      <c r="AQ8" s="48">
        <v>20</v>
      </c>
      <c r="AR8" s="64">
        <v>1</v>
      </c>
      <c r="AS8" s="48">
        <v>2</v>
      </c>
      <c r="AT8" s="48">
        <v>3</v>
      </c>
      <c r="AU8" s="48">
        <v>4</v>
      </c>
      <c r="AV8" s="64">
        <v>5</v>
      </c>
      <c r="AW8" s="48">
        <v>6</v>
      </c>
      <c r="AX8" s="48">
        <v>7</v>
      </c>
      <c r="AY8" s="48">
        <v>8</v>
      </c>
      <c r="AZ8" s="64">
        <v>9</v>
      </c>
      <c r="BA8" s="48">
        <v>10</v>
      </c>
      <c r="BB8" s="48">
        <v>11</v>
      </c>
      <c r="BC8" s="48">
        <v>12</v>
      </c>
      <c r="BD8" s="64">
        <v>13</v>
      </c>
      <c r="BE8" s="48">
        <v>14</v>
      </c>
      <c r="BF8" s="48">
        <v>15</v>
      </c>
      <c r="BG8" s="48">
        <v>16</v>
      </c>
      <c r="BH8" s="64">
        <v>17</v>
      </c>
      <c r="BI8" s="48">
        <v>18</v>
      </c>
      <c r="BJ8" s="48">
        <v>19</v>
      </c>
      <c r="BK8" s="48">
        <v>20</v>
      </c>
      <c r="BL8" s="64">
        <v>1</v>
      </c>
      <c r="BM8" s="48">
        <v>2</v>
      </c>
      <c r="BN8" s="48">
        <v>3</v>
      </c>
      <c r="BO8" s="48">
        <v>4</v>
      </c>
      <c r="BP8" s="64">
        <v>5</v>
      </c>
      <c r="BQ8" s="48">
        <v>6</v>
      </c>
      <c r="BR8" s="48">
        <v>7</v>
      </c>
      <c r="BS8" s="48">
        <v>8</v>
      </c>
      <c r="BT8" s="64">
        <v>9</v>
      </c>
      <c r="BU8" s="48">
        <v>10</v>
      </c>
      <c r="BV8" s="48">
        <v>11</v>
      </c>
      <c r="BW8" s="48">
        <v>12</v>
      </c>
      <c r="BX8" s="64">
        <v>13</v>
      </c>
      <c r="BY8" s="48">
        <v>14</v>
      </c>
      <c r="BZ8" s="48">
        <v>15</v>
      </c>
      <c r="CA8" s="48">
        <v>16</v>
      </c>
      <c r="CB8" s="64">
        <v>17</v>
      </c>
      <c r="CC8" s="48">
        <v>18</v>
      </c>
      <c r="CD8" s="48">
        <v>19</v>
      </c>
      <c r="CE8" s="48">
        <v>20</v>
      </c>
    </row>
    <row r="9" spans="1:83" ht="18" x14ac:dyDescent="0.3">
      <c r="A9" s="220">
        <v>1</v>
      </c>
      <c r="B9" s="221"/>
      <c r="C9" s="222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</row>
    <row r="10" spans="1:83" ht="18" x14ac:dyDescent="0.3">
      <c r="A10" s="220">
        <v>2</v>
      </c>
      <c r="B10" s="221"/>
      <c r="C10" s="222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</row>
    <row r="11" spans="1:83" ht="18" x14ac:dyDescent="0.3">
      <c r="A11" s="220">
        <v>3</v>
      </c>
      <c r="B11" s="221"/>
      <c r="C11" s="222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</row>
    <row r="12" spans="1:83" ht="18" x14ac:dyDescent="0.3">
      <c r="A12" s="220">
        <v>4</v>
      </c>
      <c r="B12" s="221"/>
      <c r="C12" s="222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</row>
    <row r="13" spans="1:83" ht="18" x14ac:dyDescent="0.3">
      <c r="A13" s="220">
        <v>5</v>
      </c>
      <c r="B13" s="221"/>
      <c r="C13" s="222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</row>
    <row r="14" spans="1:83" ht="18" x14ac:dyDescent="0.3">
      <c r="A14" s="220">
        <v>6</v>
      </c>
      <c r="B14" s="221"/>
      <c r="C14" s="222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</row>
    <row r="15" spans="1:83" ht="18" x14ac:dyDescent="0.3">
      <c r="A15" s="220">
        <v>7</v>
      </c>
      <c r="B15" s="221"/>
      <c r="C15" s="222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</row>
    <row r="16" spans="1:83" ht="18" x14ac:dyDescent="0.3">
      <c r="A16" s="220">
        <v>8</v>
      </c>
      <c r="B16" s="221"/>
      <c r="C16" s="222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</row>
    <row r="17" spans="1:83" ht="18" x14ac:dyDescent="0.3">
      <c r="A17" s="220">
        <v>9</v>
      </c>
      <c r="B17" s="221"/>
      <c r="C17" s="222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</row>
    <row r="18" spans="1:83" ht="18" x14ac:dyDescent="0.3">
      <c r="A18" s="220">
        <v>10</v>
      </c>
      <c r="B18" s="221"/>
      <c r="C18" s="222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</row>
    <row r="19" spans="1:83" ht="18" x14ac:dyDescent="0.3">
      <c r="A19" s="220">
        <v>11</v>
      </c>
      <c r="B19" s="221"/>
      <c r="C19" s="222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</row>
    <row r="20" spans="1:83" ht="18" x14ac:dyDescent="0.3">
      <c r="A20" s="220">
        <v>12</v>
      </c>
      <c r="B20" s="221"/>
      <c r="C20" s="222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</row>
    <row r="21" spans="1:83" ht="18" x14ac:dyDescent="0.3">
      <c r="A21" s="220">
        <v>13</v>
      </c>
      <c r="B21" s="221"/>
      <c r="C21" s="222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</row>
    <row r="22" spans="1:83" ht="18" x14ac:dyDescent="0.3">
      <c r="A22" s="220">
        <v>14</v>
      </c>
      <c r="B22" s="221"/>
      <c r="C22" s="222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</row>
    <row r="23" spans="1:83" ht="18" x14ac:dyDescent="0.3">
      <c r="A23" s="220">
        <v>15</v>
      </c>
      <c r="B23" s="221"/>
      <c r="C23" s="222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</row>
    <row r="24" spans="1:83" ht="18" x14ac:dyDescent="0.3">
      <c r="A24" s="220">
        <v>16</v>
      </c>
      <c r="B24" s="221"/>
      <c r="C24" s="222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</row>
    <row r="25" spans="1:83" ht="18" x14ac:dyDescent="0.3">
      <c r="A25" s="220">
        <v>17</v>
      </c>
      <c r="B25" s="221"/>
      <c r="C25" s="222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</row>
    <row r="26" spans="1:83" ht="18" x14ac:dyDescent="0.3">
      <c r="A26" s="220">
        <v>18</v>
      </c>
      <c r="B26" s="221"/>
      <c r="C26" s="222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</row>
    <row r="27" spans="1:83" ht="18" x14ac:dyDescent="0.3">
      <c r="A27" s="220">
        <v>19</v>
      </c>
      <c r="B27" s="221"/>
      <c r="C27" s="222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</row>
    <row r="28" spans="1:83" ht="18" x14ac:dyDescent="0.3">
      <c r="A28" s="220">
        <v>20</v>
      </c>
      <c r="B28" s="221"/>
      <c r="C28" s="222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</row>
    <row r="29" spans="1:83" ht="18" x14ac:dyDescent="0.3">
      <c r="A29" s="220">
        <v>21</v>
      </c>
      <c r="B29" s="221"/>
      <c r="C29" s="222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</row>
    <row r="30" spans="1:83" ht="18" x14ac:dyDescent="0.3">
      <c r="A30" s="220">
        <v>22</v>
      </c>
      <c r="B30" s="221"/>
      <c r="C30" s="222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</row>
    <row r="31" spans="1:83" ht="18" x14ac:dyDescent="0.3">
      <c r="A31" s="220">
        <v>23</v>
      </c>
      <c r="B31" s="221"/>
      <c r="C31" s="222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</row>
    <row r="32" spans="1:83" ht="18" x14ac:dyDescent="0.3">
      <c r="A32" s="220">
        <v>24</v>
      </c>
      <c r="B32" s="221"/>
      <c r="C32" s="222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</row>
    <row r="33" spans="1:83" ht="18" x14ac:dyDescent="0.3">
      <c r="A33" s="220">
        <v>25</v>
      </c>
      <c r="B33" s="221"/>
      <c r="C33" s="222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</row>
    <row r="34" spans="1:83" ht="18" x14ac:dyDescent="0.3">
      <c r="A34" s="220">
        <v>26</v>
      </c>
      <c r="B34" s="221"/>
      <c r="C34" s="222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</row>
    <row r="35" spans="1:83" ht="18" x14ac:dyDescent="0.3">
      <c r="A35" s="220">
        <v>27</v>
      </c>
      <c r="B35" s="221"/>
      <c r="C35" s="222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</row>
    <row r="36" spans="1:83" ht="18" x14ac:dyDescent="0.3">
      <c r="A36" s="220">
        <v>28</v>
      </c>
      <c r="B36" s="221"/>
      <c r="C36" s="222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</row>
    <row r="37" spans="1:83" ht="18" x14ac:dyDescent="0.3">
      <c r="A37" s="220">
        <v>29</v>
      </c>
      <c r="B37" s="221"/>
      <c r="C37" s="222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</row>
    <row r="38" spans="1:83" ht="18" x14ac:dyDescent="0.3">
      <c r="A38" s="220">
        <v>30</v>
      </c>
      <c r="B38" s="221"/>
      <c r="C38" s="222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</row>
    <row r="39" spans="1:83" ht="18" x14ac:dyDescent="0.3">
      <c r="A39" s="220">
        <v>31</v>
      </c>
      <c r="B39" s="221"/>
      <c r="C39" s="222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</row>
    <row r="40" spans="1:83" ht="18" x14ac:dyDescent="0.3">
      <c r="A40" s="220">
        <v>32</v>
      </c>
      <c r="B40" s="221"/>
      <c r="C40" s="222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</row>
    <row r="41" spans="1:83" ht="18" x14ac:dyDescent="0.3">
      <c r="A41" s="220">
        <v>33</v>
      </c>
      <c r="B41" s="221"/>
      <c r="C41" s="222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</row>
    <row r="42" spans="1:83" ht="18" x14ac:dyDescent="0.3">
      <c r="A42" s="220">
        <v>34</v>
      </c>
      <c r="B42" s="221"/>
      <c r="C42" s="222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</row>
    <row r="43" spans="1:83" ht="18" x14ac:dyDescent="0.3">
      <c r="A43" s="220">
        <v>35</v>
      </c>
      <c r="B43" s="221"/>
      <c r="C43" s="222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</row>
    <row r="44" spans="1:83" ht="18" x14ac:dyDescent="0.3">
      <c r="A44" s="220">
        <v>36</v>
      </c>
      <c r="B44" s="221"/>
      <c r="C44" s="222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</row>
    <row r="45" spans="1:83" ht="18" x14ac:dyDescent="0.3">
      <c r="A45" s="220">
        <v>37</v>
      </c>
      <c r="B45" s="221"/>
      <c r="C45" s="222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</row>
    <row r="46" spans="1:83" ht="18" x14ac:dyDescent="0.3">
      <c r="A46" s="220">
        <v>38</v>
      </c>
      <c r="B46" s="221"/>
      <c r="C46" s="222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</row>
    <row r="47" spans="1:83" ht="18" x14ac:dyDescent="0.3">
      <c r="A47" s="220">
        <v>39</v>
      </c>
      <c r="B47" s="221"/>
      <c r="C47" s="222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</row>
    <row r="48" spans="1:83" ht="18" x14ac:dyDescent="0.3">
      <c r="A48" s="220">
        <v>40</v>
      </c>
      <c r="B48" s="221"/>
      <c r="C48" s="222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</row>
    <row r="49" spans="1:83" ht="18" x14ac:dyDescent="0.3">
      <c r="A49" s="220">
        <v>41</v>
      </c>
      <c r="B49" s="221"/>
      <c r="C49" s="222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</row>
    <row r="50" spans="1:83" ht="18" x14ac:dyDescent="0.3">
      <c r="A50" s="220">
        <v>42</v>
      </c>
      <c r="B50" s="221"/>
      <c r="C50" s="222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</row>
    <row r="51" spans="1:83" ht="18" x14ac:dyDescent="0.3">
      <c r="A51" s="220">
        <v>43</v>
      </c>
      <c r="B51" s="221"/>
      <c r="C51" s="222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</row>
    <row r="52" spans="1:83" ht="18" x14ac:dyDescent="0.3">
      <c r="A52" s="220">
        <v>44</v>
      </c>
      <c r="B52" s="221"/>
      <c r="C52" s="222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</row>
    <row r="53" spans="1:83" ht="18" x14ac:dyDescent="0.3">
      <c r="A53" s="220">
        <v>45</v>
      </c>
      <c r="B53" s="221"/>
      <c r="C53" s="222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</row>
    <row r="54" spans="1:83" ht="18" x14ac:dyDescent="0.3">
      <c r="A54" s="220">
        <v>46</v>
      </c>
      <c r="B54" s="221"/>
      <c r="C54" s="222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</row>
    <row r="55" spans="1:83" ht="18" x14ac:dyDescent="0.3">
      <c r="A55" s="220">
        <v>47</v>
      </c>
      <c r="B55" s="221"/>
      <c r="C55" s="222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</row>
    <row r="56" spans="1:83" ht="18" x14ac:dyDescent="0.3">
      <c r="A56" s="220">
        <v>48</v>
      </c>
      <c r="B56" s="221"/>
      <c r="C56" s="222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</row>
    <row r="57" spans="1:83" ht="18" x14ac:dyDescent="0.3">
      <c r="A57" s="220">
        <v>49</v>
      </c>
      <c r="B57" s="221"/>
      <c r="C57" s="222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</row>
    <row r="58" spans="1:83" ht="18" x14ac:dyDescent="0.3">
      <c r="A58" s="220">
        <v>50</v>
      </c>
      <c r="B58" s="221"/>
      <c r="C58" s="222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</row>
    <row r="59" spans="1:83" ht="18" x14ac:dyDescent="0.3">
      <c r="A59" s="220">
        <v>51</v>
      </c>
      <c r="B59" s="221"/>
      <c r="C59" s="222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</row>
    <row r="60" spans="1:83" ht="18" x14ac:dyDescent="0.3">
      <c r="A60" s="220">
        <v>52</v>
      </c>
      <c r="B60" s="221"/>
      <c r="C60" s="223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</row>
    <row r="61" spans="1:83" ht="18" x14ac:dyDescent="0.3">
      <c r="A61" s="220">
        <v>53</v>
      </c>
      <c r="B61" s="221"/>
      <c r="C61" s="223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</row>
    <row r="62" spans="1:83" ht="18" x14ac:dyDescent="0.3">
      <c r="A62" s="220">
        <v>54</v>
      </c>
      <c r="B62" s="221"/>
      <c r="C62" s="222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</row>
    <row r="63" spans="1:83" ht="18" x14ac:dyDescent="0.3">
      <c r="A63" s="220">
        <v>55</v>
      </c>
      <c r="B63" s="221"/>
      <c r="C63" s="222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</row>
    <row r="64" spans="1:83" ht="18" x14ac:dyDescent="0.3">
      <c r="A64" s="220">
        <v>56</v>
      </c>
      <c r="B64" s="221"/>
      <c r="C64" s="222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</row>
    <row r="65" spans="1:83" ht="18" x14ac:dyDescent="0.3">
      <c r="A65" s="220">
        <v>57</v>
      </c>
      <c r="B65" s="221"/>
      <c r="C65" s="222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</row>
    <row r="66" spans="1:83" x14ac:dyDescent="0.3">
      <c r="A66" s="220">
        <v>58</v>
      </c>
      <c r="B66" s="224"/>
      <c r="C66" s="224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</row>
    <row r="67" spans="1:83" x14ac:dyDescent="0.3">
      <c r="A67" s="220">
        <v>59</v>
      </c>
      <c r="B67" s="224"/>
      <c r="C67" s="224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</row>
    <row r="68" spans="1:83" x14ac:dyDescent="0.3">
      <c r="A68" s="220">
        <v>60</v>
      </c>
      <c r="B68" s="224"/>
      <c r="C68" s="224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</row>
    <row r="69" spans="1:83" x14ac:dyDescent="0.3">
      <c r="A69" s="220">
        <v>61</v>
      </c>
      <c r="B69" s="224"/>
      <c r="C69" s="224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</row>
    <row r="70" spans="1:83" x14ac:dyDescent="0.3">
      <c r="A70" s="220">
        <v>62</v>
      </c>
      <c r="B70" s="224"/>
      <c r="C70" s="224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</row>
    <row r="71" spans="1:83" x14ac:dyDescent="0.3">
      <c r="A71" s="220">
        <v>63</v>
      </c>
      <c r="B71" s="224"/>
      <c r="C71" s="224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</row>
    <row r="72" spans="1:83" x14ac:dyDescent="0.3">
      <c r="A72" s="220">
        <v>64</v>
      </c>
      <c r="B72" s="224"/>
      <c r="C72" s="224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</row>
    <row r="73" spans="1:83" x14ac:dyDescent="0.3">
      <c r="A73" s="220">
        <v>65</v>
      </c>
      <c r="B73" s="224"/>
      <c r="C73" s="224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</row>
    <row r="74" spans="1:83" ht="27.6" x14ac:dyDescent="0.3">
      <c r="C74" s="225" t="s">
        <v>62</v>
      </c>
      <c r="D74" s="226">
        <f>COUNTIFS(D9:D73,"&lt;&gt;AB",D9:D73,"&lt;&gt;NA",D9:D73,"&lt;&gt;")</f>
        <v>0</v>
      </c>
      <c r="E74" s="226">
        <f t="shared" ref="E74:BP74" si="0">COUNTIFS(E9:E73,"&lt;&gt;AB",E9:E73,"&lt;&gt;NA",E9:E73,"&lt;&gt;")</f>
        <v>0</v>
      </c>
      <c r="F74" s="226">
        <f t="shared" si="0"/>
        <v>0</v>
      </c>
      <c r="G74" s="226">
        <f t="shared" si="0"/>
        <v>0</v>
      </c>
      <c r="H74" s="226">
        <f t="shared" si="0"/>
        <v>0</v>
      </c>
      <c r="I74" s="226">
        <f t="shared" si="0"/>
        <v>0</v>
      </c>
      <c r="J74" s="226">
        <f t="shared" si="0"/>
        <v>0</v>
      </c>
      <c r="K74" s="226">
        <f t="shared" si="0"/>
        <v>0</v>
      </c>
      <c r="L74" s="226">
        <f t="shared" si="0"/>
        <v>0</v>
      </c>
      <c r="M74" s="226">
        <f t="shared" si="0"/>
        <v>0</v>
      </c>
      <c r="N74" s="226">
        <f t="shared" si="0"/>
        <v>0</v>
      </c>
      <c r="O74" s="226">
        <f t="shared" si="0"/>
        <v>0</v>
      </c>
      <c r="P74" s="226">
        <f t="shared" si="0"/>
        <v>0</v>
      </c>
      <c r="Q74" s="226">
        <f t="shared" si="0"/>
        <v>0</v>
      </c>
      <c r="R74" s="226">
        <f t="shared" si="0"/>
        <v>0</v>
      </c>
      <c r="S74" s="226">
        <f t="shared" si="0"/>
        <v>0</v>
      </c>
      <c r="T74" s="226">
        <f t="shared" si="0"/>
        <v>0</v>
      </c>
      <c r="U74" s="226">
        <f t="shared" si="0"/>
        <v>0</v>
      </c>
      <c r="V74" s="226">
        <f t="shared" si="0"/>
        <v>0</v>
      </c>
      <c r="W74" s="226">
        <f t="shared" si="0"/>
        <v>0</v>
      </c>
      <c r="X74" s="226">
        <f t="shared" si="0"/>
        <v>0</v>
      </c>
      <c r="Y74" s="226">
        <f t="shared" si="0"/>
        <v>0</v>
      </c>
      <c r="Z74" s="226">
        <f t="shared" si="0"/>
        <v>0</v>
      </c>
      <c r="AA74" s="226">
        <f t="shared" si="0"/>
        <v>0</v>
      </c>
      <c r="AB74" s="226">
        <f t="shared" si="0"/>
        <v>0</v>
      </c>
      <c r="AC74" s="226">
        <f t="shared" si="0"/>
        <v>0</v>
      </c>
      <c r="AD74" s="226">
        <f t="shared" si="0"/>
        <v>0</v>
      </c>
      <c r="AE74" s="226">
        <f t="shared" si="0"/>
        <v>0</v>
      </c>
      <c r="AF74" s="226">
        <f t="shared" si="0"/>
        <v>0</v>
      </c>
      <c r="AG74" s="226">
        <f t="shared" si="0"/>
        <v>0</v>
      </c>
      <c r="AH74" s="226">
        <f t="shared" si="0"/>
        <v>0</v>
      </c>
      <c r="AI74" s="226">
        <f t="shared" si="0"/>
        <v>0</v>
      </c>
      <c r="AJ74" s="226">
        <f t="shared" si="0"/>
        <v>0</v>
      </c>
      <c r="AK74" s="226">
        <f t="shared" si="0"/>
        <v>0</v>
      </c>
      <c r="AL74" s="226">
        <f t="shared" si="0"/>
        <v>0</v>
      </c>
      <c r="AM74" s="226">
        <f t="shared" si="0"/>
        <v>0</v>
      </c>
      <c r="AN74" s="226">
        <f t="shared" si="0"/>
        <v>0</v>
      </c>
      <c r="AO74" s="226">
        <f t="shared" si="0"/>
        <v>0</v>
      </c>
      <c r="AP74" s="226">
        <f t="shared" si="0"/>
        <v>0</v>
      </c>
      <c r="AQ74" s="226">
        <f t="shared" si="0"/>
        <v>0</v>
      </c>
      <c r="AR74" s="226">
        <f t="shared" si="0"/>
        <v>0</v>
      </c>
      <c r="AS74" s="226">
        <f t="shared" si="0"/>
        <v>0</v>
      </c>
      <c r="AT74" s="226">
        <f t="shared" si="0"/>
        <v>0</v>
      </c>
      <c r="AU74" s="226">
        <f t="shared" si="0"/>
        <v>0</v>
      </c>
      <c r="AV74" s="226">
        <f t="shared" si="0"/>
        <v>0</v>
      </c>
      <c r="AW74" s="226">
        <f t="shared" si="0"/>
        <v>0</v>
      </c>
      <c r="AX74" s="226">
        <f t="shared" si="0"/>
        <v>0</v>
      </c>
      <c r="AY74" s="226">
        <f t="shared" si="0"/>
        <v>0</v>
      </c>
      <c r="AZ74" s="226">
        <f t="shared" si="0"/>
        <v>0</v>
      </c>
      <c r="BA74" s="226">
        <f t="shared" si="0"/>
        <v>0</v>
      </c>
      <c r="BB74" s="226">
        <f t="shared" si="0"/>
        <v>0</v>
      </c>
      <c r="BC74" s="226">
        <f t="shared" si="0"/>
        <v>0</v>
      </c>
      <c r="BD74" s="226">
        <f t="shared" si="0"/>
        <v>0</v>
      </c>
      <c r="BE74" s="226">
        <f t="shared" si="0"/>
        <v>0</v>
      </c>
      <c r="BF74" s="226">
        <f t="shared" si="0"/>
        <v>0</v>
      </c>
      <c r="BG74" s="226">
        <f t="shared" si="0"/>
        <v>0</v>
      </c>
      <c r="BH74" s="226">
        <f t="shared" si="0"/>
        <v>0</v>
      </c>
      <c r="BI74" s="226">
        <f t="shared" si="0"/>
        <v>0</v>
      </c>
      <c r="BJ74" s="226">
        <f t="shared" si="0"/>
        <v>0</v>
      </c>
      <c r="BK74" s="226">
        <f t="shared" si="0"/>
        <v>0</v>
      </c>
      <c r="BL74" s="226">
        <f t="shared" si="0"/>
        <v>0</v>
      </c>
      <c r="BM74" s="226">
        <f t="shared" si="0"/>
        <v>0</v>
      </c>
      <c r="BN74" s="226">
        <f t="shared" si="0"/>
        <v>0</v>
      </c>
      <c r="BO74" s="226">
        <f t="shared" si="0"/>
        <v>0</v>
      </c>
      <c r="BP74" s="226">
        <f t="shared" si="0"/>
        <v>0</v>
      </c>
      <c r="BQ74" s="226">
        <f t="shared" ref="BQ74:CE74" si="1">COUNTIFS(BQ9:BQ73,"&lt;&gt;AB",BQ9:BQ73,"&lt;&gt;NA",BQ9:BQ73,"&lt;&gt;")</f>
        <v>0</v>
      </c>
      <c r="BR74" s="226">
        <f t="shared" si="1"/>
        <v>0</v>
      </c>
      <c r="BS74" s="226">
        <f t="shared" si="1"/>
        <v>0</v>
      </c>
      <c r="BT74" s="226">
        <f t="shared" si="1"/>
        <v>0</v>
      </c>
      <c r="BU74" s="226">
        <f t="shared" si="1"/>
        <v>0</v>
      </c>
      <c r="BV74" s="226">
        <f t="shared" si="1"/>
        <v>0</v>
      </c>
      <c r="BW74" s="226">
        <f t="shared" si="1"/>
        <v>0</v>
      </c>
      <c r="BX74" s="226">
        <f t="shared" si="1"/>
        <v>0</v>
      </c>
      <c r="BY74" s="226">
        <f t="shared" si="1"/>
        <v>0</v>
      </c>
      <c r="BZ74" s="226">
        <f t="shared" si="1"/>
        <v>0</v>
      </c>
      <c r="CA74" s="226">
        <f t="shared" si="1"/>
        <v>0</v>
      </c>
      <c r="CB74" s="226">
        <f t="shared" si="1"/>
        <v>0</v>
      </c>
      <c r="CC74" s="226">
        <f t="shared" si="1"/>
        <v>0</v>
      </c>
      <c r="CD74" s="226">
        <f t="shared" si="1"/>
        <v>0</v>
      </c>
      <c r="CE74" s="226">
        <f t="shared" si="1"/>
        <v>0</v>
      </c>
    </row>
    <row r="75" spans="1:83" ht="23.25" customHeight="1" x14ac:dyDescent="0.3">
      <c r="C75" s="227" t="s">
        <v>56</v>
      </c>
      <c r="D75" s="226">
        <f>SUM(D9:D73)</f>
        <v>0</v>
      </c>
      <c r="E75" s="226">
        <f t="shared" ref="E75:BP75" si="2">SUM(E9:E73)</f>
        <v>0</v>
      </c>
      <c r="F75" s="226">
        <f t="shared" si="2"/>
        <v>0</v>
      </c>
      <c r="G75" s="226">
        <f t="shared" si="2"/>
        <v>0</v>
      </c>
      <c r="H75" s="226">
        <f t="shared" si="2"/>
        <v>0</v>
      </c>
      <c r="I75" s="226">
        <f t="shared" si="2"/>
        <v>0</v>
      </c>
      <c r="J75" s="226">
        <f t="shared" si="2"/>
        <v>0</v>
      </c>
      <c r="K75" s="226">
        <f t="shared" si="2"/>
        <v>0</v>
      </c>
      <c r="L75" s="226">
        <f t="shared" si="2"/>
        <v>0</v>
      </c>
      <c r="M75" s="226">
        <f t="shared" si="2"/>
        <v>0</v>
      </c>
      <c r="N75" s="226">
        <f t="shared" si="2"/>
        <v>0</v>
      </c>
      <c r="O75" s="226">
        <f t="shared" si="2"/>
        <v>0</v>
      </c>
      <c r="P75" s="226">
        <f t="shared" si="2"/>
        <v>0</v>
      </c>
      <c r="Q75" s="226">
        <f t="shared" si="2"/>
        <v>0</v>
      </c>
      <c r="R75" s="226">
        <f t="shared" si="2"/>
        <v>0</v>
      </c>
      <c r="S75" s="226">
        <f t="shared" si="2"/>
        <v>0</v>
      </c>
      <c r="T75" s="226">
        <f t="shared" si="2"/>
        <v>0</v>
      </c>
      <c r="U75" s="226">
        <f t="shared" si="2"/>
        <v>0</v>
      </c>
      <c r="V75" s="226">
        <f t="shared" si="2"/>
        <v>0</v>
      </c>
      <c r="W75" s="226">
        <f t="shared" si="2"/>
        <v>0</v>
      </c>
      <c r="X75" s="226">
        <f t="shared" si="2"/>
        <v>0</v>
      </c>
      <c r="Y75" s="226">
        <f t="shared" si="2"/>
        <v>0</v>
      </c>
      <c r="Z75" s="226">
        <f t="shared" si="2"/>
        <v>0</v>
      </c>
      <c r="AA75" s="226">
        <f t="shared" si="2"/>
        <v>0</v>
      </c>
      <c r="AB75" s="226">
        <f t="shared" si="2"/>
        <v>0</v>
      </c>
      <c r="AC75" s="226">
        <f t="shared" si="2"/>
        <v>0</v>
      </c>
      <c r="AD75" s="226">
        <f t="shared" si="2"/>
        <v>0</v>
      </c>
      <c r="AE75" s="226">
        <f t="shared" si="2"/>
        <v>0</v>
      </c>
      <c r="AF75" s="226">
        <f t="shared" si="2"/>
        <v>0</v>
      </c>
      <c r="AG75" s="226">
        <f t="shared" si="2"/>
        <v>0</v>
      </c>
      <c r="AH75" s="226">
        <f t="shared" si="2"/>
        <v>0</v>
      </c>
      <c r="AI75" s="226">
        <f t="shared" si="2"/>
        <v>0</v>
      </c>
      <c r="AJ75" s="226">
        <f t="shared" si="2"/>
        <v>0</v>
      </c>
      <c r="AK75" s="226">
        <f t="shared" si="2"/>
        <v>0</v>
      </c>
      <c r="AL75" s="226">
        <f t="shared" si="2"/>
        <v>0</v>
      </c>
      <c r="AM75" s="226">
        <f t="shared" si="2"/>
        <v>0</v>
      </c>
      <c r="AN75" s="226">
        <f t="shared" si="2"/>
        <v>0</v>
      </c>
      <c r="AO75" s="226">
        <f t="shared" si="2"/>
        <v>0</v>
      </c>
      <c r="AP75" s="226">
        <f t="shared" si="2"/>
        <v>0</v>
      </c>
      <c r="AQ75" s="226">
        <f t="shared" si="2"/>
        <v>0</v>
      </c>
      <c r="AR75" s="226">
        <f t="shared" si="2"/>
        <v>0</v>
      </c>
      <c r="AS75" s="226">
        <f t="shared" si="2"/>
        <v>0</v>
      </c>
      <c r="AT75" s="226">
        <f t="shared" si="2"/>
        <v>0</v>
      </c>
      <c r="AU75" s="226">
        <f t="shared" si="2"/>
        <v>0</v>
      </c>
      <c r="AV75" s="226">
        <f t="shared" si="2"/>
        <v>0</v>
      </c>
      <c r="AW75" s="226">
        <f t="shared" si="2"/>
        <v>0</v>
      </c>
      <c r="AX75" s="226">
        <f t="shared" si="2"/>
        <v>0</v>
      </c>
      <c r="AY75" s="226">
        <f t="shared" si="2"/>
        <v>0</v>
      </c>
      <c r="AZ75" s="226">
        <f t="shared" si="2"/>
        <v>0</v>
      </c>
      <c r="BA75" s="226">
        <f t="shared" si="2"/>
        <v>0</v>
      </c>
      <c r="BB75" s="226">
        <f t="shared" si="2"/>
        <v>0</v>
      </c>
      <c r="BC75" s="226">
        <f t="shared" si="2"/>
        <v>0</v>
      </c>
      <c r="BD75" s="226">
        <f t="shared" si="2"/>
        <v>0</v>
      </c>
      <c r="BE75" s="226">
        <f t="shared" si="2"/>
        <v>0</v>
      </c>
      <c r="BF75" s="226">
        <f t="shared" si="2"/>
        <v>0</v>
      </c>
      <c r="BG75" s="226">
        <f t="shared" si="2"/>
        <v>0</v>
      </c>
      <c r="BH75" s="226">
        <f t="shared" si="2"/>
        <v>0</v>
      </c>
      <c r="BI75" s="226">
        <f t="shared" si="2"/>
        <v>0</v>
      </c>
      <c r="BJ75" s="226">
        <f t="shared" si="2"/>
        <v>0</v>
      </c>
      <c r="BK75" s="226">
        <f t="shared" si="2"/>
        <v>0</v>
      </c>
      <c r="BL75" s="226">
        <f t="shared" si="2"/>
        <v>0</v>
      </c>
      <c r="BM75" s="226">
        <f t="shared" si="2"/>
        <v>0</v>
      </c>
      <c r="BN75" s="226">
        <f t="shared" si="2"/>
        <v>0</v>
      </c>
      <c r="BO75" s="226">
        <f t="shared" si="2"/>
        <v>0</v>
      </c>
      <c r="BP75" s="226">
        <f t="shared" si="2"/>
        <v>0</v>
      </c>
      <c r="BQ75" s="226">
        <f t="shared" ref="BQ75:CE75" si="3">SUM(BQ9:BQ73)</f>
        <v>0</v>
      </c>
      <c r="BR75" s="226">
        <f t="shared" si="3"/>
        <v>0</v>
      </c>
      <c r="BS75" s="226">
        <f t="shared" si="3"/>
        <v>0</v>
      </c>
      <c r="BT75" s="226">
        <f t="shared" si="3"/>
        <v>0</v>
      </c>
      <c r="BU75" s="226">
        <f t="shared" si="3"/>
        <v>0</v>
      </c>
      <c r="BV75" s="226">
        <f t="shared" si="3"/>
        <v>0</v>
      </c>
      <c r="BW75" s="226">
        <f t="shared" si="3"/>
        <v>0</v>
      </c>
      <c r="BX75" s="226">
        <f t="shared" si="3"/>
        <v>0</v>
      </c>
      <c r="BY75" s="226">
        <f t="shared" si="3"/>
        <v>0</v>
      </c>
      <c r="BZ75" s="226">
        <f t="shared" si="3"/>
        <v>0</v>
      </c>
      <c r="CA75" s="226">
        <f t="shared" si="3"/>
        <v>0</v>
      </c>
      <c r="CB75" s="226">
        <f t="shared" si="3"/>
        <v>0</v>
      </c>
      <c r="CC75" s="226">
        <f t="shared" si="3"/>
        <v>0</v>
      </c>
      <c r="CD75" s="226">
        <f t="shared" si="3"/>
        <v>0</v>
      </c>
      <c r="CE75" s="226">
        <f t="shared" si="3"/>
        <v>0</v>
      </c>
    </row>
    <row r="76" spans="1:83" x14ac:dyDescent="0.3">
      <c r="B76" s="53"/>
      <c r="C76" s="54" t="s">
        <v>57</v>
      </c>
      <c r="D76" s="228">
        <f t="shared" ref="D76:BO76" si="4">IF(D74&lt;&gt;0,((D75/D74)/D6)*100,0)</f>
        <v>0</v>
      </c>
      <c r="E76" s="228">
        <f t="shared" si="4"/>
        <v>0</v>
      </c>
      <c r="F76" s="228">
        <f t="shared" si="4"/>
        <v>0</v>
      </c>
      <c r="G76" s="228">
        <f t="shared" si="4"/>
        <v>0</v>
      </c>
      <c r="H76" s="228">
        <f t="shared" si="4"/>
        <v>0</v>
      </c>
      <c r="I76" s="228">
        <f t="shared" si="4"/>
        <v>0</v>
      </c>
      <c r="J76" s="228">
        <f t="shared" si="4"/>
        <v>0</v>
      </c>
      <c r="K76" s="228">
        <f t="shared" si="4"/>
        <v>0</v>
      </c>
      <c r="L76" s="228">
        <f t="shared" si="4"/>
        <v>0</v>
      </c>
      <c r="M76" s="228">
        <f t="shared" si="4"/>
        <v>0</v>
      </c>
      <c r="N76" s="228">
        <f t="shared" si="4"/>
        <v>0</v>
      </c>
      <c r="O76" s="228">
        <f t="shared" si="4"/>
        <v>0</v>
      </c>
      <c r="P76" s="228">
        <f t="shared" si="4"/>
        <v>0</v>
      </c>
      <c r="Q76" s="228">
        <f t="shared" si="4"/>
        <v>0</v>
      </c>
      <c r="R76" s="228">
        <f t="shared" si="4"/>
        <v>0</v>
      </c>
      <c r="S76" s="228">
        <f t="shared" si="4"/>
        <v>0</v>
      </c>
      <c r="T76" s="228">
        <f t="shared" si="4"/>
        <v>0</v>
      </c>
      <c r="U76" s="228">
        <f t="shared" si="4"/>
        <v>0</v>
      </c>
      <c r="V76" s="228">
        <f t="shared" si="4"/>
        <v>0</v>
      </c>
      <c r="W76" s="228">
        <f t="shared" si="4"/>
        <v>0</v>
      </c>
      <c r="X76" s="228">
        <f t="shared" si="4"/>
        <v>0</v>
      </c>
      <c r="Y76" s="228">
        <f t="shared" si="4"/>
        <v>0</v>
      </c>
      <c r="Z76" s="228">
        <f t="shared" si="4"/>
        <v>0</v>
      </c>
      <c r="AA76" s="228">
        <f t="shared" si="4"/>
        <v>0</v>
      </c>
      <c r="AB76" s="228">
        <f t="shared" si="4"/>
        <v>0</v>
      </c>
      <c r="AC76" s="228">
        <f t="shared" si="4"/>
        <v>0</v>
      </c>
      <c r="AD76" s="228">
        <f t="shared" si="4"/>
        <v>0</v>
      </c>
      <c r="AE76" s="228">
        <f t="shared" si="4"/>
        <v>0</v>
      </c>
      <c r="AF76" s="228">
        <f t="shared" si="4"/>
        <v>0</v>
      </c>
      <c r="AG76" s="228">
        <f t="shared" si="4"/>
        <v>0</v>
      </c>
      <c r="AH76" s="228">
        <f t="shared" si="4"/>
        <v>0</v>
      </c>
      <c r="AI76" s="228">
        <f t="shared" si="4"/>
        <v>0</v>
      </c>
      <c r="AJ76" s="228">
        <f t="shared" si="4"/>
        <v>0</v>
      </c>
      <c r="AK76" s="228">
        <f t="shared" si="4"/>
        <v>0</v>
      </c>
      <c r="AL76" s="228">
        <f t="shared" si="4"/>
        <v>0</v>
      </c>
      <c r="AM76" s="228">
        <f t="shared" si="4"/>
        <v>0</v>
      </c>
      <c r="AN76" s="228">
        <f t="shared" si="4"/>
        <v>0</v>
      </c>
      <c r="AO76" s="228">
        <f t="shared" si="4"/>
        <v>0</v>
      </c>
      <c r="AP76" s="228">
        <f t="shared" si="4"/>
        <v>0</v>
      </c>
      <c r="AQ76" s="228">
        <f t="shared" si="4"/>
        <v>0</v>
      </c>
      <c r="AR76" s="228">
        <f t="shared" si="4"/>
        <v>0</v>
      </c>
      <c r="AS76" s="228">
        <f t="shared" si="4"/>
        <v>0</v>
      </c>
      <c r="AT76" s="228">
        <f t="shared" si="4"/>
        <v>0</v>
      </c>
      <c r="AU76" s="228">
        <f t="shared" si="4"/>
        <v>0</v>
      </c>
      <c r="AV76" s="228">
        <f t="shared" si="4"/>
        <v>0</v>
      </c>
      <c r="AW76" s="228">
        <f t="shared" si="4"/>
        <v>0</v>
      </c>
      <c r="AX76" s="228">
        <f t="shared" si="4"/>
        <v>0</v>
      </c>
      <c r="AY76" s="228">
        <f t="shared" si="4"/>
        <v>0</v>
      </c>
      <c r="AZ76" s="228">
        <f t="shared" si="4"/>
        <v>0</v>
      </c>
      <c r="BA76" s="228">
        <f t="shared" si="4"/>
        <v>0</v>
      </c>
      <c r="BB76" s="228">
        <f t="shared" si="4"/>
        <v>0</v>
      </c>
      <c r="BC76" s="228">
        <f t="shared" si="4"/>
        <v>0</v>
      </c>
      <c r="BD76" s="228">
        <f t="shared" si="4"/>
        <v>0</v>
      </c>
      <c r="BE76" s="228">
        <f t="shared" si="4"/>
        <v>0</v>
      </c>
      <c r="BF76" s="228">
        <f t="shared" si="4"/>
        <v>0</v>
      </c>
      <c r="BG76" s="228">
        <f t="shared" si="4"/>
        <v>0</v>
      </c>
      <c r="BH76" s="228">
        <f t="shared" si="4"/>
        <v>0</v>
      </c>
      <c r="BI76" s="228">
        <f t="shared" si="4"/>
        <v>0</v>
      </c>
      <c r="BJ76" s="228">
        <f t="shared" si="4"/>
        <v>0</v>
      </c>
      <c r="BK76" s="228">
        <f t="shared" si="4"/>
        <v>0</v>
      </c>
      <c r="BL76" s="228">
        <f t="shared" si="4"/>
        <v>0</v>
      </c>
      <c r="BM76" s="228">
        <f t="shared" si="4"/>
        <v>0</v>
      </c>
      <c r="BN76" s="228">
        <f t="shared" si="4"/>
        <v>0</v>
      </c>
      <c r="BO76" s="228">
        <f t="shared" si="4"/>
        <v>0</v>
      </c>
      <c r="BP76" s="228">
        <f t="shared" ref="BP76:CE76" si="5">IF(BP74&lt;&gt;0,((BP75/BP74)/BP6)*100,0)</f>
        <v>0</v>
      </c>
      <c r="BQ76" s="228">
        <f t="shared" si="5"/>
        <v>0</v>
      </c>
      <c r="BR76" s="228">
        <f t="shared" si="5"/>
        <v>0</v>
      </c>
      <c r="BS76" s="228">
        <f t="shared" si="5"/>
        <v>0</v>
      </c>
      <c r="BT76" s="228">
        <f t="shared" si="5"/>
        <v>0</v>
      </c>
      <c r="BU76" s="228">
        <f t="shared" si="5"/>
        <v>0</v>
      </c>
      <c r="BV76" s="228">
        <f t="shared" si="5"/>
        <v>0</v>
      </c>
      <c r="BW76" s="228">
        <f t="shared" si="5"/>
        <v>0</v>
      </c>
      <c r="BX76" s="228">
        <f t="shared" si="5"/>
        <v>0</v>
      </c>
      <c r="BY76" s="228">
        <f t="shared" si="5"/>
        <v>0</v>
      </c>
      <c r="BZ76" s="228">
        <f t="shared" si="5"/>
        <v>0</v>
      </c>
      <c r="CA76" s="228">
        <f t="shared" si="5"/>
        <v>0</v>
      </c>
      <c r="CB76" s="228">
        <f t="shared" si="5"/>
        <v>0</v>
      </c>
      <c r="CC76" s="228">
        <f t="shared" si="5"/>
        <v>0</v>
      </c>
      <c r="CD76" s="228">
        <f t="shared" si="5"/>
        <v>0</v>
      </c>
      <c r="CE76" s="228">
        <f t="shared" si="5"/>
        <v>0</v>
      </c>
    </row>
    <row r="79" spans="1:83" ht="43.2" x14ac:dyDescent="0.3">
      <c r="C79" s="60" t="s">
        <v>190</v>
      </c>
      <c r="D79" s="61" t="s">
        <v>64</v>
      </c>
      <c r="E79" s="61" t="s">
        <v>65</v>
      </c>
      <c r="F79" s="61" t="s">
        <v>66</v>
      </c>
      <c r="G79" s="61" t="s">
        <v>67</v>
      </c>
      <c r="H79" s="61" t="s">
        <v>68</v>
      </c>
      <c r="I79" s="61" t="s">
        <v>69</v>
      </c>
      <c r="J79" s="61" t="s">
        <v>70</v>
      </c>
      <c r="K79" s="61" t="s">
        <v>71</v>
      </c>
      <c r="L79" s="61" t="s">
        <v>72</v>
      </c>
      <c r="M79" s="61" t="s">
        <v>73</v>
      </c>
    </row>
    <row r="80" spans="1:83" ht="15.6" x14ac:dyDescent="0.3">
      <c r="C80" s="229" t="s">
        <v>191</v>
      </c>
      <c r="D80" s="230">
        <f>IF(COUNTIFS($D$5:$AQ$5,"=1",$D$76:$AQ$76,"&lt;&gt;0")=0,0,SUMIF($D$5:$AQ$5,"=1",$D$76:$AQ$76)/COUNTIFS($D$5:$AQ$5,"=1",$D$76:$AQ$76,"&lt;&gt;0"))</f>
        <v>0</v>
      </c>
      <c r="E80" s="230">
        <f>IF(COUNTIFS($D$5:$AQ$5,"=2",$D$76:$AQ$76,"&lt;&gt;0")=0,0,SUMIF($D$5:$AQ$5,"=2",$D$76:$AQ$76)/COUNTIFS($D$5:$AQ$5,"=2",$D$76:$AQ$76,"&lt;&gt;0"))</f>
        <v>0</v>
      </c>
      <c r="F80" s="230">
        <f>IF(COUNTIFS($D$5:$AQ$5,"=3",$D$76:$AQ$76,"&lt;&gt;0")=0,0,SUMIF($D$5:$AQ$5,"=3",$D$76:$AQ$76)/COUNTIFS($D$5:$AQ$5,"=3",$D$76:$AQ$76,"&lt;&gt;0"))</f>
        <v>0</v>
      </c>
      <c r="G80" s="230">
        <f>IF(COUNTIFS($D$5:$AQ$5,"=4",$D$76:$AQ$76,"&lt;&gt;0")=0,0,SUMIF($D$5:$AQ$5,"=4",$D$76:$AQ$76)/COUNTIFS($D$5:$AQ$5,"=4",$D$76:$AQ$76,"&lt;&gt;0"))</f>
        <v>0</v>
      </c>
      <c r="H80" s="230">
        <f>IF(COUNTIFS($D$5:$AQ$5,"=5",$D$76:$AQ$76,"&lt;&gt;0")=0,0,SUMIF($D$5:$AQ$5,"=5",$D$76:$AQ$76)/COUNTIFS($D$5:$AQ$5,"=5",$D$76:$AQ$76,"&lt;&gt;0"))</f>
        <v>0</v>
      </c>
      <c r="I80" s="230">
        <f>IF(COUNTIFS($D$5:$AQ$5,"=6",$D$76:$AQ$76,"&lt;&gt;0")=0,0,SUMIF($D$5:$AQ$5,"=6",$D$76:$AQ$76)/COUNTIFS($D$5:$AQ$5,"=6",$D$76:$AQ$76,"&lt;&gt;0"))</f>
        <v>0</v>
      </c>
      <c r="J80" s="230">
        <f>IF(COUNTIFS($D$5:$AQ$5,"=7",$D$76:$AQ$76,"&lt;&gt;0")=0,0,SUMIF($D$5:$AQ$5,"=7",$D$76:$AQ$76)/COUNTIFS($D$5:$AQ$5,"=7",$D$76:$AQ$76,"&lt;&gt;0"))</f>
        <v>0</v>
      </c>
      <c r="K80" s="230">
        <f>IF(COUNTIFS($D$5:$AQ$5,"=8",$D$76:$AQ$76,"&lt;&gt;0")=0,0,SUMIF($D$5:$AQ$5,"=8",$D$76:$AQ$76)/COUNTIFS($D$5:$AQ$5,"=8",$D$76:$AQ$76,"&lt;&gt;0"))</f>
        <v>0</v>
      </c>
      <c r="L80" s="230">
        <f>IF(COUNTIFS($D$5:$AQ$5,"=9",$D$76:$AQ$76,"&lt;&gt;0")=0,0,SUMIF($D$5:$AQ$5,"=9",$D$76:$AQ$76)/COUNTIFS($D$5:$AQ$5,"=9",$D$76:$AQ$76,"&lt;&gt;0"))</f>
        <v>0</v>
      </c>
      <c r="M80" s="230">
        <f>IF(COUNTIFS($D$5:$AQ$5,"=10",$D$76:$AQ$76,"&lt;&gt;0")=0,0,SUMIF($D$5:$AQ$5,"=10",$D$76:$AQ$76)/COUNTIFS($D$5:$AQ$5,"=10",$D$76:$AQ$76,"&lt;&gt;0"))</f>
        <v>0</v>
      </c>
    </row>
    <row r="84" spans="3:15" ht="28.8" x14ac:dyDescent="0.3">
      <c r="C84" s="60" t="s">
        <v>75</v>
      </c>
      <c r="D84" s="61" t="s">
        <v>76</v>
      </c>
      <c r="E84" s="61" t="s">
        <v>77</v>
      </c>
      <c r="F84" s="61" t="s">
        <v>78</v>
      </c>
      <c r="G84" s="61" t="s">
        <v>79</v>
      </c>
      <c r="H84" s="61" t="s">
        <v>80</v>
      </c>
      <c r="I84" s="61" t="s">
        <v>81</v>
      </c>
      <c r="J84" s="61" t="s">
        <v>82</v>
      </c>
      <c r="K84" s="61" t="s">
        <v>83</v>
      </c>
      <c r="L84" s="61" t="s">
        <v>84</v>
      </c>
      <c r="M84" s="61" t="s">
        <v>85</v>
      </c>
      <c r="N84" s="61" t="s">
        <v>86</v>
      </c>
      <c r="O84" s="61" t="s">
        <v>87</v>
      </c>
    </row>
    <row r="85" spans="3:15" ht="18" x14ac:dyDescent="0.35">
      <c r="C85" s="62" t="s">
        <v>88</v>
      </c>
      <c r="D85" s="231">
        <f>IF(COUNTIFS($D$4:$O$4,"=*1*",$D76:$O76,"&lt;&gt;0")=0,0,SUMIF($D$4:$O$4,"=*1*",$D76:$O76)/COUNTIFS($D$4:$O$4,"=*1*",$D76:$O76,"&lt;&gt;0"))</f>
        <v>0</v>
      </c>
      <c r="E85" s="231">
        <f>IF(COUNTIFS($D$4:$O$4,"=*2*",$D76:$O76,"&lt;&gt;0")=0,0,SUMIF($D$4:$O$4,"=*2*",$D76:$O76)/COUNTIFS($D$4:$O$4,"=*2*",$D76:$O76,"&lt;&gt;0"))</f>
        <v>0</v>
      </c>
      <c r="F85" s="231">
        <f>IF(COUNTIFS($D$4:$O$4,"=*3*",$D76:$O76,"&lt;&gt;0")=0,0,SUMIF($D$4:$O$4,"=*3*",$D76:$O76)/COUNTIFS($D$4:$O$4,"=*3*",$D76:$O76,"&lt;&gt;0"))</f>
        <v>0</v>
      </c>
      <c r="G85" s="231">
        <f>IF(COUNTIFS($D$4:$O$4,"=*4*",$D76:$O76,"&lt;&gt;0")=0,0,SUMIF($D$4:$O$4,"=*4*",$D76:$O76)/COUNTIFS($D$4:$O$4,"=*4*",$D76:$O76,"&lt;&gt;0"))</f>
        <v>0</v>
      </c>
      <c r="H85" s="231">
        <f>IF(COUNTIFS($D$4:$O$4,"=*5*",$D76:$O76,"&lt;&gt;0")=0,0,SUMIF($D$4:$O$4,"=*5*",$D76:$O76)/COUNTIFS($D$4:$O$4,"=*5*",$D76:$O76,"&lt;&gt;0"))</f>
        <v>0</v>
      </c>
      <c r="I85" s="231">
        <f>IF(COUNTIFS($D$4:$O$4,"=*6*",$D76:$O76,"&lt;&gt;0")=0,0,SUMIF($D$4:$O$4,"=*6*",$D76:$O76)/COUNTIFS($D$4:$O$4,"=*6*",$D76:$O76,"&lt;&gt;0"))</f>
        <v>0</v>
      </c>
      <c r="J85" s="231">
        <f>IF(COUNTIFS($D$4:$O$4,"=*7*",$D76:$O76,"&lt;&gt;0")=0,0,SUMIF($D$4:$O$4,"=*7*",$D76:$O76)/COUNTIFS($D$4:$O$4,"=*7*",$D76:$O76,"&lt;&gt;0"))</f>
        <v>0</v>
      </c>
      <c r="K85" s="231">
        <f>IF(COUNTIFS($D$4:$O$4,"=*8*",$D76:$O76,"&lt;&gt;0")=0,0,SUMIF($D$4:$O$4,"=*8*",$D76:$O76)/COUNTIFS($D$4:$O$4,"=*8*",$D76:$O76,"&lt;&gt;0"))</f>
        <v>0</v>
      </c>
      <c r="L85" s="231">
        <f>IF(COUNTIFS($D$4:$O$4,"=*9*",$D76:$O76,"&lt;&gt;0")=0,0,SUMIF($D$4:$O$4,"=*9*",$D76:$O76)/COUNTIFS($D$4:$O$4,"=*9*",$D76:$O76,"&lt;&gt;0"))</f>
        <v>0</v>
      </c>
      <c r="M85" s="231">
        <f>IF(COUNTIFS($D$4:$O$4,"=*10*",$D76:$O76,"&lt;&gt;0")=0,0,SUMIF($D$4:$O$4,"=*10*",$D76:$O76)/COUNTIFS($D$4:$O$4,"=*10*",$D76:$O76,"&lt;&gt;0"))</f>
        <v>0</v>
      </c>
      <c r="N85" s="231">
        <f>IF(COUNTIFS($D$4:$O$4,"=*11*",$D76:$O76,"&lt;&gt;0")=0,0,SUMIF($D$4:$O$4,"=*11*",$D76:$O76)/COUNTIFS($D$4:$O$4,"=*11*",$D76:$O76,"&lt;&gt;0"))</f>
        <v>0</v>
      </c>
      <c r="O85" s="231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conditionalFormatting sqref="B9:B58">
    <cfRule type="duplicateValues" dxfId="6" priority="1"/>
  </conditionalFormatting>
  <conditionalFormatting sqref="B59:B65">
    <cfRule type="duplicateValues" dxfId="5" priority="2"/>
  </conditionalFormatting>
  <conditionalFormatting sqref="B9:C58 C59 C62:C65">
    <cfRule type="expression" dxfId="4" priority="4" stopIfTrue="1">
      <formula>AND(COUNTIF($B$9:$C$58, B9)+COUNTIF($C$59:$C$59, B9)+COUNTIF($C$62:$C$65, B9)&gt;1,NOT(ISBLANK(B9)))</formula>
    </cfRule>
  </conditionalFormatting>
  <conditionalFormatting sqref="C9:C32 C34:C35 C58:C73">
    <cfRule type="containsText" dxfId="3" priority="3" stopIfTrue="1" operator="containsText" text="F">
      <formula>NOT(ISERROR(SEARCH("F",C9)))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E85"/>
  <sheetViews>
    <sheetView workbookViewId="0">
      <selection activeCell="E10" sqref="E10"/>
    </sheetView>
  </sheetViews>
  <sheetFormatPr defaultColWidth="9" defaultRowHeight="14.4" x14ac:dyDescent="0.3"/>
  <cols>
    <col min="1" max="1" width="6.6640625" customWidth="1"/>
    <col min="2" max="2" width="12.33203125" customWidth="1"/>
    <col min="3" max="3" width="29.33203125" customWidth="1"/>
    <col min="4" max="4" width="3.88671875" customWidth="1"/>
    <col min="5" max="5" width="4.33203125" customWidth="1"/>
    <col min="6" max="6" width="4.6640625" customWidth="1"/>
    <col min="7" max="83" width="3.88671875" customWidth="1"/>
    <col min="257" max="257" width="6.6640625" customWidth="1"/>
    <col min="258" max="258" width="12.33203125" customWidth="1"/>
    <col min="259" max="259" width="29.33203125" customWidth="1"/>
    <col min="260" max="260" width="3.88671875" customWidth="1"/>
    <col min="261" max="261" width="4.33203125" customWidth="1"/>
    <col min="262" max="262" width="4.6640625" customWidth="1"/>
    <col min="263" max="339" width="3.88671875" customWidth="1"/>
    <col min="513" max="513" width="6.6640625" customWidth="1"/>
    <col min="514" max="514" width="12.33203125" customWidth="1"/>
    <col min="515" max="515" width="29.33203125" customWidth="1"/>
    <col min="516" max="516" width="3.88671875" customWidth="1"/>
    <col min="517" max="517" width="4.33203125" customWidth="1"/>
    <col min="518" max="518" width="4.6640625" customWidth="1"/>
    <col min="519" max="595" width="3.88671875" customWidth="1"/>
    <col min="769" max="769" width="6.6640625" customWidth="1"/>
    <col min="770" max="770" width="12.33203125" customWidth="1"/>
    <col min="771" max="771" width="29.33203125" customWidth="1"/>
    <col min="772" max="772" width="3.88671875" customWidth="1"/>
    <col min="773" max="773" width="4.33203125" customWidth="1"/>
    <col min="774" max="774" width="4.6640625" customWidth="1"/>
    <col min="775" max="851" width="3.88671875" customWidth="1"/>
    <col min="1025" max="1025" width="6.6640625" customWidth="1"/>
    <col min="1026" max="1026" width="12.33203125" customWidth="1"/>
    <col min="1027" max="1027" width="29.33203125" customWidth="1"/>
    <col min="1028" max="1028" width="3.88671875" customWidth="1"/>
    <col min="1029" max="1029" width="4.33203125" customWidth="1"/>
    <col min="1030" max="1030" width="4.6640625" customWidth="1"/>
    <col min="1031" max="1107" width="3.88671875" customWidth="1"/>
    <col min="1281" max="1281" width="6.6640625" customWidth="1"/>
    <col min="1282" max="1282" width="12.33203125" customWidth="1"/>
    <col min="1283" max="1283" width="29.33203125" customWidth="1"/>
    <col min="1284" max="1284" width="3.88671875" customWidth="1"/>
    <col min="1285" max="1285" width="4.33203125" customWidth="1"/>
    <col min="1286" max="1286" width="4.6640625" customWidth="1"/>
    <col min="1287" max="1363" width="3.88671875" customWidth="1"/>
    <col min="1537" max="1537" width="6.6640625" customWidth="1"/>
    <col min="1538" max="1538" width="12.33203125" customWidth="1"/>
    <col min="1539" max="1539" width="29.33203125" customWidth="1"/>
    <col min="1540" max="1540" width="3.88671875" customWidth="1"/>
    <col min="1541" max="1541" width="4.33203125" customWidth="1"/>
    <col min="1542" max="1542" width="4.6640625" customWidth="1"/>
    <col min="1543" max="1619" width="3.88671875" customWidth="1"/>
    <col min="1793" max="1793" width="6.6640625" customWidth="1"/>
    <col min="1794" max="1794" width="12.33203125" customWidth="1"/>
    <col min="1795" max="1795" width="29.33203125" customWidth="1"/>
    <col min="1796" max="1796" width="3.88671875" customWidth="1"/>
    <col min="1797" max="1797" width="4.33203125" customWidth="1"/>
    <col min="1798" max="1798" width="4.6640625" customWidth="1"/>
    <col min="1799" max="1875" width="3.88671875" customWidth="1"/>
    <col min="2049" max="2049" width="6.6640625" customWidth="1"/>
    <col min="2050" max="2050" width="12.33203125" customWidth="1"/>
    <col min="2051" max="2051" width="29.33203125" customWidth="1"/>
    <col min="2052" max="2052" width="3.88671875" customWidth="1"/>
    <col min="2053" max="2053" width="4.33203125" customWidth="1"/>
    <col min="2054" max="2054" width="4.6640625" customWidth="1"/>
    <col min="2055" max="2131" width="3.88671875" customWidth="1"/>
    <col min="2305" max="2305" width="6.6640625" customWidth="1"/>
    <col min="2306" max="2306" width="12.33203125" customWidth="1"/>
    <col min="2307" max="2307" width="29.33203125" customWidth="1"/>
    <col min="2308" max="2308" width="3.88671875" customWidth="1"/>
    <col min="2309" max="2309" width="4.33203125" customWidth="1"/>
    <col min="2310" max="2310" width="4.6640625" customWidth="1"/>
    <col min="2311" max="2387" width="3.88671875" customWidth="1"/>
    <col min="2561" max="2561" width="6.6640625" customWidth="1"/>
    <col min="2562" max="2562" width="12.33203125" customWidth="1"/>
    <col min="2563" max="2563" width="29.33203125" customWidth="1"/>
    <col min="2564" max="2564" width="3.88671875" customWidth="1"/>
    <col min="2565" max="2565" width="4.33203125" customWidth="1"/>
    <col min="2566" max="2566" width="4.6640625" customWidth="1"/>
    <col min="2567" max="2643" width="3.88671875" customWidth="1"/>
    <col min="2817" max="2817" width="6.6640625" customWidth="1"/>
    <col min="2818" max="2818" width="12.33203125" customWidth="1"/>
    <col min="2819" max="2819" width="29.33203125" customWidth="1"/>
    <col min="2820" max="2820" width="3.88671875" customWidth="1"/>
    <col min="2821" max="2821" width="4.33203125" customWidth="1"/>
    <col min="2822" max="2822" width="4.6640625" customWidth="1"/>
    <col min="2823" max="2899" width="3.88671875" customWidth="1"/>
    <col min="3073" max="3073" width="6.6640625" customWidth="1"/>
    <col min="3074" max="3074" width="12.33203125" customWidth="1"/>
    <col min="3075" max="3075" width="29.33203125" customWidth="1"/>
    <col min="3076" max="3076" width="3.88671875" customWidth="1"/>
    <col min="3077" max="3077" width="4.33203125" customWidth="1"/>
    <col min="3078" max="3078" width="4.6640625" customWidth="1"/>
    <col min="3079" max="3155" width="3.88671875" customWidth="1"/>
    <col min="3329" max="3329" width="6.6640625" customWidth="1"/>
    <col min="3330" max="3330" width="12.33203125" customWidth="1"/>
    <col min="3331" max="3331" width="29.33203125" customWidth="1"/>
    <col min="3332" max="3332" width="3.88671875" customWidth="1"/>
    <col min="3333" max="3333" width="4.33203125" customWidth="1"/>
    <col min="3334" max="3334" width="4.6640625" customWidth="1"/>
    <col min="3335" max="3411" width="3.88671875" customWidth="1"/>
    <col min="3585" max="3585" width="6.6640625" customWidth="1"/>
    <col min="3586" max="3586" width="12.33203125" customWidth="1"/>
    <col min="3587" max="3587" width="29.33203125" customWidth="1"/>
    <col min="3588" max="3588" width="3.88671875" customWidth="1"/>
    <col min="3589" max="3589" width="4.33203125" customWidth="1"/>
    <col min="3590" max="3590" width="4.6640625" customWidth="1"/>
    <col min="3591" max="3667" width="3.88671875" customWidth="1"/>
    <col min="3841" max="3841" width="6.6640625" customWidth="1"/>
    <col min="3842" max="3842" width="12.33203125" customWidth="1"/>
    <col min="3843" max="3843" width="29.33203125" customWidth="1"/>
    <col min="3844" max="3844" width="3.88671875" customWidth="1"/>
    <col min="3845" max="3845" width="4.33203125" customWidth="1"/>
    <col min="3846" max="3846" width="4.6640625" customWidth="1"/>
    <col min="3847" max="3923" width="3.88671875" customWidth="1"/>
    <col min="4097" max="4097" width="6.6640625" customWidth="1"/>
    <col min="4098" max="4098" width="12.33203125" customWidth="1"/>
    <col min="4099" max="4099" width="29.33203125" customWidth="1"/>
    <col min="4100" max="4100" width="3.88671875" customWidth="1"/>
    <col min="4101" max="4101" width="4.33203125" customWidth="1"/>
    <col min="4102" max="4102" width="4.6640625" customWidth="1"/>
    <col min="4103" max="4179" width="3.88671875" customWidth="1"/>
    <col min="4353" max="4353" width="6.6640625" customWidth="1"/>
    <col min="4354" max="4354" width="12.33203125" customWidth="1"/>
    <col min="4355" max="4355" width="29.33203125" customWidth="1"/>
    <col min="4356" max="4356" width="3.88671875" customWidth="1"/>
    <col min="4357" max="4357" width="4.33203125" customWidth="1"/>
    <col min="4358" max="4358" width="4.6640625" customWidth="1"/>
    <col min="4359" max="4435" width="3.88671875" customWidth="1"/>
    <col min="4609" max="4609" width="6.6640625" customWidth="1"/>
    <col min="4610" max="4610" width="12.33203125" customWidth="1"/>
    <col min="4611" max="4611" width="29.33203125" customWidth="1"/>
    <col min="4612" max="4612" width="3.88671875" customWidth="1"/>
    <col min="4613" max="4613" width="4.33203125" customWidth="1"/>
    <col min="4614" max="4614" width="4.6640625" customWidth="1"/>
    <col min="4615" max="4691" width="3.88671875" customWidth="1"/>
    <col min="4865" max="4865" width="6.6640625" customWidth="1"/>
    <col min="4866" max="4866" width="12.33203125" customWidth="1"/>
    <col min="4867" max="4867" width="29.33203125" customWidth="1"/>
    <col min="4868" max="4868" width="3.88671875" customWidth="1"/>
    <col min="4869" max="4869" width="4.33203125" customWidth="1"/>
    <col min="4870" max="4870" width="4.6640625" customWidth="1"/>
    <col min="4871" max="4947" width="3.88671875" customWidth="1"/>
    <col min="5121" max="5121" width="6.6640625" customWidth="1"/>
    <col min="5122" max="5122" width="12.33203125" customWidth="1"/>
    <col min="5123" max="5123" width="29.33203125" customWidth="1"/>
    <col min="5124" max="5124" width="3.88671875" customWidth="1"/>
    <col min="5125" max="5125" width="4.33203125" customWidth="1"/>
    <col min="5126" max="5126" width="4.6640625" customWidth="1"/>
    <col min="5127" max="5203" width="3.88671875" customWidth="1"/>
    <col min="5377" max="5377" width="6.6640625" customWidth="1"/>
    <col min="5378" max="5378" width="12.33203125" customWidth="1"/>
    <col min="5379" max="5379" width="29.33203125" customWidth="1"/>
    <col min="5380" max="5380" width="3.88671875" customWidth="1"/>
    <col min="5381" max="5381" width="4.33203125" customWidth="1"/>
    <col min="5382" max="5382" width="4.6640625" customWidth="1"/>
    <col min="5383" max="5459" width="3.88671875" customWidth="1"/>
    <col min="5633" max="5633" width="6.6640625" customWidth="1"/>
    <col min="5634" max="5634" width="12.33203125" customWidth="1"/>
    <col min="5635" max="5635" width="29.33203125" customWidth="1"/>
    <col min="5636" max="5636" width="3.88671875" customWidth="1"/>
    <col min="5637" max="5637" width="4.33203125" customWidth="1"/>
    <col min="5638" max="5638" width="4.6640625" customWidth="1"/>
    <col min="5639" max="5715" width="3.88671875" customWidth="1"/>
    <col min="5889" max="5889" width="6.6640625" customWidth="1"/>
    <col min="5890" max="5890" width="12.33203125" customWidth="1"/>
    <col min="5891" max="5891" width="29.33203125" customWidth="1"/>
    <col min="5892" max="5892" width="3.88671875" customWidth="1"/>
    <col min="5893" max="5893" width="4.33203125" customWidth="1"/>
    <col min="5894" max="5894" width="4.6640625" customWidth="1"/>
    <col min="5895" max="5971" width="3.88671875" customWidth="1"/>
    <col min="6145" max="6145" width="6.6640625" customWidth="1"/>
    <col min="6146" max="6146" width="12.33203125" customWidth="1"/>
    <col min="6147" max="6147" width="29.33203125" customWidth="1"/>
    <col min="6148" max="6148" width="3.88671875" customWidth="1"/>
    <col min="6149" max="6149" width="4.33203125" customWidth="1"/>
    <col min="6150" max="6150" width="4.6640625" customWidth="1"/>
    <col min="6151" max="6227" width="3.88671875" customWidth="1"/>
    <col min="6401" max="6401" width="6.6640625" customWidth="1"/>
    <col min="6402" max="6402" width="12.33203125" customWidth="1"/>
    <col min="6403" max="6403" width="29.33203125" customWidth="1"/>
    <col min="6404" max="6404" width="3.88671875" customWidth="1"/>
    <col min="6405" max="6405" width="4.33203125" customWidth="1"/>
    <col min="6406" max="6406" width="4.6640625" customWidth="1"/>
    <col min="6407" max="6483" width="3.88671875" customWidth="1"/>
    <col min="6657" max="6657" width="6.6640625" customWidth="1"/>
    <col min="6658" max="6658" width="12.33203125" customWidth="1"/>
    <col min="6659" max="6659" width="29.33203125" customWidth="1"/>
    <col min="6660" max="6660" width="3.88671875" customWidth="1"/>
    <col min="6661" max="6661" width="4.33203125" customWidth="1"/>
    <col min="6662" max="6662" width="4.6640625" customWidth="1"/>
    <col min="6663" max="6739" width="3.88671875" customWidth="1"/>
    <col min="6913" max="6913" width="6.6640625" customWidth="1"/>
    <col min="6914" max="6914" width="12.33203125" customWidth="1"/>
    <col min="6915" max="6915" width="29.33203125" customWidth="1"/>
    <col min="6916" max="6916" width="3.88671875" customWidth="1"/>
    <col min="6917" max="6917" width="4.33203125" customWidth="1"/>
    <col min="6918" max="6918" width="4.6640625" customWidth="1"/>
    <col min="6919" max="6995" width="3.88671875" customWidth="1"/>
    <col min="7169" max="7169" width="6.6640625" customWidth="1"/>
    <col min="7170" max="7170" width="12.33203125" customWidth="1"/>
    <col min="7171" max="7171" width="29.33203125" customWidth="1"/>
    <col min="7172" max="7172" width="3.88671875" customWidth="1"/>
    <col min="7173" max="7173" width="4.33203125" customWidth="1"/>
    <col min="7174" max="7174" width="4.6640625" customWidth="1"/>
    <col min="7175" max="7251" width="3.88671875" customWidth="1"/>
    <col min="7425" max="7425" width="6.6640625" customWidth="1"/>
    <col min="7426" max="7426" width="12.33203125" customWidth="1"/>
    <col min="7427" max="7427" width="29.33203125" customWidth="1"/>
    <col min="7428" max="7428" width="3.88671875" customWidth="1"/>
    <col min="7429" max="7429" width="4.33203125" customWidth="1"/>
    <col min="7430" max="7430" width="4.6640625" customWidth="1"/>
    <col min="7431" max="7507" width="3.88671875" customWidth="1"/>
    <col min="7681" max="7681" width="6.6640625" customWidth="1"/>
    <col min="7682" max="7682" width="12.33203125" customWidth="1"/>
    <col min="7683" max="7683" width="29.33203125" customWidth="1"/>
    <col min="7684" max="7684" width="3.88671875" customWidth="1"/>
    <col min="7685" max="7685" width="4.33203125" customWidth="1"/>
    <col min="7686" max="7686" width="4.6640625" customWidth="1"/>
    <col min="7687" max="7763" width="3.88671875" customWidth="1"/>
    <col min="7937" max="7937" width="6.6640625" customWidth="1"/>
    <col min="7938" max="7938" width="12.33203125" customWidth="1"/>
    <col min="7939" max="7939" width="29.33203125" customWidth="1"/>
    <col min="7940" max="7940" width="3.88671875" customWidth="1"/>
    <col min="7941" max="7941" width="4.33203125" customWidth="1"/>
    <col min="7942" max="7942" width="4.6640625" customWidth="1"/>
    <col min="7943" max="8019" width="3.88671875" customWidth="1"/>
    <col min="8193" max="8193" width="6.6640625" customWidth="1"/>
    <col min="8194" max="8194" width="12.33203125" customWidth="1"/>
    <col min="8195" max="8195" width="29.33203125" customWidth="1"/>
    <col min="8196" max="8196" width="3.88671875" customWidth="1"/>
    <col min="8197" max="8197" width="4.33203125" customWidth="1"/>
    <col min="8198" max="8198" width="4.6640625" customWidth="1"/>
    <col min="8199" max="8275" width="3.88671875" customWidth="1"/>
    <col min="8449" max="8449" width="6.6640625" customWidth="1"/>
    <col min="8450" max="8450" width="12.33203125" customWidth="1"/>
    <col min="8451" max="8451" width="29.33203125" customWidth="1"/>
    <col min="8452" max="8452" width="3.88671875" customWidth="1"/>
    <col min="8453" max="8453" width="4.33203125" customWidth="1"/>
    <col min="8454" max="8454" width="4.6640625" customWidth="1"/>
    <col min="8455" max="8531" width="3.88671875" customWidth="1"/>
    <col min="8705" max="8705" width="6.6640625" customWidth="1"/>
    <col min="8706" max="8706" width="12.33203125" customWidth="1"/>
    <col min="8707" max="8707" width="29.33203125" customWidth="1"/>
    <col min="8708" max="8708" width="3.88671875" customWidth="1"/>
    <col min="8709" max="8709" width="4.33203125" customWidth="1"/>
    <col min="8710" max="8710" width="4.6640625" customWidth="1"/>
    <col min="8711" max="8787" width="3.88671875" customWidth="1"/>
    <col min="8961" max="8961" width="6.6640625" customWidth="1"/>
    <col min="8962" max="8962" width="12.33203125" customWidth="1"/>
    <col min="8963" max="8963" width="29.33203125" customWidth="1"/>
    <col min="8964" max="8964" width="3.88671875" customWidth="1"/>
    <col min="8965" max="8965" width="4.33203125" customWidth="1"/>
    <col min="8966" max="8966" width="4.6640625" customWidth="1"/>
    <col min="8967" max="9043" width="3.88671875" customWidth="1"/>
    <col min="9217" max="9217" width="6.6640625" customWidth="1"/>
    <col min="9218" max="9218" width="12.33203125" customWidth="1"/>
    <col min="9219" max="9219" width="29.33203125" customWidth="1"/>
    <col min="9220" max="9220" width="3.88671875" customWidth="1"/>
    <col min="9221" max="9221" width="4.33203125" customWidth="1"/>
    <col min="9222" max="9222" width="4.6640625" customWidth="1"/>
    <col min="9223" max="9299" width="3.88671875" customWidth="1"/>
    <col min="9473" max="9473" width="6.6640625" customWidth="1"/>
    <col min="9474" max="9474" width="12.33203125" customWidth="1"/>
    <col min="9475" max="9475" width="29.33203125" customWidth="1"/>
    <col min="9476" max="9476" width="3.88671875" customWidth="1"/>
    <col min="9477" max="9477" width="4.33203125" customWidth="1"/>
    <col min="9478" max="9478" width="4.6640625" customWidth="1"/>
    <col min="9479" max="9555" width="3.88671875" customWidth="1"/>
    <col min="9729" max="9729" width="6.6640625" customWidth="1"/>
    <col min="9730" max="9730" width="12.33203125" customWidth="1"/>
    <col min="9731" max="9731" width="29.33203125" customWidth="1"/>
    <col min="9732" max="9732" width="3.88671875" customWidth="1"/>
    <col min="9733" max="9733" width="4.33203125" customWidth="1"/>
    <col min="9734" max="9734" width="4.6640625" customWidth="1"/>
    <col min="9735" max="9811" width="3.88671875" customWidth="1"/>
    <col min="9985" max="9985" width="6.6640625" customWidth="1"/>
    <col min="9986" max="9986" width="12.33203125" customWidth="1"/>
    <col min="9987" max="9987" width="29.33203125" customWidth="1"/>
    <col min="9988" max="9988" width="3.88671875" customWidth="1"/>
    <col min="9989" max="9989" width="4.33203125" customWidth="1"/>
    <col min="9990" max="9990" width="4.6640625" customWidth="1"/>
    <col min="9991" max="10067" width="3.88671875" customWidth="1"/>
    <col min="10241" max="10241" width="6.6640625" customWidth="1"/>
    <col min="10242" max="10242" width="12.33203125" customWidth="1"/>
    <col min="10243" max="10243" width="29.33203125" customWidth="1"/>
    <col min="10244" max="10244" width="3.88671875" customWidth="1"/>
    <col min="10245" max="10245" width="4.33203125" customWidth="1"/>
    <col min="10246" max="10246" width="4.6640625" customWidth="1"/>
    <col min="10247" max="10323" width="3.88671875" customWidth="1"/>
    <col min="10497" max="10497" width="6.6640625" customWidth="1"/>
    <col min="10498" max="10498" width="12.33203125" customWidth="1"/>
    <col min="10499" max="10499" width="29.33203125" customWidth="1"/>
    <col min="10500" max="10500" width="3.88671875" customWidth="1"/>
    <col min="10501" max="10501" width="4.33203125" customWidth="1"/>
    <col min="10502" max="10502" width="4.6640625" customWidth="1"/>
    <col min="10503" max="10579" width="3.88671875" customWidth="1"/>
    <col min="10753" max="10753" width="6.6640625" customWidth="1"/>
    <col min="10754" max="10754" width="12.33203125" customWidth="1"/>
    <col min="10755" max="10755" width="29.33203125" customWidth="1"/>
    <col min="10756" max="10756" width="3.88671875" customWidth="1"/>
    <col min="10757" max="10757" width="4.33203125" customWidth="1"/>
    <col min="10758" max="10758" width="4.6640625" customWidth="1"/>
    <col min="10759" max="10835" width="3.88671875" customWidth="1"/>
    <col min="11009" max="11009" width="6.6640625" customWidth="1"/>
    <col min="11010" max="11010" width="12.33203125" customWidth="1"/>
    <col min="11011" max="11011" width="29.33203125" customWidth="1"/>
    <col min="11012" max="11012" width="3.88671875" customWidth="1"/>
    <col min="11013" max="11013" width="4.33203125" customWidth="1"/>
    <col min="11014" max="11014" width="4.6640625" customWidth="1"/>
    <col min="11015" max="11091" width="3.88671875" customWidth="1"/>
    <col min="11265" max="11265" width="6.6640625" customWidth="1"/>
    <col min="11266" max="11266" width="12.33203125" customWidth="1"/>
    <col min="11267" max="11267" width="29.33203125" customWidth="1"/>
    <col min="11268" max="11268" width="3.88671875" customWidth="1"/>
    <col min="11269" max="11269" width="4.33203125" customWidth="1"/>
    <col min="11270" max="11270" width="4.6640625" customWidth="1"/>
    <col min="11271" max="11347" width="3.88671875" customWidth="1"/>
    <col min="11521" max="11521" width="6.6640625" customWidth="1"/>
    <col min="11522" max="11522" width="12.33203125" customWidth="1"/>
    <col min="11523" max="11523" width="29.33203125" customWidth="1"/>
    <col min="11524" max="11524" width="3.88671875" customWidth="1"/>
    <col min="11525" max="11525" width="4.33203125" customWidth="1"/>
    <col min="11526" max="11526" width="4.6640625" customWidth="1"/>
    <col min="11527" max="11603" width="3.88671875" customWidth="1"/>
    <col min="11777" max="11777" width="6.6640625" customWidth="1"/>
    <col min="11778" max="11778" width="12.33203125" customWidth="1"/>
    <col min="11779" max="11779" width="29.33203125" customWidth="1"/>
    <col min="11780" max="11780" width="3.88671875" customWidth="1"/>
    <col min="11781" max="11781" width="4.33203125" customWidth="1"/>
    <col min="11782" max="11782" width="4.6640625" customWidth="1"/>
    <col min="11783" max="11859" width="3.88671875" customWidth="1"/>
    <col min="12033" max="12033" width="6.6640625" customWidth="1"/>
    <col min="12034" max="12034" width="12.33203125" customWidth="1"/>
    <col min="12035" max="12035" width="29.33203125" customWidth="1"/>
    <col min="12036" max="12036" width="3.88671875" customWidth="1"/>
    <col min="12037" max="12037" width="4.33203125" customWidth="1"/>
    <col min="12038" max="12038" width="4.6640625" customWidth="1"/>
    <col min="12039" max="12115" width="3.88671875" customWidth="1"/>
    <col min="12289" max="12289" width="6.6640625" customWidth="1"/>
    <col min="12290" max="12290" width="12.33203125" customWidth="1"/>
    <col min="12291" max="12291" width="29.33203125" customWidth="1"/>
    <col min="12292" max="12292" width="3.88671875" customWidth="1"/>
    <col min="12293" max="12293" width="4.33203125" customWidth="1"/>
    <col min="12294" max="12294" width="4.6640625" customWidth="1"/>
    <col min="12295" max="12371" width="3.88671875" customWidth="1"/>
    <col min="12545" max="12545" width="6.6640625" customWidth="1"/>
    <col min="12546" max="12546" width="12.33203125" customWidth="1"/>
    <col min="12547" max="12547" width="29.33203125" customWidth="1"/>
    <col min="12548" max="12548" width="3.88671875" customWidth="1"/>
    <col min="12549" max="12549" width="4.33203125" customWidth="1"/>
    <col min="12550" max="12550" width="4.6640625" customWidth="1"/>
    <col min="12551" max="12627" width="3.88671875" customWidth="1"/>
    <col min="12801" max="12801" width="6.6640625" customWidth="1"/>
    <col min="12802" max="12802" width="12.33203125" customWidth="1"/>
    <col min="12803" max="12803" width="29.33203125" customWidth="1"/>
    <col min="12804" max="12804" width="3.88671875" customWidth="1"/>
    <col min="12805" max="12805" width="4.33203125" customWidth="1"/>
    <col min="12806" max="12806" width="4.6640625" customWidth="1"/>
    <col min="12807" max="12883" width="3.88671875" customWidth="1"/>
    <col min="13057" max="13057" width="6.6640625" customWidth="1"/>
    <col min="13058" max="13058" width="12.33203125" customWidth="1"/>
    <col min="13059" max="13059" width="29.33203125" customWidth="1"/>
    <col min="13060" max="13060" width="3.88671875" customWidth="1"/>
    <col min="13061" max="13061" width="4.33203125" customWidth="1"/>
    <col min="13062" max="13062" width="4.6640625" customWidth="1"/>
    <col min="13063" max="13139" width="3.88671875" customWidth="1"/>
    <col min="13313" max="13313" width="6.6640625" customWidth="1"/>
    <col min="13314" max="13314" width="12.33203125" customWidth="1"/>
    <col min="13315" max="13315" width="29.33203125" customWidth="1"/>
    <col min="13316" max="13316" width="3.88671875" customWidth="1"/>
    <col min="13317" max="13317" width="4.33203125" customWidth="1"/>
    <col min="13318" max="13318" width="4.6640625" customWidth="1"/>
    <col min="13319" max="13395" width="3.88671875" customWidth="1"/>
    <col min="13569" max="13569" width="6.6640625" customWidth="1"/>
    <col min="13570" max="13570" width="12.33203125" customWidth="1"/>
    <col min="13571" max="13571" width="29.33203125" customWidth="1"/>
    <col min="13572" max="13572" width="3.88671875" customWidth="1"/>
    <col min="13573" max="13573" width="4.33203125" customWidth="1"/>
    <col min="13574" max="13574" width="4.6640625" customWidth="1"/>
    <col min="13575" max="13651" width="3.88671875" customWidth="1"/>
    <col min="13825" max="13825" width="6.6640625" customWidth="1"/>
    <col min="13826" max="13826" width="12.33203125" customWidth="1"/>
    <col min="13827" max="13827" width="29.33203125" customWidth="1"/>
    <col min="13828" max="13828" width="3.88671875" customWidth="1"/>
    <col min="13829" max="13829" width="4.33203125" customWidth="1"/>
    <col min="13830" max="13830" width="4.6640625" customWidth="1"/>
    <col min="13831" max="13907" width="3.88671875" customWidth="1"/>
    <col min="14081" max="14081" width="6.6640625" customWidth="1"/>
    <col min="14082" max="14082" width="12.33203125" customWidth="1"/>
    <col min="14083" max="14083" width="29.33203125" customWidth="1"/>
    <col min="14084" max="14084" width="3.88671875" customWidth="1"/>
    <col min="14085" max="14085" width="4.33203125" customWidth="1"/>
    <col min="14086" max="14086" width="4.6640625" customWidth="1"/>
    <col min="14087" max="14163" width="3.88671875" customWidth="1"/>
    <col min="14337" max="14337" width="6.6640625" customWidth="1"/>
    <col min="14338" max="14338" width="12.33203125" customWidth="1"/>
    <col min="14339" max="14339" width="29.33203125" customWidth="1"/>
    <col min="14340" max="14340" width="3.88671875" customWidth="1"/>
    <col min="14341" max="14341" width="4.33203125" customWidth="1"/>
    <col min="14342" max="14342" width="4.6640625" customWidth="1"/>
    <col min="14343" max="14419" width="3.88671875" customWidth="1"/>
    <col min="14593" max="14593" width="6.6640625" customWidth="1"/>
    <col min="14594" max="14594" width="12.33203125" customWidth="1"/>
    <col min="14595" max="14595" width="29.33203125" customWidth="1"/>
    <col min="14596" max="14596" width="3.88671875" customWidth="1"/>
    <col min="14597" max="14597" width="4.33203125" customWidth="1"/>
    <col min="14598" max="14598" width="4.6640625" customWidth="1"/>
    <col min="14599" max="14675" width="3.88671875" customWidth="1"/>
    <col min="14849" max="14849" width="6.6640625" customWidth="1"/>
    <col min="14850" max="14850" width="12.33203125" customWidth="1"/>
    <col min="14851" max="14851" width="29.33203125" customWidth="1"/>
    <col min="14852" max="14852" width="3.88671875" customWidth="1"/>
    <col min="14853" max="14853" width="4.33203125" customWidth="1"/>
    <col min="14854" max="14854" width="4.6640625" customWidth="1"/>
    <col min="14855" max="14931" width="3.88671875" customWidth="1"/>
    <col min="15105" max="15105" width="6.6640625" customWidth="1"/>
    <col min="15106" max="15106" width="12.33203125" customWidth="1"/>
    <col min="15107" max="15107" width="29.33203125" customWidth="1"/>
    <col min="15108" max="15108" width="3.88671875" customWidth="1"/>
    <col min="15109" max="15109" width="4.33203125" customWidth="1"/>
    <col min="15110" max="15110" width="4.6640625" customWidth="1"/>
    <col min="15111" max="15187" width="3.88671875" customWidth="1"/>
    <col min="15361" max="15361" width="6.6640625" customWidth="1"/>
    <col min="15362" max="15362" width="12.33203125" customWidth="1"/>
    <col min="15363" max="15363" width="29.33203125" customWidth="1"/>
    <col min="15364" max="15364" width="3.88671875" customWidth="1"/>
    <col min="15365" max="15365" width="4.33203125" customWidth="1"/>
    <col min="15366" max="15366" width="4.6640625" customWidth="1"/>
    <col min="15367" max="15443" width="3.88671875" customWidth="1"/>
    <col min="15617" max="15617" width="6.6640625" customWidth="1"/>
    <col min="15618" max="15618" width="12.33203125" customWidth="1"/>
    <col min="15619" max="15619" width="29.33203125" customWidth="1"/>
    <col min="15620" max="15620" width="3.88671875" customWidth="1"/>
    <col min="15621" max="15621" width="4.33203125" customWidth="1"/>
    <col min="15622" max="15622" width="4.6640625" customWidth="1"/>
    <col min="15623" max="15699" width="3.88671875" customWidth="1"/>
    <col min="15873" max="15873" width="6.6640625" customWidth="1"/>
    <col min="15874" max="15874" width="12.33203125" customWidth="1"/>
    <col min="15875" max="15875" width="29.33203125" customWidth="1"/>
    <col min="15876" max="15876" width="3.88671875" customWidth="1"/>
    <col min="15877" max="15877" width="4.33203125" customWidth="1"/>
    <col min="15878" max="15878" width="4.6640625" customWidth="1"/>
    <col min="15879" max="15955" width="3.88671875" customWidth="1"/>
    <col min="16129" max="16129" width="6.6640625" customWidth="1"/>
    <col min="16130" max="16130" width="12.33203125" customWidth="1"/>
    <col min="16131" max="16131" width="29.33203125" customWidth="1"/>
    <col min="16132" max="16132" width="3.88671875" customWidth="1"/>
    <col min="16133" max="16133" width="4.33203125" customWidth="1"/>
    <col min="16134" max="16134" width="4.6640625" customWidth="1"/>
    <col min="16135" max="16211" width="3.88671875" customWidth="1"/>
  </cols>
  <sheetData>
    <row r="1" spans="1:83" ht="23.4" x14ac:dyDescent="0.45">
      <c r="P1" s="215" t="s">
        <v>192</v>
      </c>
    </row>
    <row r="4" spans="1:83" ht="15.6" x14ac:dyDescent="0.3">
      <c r="C4" s="216" t="s">
        <v>185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</row>
    <row r="5" spans="1:83" x14ac:dyDescent="0.3">
      <c r="C5" s="217" t="s">
        <v>1</v>
      </c>
      <c r="D5" s="48">
        <v>1</v>
      </c>
      <c r="E5" s="48">
        <v>2</v>
      </c>
      <c r="F5" s="48">
        <v>1</v>
      </c>
      <c r="G5" s="48">
        <v>2</v>
      </c>
      <c r="H5" s="48">
        <v>3</v>
      </c>
      <c r="I5" s="48">
        <v>4</v>
      </c>
      <c r="J5" s="48">
        <v>5</v>
      </c>
      <c r="K5" s="48">
        <v>1</v>
      </c>
      <c r="L5" s="48">
        <v>2</v>
      </c>
      <c r="M5" s="48">
        <v>3</v>
      </c>
      <c r="N5" s="48">
        <v>4</v>
      </c>
      <c r="O5" s="48">
        <v>5</v>
      </c>
      <c r="P5" s="48">
        <v>1</v>
      </c>
      <c r="Q5" s="48">
        <v>2</v>
      </c>
      <c r="R5" s="48">
        <v>3</v>
      </c>
      <c r="S5" s="48">
        <v>4</v>
      </c>
      <c r="T5" s="48">
        <v>5</v>
      </c>
      <c r="U5" s="48">
        <v>1</v>
      </c>
      <c r="V5" s="48">
        <v>2</v>
      </c>
      <c r="W5" s="48">
        <v>3</v>
      </c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>
        <v>1</v>
      </c>
      <c r="AS5" s="48">
        <v>2</v>
      </c>
      <c r="AT5" s="48">
        <v>1</v>
      </c>
      <c r="AU5" s="48">
        <v>2</v>
      </c>
      <c r="AV5" s="48">
        <v>3</v>
      </c>
      <c r="AW5" s="48">
        <v>4</v>
      </c>
      <c r="AX5" s="48">
        <v>5</v>
      </c>
      <c r="AY5" s="48">
        <v>1</v>
      </c>
      <c r="AZ5" s="48">
        <v>2</v>
      </c>
      <c r="BA5" s="48">
        <v>3</v>
      </c>
      <c r="BB5" s="48">
        <v>4</v>
      </c>
      <c r="BC5" s="48">
        <v>5</v>
      </c>
      <c r="BD5" s="48">
        <v>1</v>
      </c>
      <c r="BE5" s="48">
        <v>2</v>
      </c>
      <c r="BF5" s="48">
        <v>3</v>
      </c>
      <c r="BG5" s="48">
        <v>4</v>
      </c>
      <c r="BH5" s="48">
        <v>5</v>
      </c>
      <c r="BI5" s="48">
        <v>1</v>
      </c>
      <c r="BJ5" s="48">
        <v>2</v>
      </c>
      <c r="BK5" s="48">
        <v>3</v>
      </c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</row>
    <row r="6" spans="1:83" ht="15.6" x14ac:dyDescent="0.3">
      <c r="C6" s="218" t="s">
        <v>12</v>
      </c>
      <c r="D6" s="64">
        <v>1</v>
      </c>
      <c r="E6" s="64">
        <v>1</v>
      </c>
      <c r="F6" s="64">
        <v>1</v>
      </c>
      <c r="G6" s="64">
        <v>1</v>
      </c>
      <c r="H6" s="64">
        <v>1</v>
      </c>
      <c r="I6" s="64">
        <v>1</v>
      </c>
      <c r="J6" s="64">
        <v>1</v>
      </c>
      <c r="K6" s="64">
        <v>1</v>
      </c>
      <c r="L6" s="64">
        <v>1</v>
      </c>
      <c r="M6" s="64">
        <v>1</v>
      </c>
      <c r="N6" s="64">
        <v>1</v>
      </c>
      <c r="O6" s="64">
        <v>1</v>
      </c>
      <c r="P6" s="64">
        <v>1</v>
      </c>
      <c r="Q6" s="64">
        <v>1</v>
      </c>
      <c r="R6" s="64">
        <v>1</v>
      </c>
      <c r="S6" s="64">
        <v>1</v>
      </c>
      <c r="T6" s="64">
        <v>1</v>
      </c>
      <c r="U6" s="64">
        <v>1</v>
      </c>
      <c r="V6" s="64">
        <v>1</v>
      </c>
      <c r="W6" s="64">
        <v>1</v>
      </c>
      <c r="X6" s="64">
        <v>1</v>
      </c>
      <c r="Y6" s="64">
        <v>1</v>
      </c>
      <c r="Z6" s="64">
        <v>1</v>
      </c>
      <c r="AA6" s="64">
        <v>1</v>
      </c>
      <c r="AB6" s="64">
        <v>1</v>
      </c>
      <c r="AC6" s="64">
        <v>1</v>
      </c>
      <c r="AD6" s="64">
        <v>1</v>
      </c>
      <c r="AE6" s="64">
        <v>1</v>
      </c>
      <c r="AF6" s="64">
        <v>1</v>
      </c>
      <c r="AG6" s="64">
        <v>1</v>
      </c>
      <c r="AH6" s="64">
        <v>1</v>
      </c>
      <c r="AI6" s="64">
        <v>1</v>
      </c>
      <c r="AJ6" s="64">
        <v>1</v>
      </c>
      <c r="AK6" s="64">
        <v>1</v>
      </c>
      <c r="AL6" s="64">
        <v>1</v>
      </c>
      <c r="AM6" s="64">
        <v>1</v>
      </c>
      <c r="AN6" s="64">
        <v>1</v>
      </c>
      <c r="AO6" s="64">
        <v>1</v>
      </c>
      <c r="AP6" s="64">
        <v>1</v>
      </c>
      <c r="AQ6" s="64">
        <v>1</v>
      </c>
      <c r="AR6" s="64">
        <v>1</v>
      </c>
      <c r="AS6" s="64">
        <v>1</v>
      </c>
      <c r="AT6" s="64">
        <v>1</v>
      </c>
      <c r="AU6" s="64">
        <v>1</v>
      </c>
      <c r="AV6" s="64">
        <v>1</v>
      </c>
      <c r="AW6" s="64">
        <v>1</v>
      </c>
      <c r="AX6" s="64">
        <v>1</v>
      </c>
      <c r="AY6" s="64">
        <v>1</v>
      </c>
      <c r="AZ6" s="64">
        <v>1</v>
      </c>
      <c r="BA6" s="64">
        <v>1</v>
      </c>
      <c r="BB6" s="64">
        <v>1</v>
      </c>
      <c r="BC6" s="64">
        <v>1</v>
      </c>
      <c r="BD6" s="64">
        <v>1</v>
      </c>
      <c r="BE6" s="64">
        <v>1</v>
      </c>
      <c r="BF6" s="64">
        <v>1</v>
      </c>
      <c r="BG6" s="64">
        <v>1</v>
      </c>
      <c r="BH6" s="64">
        <v>1</v>
      </c>
      <c r="BI6" s="64">
        <v>1</v>
      </c>
      <c r="BJ6" s="64">
        <v>1</v>
      </c>
      <c r="BK6" s="64">
        <v>1</v>
      </c>
      <c r="BL6" s="64">
        <v>1</v>
      </c>
      <c r="BM6" s="64">
        <v>1</v>
      </c>
      <c r="BN6" s="64">
        <v>1</v>
      </c>
      <c r="BO6" s="64">
        <v>1</v>
      </c>
      <c r="BP6" s="64">
        <v>1</v>
      </c>
      <c r="BQ6" s="64">
        <v>1</v>
      </c>
      <c r="BR6" s="64">
        <v>1</v>
      </c>
      <c r="BS6" s="64">
        <v>1</v>
      </c>
      <c r="BT6" s="64">
        <v>1</v>
      </c>
      <c r="BU6" s="64">
        <v>1</v>
      </c>
      <c r="BV6" s="64">
        <v>1</v>
      </c>
      <c r="BW6" s="64">
        <v>1</v>
      </c>
      <c r="BX6" s="64">
        <v>1</v>
      </c>
      <c r="BY6" s="64">
        <v>1</v>
      </c>
      <c r="BZ6" s="64">
        <v>1</v>
      </c>
      <c r="CA6" s="64">
        <v>1</v>
      </c>
      <c r="CB6" s="64">
        <v>1</v>
      </c>
      <c r="CC6" s="64">
        <v>1</v>
      </c>
      <c r="CD6" s="64">
        <v>1</v>
      </c>
      <c r="CE6" s="64">
        <v>1</v>
      </c>
    </row>
    <row r="7" spans="1:83" ht="15.6" x14ac:dyDescent="0.3">
      <c r="C7" s="219"/>
      <c r="D7" s="635" t="s">
        <v>186</v>
      </c>
      <c r="E7" s="635"/>
      <c r="F7" s="635"/>
      <c r="G7" s="635"/>
      <c r="H7" s="635"/>
      <c r="I7" s="635"/>
      <c r="J7" s="635"/>
      <c r="K7" s="635"/>
      <c r="L7" s="635"/>
      <c r="M7" s="635"/>
      <c r="N7" s="635"/>
      <c r="O7" s="635"/>
      <c r="P7" s="635"/>
      <c r="Q7" s="635"/>
      <c r="R7" s="635"/>
      <c r="S7" s="635"/>
      <c r="T7" s="635"/>
      <c r="U7" s="635"/>
      <c r="V7" s="635"/>
      <c r="W7" s="635"/>
      <c r="X7" s="636" t="s">
        <v>187</v>
      </c>
      <c r="Y7" s="636"/>
      <c r="Z7" s="636"/>
      <c r="AA7" s="636"/>
      <c r="AB7" s="636"/>
      <c r="AC7" s="636"/>
      <c r="AD7" s="636"/>
      <c r="AE7" s="636"/>
      <c r="AF7" s="636"/>
      <c r="AG7" s="636"/>
      <c r="AH7" s="636"/>
      <c r="AI7" s="636"/>
      <c r="AJ7" s="636"/>
      <c r="AK7" s="636"/>
      <c r="AL7" s="636"/>
      <c r="AM7" s="636"/>
      <c r="AN7" s="636"/>
      <c r="AO7" s="636"/>
      <c r="AP7" s="636"/>
      <c r="AQ7" s="636"/>
      <c r="AR7" s="635" t="s">
        <v>188</v>
      </c>
      <c r="AS7" s="635"/>
      <c r="AT7" s="635"/>
      <c r="AU7" s="635"/>
      <c r="AV7" s="635"/>
      <c r="AW7" s="635"/>
      <c r="AX7" s="635"/>
      <c r="AY7" s="635"/>
      <c r="AZ7" s="635"/>
      <c r="BA7" s="635"/>
      <c r="BB7" s="635"/>
      <c r="BC7" s="635"/>
      <c r="BD7" s="635"/>
      <c r="BE7" s="635"/>
      <c r="BF7" s="635"/>
      <c r="BG7" s="635"/>
      <c r="BH7" s="635"/>
      <c r="BI7" s="635"/>
      <c r="BJ7" s="635"/>
      <c r="BK7" s="635"/>
      <c r="BL7" s="636" t="s">
        <v>189</v>
      </c>
      <c r="BM7" s="636"/>
      <c r="BN7" s="636"/>
      <c r="BO7" s="636"/>
      <c r="BP7" s="636"/>
      <c r="BQ7" s="636"/>
      <c r="BR7" s="636"/>
      <c r="BS7" s="636"/>
      <c r="BT7" s="636"/>
      <c r="BU7" s="636"/>
      <c r="BV7" s="636"/>
      <c r="BW7" s="636"/>
      <c r="BX7" s="636"/>
      <c r="BY7" s="636"/>
      <c r="BZ7" s="636"/>
      <c r="CA7" s="636"/>
      <c r="CB7" s="636"/>
      <c r="CC7" s="636"/>
      <c r="CD7" s="636"/>
      <c r="CE7" s="636"/>
    </row>
    <row r="8" spans="1:83" x14ac:dyDescent="0.3">
      <c r="A8" s="39" t="s">
        <v>14</v>
      </c>
      <c r="B8" s="39" t="s">
        <v>15</v>
      </c>
      <c r="C8" s="40" t="s">
        <v>16</v>
      </c>
      <c r="D8" s="64">
        <v>1</v>
      </c>
      <c r="E8" s="48">
        <v>2</v>
      </c>
      <c r="F8" s="48">
        <v>3</v>
      </c>
      <c r="G8" s="48">
        <v>4</v>
      </c>
      <c r="H8" s="64">
        <v>5</v>
      </c>
      <c r="I8" s="48">
        <v>6</v>
      </c>
      <c r="J8" s="48">
        <v>7</v>
      </c>
      <c r="K8" s="48">
        <v>8</v>
      </c>
      <c r="L8" s="64">
        <v>9</v>
      </c>
      <c r="M8" s="48">
        <v>10</v>
      </c>
      <c r="N8" s="48">
        <v>11</v>
      </c>
      <c r="O8" s="48">
        <v>12</v>
      </c>
      <c r="P8" s="64">
        <v>13</v>
      </c>
      <c r="Q8" s="48">
        <v>14</v>
      </c>
      <c r="R8" s="48">
        <v>15</v>
      </c>
      <c r="S8" s="48">
        <v>16</v>
      </c>
      <c r="T8" s="64">
        <v>17</v>
      </c>
      <c r="U8" s="48">
        <v>18</v>
      </c>
      <c r="V8" s="48">
        <v>19</v>
      </c>
      <c r="W8" s="48">
        <v>20</v>
      </c>
      <c r="X8" s="64">
        <v>1</v>
      </c>
      <c r="Y8" s="48">
        <v>2</v>
      </c>
      <c r="Z8" s="48">
        <v>3</v>
      </c>
      <c r="AA8" s="48">
        <v>4</v>
      </c>
      <c r="AB8" s="64">
        <v>5</v>
      </c>
      <c r="AC8" s="48">
        <v>6</v>
      </c>
      <c r="AD8" s="48">
        <v>7</v>
      </c>
      <c r="AE8" s="48">
        <v>8</v>
      </c>
      <c r="AF8" s="64">
        <v>9</v>
      </c>
      <c r="AG8" s="48">
        <v>10</v>
      </c>
      <c r="AH8" s="48">
        <v>11</v>
      </c>
      <c r="AI8" s="48">
        <v>12</v>
      </c>
      <c r="AJ8" s="64">
        <v>13</v>
      </c>
      <c r="AK8" s="48">
        <v>14</v>
      </c>
      <c r="AL8" s="48">
        <v>15</v>
      </c>
      <c r="AM8" s="48">
        <v>16</v>
      </c>
      <c r="AN8" s="64">
        <v>17</v>
      </c>
      <c r="AO8" s="48">
        <v>18</v>
      </c>
      <c r="AP8" s="48">
        <v>19</v>
      </c>
      <c r="AQ8" s="48">
        <v>20</v>
      </c>
      <c r="AR8" s="64">
        <v>1</v>
      </c>
      <c r="AS8" s="48">
        <v>2</v>
      </c>
      <c r="AT8" s="48">
        <v>3</v>
      </c>
      <c r="AU8" s="48">
        <v>4</v>
      </c>
      <c r="AV8" s="64">
        <v>5</v>
      </c>
      <c r="AW8" s="48">
        <v>6</v>
      </c>
      <c r="AX8" s="48">
        <v>7</v>
      </c>
      <c r="AY8" s="48">
        <v>8</v>
      </c>
      <c r="AZ8" s="64">
        <v>9</v>
      </c>
      <c r="BA8" s="48">
        <v>10</v>
      </c>
      <c r="BB8" s="48">
        <v>11</v>
      </c>
      <c r="BC8" s="48">
        <v>12</v>
      </c>
      <c r="BD8" s="64">
        <v>13</v>
      </c>
      <c r="BE8" s="48">
        <v>14</v>
      </c>
      <c r="BF8" s="48">
        <v>15</v>
      </c>
      <c r="BG8" s="48">
        <v>16</v>
      </c>
      <c r="BH8" s="64">
        <v>17</v>
      </c>
      <c r="BI8" s="48">
        <v>18</v>
      </c>
      <c r="BJ8" s="48">
        <v>19</v>
      </c>
      <c r="BK8" s="48">
        <v>20</v>
      </c>
      <c r="BL8" s="64">
        <v>1</v>
      </c>
      <c r="BM8" s="48">
        <v>2</v>
      </c>
      <c r="BN8" s="48">
        <v>3</v>
      </c>
      <c r="BO8" s="48">
        <v>4</v>
      </c>
      <c r="BP8" s="64">
        <v>5</v>
      </c>
      <c r="BQ8" s="48">
        <v>6</v>
      </c>
      <c r="BR8" s="48">
        <v>7</v>
      </c>
      <c r="BS8" s="48">
        <v>8</v>
      </c>
      <c r="BT8" s="64">
        <v>9</v>
      </c>
      <c r="BU8" s="48">
        <v>10</v>
      </c>
      <c r="BV8" s="48">
        <v>11</v>
      </c>
      <c r="BW8" s="48">
        <v>12</v>
      </c>
      <c r="BX8" s="64">
        <v>13</v>
      </c>
      <c r="BY8" s="48">
        <v>14</v>
      </c>
      <c r="BZ8" s="48">
        <v>15</v>
      </c>
      <c r="CA8" s="48">
        <v>16</v>
      </c>
      <c r="CB8" s="64">
        <v>17</v>
      </c>
      <c r="CC8" s="48">
        <v>18</v>
      </c>
      <c r="CD8" s="48">
        <v>19</v>
      </c>
      <c r="CE8" s="48">
        <v>20</v>
      </c>
    </row>
    <row r="9" spans="1:83" x14ac:dyDescent="0.3">
      <c r="A9" s="220">
        <v>1</v>
      </c>
      <c r="B9" s="232"/>
      <c r="C9" s="233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</row>
    <row r="10" spans="1:83" x14ac:dyDescent="0.3">
      <c r="A10" s="220">
        <v>2</v>
      </c>
      <c r="B10" s="232"/>
      <c r="C10" s="234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</row>
    <row r="11" spans="1:83" x14ac:dyDescent="0.3">
      <c r="A11" s="220">
        <v>3</v>
      </c>
      <c r="B11" s="232"/>
      <c r="C11" s="234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</row>
    <row r="12" spans="1:83" x14ac:dyDescent="0.3">
      <c r="A12" s="220">
        <v>4</v>
      </c>
      <c r="B12" s="232"/>
      <c r="C12" s="234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</row>
    <row r="13" spans="1:83" x14ac:dyDescent="0.3">
      <c r="A13" s="220">
        <v>5</v>
      </c>
      <c r="B13" s="232"/>
      <c r="C13" s="234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</row>
    <row r="14" spans="1:83" x14ac:dyDescent="0.3">
      <c r="A14" s="220">
        <v>6</v>
      </c>
      <c r="B14" s="232"/>
      <c r="C14" s="235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</row>
    <row r="15" spans="1:83" x14ac:dyDescent="0.3">
      <c r="A15" s="220">
        <v>7</v>
      </c>
      <c r="B15" s="232"/>
      <c r="C15" s="234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</row>
    <row r="16" spans="1:83" x14ac:dyDescent="0.3">
      <c r="A16" s="220">
        <v>8</v>
      </c>
      <c r="B16" s="232"/>
      <c r="C16" s="234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</row>
    <row r="17" spans="1:83" x14ac:dyDescent="0.3">
      <c r="A17" s="220">
        <v>9</v>
      </c>
      <c r="B17" s="232"/>
      <c r="C17" s="234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</row>
    <row r="18" spans="1:83" x14ac:dyDescent="0.3">
      <c r="A18" s="220">
        <v>10</v>
      </c>
      <c r="B18" s="232"/>
      <c r="C18" s="234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</row>
    <row r="19" spans="1:83" x14ac:dyDescent="0.3">
      <c r="A19" s="220">
        <v>11</v>
      </c>
      <c r="B19" s="232"/>
      <c r="C19" s="234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</row>
    <row r="20" spans="1:83" x14ac:dyDescent="0.3">
      <c r="A20" s="220">
        <v>12</v>
      </c>
      <c r="B20" s="232"/>
      <c r="C20" s="234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</row>
    <row r="21" spans="1:83" x14ac:dyDescent="0.3">
      <c r="A21" s="220">
        <v>13</v>
      </c>
      <c r="B21" s="232"/>
      <c r="C21" s="234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</row>
    <row r="22" spans="1:83" x14ac:dyDescent="0.3">
      <c r="A22" s="220">
        <v>14</v>
      </c>
      <c r="B22" s="232"/>
      <c r="C22" s="234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</row>
    <row r="23" spans="1:83" x14ac:dyDescent="0.3">
      <c r="A23" s="220">
        <v>15</v>
      </c>
      <c r="B23" s="232"/>
      <c r="C23" s="234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</row>
    <row r="24" spans="1:83" x14ac:dyDescent="0.3">
      <c r="A24" s="220">
        <v>16</v>
      </c>
      <c r="B24" s="232"/>
      <c r="C24" s="234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</row>
    <row r="25" spans="1:83" x14ac:dyDescent="0.3">
      <c r="A25" s="220">
        <v>17</v>
      </c>
      <c r="B25" s="232"/>
      <c r="C25" s="234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</row>
    <row r="26" spans="1:83" x14ac:dyDescent="0.3">
      <c r="A26" s="220">
        <v>18</v>
      </c>
      <c r="B26" s="232"/>
      <c r="C26" s="236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</row>
    <row r="27" spans="1:83" x14ac:dyDescent="0.3">
      <c r="A27" s="220">
        <v>19</v>
      </c>
      <c r="B27" s="232"/>
      <c r="C27" s="234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</row>
    <row r="28" spans="1:83" x14ac:dyDescent="0.3">
      <c r="A28" s="220">
        <v>20</v>
      </c>
      <c r="B28" s="232"/>
      <c r="C28" s="234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</row>
    <row r="29" spans="1:83" x14ac:dyDescent="0.3">
      <c r="A29" s="220">
        <v>21</v>
      </c>
      <c r="B29" s="232"/>
      <c r="C29" s="234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</row>
    <row r="30" spans="1:83" x14ac:dyDescent="0.3">
      <c r="A30" s="220">
        <v>22</v>
      </c>
      <c r="B30" s="232"/>
      <c r="C30" s="234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</row>
    <row r="31" spans="1:83" x14ac:dyDescent="0.3">
      <c r="A31" s="220">
        <v>23</v>
      </c>
      <c r="B31" s="232"/>
      <c r="C31" s="234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</row>
    <row r="32" spans="1:83" x14ac:dyDescent="0.3">
      <c r="A32" s="220">
        <v>24</v>
      </c>
      <c r="B32" s="232"/>
      <c r="C32" s="234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</row>
    <row r="33" spans="1:83" x14ac:dyDescent="0.3">
      <c r="A33" s="220">
        <v>25</v>
      </c>
      <c r="B33" s="232"/>
      <c r="C33" s="234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</row>
    <row r="34" spans="1:83" x14ac:dyDescent="0.3">
      <c r="A34" s="220">
        <v>26</v>
      </c>
      <c r="B34" s="232"/>
      <c r="C34" s="234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</row>
    <row r="35" spans="1:83" x14ac:dyDescent="0.3">
      <c r="A35" s="220">
        <v>27</v>
      </c>
      <c r="B35" s="232"/>
      <c r="C35" s="234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</row>
    <row r="36" spans="1:83" x14ac:dyDescent="0.3">
      <c r="A36" s="220">
        <v>28</v>
      </c>
      <c r="B36" s="232"/>
      <c r="C36" s="234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</row>
    <row r="37" spans="1:83" x14ac:dyDescent="0.3">
      <c r="A37" s="220">
        <v>29</v>
      </c>
      <c r="B37" s="232"/>
      <c r="C37" s="234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</row>
    <row r="38" spans="1:83" x14ac:dyDescent="0.3">
      <c r="A38" s="220">
        <v>30</v>
      </c>
      <c r="B38" s="232"/>
      <c r="C38" s="234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</row>
    <row r="39" spans="1:83" x14ac:dyDescent="0.3">
      <c r="A39" s="220">
        <v>31</v>
      </c>
      <c r="B39" s="232"/>
      <c r="C39" s="234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</row>
    <row r="40" spans="1:83" x14ac:dyDescent="0.3">
      <c r="A40" s="220">
        <v>32</v>
      </c>
      <c r="B40" s="232"/>
      <c r="C40" s="234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</row>
    <row r="41" spans="1:83" x14ac:dyDescent="0.3">
      <c r="A41" s="220">
        <v>33</v>
      </c>
      <c r="B41" s="232"/>
      <c r="C41" s="234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</row>
    <row r="42" spans="1:83" x14ac:dyDescent="0.3">
      <c r="A42" s="220">
        <v>34</v>
      </c>
      <c r="B42" s="232"/>
      <c r="C42" s="234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</row>
    <row r="43" spans="1:83" x14ac:dyDescent="0.3">
      <c r="A43" s="220">
        <v>35</v>
      </c>
      <c r="B43" s="232"/>
      <c r="C43" s="234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</row>
    <row r="44" spans="1:83" x14ac:dyDescent="0.3">
      <c r="A44" s="220">
        <v>36</v>
      </c>
      <c r="B44" s="232"/>
      <c r="C44" s="234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</row>
    <row r="45" spans="1:83" x14ac:dyDescent="0.3">
      <c r="A45" s="220">
        <v>37</v>
      </c>
      <c r="B45" s="232"/>
      <c r="C45" s="234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</row>
    <row r="46" spans="1:83" x14ac:dyDescent="0.3">
      <c r="A46" s="220">
        <v>38</v>
      </c>
      <c r="B46" s="232"/>
      <c r="C46" s="234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</row>
    <row r="47" spans="1:83" x14ac:dyDescent="0.3">
      <c r="A47" s="220">
        <v>39</v>
      </c>
      <c r="B47" s="232"/>
      <c r="C47" s="234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</row>
    <row r="48" spans="1:83" x14ac:dyDescent="0.3">
      <c r="A48" s="220">
        <v>40</v>
      </c>
      <c r="B48" s="232"/>
      <c r="C48" s="234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</row>
    <row r="49" spans="1:83" x14ac:dyDescent="0.3">
      <c r="A49" s="220">
        <v>41</v>
      </c>
      <c r="B49" s="232"/>
      <c r="C49" s="234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</row>
    <row r="50" spans="1:83" x14ac:dyDescent="0.3">
      <c r="A50" s="220">
        <v>42</v>
      </c>
      <c r="B50" s="232"/>
      <c r="C50" s="234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</row>
    <row r="51" spans="1:83" x14ac:dyDescent="0.3">
      <c r="A51" s="220">
        <v>43</v>
      </c>
      <c r="B51" s="232"/>
      <c r="C51" s="234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</row>
    <row r="52" spans="1:83" x14ac:dyDescent="0.3">
      <c r="A52" s="220">
        <v>44</v>
      </c>
      <c r="B52" s="232"/>
      <c r="C52" s="234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</row>
    <row r="53" spans="1:83" x14ac:dyDescent="0.3">
      <c r="A53" s="220">
        <v>45</v>
      </c>
      <c r="B53" s="232"/>
      <c r="C53" s="234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</row>
    <row r="54" spans="1:83" x14ac:dyDescent="0.3">
      <c r="A54" s="220">
        <v>46</v>
      </c>
      <c r="B54" s="232"/>
      <c r="C54" s="234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</row>
    <row r="55" spans="1:83" x14ac:dyDescent="0.3">
      <c r="A55" s="220">
        <v>47</v>
      </c>
      <c r="B55" s="232"/>
      <c r="C55" s="234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</row>
    <row r="56" spans="1:83" x14ac:dyDescent="0.3">
      <c r="A56" s="220">
        <v>48</v>
      </c>
      <c r="B56" s="232"/>
      <c r="C56" s="234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</row>
    <row r="57" spans="1:83" x14ac:dyDescent="0.3">
      <c r="A57" s="220">
        <v>49</v>
      </c>
      <c r="B57" s="232"/>
      <c r="C57" s="234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</row>
    <row r="58" spans="1:83" x14ac:dyDescent="0.3">
      <c r="A58" s="220">
        <v>50</v>
      </c>
      <c r="B58" s="232"/>
      <c r="C58" s="234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</row>
    <row r="59" spans="1:83" x14ac:dyDescent="0.3">
      <c r="A59" s="220">
        <v>51</v>
      </c>
      <c r="B59" s="232"/>
      <c r="C59" s="234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</row>
    <row r="60" spans="1:83" x14ac:dyDescent="0.3">
      <c r="A60" s="220">
        <v>52</v>
      </c>
      <c r="B60" s="232"/>
      <c r="C60" s="234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</row>
    <row r="61" spans="1:83" x14ac:dyDescent="0.3">
      <c r="A61" s="220">
        <v>53</v>
      </c>
      <c r="B61" s="232"/>
      <c r="C61" s="234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</row>
    <row r="62" spans="1:83" x14ac:dyDescent="0.3">
      <c r="A62" s="220">
        <v>54</v>
      </c>
      <c r="B62" s="232"/>
      <c r="C62" s="234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</row>
    <row r="63" spans="1:83" x14ac:dyDescent="0.3">
      <c r="A63" s="220">
        <v>55</v>
      </c>
      <c r="B63" s="237"/>
      <c r="C63" s="23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</row>
    <row r="64" spans="1:83" x14ac:dyDescent="0.3">
      <c r="A64" s="220">
        <v>56</v>
      </c>
      <c r="B64" s="239"/>
      <c r="C64" s="240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</row>
    <row r="65" spans="1:83" x14ac:dyDescent="0.3">
      <c r="A65" s="220">
        <v>57</v>
      </c>
      <c r="B65" s="239"/>
      <c r="C65" s="240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</row>
    <row r="66" spans="1:83" x14ac:dyDescent="0.3">
      <c r="A66" s="220">
        <v>58</v>
      </c>
      <c r="B66" s="239"/>
      <c r="C66" s="240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</row>
    <row r="67" spans="1:83" x14ac:dyDescent="0.3">
      <c r="A67" s="220">
        <v>59</v>
      </c>
      <c r="B67" s="239"/>
      <c r="C67" s="240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</row>
    <row r="68" spans="1:83" x14ac:dyDescent="0.3">
      <c r="A68" s="220">
        <v>60</v>
      </c>
      <c r="B68" s="239"/>
      <c r="C68" s="240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</row>
    <row r="69" spans="1:83" x14ac:dyDescent="0.3">
      <c r="A69" s="220">
        <v>61</v>
      </c>
      <c r="B69" s="239"/>
      <c r="C69" s="240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</row>
    <row r="70" spans="1:83" x14ac:dyDescent="0.3">
      <c r="A70" s="220">
        <v>62</v>
      </c>
      <c r="B70" s="239"/>
      <c r="C70" s="240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</row>
    <row r="71" spans="1:83" x14ac:dyDescent="0.3">
      <c r="A71" s="220">
        <v>63</v>
      </c>
      <c r="B71" s="239"/>
      <c r="C71" s="240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</row>
    <row r="72" spans="1:83" x14ac:dyDescent="0.3">
      <c r="A72" s="220">
        <v>64</v>
      </c>
      <c r="B72" s="239"/>
      <c r="C72" s="240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</row>
    <row r="73" spans="1:83" x14ac:dyDescent="0.3">
      <c r="A73" s="220">
        <v>65</v>
      </c>
      <c r="B73" s="239"/>
      <c r="C73" s="240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</row>
    <row r="74" spans="1:83" ht="27.6" x14ac:dyDescent="0.3">
      <c r="C74" s="225" t="s">
        <v>62</v>
      </c>
      <c r="D74" s="226">
        <f>COUNTIFS(D9:D73,"&lt;&gt;AB",D9:D73,"&lt;&gt;NA",D9:D73,"&lt;&gt;")</f>
        <v>0</v>
      </c>
      <c r="E74" s="226">
        <f t="shared" ref="E74:BP74" si="0">COUNTIFS(E9:E73,"&lt;&gt;AB",E9:E73,"&lt;&gt;NA",E9:E73,"&lt;&gt;")</f>
        <v>0</v>
      </c>
      <c r="F74" s="226">
        <f t="shared" si="0"/>
        <v>0</v>
      </c>
      <c r="G74" s="226">
        <f t="shared" si="0"/>
        <v>0</v>
      </c>
      <c r="H74" s="226">
        <f t="shared" si="0"/>
        <v>0</v>
      </c>
      <c r="I74" s="226">
        <f t="shared" si="0"/>
        <v>0</v>
      </c>
      <c r="J74" s="226">
        <f t="shared" si="0"/>
        <v>0</v>
      </c>
      <c r="K74" s="226">
        <f t="shared" si="0"/>
        <v>0</v>
      </c>
      <c r="L74" s="226">
        <f t="shared" si="0"/>
        <v>0</v>
      </c>
      <c r="M74" s="226">
        <f t="shared" si="0"/>
        <v>0</v>
      </c>
      <c r="N74" s="226">
        <f t="shared" si="0"/>
        <v>0</v>
      </c>
      <c r="O74" s="226">
        <f t="shared" si="0"/>
        <v>0</v>
      </c>
      <c r="P74" s="226">
        <f t="shared" si="0"/>
        <v>0</v>
      </c>
      <c r="Q74" s="226">
        <f t="shared" si="0"/>
        <v>0</v>
      </c>
      <c r="R74" s="226">
        <f t="shared" si="0"/>
        <v>0</v>
      </c>
      <c r="S74" s="226">
        <f t="shared" si="0"/>
        <v>0</v>
      </c>
      <c r="T74" s="226">
        <f t="shared" si="0"/>
        <v>0</v>
      </c>
      <c r="U74" s="226">
        <f t="shared" si="0"/>
        <v>0</v>
      </c>
      <c r="V74" s="226">
        <f t="shared" si="0"/>
        <v>0</v>
      </c>
      <c r="W74" s="226">
        <f t="shared" si="0"/>
        <v>0</v>
      </c>
      <c r="X74" s="226">
        <f t="shared" si="0"/>
        <v>0</v>
      </c>
      <c r="Y74" s="226">
        <f t="shared" si="0"/>
        <v>0</v>
      </c>
      <c r="Z74" s="226">
        <f t="shared" si="0"/>
        <v>0</v>
      </c>
      <c r="AA74" s="226">
        <f t="shared" si="0"/>
        <v>0</v>
      </c>
      <c r="AB74" s="226">
        <f t="shared" si="0"/>
        <v>0</v>
      </c>
      <c r="AC74" s="226">
        <f t="shared" si="0"/>
        <v>0</v>
      </c>
      <c r="AD74" s="226">
        <f t="shared" si="0"/>
        <v>0</v>
      </c>
      <c r="AE74" s="226">
        <f t="shared" si="0"/>
        <v>0</v>
      </c>
      <c r="AF74" s="226">
        <f t="shared" si="0"/>
        <v>0</v>
      </c>
      <c r="AG74" s="226">
        <f t="shared" si="0"/>
        <v>0</v>
      </c>
      <c r="AH74" s="226">
        <f t="shared" si="0"/>
        <v>0</v>
      </c>
      <c r="AI74" s="226">
        <f t="shared" si="0"/>
        <v>0</v>
      </c>
      <c r="AJ74" s="226">
        <f t="shared" si="0"/>
        <v>0</v>
      </c>
      <c r="AK74" s="226">
        <f t="shared" si="0"/>
        <v>0</v>
      </c>
      <c r="AL74" s="226">
        <f t="shared" si="0"/>
        <v>0</v>
      </c>
      <c r="AM74" s="226">
        <f t="shared" si="0"/>
        <v>0</v>
      </c>
      <c r="AN74" s="226">
        <f t="shared" si="0"/>
        <v>0</v>
      </c>
      <c r="AO74" s="226">
        <f t="shared" si="0"/>
        <v>0</v>
      </c>
      <c r="AP74" s="226">
        <f t="shared" si="0"/>
        <v>0</v>
      </c>
      <c r="AQ74" s="226">
        <f t="shared" si="0"/>
        <v>0</v>
      </c>
      <c r="AR74" s="226">
        <f t="shared" si="0"/>
        <v>0</v>
      </c>
      <c r="AS74" s="226">
        <f t="shared" si="0"/>
        <v>0</v>
      </c>
      <c r="AT74" s="226">
        <f t="shared" si="0"/>
        <v>0</v>
      </c>
      <c r="AU74" s="226">
        <f t="shared" si="0"/>
        <v>0</v>
      </c>
      <c r="AV74" s="226">
        <f t="shared" si="0"/>
        <v>0</v>
      </c>
      <c r="AW74" s="226">
        <f t="shared" si="0"/>
        <v>0</v>
      </c>
      <c r="AX74" s="226">
        <f t="shared" si="0"/>
        <v>0</v>
      </c>
      <c r="AY74" s="226">
        <f t="shared" si="0"/>
        <v>0</v>
      </c>
      <c r="AZ74" s="226">
        <f t="shared" si="0"/>
        <v>0</v>
      </c>
      <c r="BA74" s="226">
        <f t="shared" si="0"/>
        <v>0</v>
      </c>
      <c r="BB74" s="226">
        <f t="shared" si="0"/>
        <v>0</v>
      </c>
      <c r="BC74" s="226">
        <f t="shared" si="0"/>
        <v>0</v>
      </c>
      <c r="BD74" s="226">
        <f t="shared" si="0"/>
        <v>0</v>
      </c>
      <c r="BE74" s="226">
        <f t="shared" si="0"/>
        <v>0</v>
      </c>
      <c r="BF74" s="226">
        <f t="shared" si="0"/>
        <v>0</v>
      </c>
      <c r="BG74" s="226">
        <f t="shared" si="0"/>
        <v>0</v>
      </c>
      <c r="BH74" s="226">
        <f t="shared" si="0"/>
        <v>0</v>
      </c>
      <c r="BI74" s="226">
        <f t="shared" si="0"/>
        <v>0</v>
      </c>
      <c r="BJ74" s="226">
        <f t="shared" si="0"/>
        <v>0</v>
      </c>
      <c r="BK74" s="226">
        <f t="shared" si="0"/>
        <v>0</v>
      </c>
      <c r="BL74" s="226">
        <f t="shared" si="0"/>
        <v>0</v>
      </c>
      <c r="BM74" s="226">
        <f t="shared" si="0"/>
        <v>0</v>
      </c>
      <c r="BN74" s="226">
        <f t="shared" si="0"/>
        <v>0</v>
      </c>
      <c r="BO74" s="226">
        <f t="shared" si="0"/>
        <v>0</v>
      </c>
      <c r="BP74" s="226">
        <f t="shared" si="0"/>
        <v>0</v>
      </c>
      <c r="BQ74" s="226">
        <f t="shared" ref="BQ74:CE74" si="1">COUNTIFS(BQ9:BQ73,"&lt;&gt;AB",BQ9:BQ73,"&lt;&gt;NA",BQ9:BQ73,"&lt;&gt;")</f>
        <v>0</v>
      </c>
      <c r="BR74" s="226">
        <f t="shared" si="1"/>
        <v>0</v>
      </c>
      <c r="BS74" s="226">
        <f t="shared" si="1"/>
        <v>0</v>
      </c>
      <c r="BT74" s="226">
        <f t="shared" si="1"/>
        <v>0</v>
      </c>
      <c r="BU74" s="226">
        <f t="shared" si="1"/>
        <v>0</v>
      </c>
      <c r="BV74" s="226">
        <f t="shared" si="1"/>
        <v>0</v>
      </c>
      <c r="BW74" s="226">
        <f t="shared" si="1"/>
        <v>0</v>
      </c>
      <c r="BX74" s="226">
        <f t="shared" si="1"/>
        <v>0</v>
      </c>
      <c r="BY74" s="226">
        <f t="shared" si="1"/>
        <v>0</v>
      </c>
      <c r="BZ74" s="226">
        <f t="shared" si="1"/>
        <v>0</v>
      </c>
      <c r="CA74" s="226">
        <f t="shared" si="1"/>
        <v>0</v>
      </c>
      <c r="CB74" s="226">
        <f t="shared" si="1"/>
        <v>0</v>
      </c>
      <c r="CC74" s="226">
        <f t="shared" si="1"/>
        <v>0</v>
      </c>
      <c r="CD74" s="226">
        <f t="shared" si="1"/>
        <v>0</v>
      </c>
      <c r="CE74" s="226">
        <f t="shared" si="1"/>
        <v>0</v>
      </c>
    </row>
    <row r="75" spans="1:83" ht="23.25" customHeight="1" x14ac:dyDescent="0.3">
      <c r="C75" s="227" t="s">
        <v>56</v>
      </c>
      <c r="D75" s="226">
        <f>SUM(D9:D73)</f>
        <v>0</v>
      </c>
      <c r="E75" s="226">
        <f t="shared" ref="E75:BP75" si="2">SUM(E9:E73)</f>
        <v>0</v>
      </c>
      <c r="F75" s="226">
        <f t="shared" si="2"/>
        <v>0</v>
      </c>
      <c r="G75" s="226">
        <f t="shared" si="2"/>
        <v>0</v>
      </c>
      <c r="H75" s="226">
        <f t="shared" si="2"/>
        <v>0</v>
      </c>
      <c r="I75" s="226">
        <f t="shared" si="2"/>
        <v>0</v>
      </c>
      <c r="J75" s="226">
        <f t="shared" si="2"/>
        <v>0</v>
      </c>
      <c r="K75" s="226">
        <f t="shared" si="2"/>
        <v>0</v>
      </c>
      <c r="L75" s="226">
        <f t="shared" si="2"/>
        <v>0</v>
      </c>
      <c r="M75" s="226">
        <f t="shared" si="2"/>
        <v>0</v>
      </c>
      <c r="N75" s="226">
        <f t="shared" si="2"/>
        <v>0</v>
      </c>
      <c r="O75" s="226">
        <f t="shared" si="2"/>
        <v>0</v>
      </c>
      <c r="P75" s="226">
        <f t="shared" si="2"/>
        <v>0</v>
      </c>
      <c r="Q75" s="226">
        <f t="shared" si="2"/>
        <v>0</v>
      </c>
      <c r="R75" s="226">
        <f t="shared" si="2"/>
        <v>0</v>
      </c>
      <c r="S75" s="226">
        <f t="shared" si="2"/>
        <v>0</v>
      </c>
      <c r="T75" s="226">
        <f t="shared" si="2"/>
        <v>0</v>
      </c>
      <c r="U75" s="226">
        <f t="shared" si="2"/>
        <v>0</v>
      </c>
      <c r="V75" s="226">
        <f t="shared" si="2"/>
        <v>0</v>
      </c>
      <c r="W75" s="226">
        <f t="shared" si="2"/>
        <v>0</v>
      </c>
      <c r="X75" s="226">
        <f t="shared" si="2"/>
        <v>0</v>
      </c>
      <c r="Y75" s="226">
        <f t="shared" si="2"/>
        <v>0</v>
      </c>
      <c r="Z75" s="226">
        <f t="shared" si="2"/>
        <v>0</v>
      </c>
      <c r="AA75" s="226">
        <f t="shared" si="2"/>
        <v>0</v>
      </c>
      <c r="AB75" s="226">
        <f t="shared" si="2"/>
        <v>0</v>
      </c>
      <c r="AC75" s="226">
        <f t="shared" si="2"/>
        <v>0</v>
      </c>
      <c r="AD75" s="226">
        <f t="shared" si="2"/>
        <v>0</v>
      </c>
      <c r="AE75" s="226">
        <f t="shared" si="2"/>
        <v>0</v>
      </c>
      <c r="AF75" s="226">
        <f t="shared" si="2"/>
        <v>0</v>
      </c>
      <c r="AG75" s="226">
        <f t="shared" si="2"/>
        <v>0</v>
      </c>
      <c r="AH75" s="226">
        <f t="shared" si="2"/>
        <v>0</v>
      </c>
      <c r="AI75" s="226">
        <f t="shared" si="2"/>
        <v>0</v>
      </c>
      <c r="AJ75" s="226">
        <f t="shared" si="2"/>
        <v>0</v>
      </c>
      <c r="AK75" s="226">
        <f t="shared" si="2"/>
        <v>0</v>
      </c>
      <c r="AL75" s="226">
        <f t="shared" si="2"/>
        <v>0</v>
      </c>
      <c r="AM75" s="226">
        <f t="shared" si="2"/>
        <v>0</v>
      </c>
      <c r="AN75" s="226">
        <f t="shared" si="2"/>
        <v>0</v>
      </c>
      <c r="AO75" s="226">
        <f t="shared" si="2"/>
        <v>0</v>
      </c>
      <c r="AP75" s="226">
        <f t="shared" si="2"/>
        <v>0</v>
      </c>
      <c r="AQ75" s="226">
        <f t="shared" si="2"/>
        <v>0</v>
      </c>
      <c r="AR75" s="226">
        <f t="shared" si="2"/>
        <v>0</v>
      </c>
      <c r="AS75" s="226">
        <f t="shared" si="2"/>
        <v>0</v>
      </c>
      <c r="AT75" s="226">
        <f t="shared" si="2"/>
        <v>0</v>
      </c>
      <c r="AU75" s="226">
        <f t="shared" si="2"/>
        <v>0</v>
      </c>
      <c r="AV75" s="226">
        <f t="shared" si="2"/>
        <v>0</v>
      </c>
      <c r="AW75" s="226">
        <f t="shared" si="2"/>
        <v>0</v>
      </c>
      <c r="AX75" s="226">
        <f t="shared" si="2"/>
        <v>0</v>
      </c>
      <c r="AY75" s="226">
        <f t="shared" si="2"/>
        <v>0</v>
      </c>
      <c r="AZ75" s="226">
        <f t="shared" si="2"/>
        <v>0</v>
      </c>
      <c r="BA75" s="226">
        <f t="shared" si="2"/>
        <v>0</v>
      </c>
      <c r="BB75" s="226">
        <f t="shared" si="2"/>
        <v>0</v>
      </c>
      <c r="BC75" s="226">
        <f t="shared" si="2"/>
        <v>0</v>
      </c>
      <c r="BD75" s="226">
        <f t="shared" si="2"/>
        <v>0</v>
      </c>
      <c r="BE75" s="226">
        <f t="shared" si="2"/>
        <v>0</v>
      </c>
      <c r="BF75" s="226">
        <f t="shared" si="2"/>
        <v>0</v>
      </c>
      <c r="BG75" s="226">
        <f t="shared" si="2"/>
        <v>0</v>
      </c>
      <c r="BH75" s="226">
        <f t="shared" si="2"/>
        <v>0</v>
      </c>
      <c r="BI75" s="226">
        <f t="shared" si="2"/>
        <v>0</v>
      </c>
      <c r="BJ75" s="226">
        <f t="shared" si="2"/>
        <v>0</v>
      </c>
      <c r="BK75" s="226">
        <f t="shared" si="2"/>
        <v>0</v>
      </c>
      <c r="BL75" s="226">
        <f t="shared" si="2"/>
        <v>0</v>
      </c>
      <c r="BM75" s="226">
        <f t="shared" si="2"/>
        <v>0</v>
      </c>
      <c r="BN75" s="226">
        <f t="shared" si="2"/>
        <v>0</v>
      </c>
      <c r="BO75" s="226">
        <f t="shared" si="2"/>
        <v>0</v>
      </c>
      <c r="BP75" s="226">
        <f t="shared" si="2"/>
        <v>0</v>
      </c>
      <c r="BQ75" s="226">
        <f t="shared" ref="BQ75:CE75" si="3">SUM(BQ9:BQ73)</f>
        <v>0</v>
      </c>
      <c r="BR75" s="226">
        <f t="shared" si="3"/>
        <v>0</v>
      </c>
      <c r="BS75" s="226">
        <f t="shared" si="3"/>
        <v>0</v>
      </c>
      <c r="BT75" s="226">
        <f t="shared" si="3"/>
        <v>0</v>
      </c>
      <c r="BU75" s="226">
        <f t="shared" si="3"/>
        <v>0</v>
      </c>
      <c r="BV75" s="226">
        <f t="shared" si="3"/>
        <v>0</v>
      </c>
      <c r="BW75" s="226">
        <f t="shared" si="3"/>
        <v>0</v>
      </c>
      <c r="BX75" s="226">
        <f t="shared" si="3"/>
        <v>0</v>
      </c>
      <c r="BY75" s="226">
        <f t="shared" si="3"/>
        <v>0</v>
      </c>
      <c r="BZ75" s="226">
        <f t="shared" si="3"/>
        <v>0</v>
      </c>
      <c r="CA75" s="226">
        <f t="shared" si="3"/>
        <v>0</v>
      </c>
      <c r="CB75" s="226">
        <f t="shared" si="3"/>
        <v>0</v>
      </c>
      <c r="CC75" s="226">
        <f t="shared" si="3"/>
        <v>0</v>
      </c>
      <c r="CD75" s="226">
        <f t="shared" si="3"/>
        <v>0</v>
      </c>
      <c r="CE75" s="226">
        <f t="shared" si="3"/>
        <v>0</v>
      </c>
    </row>
    <row r="76" spans="1:83" x14ac:dyDescent="0.3">
      <c r="B76" s="53"/>
      <c r="C76" s="54" t="s">
        <v>57</v>
      </c>
      <c r="D76" s="228">
        <f t="shared" ref="D76:BO76" si="4">IF(D74&lt;&gt;0,((D75/D74)/D6)*100,0)</f>
        <v>0</v>
      </c>
      <c r="E76" s="228">
        <f t="shared" si="4"/>
        <v>0</v>
      </c>
      <c r="F76" s="228">
        <f t="shared" si="4"/>
        <v>0</v>
      </c>
      <c r="G76" s="228">
        <f t="shared" si="4"/>
        <v>0</v>
      </c>
      <c r="H76" s="228">
        <f t="shared" si="4"/>
        <v>0</v>
      </c>
      <c r="I76" s="228">
        <f t="shared" si="4"/>
        <v>0</v>
      </c>
      <c r="J76" s="228">
        <f t="shared" si="4"/>
        <v>0</v>
      </c>
      <c r="K76" s="228">
        <f t="shared" si="4"/>
        <v>0</v>
      </c>
      <c r="L76" s="228">
        <f t="shared" si="4"/>
        <v>0</v>
      </c>
      <c r="M76" s="228">
        <f t="shared" si="4"/>
        <v>0</v>
      </c>
      <c r="N76" s="228">
        <f t="shared" si="4"/>
        <v>0</v>
      </c>
      <c r="O76" s="228">
        <f t="shared" si="4"/>
        <v>0</v>
      </c>
      <c r="P76" s="228">
        <f t="shared" si="4"/>
        <v>0</v>
      </c>
      <c r="Q76" s="228">
        <f t="shared" si="4"/>
        <v>0</v>
      </c>
      <c r="R76" s="228">
        <f t="shared" si="4"/>
        <v>0</v>
      </c>
      <c r="S76" s="228">
        <f t="shared" si="4"/>
        <v>0</v>
      </c>
      <c r="T76" s="228">
        <f t="shared" si="4"/>
        <v>0</v>
      </c>
      <c r="U76" s="228">
        <f t="shared" si="4"/>
        <v>0</v>
      </c>
      <c r="V76" s="228">
        <f t="shared" si="4"/>
        <v>0</v>
      </c>
      <c r="W76" s="228">
        <f t="shared" si="4"/>
        <v>0</v>
      </c>
      <c r="X76" s="228">
        <f t="shared" si="4"/>
        <v>0</v>
      </c>
      <c r="Y76" s="228">
        <f t="shared" si="4"/>
        <v>0</v>
      </c>
      <c r="Z76" s="228">
        <f t="shared" si="4"/>
        <v>0</v>
      </c>
      <c r="AA76" s="228">
        <f t="shared" si="4"/>
        <v>0</v>
      </c>
      <c r="AB76" s="228">
        <f t="shared" si="4"/>
        <v>0</v>
      </c>
      <c r="AC76" s="228">
        <f t="shared" si="4"/>
        <v>0</v>
      </c>
      <c r="AD76" s="228">
        <f t="shared" si="4"/>
        <v>0</v>
      </c>
      <c r="AE76" s="228">
        <f t="shared" si="4"/>
        <v>0</v>
      </c>
      <c r="AF76" s="228">
        <f t="shared" si="4"/>
        <v>0</v>
      </c>
      <c r="AG76" s="228">
        <f t="shared" si="4"/>
        <v>0</v>
      </c>
      <c r="AH76" s="228">
        <f t="shared" si="4"/>
        <v>0</v>
      </c>
      <c r="AI76" s="228">
        <f t="shared" si="4"/>
        <v>0</v>
      </c>
      <c r="AJ76" s="228">
        <f t="shared" si="4"/>
        <v>0</v>
      </c>
      <c r="AK76" s="228">
        <f t="shared" si="4"/>
        <v>0</v>
      </c>
      <c r="AL76" s="228">
        <f t="shared" si="4"/>
        <v>0</v>
      </c>
      <c r="AM76" s="228">
        <f t="shared" si="4"/>
        <v>0</v>
      </c>
      <c r="AN76" s="228">
        <f t="shared" si="4"/>
        <v>0</v>
      </c>
      <c r="AO76" s="228">
        <f t="shared" si="4"/>
        <v>0</v>
      </c>
      <c r="AP76" s="228">
        <f t="shared" si="4"/>
        <v>0</v>
      </c>
      <c r="AQ76" s="228">
        <f t="shared" si="4"/>
        <v>0</v>
      </c>
      <c r="AR76" s="228">
        <f t="shared" si="4"/>
        <v>0</v>
      </c>
      <c r="AS76" s="228">
        <f t="shared" si="4"/>
        <v>0</v>
      </c>
      <c r="AT76" s="228">
        <f t="shared" si="4"/>
        <v>0</v>
      </c>
      <c r="AU76" s="228">
        <f t="shared" si="4"/>
        <v>0</v>
      </c>
      <c r="AV76" s="228">
        <f t="shared" si="4"/>
        <v>0</v>
      </c>
      <c r="AW76" s="228">
        <f t="shared" si="4"/>
        <v>0</v>
      </c>
      <c r="AX76" s="228">
        <f t="shared" si="4"/>
        <v>0</v>
      </c>
      <c r="AY76" s="228">
        <f t="shared" si="4"/>
        <v>0</v>
      </c>
      <c r="AZ76" s="228">
        <f t="shared" si="4"/>
        <v>0</v>
      </c>
      <c r="BA76" s="228">
        <f t="shared" si="4"/>
        <v>0</v>
      </c>
      <c r="BB76" s="228">
        <f t="shared" si="4"/>
        <v>0</v>
      </c>
      <c r="BC76" s="228">
        <f t="shared" si="4"/>
        <v>0</v>
      </c>
      <c r="BD76" s="228">
        <f t="shared" si="4"/>
        <v>0</v>
      </c>
      <c r="BE76" s="228">
        <f t="shared" si="4"/>
        <v>0</v>
      </c>
      <c r="BF76" s="228">
        <f t="shared" si="4"/>
        <v>0</v>
      </c>
      <c r="BG76" s="228">
        <f t="shared" si="4"/>
        <v>0</v>
      </c>
      <c r="BH76" s="228">
        <f t="shared" si="4"/>
        <v>0</v>
      </c>
      <c r="BI76" s="228">
        <f t="shared" si="4"/>
        <v>0</v>
      </c>
      <c r="BJ76" s="228">
        <f t="shared" si="4"/>
        <v>0</v>
      </c>
      <c r="BK76" s="228">
        <f t="shared" si="4"/>
        <v>0</v>
      </c>
      <c r="BL76" s="228">
        <f t="shared" si="4"/>
        <v>0</v>
      </c>
      <c r="BM76" s="228">
        <f t="shared" si="4"/>
        <v>0</v>
      </c>
      <c r="BN76" s="228">
        <f t="shared" si="4"/>
        <v>0</v>
      </c>
      <c r="BO76" s="228">
        <f t="shared" si="4"/>
        <v>0</v>
      </c>
      <c r="BP76" s="228">
        <f t="shared" ref="BP76:CE76" si="5">IF(BP74&lt;&gt;0,((BP75/BP74)/BP6)*100,0)</f>
        <v>0</v>
      </c>
      <c r="BQ76" s="228">
        <f t="shared" si="5"/>
        <v>0</v>
      </c>
      <c r="BR76" s="228">
        <f t="shared" si="5"/>
        <v>0</v>
      </c>
      <c r="BS76" s="228">
        <f t="shared" si="5"/>
        <v>0</v>
      </c>
      <c r="BT76" s="228">
        <f t="shared" si="5"/>
        <v>0</v>
      </c>
      <c r="BU76" s="228">
        <f t="shared" si="5"/>
        <v>0</v>
      </c>
      <c r="BV76" s="228">
        <f t="shared" si="5"/>
        <v>0</v>
      </c>
      <c r="BW76" s="228">
        <f t="shared" si="5"/>
        <v>0</v>
      </c>
      <c r="BX76" s="228">
        <f t="shared" si="5"/>
        <v>0</v>
      </c>
      <c r="BY76" s="228">
        <f t="shared" si="5"/>
        <v>0</v>
      </c>
      <c r="BZ76" s="228">
        <f t="shared" si="5"/>
        <v>0</v>
      </c>
      <c r="CA76" s="228">
        <f t="shared" si="5"/>
        <v>0</v>
      </c>
      <c r="CB76" s="228">
        <f t="shared" si="5"/>
        <v>0</v>
      </c>
      <c r="CC76" s="228">
        <f t="shared" si="5"/>
        <v>0</v>
      </c>
      <c r="CD76" s="228">
        <f t="shared" si="5"/>
        <v>0</v>
      </c>
      <c r="CE76" s="228">
        <f t="shared" si="5"/>
        <v>0</v>
      </c>
    </row>
    <row r="79" spans="1:83" ht="43.2" x14ac:dyDescent="0.3">
      <c r="C79" s="60" t="s">
        <v>190</v>
      </c>
      <c r="D79" s="61" t="s">
        <v>64</v>
      </c>
      <c r="E79" s="61" t="s">
        <v>65</v>
      </c>
      <c r="F79" s="61" t="s">
        <v>66</v>
      </c>
      <c r="G79" s="61" t="s">
        <v>67</v>
      </c>
      <c r="H79" s="61" t="s">
        <v>68</v>
      </c>
      <c r="I79" s="61" t="s">
        <v>69</v>
      </c>
      <c r="J79" s="61" t="s">
        <v>70</v>
      </c>
      <c r="K79" s="61" t="s">
        <v>71</v>
      </c>
      <c r="L79" s="61" t="s">
        <v>72</v>
      </c>
      <c r="M79" s="61" t="s">
        <v>73</v>
      </c>
    </row>
    <row r="80" spans="1:83" ht="15.6" x14ac:dyDescent="0.3">
      <c r="C80" s="229" t="s">
        <v>191</v>
      </c>
      <c r="D80" s="230">
        <f>IF(COUNTIFS($D$5:$AQ$5,"=1",$D$76:$AQ$76,"&lt;&gt;0")=0,0,SUMIF($D$5:$AQ$5,"=1",$D$76:$AQ$76)/COUNTIFS($D$5:$AQ$5,"=1",$D$76:$AQ$76,"&lt;&gt;0"))</f>
        <v>0</v>
      </c>
      <c r="E80" s="230">
        <f>IF(COUNTIFS($D$5:$AQ$5,"=2",$D$76:$AQ$76,"&lt;&gt;0")=0,0,SUMIF($D$5:$AQ$5,"=2",$D$76:$AQ$76)/COUNTIFS($D$5:$AQ$5,"=2",$D$76:$AQ$76,"&lt;&gt;0"))</f>
        <v>0</v>
      </c>
      <c r="F80" s="230">
        <f>IF(COUNTIFS($D$5:$AQ$5,"=3",$D$76:$AQ$76,"&lt;&gt;0")=0,0,SUMIF($D$5:$AQ$5,"=3",$D$76:$AQ$76)/COUNTIFS($D$5:$AQ$5,"=3",$D$76:$AQ$76,"&lt;&gt;0"))</f>
        <v>0</v>
      </c>
      <c r="G80" s="230">
        <f>IF(COUNTIFS($D$5:$AQ$5,"=4",$D$76:$AQ$76,"&lt;&gt;0")=0,0,SUMIF($D$5:$AQ$5,"=4",$D$76:$AQ$76)/COUNTIFS($D$5:$AQ$5,"=4",$D$76:$AQ$76,"&lt;&gt;0"))</f>
        <v>0</v>
      </c>
      <c r="H80" s="230">
        <f>IF(COUNTIFS($D$5:$AQ$5,"=5",$D$76:$AQ$76,"&lt;&gt;0")=0,0,SUMIF($D$5:$AQ$5,"=5",$D$76:$AQ$76)/COUNTIFS($D$5:$AQ$5,"=5",$D$76:$AQ$76,"&lt;&gt;0"))</f>
        <v>0</v>
      </c>
      <c r="I80" s="230">
        <f>IF(COUNTIFS($D$5:$AQ$5,"=6",$D$76:$AQ$76,"&lt;&gt;0")=0,0,SUMIF($D$5:$AQ$5,"=6",$D$76:$AQ$76)/COUNTIFS($D$5:$AQ$5,"=6",$D$76:$AQ$76,"&lt;&gt;0"))</f>
        <v>0</v>
      </c>
      <c r="J80" s="230">
        <f>IF(COUNTIFS($D$5:$AQ$5,"=7",$D$76:$AQ$76,"&lt;&gt;0")=0,0,SUMIF($D$5:$AQ$5,"=7",$D$76:$AQ$76)/COUNTIFS($D$5:$AQ$5,"=7",$D$76:$AQ$76,"&lt;&gt;0"))</f>
        <v>0</v>
      </c>
      <c r="K80" s="230">
        <f>IF(COUNTIFS($D$5:$AQ$5,"=8",$D$76:$AQ$76,"&lt;&gt;0")=0,0,SUMIF($D$5:$AQ$5,"=8",$D$76:$AQ$76)/COUNTIFS($D$5:$AQ$5,"=8",$D$76:$AQ$76,"&lt;&gt;0"))</f>
        <v>0</v>
      </c>
      <c r="L80" s="230">
        <f>IF(COUNTIFS($D$5:$AQ$5,"=9",$D$76:$AQ$76,"&lt;&gt;0")=0,0,SUMIF($D$5:$AQ$5,"=9",$D$76:$AQ$76)/COUNTIFS($D$5:$AQ$5,"=9",$D$76:$AQ$76,"&lt;&gt;0"))</f>
        <v>0</v>
      </c>
      <c r="M80" s="230">
        <f>IF(COUNTIFS($D$5:$AQ$5,"=10",$D$76:$AQ$76,"&lt;&gt;0")=0,0,SUMIF($D$5:$AQ$5,"=10",$D$76:$AQ$76)/COUNTIFS($D$5:$AQ$5,"=10",$D$76:$AQ$76,"&lt;&gt;0"))</f>
        <v>0</v>
      </c>
    </row>
    <row r="84" spans="3:15" ht="28.8" x14ac:dyDescent="0.3">
      <c r="C84" s="60" t="s">
        <v>75</v>
      </c>
      <c r="D84" s="61" t="s">
        <v>76</v>
      </c>
      <c r="E84" s="61" t="s">
        <v>77</v>
      </c>
      <c r="F84" s="61" t="s">
        <v>78</v>
      </c>
      <c r="G84" s="61" t="s">
        <v>79</v>
      </c>
      <c r="H84" s="61" t="s">
        <v>80</v>
      </c>
      <c r="I84" s="61" t="s">
        <v>81</v>
      </c>
      <c r="J84" s="61" t="s">
        <v>82</v>
      </c>
      <c r="K84" s="61" t="s">
        <v>83</v>
      </c>
      <c r="L84" s="61" t="s">
        <v>84</v>
      </c>
      <c r="M84" s="61" t="s">
        <v>85</v>
      </c>
      <c r="N84" s="61" t="s">
        <v>86</v>
      </c>
      <c r="O84" s="61" t="s">
        <v>87</v>
      </c>
    </row>
    <row r="85" spans="3:15" ht="18" x14ac:dyDescent="0.35">
      <c r="C85" s="62" t="s">
        <v>88</v>
      </c>
      <c r="D85" s="231">
        <f>IF(COUNTIFS($D$4:$O$4,"=*1*",$D76:$O76,"&lt;&gt;0")=0,0,SUMIF($D$4:$O$4,"=*1*",$D76:$O76)/COUNTIFS($D$4:$O$4,"=*1*",$D76:$O76,"&lt;&gt;0"))</f>
        <v>0</v>
      </c>
      <c r="E85" s="231">
        <f>IF(COUNTIFS($D$4:$O$4,"=*2*",$D76:$O76,"&lt;&gt;0")=0,0,SUMIF($D$4:$O$4,"=*2*",$D76:$O76)/COUNTIFS($D$4:$O$4,"=*2*",$D76:$O76,"&lt;&gt;0"))</f>
        <v>0</v>
      </c>
      <c r="F85" s="231">
        <f>IF(COUNTIFS($D$4:$O$4,"=*3*",$D76:$O76,"&lt;&gt;0")=0,0,SUMIF($D$4:$O$4,"=*3*",$D76:$O76)/COUNTIFS($D$4:$O$4,"=*3*",$D76:$O76,"&lt;&gt;0"))</f>
        <v>0</v>
      </c>
      <c r="G85" s="231">
        <f>IF(COUNTIFS($D$4:$O$4,"=*4*",$D76:$O76,"&lt;&gt;0")=0,0,SUMIF($D$4:$O$4,"=*4*",$D76:$O76)/COUNTIFS($D$4:$O$4,"=*4*",$D76:$O76,"&lt;&gt;0"))</f>
        <v>0</v>
      </c>
      <c r="H85" s="231">
        <f>IF(COUNTIFS($D$4:$O$4,"=*5*",$D76:$O76,"&lt;&gt;0")=0,0,SUMIF($D$4:$O$4,"=*5*",$D76:$O76)/COUNTIFS($D$4:$O$4,"=*5*",$D76:$O76,"&lt;&gt;0"))</f>
        <v>0</v>
      </c>
      <c r="I85" s="231">
        <f>IF(COUNTIFS($D$4:$O$4,"=*6*",$D76:$O76,"&lt;&gt;0")=0,0,SUMIF($D$4:$O$4,"=*6*",$D76:$O76)/COUNTIFS($D$4:$O$4,"=*6*",$D76:$O76,"&lt;&gt;0"))</f>
        <v>0</v>
      </c>
      <c r="J85" s="231">
        <f>IF(COUNTIFS($D$4:$O$4,"=*7*",$D76:$O76,"&lt;&gt;0")=0,0,SUMIF($D$4:$O$4,"=*7*",$D76:$O76)/COUNTIFS($D$4:$O$4,"=*7*",$D76:$O76,"&lt;&gt;0"))</f>
        <v>0</v>
      </c>
      <c r="K85" s="231">
        <f>IF(COUNTIFS($D$4:$O$4,"=*8*",$D76:$O76,"&lt;&gt;0")=0,0,SUMIF($D$4:$O$4,"=*8*",$D76:$O76)/COUNTIFS($D$4:$O$4,"=*8*",$D76:$O76,"&lt;&gt;0"))</f>
        <v>0</v>
      </c>
      <c r="L85" s="231">
        <f>IF(COUNTIFS($D$4:$O$4,"=*9*",$D76:$O76,"&lt;&gt;0")=0,0,SUMIF($D$4:$O$4,"=*9*",$D76:$O76)/COUNTIFS($D$4:$O$4,"=*9*",$D76:$O76,"&lt;&gt;0"))</f>
        <v>0</v>
      </c>
      <c r="M85" s="231">
        <f>IF(COUNTIFS($D$4:$O$4,"=*10*",$D76:$O76,"&lt;&gt;0")=0,0,SUMIF($D$4:$O$4,"=*10*",$D76:$O76)/COUNTIFS($D$4:$O$4,"=*10*",$D76:$O76,"&lt;&gt;0"))</f>
        <v>0</v>
      </c>
      <c r="N85" s="231">
        <f>IF(COUNTIFS($D$4:$O$4,"=*11*",$D76:$O76,"&lt;&gt;0")=0,0,SUMIF($D$4:$O$4,"=*11*",$D76:$O76)/COUNTIFS($D$4:$O$4,"=*11*",$D76:$O76,"&lt;&gt;0"))</f>
        <v>0</v>
      </c>
      <c r="O85" s="231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3"/>
  <sheetViews>
    <sheetView workbookViewId="0">
      <selection activeCell="N10" sqref="N10"/>
    </sheetView>
  </sheetViews>
  <sheetFormatPr defaultColWidth="9.33203125" defaultRowHeight="14.4" x14ac:dyDescent="0.3"/>
  <cols>
    <col min="2" max="2" width="36.109375" customWidth="1"/>
    <col min="3" max="3" width="10.6640625" style="41" customWidth="1"/>
    <col min="4" max="4" width="8.33203125" customWidth="1"/>
    <col min="5" max="5" width="9.33203125" customWidth="1"/>
    <col min="6" max="6" width="9.109375" customWidth="1"/>
    <col min="7" max="7" width="8.33203125" customWidth="1"/>
    <col min="8" max="8" width="4.5546875" customWidth="1"/>
    <col min="9" max="9" width="8" customWidth="1"/>
    <col min="10" max="12" width="4.5546875" customWidth="1"/>
    <col min="13" max="18" width="5.5546875" customWidth="1"/>
    <col min="19" max="19" width="9.6640625" style="432" customWidth="1"/>
    <col min="20" max="20" width="11.88671875" customWidth="1"/>
    <col min="21" max="21" width="6.88671875" style="53" customWidth="1"/>
    <col min="22" max="22" width="6.88671875" customWidth="1"/>
    <col min="23" max="23" width="10" customWidth="1"/>
    <col min="24" max="24" width="15.5546875" customWidth="1"/>
    <col min="25" max="25" width="7.33203125" customWidth="1"/>
    <col min="26" max="26" width="6.5546875" customWidth="1"/>
    <col min="27" max="27" width="3.5546875" customWidth="1"/>
    <col min="29" max="29" width="9.33203125" style="53"/>
    <col min="30" max="30" width="8.109375" customWidth="1"/>
    <col min="31" max="31" width="6.5546875" customWidth="1"/>
    <col min="32" max="32" width="6.33203125" customWidth="1"/>
    <col min="33" max="33" width="7.33203125" customWidth="1"/>
    <col min="34" max="34" width="6.88671875" style="41" customWidth="1"/>
    <col min="258" max="258" width="36.109375" customWidth="1"/>
    <col min="259" max="260" width="8.33203125" customWidth="1"/>
    <col min="261" max="261" width="12" customWidth="1"/>
    <col min="262" max="262" width="9.109375" customWidth="1"/>
    <col min="263" max="263" width="8.33203125" customWidth="1"/>
    <col min="264" max="264" width="4.5546875" customWidth="1"/>
    <col min="265" max="265" width="10.88671875" customWidth="1"/>
    <col min="266" max="268" width="4.5546875" customWidth="1"/>
    <col min="269" max="274" width="5.5546875" customWidth="1"/>
    <col min="275" max="275" width="9.6640625" customWidth="1"/>
    <col min="276" max="276" width="11.88671875" customWidth="1"/>
    <col min="277" max="278" width="6.88671875" customWidth="1"/>
    <col min="279" max="279" width="10" customWidth="1"/>
    <col min="280" max="280" width="15.5546875" customWidth="1"/>
    <col min="281" max="281" width="7.33203125" customWidth="1"/>
    <col min="282" max="282" width="6.5546875" customWidth="1"/>
    <col min="283" max="283" width="3.5546875" customWidth="1"/>
    <col min="286" max="286" width="8.109375" customWidth="1"/>
    <col min="287" max="287" width="6.5546875" customWidth="1"/>
    <col min="288" max="288" width="6.33203125" customWidth="1"/>
    <col min="289" max="289" width="7.33203125" customWidth="1"/>
    <col min="290" max="290" width="6.88671875" customWidth="1"/>
    <col min="514" max="514" width="36.109375" customWidth="1"/>
    <col min="515" max="516" width="8.33203125" customWidth="1"/>
    <col min="517" max="517" width="12" customWidth="1"/>
    <col min="518" max="518" width="9.109375" customWidth="1"/>
    <col min="519" max="519" width="8.33203125" customWidth="1"/>
    <col min="520" max="520" width="4.5546875" customWidth="1"/>
    <col min="521" max="521" width="10.88671875" customWidth="1"/>
    <col min="522" max="524" width="4.5546875" customWidth="1"/>
    <col min="525" max="530" width="5.5546875" customWidth="1"/>
    <col min="531" max="531" width="9.6640625" customWidth="1"/>
    <col min="532" max="532" width="11.88671875" customWidth="1"/>
    <col min="533" max="534" width="6.88671875" customWidth="1"/>
    <col min="535" max="535" width="10" customWidth="1"/>
    <col min="536" max="536" width="15.5546875" customWidth="1"/>
    <col min="537" max="537" width="7.33203125" customWidth="1"/>
    <col min="538" max="538" width="6.5546875" customWidth="1"/>
    <col min="539" max="539" width="3.5546875" customWidth="1"/>
    <col min="542" max="542" width="8.109375" customWidth="1"/>
    <col min="543" max="543" width="6.5546875" customWidth="1"/>
    <col min="544" max="544" width="6.33203125" customWidth="1"/>
    <col min="545" max="545" width="7.33203125" customWidth="1"/>
    <col min="546" max="546" width="6.88671875" customWidth="1"/>
    <col min="770" max="770" width="36.109375" customWidth="1"/>
    <col min="771" max="772" width="8.33203125" customWidth="1"/>
    <col min="773" max="773" width="12" customWidth="1"/>
    <col min="774" max="774" width="9.109375" customWidth="1"/>
    <col min="775" max="775" width="8.33203125" customWidth="1"/>
    <col min="776" max="776" width="4.5546875" customWidth="1"/>
    <col min="777" max="777" width="10.88671875" customWidth="1"/>
    <col min="778" max="780" width="4.5546875" customWidth="1"/>
    <col min="781" max="786" width="5.5546875" customWidth="1"/>
    <col min="787" max="787" width="9.6640625" customWidth="1"/>
    <col min="788" max="788" width="11.88671875" customWidth="1"/>
    <col min="789" max="790" width="6.88671875" customWidth="1"/>
    <col min="791" max="791" width="10" customWidth="1"/>
    <col min="792" max="792" width="15.5546875" customWidth="1"/>
    <col min="793" max="793" width="7.33203125" customWidth="1"/>
    <col min="794" max="794" width="6.5546875" customWidth="1"/>
    <col min="795" max="795" width="3.5546875" customWidth="1"/>
    <col min="798" max="798" width="8.109375" customWidth="1"/>
    <col min="799" max="799" width="6.5546875" customWidth="1"/>
    <col min="800" max="800" width="6.33203125" customWidth="1"/>
    <col min="801" max="801" width="7.33203125" customWidth="1"/>
    <col min="802" max="802" width="6.88671875" customWidth="1"/>
    <col min="1026" max="1026" width="36.109375" customWidth="1"/>
    <col min="1027" max="1028" width="8.33203125" customWidth="1"/>
    <col min="1029" max="1029" width="12" customWidth="1"/>
    <col min="1030" max="1030" width="9.109375" customWidth="1"/>
    <col min="1031" max="1031" width="8.33203125" customWidth="1"/>
    <col min="1032" max="1032" width="4.5546875" customWidth="1"/>
    <col min="1033" max="1033" width="10.88671875" customWidth="1"/>
    <col min="1034" max="1036" width="4.5546875" customWidth="1"/>
    <col min="1037" max="1042" width="5.5546875" customWidth="1"/>
    <col min="1043" max="1043" width="9.6640625" customWidth="1"/>
    <col min="1044" max="1044" width="11.88671875" customWidth="1"/>
    <col min="1045" max="1046" width="6.88671875" customWidth="1"/>
    <col min="1047" max="1047" width="10" customWidth="1"/>
    <col min="1048" max="1048" width="15.5546875" customWidth="1"/>
    <col min="1049" max="1049" width="7.33203125" customWidth="1"/>
    <col min="1050" max="1050" width="6.5546875" customWidth="1"/>
    <col min="1051" max="1051" width="3.5546875" customWidth="1"/>
    <col min="1054" max="1054" width="8.109375" customWidth="1"/>
    <col min="1055" max="1055" width="6.5546875" customWidth="1"/>
    <col min="1056" max="1056" width="6.33203125" customWidth="1"/>
    <col min="1057" max="1057" width="7.33203125" customWidth="1"/>
    <col min="1058" max="1058" width="6.88671875" customWidth="1"/>
    <col min="1282" max="1282" width="36.109375" customWidth="1"/>
    <col min="1283" max="1284" width="8.33203125" customWidth="1"/>
    <col min="1285" max="1285" width="12" customWidth="1"/>
    <col min="1286" max="1286" width="9.109375" customWidth="1"/>
    <col min="1287" max="1287" width="8.33203125" customWidth="1"/>
    <col min="1288" max="1288" width="4.5546875" customWidth="1"/>
    <col min="1289" max="1289" width="10.88671875" customWidth="1"/>
    <col min="1290" max="1292" width="4.5546875" customWidth="1"/>
    <col min="1293" max="1298" width="5.5546875" customWidth="1"/>
    <col min="1299" max="1299" width="9.6640625" customWidth="1"/>
    <col min="1300" max="1300" width="11.88671875" customWidth="1"/>
    <col min="1301" max="1302" width="6.88671875" customWidth="1"/>
    <col min="1303" max="1303" width="10" customWidth="1"/>
    <col min="1304" max="1304" width="15.5546875" customWidth="1"/>
    <col min="1305" max="1305" width="7.33203125" customWidth="1"/>
    <col min="1306" max="1306" width="6.5546875" customWidth="1"/>
    <col min="1307" max="1307" width="3.5546875" customWidth="1"/>
    <col min="1310" max="1310" width="8.109375" customWidth="1"/>
    <col min="1311" max="1311" width="6.5546875" customWidth="1"/>
    <col min="1312" max="1312" width="6.33203125" customWidth="1"/>
    <col min="1313" max="1313" width="7.33203125" customWidth="1"/>
    <col min="1314" max="1314" width="6.88671875" customWidth="1"/>
    <col min="1538" max="1538" width="36.109375" customWidth="1"/>
    <col min="1539" max="1540" width="8.33203125" customWidth="1"/>
    <col min="1541" max="1541" width="12" customWidth="1"/>
    <col min="1542" max="1542" width="9.109375" customWidth="1"/>
    <col min="1543" max="1543" width="8.33203125" customWidth="1"/>
    <col min="1544" max="1544" width="4.5546875" customWidth="1"/>
    <col min="1545" max="1545" width="10.88671875" customWidth="1"/>
    <col min="1546" max="1548" width="4.5546875" customWidth="1"/>
    <col min="1549" max="1554" width="5.5546875" customWidth="1"/>
    <col min="1555" max="1555" width="9.6640625" customWidth="1"/>
    <col min="1556" max="1556" width="11.88671875" customWidth="1"/>
    <col min="1557" max="1558" width="6.88671875" customWidth="1"/>
    <col min="1559" max="1559" width="10" customWidth="1"/>
    <col min="1560" max="1560" width="15.5546875" customWidth="1"/>
    <col min="1561" max="1561" width="7.33203125" customWidth="1"/>
    <col min="1562" max="1562" width="6.5546875" customWidth="1"/>
    <col min="1563" max="1563" width="3.5546875" customWidth="1"/>
    <col min="1566" max="1566" width="8.109375" customWidth="1"/>
    <col min="1567" max="1567" width="6.5546875" customWidth="1"/>
    <col min="1568" max="1568" width="6.33203125" customWidth="1"/>
    <col min="1569" max="1569" width="7.33203125" customWidth="1"/>
    <col min="1570" max="1570" width="6.88671875" customWidth="1"/>
    <col min="1794" max="1794" width="36.109375" customWidth="1"/>
    <col min="1795" max="1796" width="8.33203125" customWidth="1"/>
    <col min="1797" max="1797" width="12" customWidth="1"/>
    <col min="1798" max="1798" width="9.109375" customWidth="1"/>
    <col min="1799" max="1799" width="8.33203125" customWidth="1"/>
    <col min="1800" max="1800" width="4.5546875" customWidth="1"/>
    <col min="1801" max="1801" width="10.88671875" customWidth="1"/>
    <col min="1802" max="1804" width="4.5546875" customWidth="1"/>
    <col min="1805" max="1810" width="5.5546875" customWidth="1"/>
    <col min="1811" max="1811" width="9.6640625" customWidth="1"/>
    <col min="1812" max="1812" width="11.88671875" customWidth="1"/>
    <col min="1813" max="1814" width="6.88671875" customWidth="1"/>
    <col min="1815" max="1815" width="10" customWidth="1"/>
    <col min="1816" max="1816" width="15.5546875" customWidth="1"/>
    <col min="1817" max="1817" width="7.33203125" customWidth="1"/>
    <col min="1818" max="1818" width="6.5546875" customWidth="1"/>
    <col min="1819" max="1819" width="3.5546875" customWidth="1"/>
    <col min="1822" max="1822" width="8.109375" customWidth="1"/>
    <col min="1823" max="1823" width="6.5546875" customWidth="1"/>
    <col min="1824" max="1824" width="6.33203125" customWidth="1"/>
    <col min="1825" max="1825" width="7.33203125" customWidth="1"/>
    <col min="1826" max="1826" width="6.88671875" customWidth="1"/>
    <col min="2050" max="2050" width="36.109375" customWidth="1"/>
    <col min="2051" max="2052" width="8.33203125" customWidth="1"/>
    <col min="2053" max="2053" width="12" customWidth="1"/>
    <col min="2054" max="2054" width="9.109375" customWidth="1"/>
    <col min="2055" max="2055" width="8.33203125" customWidth="1"/>
    <col min="2056" max="2056" width="4.5546875" customWidth="1"/>
    <col min="2057" max="2057" width="10.88671875" customWidth="1"/>
    <col min="2058" max="2060" width="4.5546875" customWidth="1"/>
    <col min="2061" max="2066" width="5.5546875" customWidth="1"/>
    <col min="2067" max="2067" width="9.6640625" customWidth="1"/>
    <col min="2068" max="2068" width="11.88671875" customWidth="1"/>
    <col min="2069" max="2070" width="6.88671875" customWidth="1"/>
    <col min="2071" max="2071" width="10" customWidth="1"/>
    <col min="2072" max="2072" width="15.5546875" customWidth="1"/>
    <col min="2073" max="2073" width="7.33203125" customWidth="1"/>
    <col min="2074" max="2074" width="6.5546875" customWidth="1"/>
    <col min="2075" max="2075" width="3.5546875" customWidth="1"/>
    <col min="2078" max="2078" width="8.109375" customWidth="1"/>
    <col min="2079" max="2079" width="6.5546875" customWidth="1"/>
    <col min="2080" max="2080" width="6.33203125" customWidth="1"/>
    <col min="2081" max="2081" width="7.33203125" customWidth="1"/>
    <col min="2082" max="2082" width="6.88671875" customWidth="1"/>
    <col min="2306" max="2306" width="36.109375" customWidth="1"/>
    <col min="2307" max="2308" width="8.33203125" customWidth="1"/>
    <col min="2309" max="2309" width="12" customWidth="1"/>
    <col min="2310" max="2310" width="9.109375" customWidth="1"/>
    <col min="2311" max="2311" width="8.33203125" customWidth="1"/>
    <col min="2312" max="2312" width="4.5546875" customWidth="1"/>
    <col min="2313" max="2313" width="10.88671875" customWidth="1"/>
    <col min="2314" max="2316" width="4.5546875" customWidth="1"/>
    <col min="2317" max="2322" width="5.5546875" customWidth="1"/>
    <col min="2323" max="2323" width="9.6640625" customWidth="1"/>
    <col min="2324" max="2324" width="11.88671875" customWidth="1"/>
    <col min="2325" max="2326" width="6.88671875" customWidth="1"/>
    <col min="2327" max="2327" width="10" customWidth="1"/>
    <col min="2328" max="2328" width="15.5546875" customWidth="1"/>
    <col min="2329" max="2329" width="7.33203125" customWidth="1"/>
    <col min="2330" max="2330" width="6.5546875" customWidth="1"/>
    <col min="2331" max="2331" width="3.5546875" customWidth="1"/>
    <col min="2334" max="2334" width="8.109375" customWidth="1"/>
    <col min="2335" max="2335" width="6.5546875" customWidth="1"/>
    <col min="2336" max="2336" width="6.33203125" customWidth="1"/>
    <col min="2337" max="2337" width="7.33203125" customWidth="1"/>
    <col min="2338" max="2338" width="6.88671875" customWidth="1"/>
    <col min="2562" max="2562" width="36.109375" customWidth="1"/>
    <col min="2563" max="2564" width="8.33203125" customWidth="1"/>
    <col min="2565" max="2565" width="12" customWidth="1"/>
    <col min="2566" max="2566" width="9.109375" customWidth="1"/>
    <col min="2567" max="2567" width="8.33203125" customWidth="1"/>
    <col min="2568" max="2568" width="4.5546875" customWidth="1"/>
    <col min="2569" max="2569" width="10.88671875" customWidth="1"/>
    <col min="2570" max="2572" width="4.5546875" customWidth="1"/>
    <col min="2573" max="2578" width="5.5546875" customWidth="1"/>
    <col min="2579" max="2579" width="9.6640625" customWidth="1"/>
    <col min="2580" max="2580" width="11.88671875" customWidth="1"/>
    <col min="2581" max="2582" width="6.88671875" customWidth="1"/>
    <col min="2583" max="2583" width="10" customWidth="1"/>
    <col min="2584" max="2584" width="15.5546875" customWidth="1"/>
    <col min="2585" max="2585" width="7.33203125" customWidth="1"/>
    <col min="2586" max="2586" width="6.5546875" customWidth="1"/>
    <col min="2587" max="2587" width="3.5546875" customWidth="1"/>
    <col min="2590" max="2590" width="8.109375" customWidth="1"/>
    <col min="2591" max="2591" width="6.5546875" customWidth="1"/>
    <col min="2592" max="2592" width="6.33203125" customWidth="1"/>
    <col min="2593" max="2593" width="7.33203125" customWidth="1"/>
    <col min="2594" max="2594" width="6.88671875" customWidth="1"/>
    <col min="2818" max="2818" width="36.109375" customWidth="1"/>
    <col min="2819" max="2820" width="8.33203125" customWidth="1"/>
    <col min="2821" max="2821" width="12" customWidth="1"/>
    <col min="2822" max="2822" width="9.109375" customWidth="1"/>
    <col min="2823" max="2823" width="8.33203125" customWidth="1"/>
    <col min="2824" max="2824" width="4.5546875" customWidth="1"/>
    <col min="2825" max="2825" width="10.88671875" customWidth="1"/>
    <col min="2826" max="2828" width="4.5546875" customWidth="1"/>
    <col min="2829" max="2834" width="5.5546875" customWidth="1"/>
    <col min="2835" max="2835" width="9.6640625" customWidth="1"/>
    <col min="2836" max="2836" width="11.88671875" customWidth="1"/>
    <col min="2837" max="2838" width="6.88671875" customWidth="1"/>
    <col min="2839" max="2839" width="10" customWidth="1"/>
    <col min="2840" max="2840" width="15.5546875" customWidth="1"/>
    <col min="2841" max="2841" width="7.33203125" customWidth="1"/>
    <col min="2842" max="2842" width="6.5546875" customWidth="1"/>
    <col min="2843" max="2843" width="3.5546875" customWidth="1"/>
    <col min="2846" max="2846" width="8.109375" customWidth="1"/>
    <col min="2847" max="2847" width="6.5546875" customWidth="1"/>
    <col min="2848" max="2848" width="6.33203125" customWidth="1"/>
    <col min="2849" max="2849" width="7.33203125" customWidth="1"/>
    <col min="2850" max="2850" width="6.88671875" customWidth="1"/>
    <col min="3074" max="3074" width="36.109375" customWidth="1"/>
    <col min="3075" max="3076" width="8.33203125" customWidth="1"/>
    <col min="3077" max="3077" width="12" customWidth="1"/>
    <col min="3078" max="3078" width="9.109375" customWidth="1"/>
    <col min="3079" max="3079" width="8.33203125" customWidth="1"/>
    <col min="3080" max="3080" width="4.5546875" customWidth="1"/>
    <col min="3081" max="3081" width="10.88671875" customWidth="1"/>
    <col min="3082" max="3084" width="4.5546875" customWidth="1"/>
    <col min="3085" max="3090" width="5.5546875" customWidth="1"/>
    <col min="3091" max="3091" width="9.6640625" customWidth="1"/>
    <col min="3092" max="3092" width="11.88671875" customWidth="1"/>
    <col min="3093" max="3094" width="6.88671875" customWidth="1"/>
    <col min="3095" max="3095" width="10" customWidth="1"/>
    <col min="3096" max="3096" width="15.5546875" customWidth="1"/>
    <col min="3097" max="3097" width="7.33203125" customWidth="1"/>
    <col min="3098" max="3098" width="6.5546875" customWidth="1"/>
    <col min="3099" max="3099" width="3.5546875" customWidth="1"/>
    <col min="3102" max="3102" width="8.109375" customWidth="1"/>
    <col min="3103" max="3103" width="6.5546875" customWidth="1"/>
    <col min="3104" max="3104" width="6.33203125" customWidth="1"/>
    <col min="3105" max="3105" width="7.33203125" customWidth="1"/>
    <col min="3106" max="3106" width="6.88671875" customWidth="1"/>
    <col min="3330" max="3330" width="36.109375" customWidth="1"/>
    <col min="3331" max="3332" width="8.33203125" customWidth="1"/>
    <col min="3333" max="3333" width="12" customWidth="1"/>
    <col min="3334" max="3334" width="9.109375" customWidth="1"/>
    <col min="3335" max="3335" width="8.33203125" customWidth="1"/>
    <col min="3336" max="3336" width="4.5546875" customWidth="1"/>
    <col min="3337" max="3337" width="10.88671875" customWidth="1"/>
    <col min="3338" max="3340" width="4.5546875" customWidth="1"/>
    <col min="3341" max="3346" width="5.5546875" customWidth="1"/>
    <col min="3347" max="3347" width="9.6640625" customWidth="1"/>
    <col min="3348" max="3348" width="11.88671875" customWidth="1"/>
    <col min="3349" max="3350" width="6.88671875" customWidth="1"/>
    <col min="3351" max="3351" width="10" customWidth="1"/>
    <col min="3352" max="3352" width="15.5546875" customWidth="1"/>
    <col min="3353" max="3353" width="7.33203125" customWidth="1"/>
    <col min="3354" max="3354" width="6.5546875" customWidth="1"/>
    <col min="3355" max="3355" width="3.5546875" customWidth="1"/>
    <col min="3358" max="3358" width="8.109375" customWidth="1"/>
    <col min="3359" max="3359" width="6.5546875" customWidth="1"/>
    <col min="3360" max="3360" width="6.33203125" customWidth="1"/>
    <col min="3361" max="3361" width="7.33203125" customWidth="1"/>
    <col min="3362" max="3362" width="6.88671875" customWidth="1"/>
    <col min="3586" max="3586" width="36.109375" customWidth="1"/>
    <col min="3587" max="3588" width="8.33203125" customWidth="1"/>
    <col min="3589" max="3589" width="12" customWidth="1"/>
    <col min="3590" max="3590" width="9.109375" customWidth="1"/>
    <col min="3591" max="3591" width="8.33203125" customWidth="1"/>
    <col min="3592" max="3592" width="4.5546875" customWidth="1"/>
    <col min="3593" max="3593" width="10.88671875" customWidth="1"/>
    <col min="3594" max="3596" width="4.5546875" customWidth="1"/>
    <col min="3597" max="3602" width="5.5546875" customWidth="1"/>
    <col min="3603" max="3603" width="9.6640625" customWidth="1"/>
    <col min="3604" max="3604" width="11.88671875" customWidth="1"/>
    <col min="3605" max="3606" width="6.88671875" customWidth="1"/>
    <col min="3607" max="3607" width="10" customWidth="1"/>
    <col min="3608" max="3608" width="15.5546875" customWidth="1"/>
    <col min="3609" max="3609" width="7.33203125" customWidth="1"/>
    <col min="3610" max="3610" width="6.5546875" customWidth="1"/>
    <col min="3611" max="3611" width="3.5546875" customWidth="1"/>
    <col min="3614" max="3614" width="8.109375" customWidth="1"/>
    <col min="3615" max="3615" width="6.5546875" customWidth="1"/>
    <col min="3616" max="3616" width="6.33203125" customWidth="1"/>
    <col min="3617" max="3617" width="7.33203125" customWidth="1"/>
    <col min="3618" max="3618" width="6.88671875" customWidth="1"/>
    <col min="3842" max="3842" width="36.109375" customWidth="1"/>
    <col min="3843" max="3844" width="8.33203125" customWidth="1"/>
    <col min="3845" max="3845" width="12" customWidth="1"/>
    <col min="3846" max="3846" width="9.109375" customWidth="1"/>
    <col min="3847" max="3847" width="8.33203125" customWidth="1"/>
    <col min="3848" max="3848" width="4.5546875" customWidth="1"/>
    <col min="3849" max="3849" width="10.88671875" customWidth="1"/>
    <col min="3850" max="3852" width="4.5546875" customWidth="1"/>
    <col min="3853" max="3858" width="5.5546875" customWidth="1"/>
    <col min="3859" max="3859" width="9.6640625" customWidth="1"/>
    <col min="3860" max="3860" width="11.88671875" customWidth="1"/>
    <col min="3861" max="3862" width="6.88671875" customWidth="1"/>
    <col min="3863" max="3863" width="10" customWidth="1"/>
    <col min="3864" max="3864" width="15.5546875" customWidth="1"/>
    <col min="3865" max="3865" width="7.33203125" customWidth="1"/>
    <col min="3866" max="3866" width="6.5546875" customWidth="1"/>
    <col min="3867" max="3867" width="3.5546875" customWidth="1"/>
    <col min="3870" max="3870" width="8.109375" customWidth="1"/>
    <col min="3871" max="3871" width="6.5546875" customWidth="1"/>
    <col min="3872" max="3872" width="6.33203125" customWidth="1"/>
    <col min="3873" max="3873" width="7.33203125" customWidth="1"/>
    <col min="3874" max="3874" width="6.88671875" customWidth="1"/>
    <col min="4098" max="4098" width="36.109375" customWidth="1"/>
    <col min="4099" max="4100" width="8.33203125" customWidth="1"/>
    <col min="4101" max="4101" width="12" customWidth="1"/>
    <col min="4102" max="4102" width="9.109375" customWidth="1"/>
    <col min="4103" max="4103" width="8.33203125" customWidth="1"/>
    <col min="4104" max="4104" width="4.5546875" customWidth="1"/>
    <col min="4105" max="4105" width="10.88671875" customWidth="1"/>
    <col min="4106" max="4108" width="4.5546875" customWidth="1"/>
    <col min="4109" max="4114" width="5.5546875" customWidth="1"/>
    <col min="4115" max="4115" width="9.6640625" customWidth="1"/>
    <col min="4116" max="4116" width="11.88671875" customWidth="1"/>
    <col min="4117" max="4118" width="6.88671875" customWidth="1"/>
    <col min="4119" max="4119" width="10" customWidth="1"/>
    <col min="4120" max="4120" width="15.5546875" customWidth="1"/>
    <col min="4121" max="4121" width="7.33203125" customWidth="1"/>
    <col min="4122" max="4122" width="6.5546875" customWidth="1"/>
    <col min="4123" max="4123" width="3.5546875" customWidth="1"/>
    <col min="4126" max="4126" width="8.109375" customWidth="1"/>
    <col min="4127" max="4127" width="6.5546875" customWidth="1"/>
    <col min="4128" max="4128" width="6.33203125" customWidth="1"/>
    <col min="4129" max="4129" width="7.33203125" customWidth="1"/>
    <col min="4130" max="4130" width="6.88671875" customWidth="1"/>
    <col min="4354" max="4354" width="36.109375" customWidth="1"/>
    <col min="4355" max="4356" width="8.33203125" customWidth="1"/>
    <col min="4357" max="4357" width="12" customWidth="1"/>
    <col min="4358" max="4358" width="9.109375" customWidth="1"/>
    <col min="4359" max="4359" width="8.33203125" customWidth="1"/>
    <col min="4360" max="4360" width="4.5546875" customWidth="1"/>
    <col min="4361" max="4361" width="10.88671875" customWidth="1"/>
    <col min="4362" max="4364" width="4.5546875" customWidth="1"/>
    <col min="4365" max="4370" width="5.5546875" customWidth="1"/>
    <col min="4371" max="4371" width="9.6640625" customWidth="1"/>
    <col min="4372" max="4372" width="11.88671875" customWidth="1"/>
    <col min="4373" max="4374" width="6.88671875" customWidth="1"/>
    <col min="4375" max="4375" width="10" customWidth="1"/>
    <col min="4376" max="4376" width="15.5546875" customWidth="1"/>
    <col min="4377" max="4377" width="7.33203125" customWidth="1"/>
    <col min="4378" max="4378" width="6.5546875" customWidth="1"/>
    <col min="4379" max="4379" width="3.5546875" customWidth="1"/>
    <col min="4382" max="4382" width="8.109375" customWidth="1"/>
    <col min="4383" max="4383" width="6.5546875" customWidth="1"/>
    <col min="4384" max="4384" width="6.33203125" customWidth="1"/>
    <col min="4385" max="4385" width="7.33203125" customWidth="1"/>
    <col min="4386" max="4386" width="6.88671875" customWidth="1"/>
    <col min="4610" max="4610" width="36.109375" customWidth="1"/>
    <col min="4611" max="4612" width="8.33203125" customWidth="1"/>
    <col min="4613" max="4613" width="12" customWidth="1"/>
    <col min="4614" max="4614" width="9.109375" customWidth="1"/>
    <col min="4615" max="4615" width="8.33203125" customWidth="1"/>
    <col min="4616" max="4616" width="4.5546875" customWidth="1"/>
    <col min="4617" max="4617" width="10.88671875" customWidth="1"/>
    <col min="4618" max="4620" width="4.5546875" customWidth="1"/>
    <col min="4621" max="4626" width="5.5546875" customWidth="1"/>
    <col min="4627" max="4627" width="9.6640625" customWidth="1"/>
    <col min="4628" max="4628" width="11.88671875" customWidth="1"/>
    <col min="4629" max="4630" width="6.88671875" customWidth="1"/>
    <col min="4631" max="4631" width="10" customWidth="1"/>
    <col min="4632" max="4632" width="15.5546875" customWidth="1"/>
    <col min="4633" max="4633" width="7.33203125" customWidth="1"/>
    <col min="4634" max="4634" width="6.5546875" customWidth="1"/>
    <col min="4635" max="4635" width="3.5546875" customWidth="1"/>
    <col min="4638" max="4638" width="8.109375" customWidth="1"/>
    <col min="4639" max="4639" width="6.5546875" customWidth="1"/>
    <col min="4640" max="4640" width="6.33203125" customWidth="1"/>
    <col min="4641" max="4641" width="7.33203125" customWidth="1"/>
    <col min="4642" max="4642" width="6.88671875" customWidth="1"/>
    <col min="4866" max="4866" width="36.109375" customWidth="1"/>
    <col min="4867" max="4868" width="8.33203125" customWidth="1"/>
    <col min="4869" max="4869" width="12" customWidth="1"/>
    <col min="4870" max="4870" width="9.109375" customWidth="1"/>
    <col min="4871" max="4871" width="8.33203125" customWidth="1"/>
    <col min="4872" max="4872" width="4.5546875" customWidth="1"/>
    <col min="4873" max="4873" width="10.88671875" customWidth="1"/>
    <col min="4874" max="4876" width="4.5546875" customWidth="1"/>
    <col min="4877" max="4882" width="5.5546875" customWidth="1"/>
    <col min="4883" max="4883" width="9.6640625" customWidth="1"/>
    <col min="4884" max="4884" width="11.88671875" customWidth="1"/>
    <col min="4885" max="4886" width="6.88671875" customWidth="1"/>
    <col min="4887" max="4887" width="10" customWidth="1"/>
    <col min="4888" max="4888" width="15.5546875" customWidth="1"/>
    <col min="4889" max="4889" width="7.33203125" customWidth="1"/>
    <col min="4890" max="4890" width="6.5546875" customWidth="1"/>
    <col min="4891" max="4891" width="3.5546875" customWidth="1"/>
    <col min="4894" max="4894" width="8.109375" customWidth="1"/>
    <col min="4895" max="4895" width="6.5546875" customWidth="1"/>
    <col min="4896" max="4896" width="6.33203125" customWidth="1"/>
    <col min="4897" max="4897" width="7.33203125" customWidth="1"/>
    <col min="4898" max="4898" width="6.88671875" customWidth="1"/>
    <col min="5122" max="5122" width="36.109375" customWidth="1"/>
    <col min="5123" max="5124" width="8.33203125" customWidth="1"/>
    <col min="5125" max="5125" width="12" customWidth="1"/>
    <col min="5126" max="5126" width="9.109375" customWidth="1"/>
    <col min="5127" max="5127" width="8.33203125" customWidth="1"/>
    <col min="5128" max="5128" width="4.5546875" customWidth="1"/>
    <col min="5129" max="5129" width="10.88671875" customWidth="1"/>
    <col min="5130" max="5132" width="4.5546875" customWidth="1"/>
    <col min="5133" max="5138" width="5.5546875" customWidth="1"/>
    <col min="5139" max="5139" width="9.6640625" customWidth="1"/>
    <col min="5140" max="5140" width="11.88671875" customWidth="1"/>
    <col min="5141" max="5142" width="6.88671875" customWidth="1"/>
    <col min="5143" max="5143" width="10" customWidth="1"/>
    <col min="5144" max="5144" width="15.5546875" customWidth="1"/>
    <col min="5145" max="5145" width="7.33203125" customWidth="1"/>
    <col min="5146" max="5146" width="6.5546875" customWidth="1"/>
    <col min="5147" max="5147" width="3.5546875" customWidth="1"/>
    <col min="5150" max="5150" width="8.109375" customWidth="1"/>
    <col min="5151" max="5151" width="6.5546875" customWidth="1"/>
    <col min="5152" max="5152" width="6.33203125" customWidth="1"/>
    <col min="5153" max="5153" width="7.33203125" customWidth="1"/>
    <col min="5154" max="5154" width="6.88671875" customWidth="1"/>
    <col min="5378" max="5378" width="36.109375" customWidth="1"/>
    <col min="5379" max="5380" width="8.33203125" customWidth="1"/>
    <col min="5381" max="5381" width="12" customWidth="1"/>
    <col min="5382" max="5382" width="9.109375" customWidth="1"/>
    <col min="5383" max="5383" width="8.33203125" customWidth="1"/>
    <col min="5384" max="5384" width="4.5546875" customWidth="1"/>
    <col min="5385" max="5385" width="10.88671875" customWidth="1"/>
    <col min="5386" max="5388" width="4.5546875" customWidth="1"/>
    <col min="5389" max="5394" width="5.5546875" customWidth="1"/>
    <col min="5395" max="5395" width="9.6640625" customWidth="1"/>
    <col min="5396" max="5396" width="11.88671875" customWidth="1"/>
    <col min="5397" max="5398" width="6.88671875" customWidth="1"/>
    <col min="5399" max="5399" width="10" customWidth="1"/>
    <col min="5400" max="5400" width="15.5546875" customWidth="1"/>
    <col min="5401" max="5401" width="7.33203125" customWidth="1"/>
    <col min="5402" max="5402" width="6.5546875" customWidth="1"/>
    <col min="5403" max="5403" width="3.5546875" customWidth="1"/>
    <col min="5406" max="5406" width="8.109375" customWidth="1"/>
    <col min="5407" max="5407" width="6.5546875" customWidth="1"/>
    <col min="5408" max="5408" width="6.33203125" customWidth="1"/>
    <col min="5409" max="5409" width="7.33203125" customWidth="1"/>
    <col min="5410" max="5410" width="6.88671875" customWidth="1"/>
    <col min="5634" max="5634" width="36.109375" customWidth="1"/>
    <col min="5635" max="5636" width="8.33203125" customWidth="1"/>
    <col min="5637" max="5637" width="12" customWidth="1"/>
    <col min="5638" max="5638" width="9.109375" customWidth="1"/>
    <col min="5639" max="5639" width="8.33203125" customWidth="1"/>
    <col min="5640" max="5640" width="4.5546875" customWidth="1"/>
    <col min="5641" max="5641" width="10.88671875" customWidth="1"/>
    <col min="5642" max="5644" width="4.5546875" customWidth="1"/>
    <col min="5645" max="5650" width="5.5546875" customWidth="1"/>
    <col min="5651" max="5651" width="9.6640625" customWidth="1"/>
    <col min="5652" max="5652" width="11.88671875" customWidth="1"/>
    <col min="5653" max="5654" width="6.88671875" customWidth="1"/>
    <col min="5655" max="5655" width="10" customWidth="1"/>
    <col min="5656" max="5656" width="15.5546875" customWidth="1"/>
    <col min="5657" max="5657" width="7.33203125" customWidth="1"/>
    <col min="5658" max="5658" width="6.5546875" customWidth="1"/>
    <col min="5659" max="5659" width="3.5546875" customWidth="1"/>
    <col min="5662" max="5662" width="8.109375" customWidth="1"/>
    <col min="5663" max="5663" width="6.5546875" customWidth="1"/>
    <col min="5664" max="5664" width="6.33203125" customWidth="1"/>
    <col min="5665" max="5665" width="7.33203125" customWidth="1"/>
    <col min="5666" max="5666" width="6.88671875" customWidth="1"/>
    <col min="5890" max="5890" width="36.109375" customWidth="1"/>
    <col min="5891" max="5892" width="8.33203125" customWidth="1"/>
    <col min="5893" max="5893" width="12" customWidth="1"/>
    <col min="5894" max="5894" width="9.109375" customWidth="1"/>
    <col min="5895" max="5895" width="8.33203125" customWidth="1"/>
    <col min="5896" max="5896" width="4.5546875" customWidth="1"/>
    <col min="5897" max="5897" width="10.88671875" customWidth="1"/>
    <col min="5898" max="5900" width="4.5546875" customWidth="1"/>
    <col min="5901" max="5906" width="5.5546875" customWidth="1"/>
    <col min="5907" max="5907" width="9.6640625" customWidth="1"/>
    <col min="5908" max="5908" width="11.88671875" customWidth="1"/>
    <col min="5909" max="5910" width="6.88671875" customWidth="1"/>
    <col min="5911" max="5911" width="10" customWidth="1"/>
    <col min="5912" max="5912" width="15.5546875" customWidth="1"/>
    <col min="5913" max="5913" width="7.33203125" customWidth="1"/>
    <col min="5914" max="5914" width="6.5546875" customWidth="1"/>
    <col min="5915" max="5915" width="3.5546875" customWidth="1"/>
    <col min="5918" max="5918" width="8.109375" customWidth="1"/>
    <col min="5919" max="5919" width="6.5546875" customWidth="1"/>
    <col min="5920" max="5920" width="6.33203125" customWidth="1"/>
    <col min="5921" max="5921" width="7.33203125" customWidth="1"/>
    <col min="5922" max="5922" width="6.88671875" customWidth="1"/>
    <col min="6146" max="6146" width="36.109375" customWidth="1"/>
    <col min="6147" max="6148" width="8.33203125" customWidth="1"/>
    <col min="6149" max="6149" width="12" customWidth="1"/>
    <col min="6150" max="6150" width="9.109375" customWidth="1"/>
    <col min="6151" max="6151" width="8.33203125" customWidth="1"/>
    <col min="6152" max="6152" width="4.5546875" customWidth="1"/>
    <col min="6153" max="6153" width="10.88671875" customWidth="1"/>
    <col min="6154" max="6156" width="4.5546875" customWidth="1"/>
    <col min="6157" max="6162" width="5.5546875" customWidth="1"/>
    <col min="6163" max="6163" width="9.6640625" customWidth="1"/>
    <col min="6164" max="6164" width="11.88671875" customWidth="1"/>
    <col min="6165" max="6166" width="6.88671875" customWidth="1"/>
    <col min="6167" max="6167" width="10" customWidth="1"/>
    <col min="6168" max="6168" width="15.5546875" customWidth="1"/>
    <col min="6169" max="6169" width="7.33203125" customWidth="1"/>
    <col min="6170" max="6170" width="6.5546875" customWidth="1"/>
    <col min="6171" max="6171" width="3.5546875" customWidth="1"/>
    <col min="6174" max="6174" width="8.109375" customWidth="1"/>
    <col min="6175" max="6175" width="6.5546875" customWidth="1"/>
    <col min="6176" max="6176" width="6.33203125" customWidth="1"/>
    <col min="6177" max="6177" width="7.33203125" customWidth="1"/>
    <col min="6178" max="6178" width="6.88671875" customWidth="1"/>
    <col min="6402" max="6402" width="36.109375" customWidth="1"/>
    <col min="6403" max="6404" width="8.33203125" customWidth="1"/>
    <col min="6405" max="6405" width="12" customWidth="1"/>
    <col min="6406" max="6406" width="9.109375" customWidth="1"/>
    <col min="6407" max="6407" width="8.33203125" customWidth="1"/>
    <col min="6408" max="6408" width="4.5546875" customWidth="1"/>
    <col min="6409" max="6409" width="10.88671875" customWidth="1"/>
    <col min="6410" max="6412" width="4.5546875" customWidth="1"/>
    <col min="6413" max="6418" width="5.5546875" customWidth="1"/>
    <col min="6419" max="6419" width="9.6640625" customWidth="1"/>
    <col min="6420" max="6420" width="11.88671875" customWidth="1"/>
    <col min="6421" max="6422" width="6.88671875" customWidth="1"/>
    <col min="6423" max="6423" width="10" customWidth="1"/>
    <col min="6424" max="6424" width="15.5546875" customWidth="1"/>
    <col min="6425" max="6425" width="7.33203125" customWidth="1"/>
    <col min="6426" max="6426" width="6.5546875" customWidth="1"/>
    <col min="6427" max="6427" width="3.5546875" customWidth="1"/>
    <col min="6430" max="6430" width="8.109375" customWidth="1"/>
    <col min="6431" max="6431" width="6.5546875" customWidth="1"/>
    <col min="6432" max="6432" width="6.33203125" customWidth="1"/>
    <col min="6433" max="6433" width="7.33203125" customWidth="1"/>
    <col min="6434" max="6434" width="6.88671875" customWidth="1"/>
    <col min="6658" max="6658" width="36.109375" customWidth="1"/>
    <col min="6659" max="6660" width="8.33203125" customWidth="1"/>
    <col min="6661" max="6661" width="12" customWidth="1"/>
    <col min="6662" max="6662" width="9.109375" customWidth="1"/>
    <col min="6663" max="6663" width="8.33203125" customWidth="1"/>
    <col min="6664" max="6664" width="4.5546875" customWidth="1"/>
    <col min="6665" max="6665" width="10.88671875" customWidth="1"/>
    <col min="6666" max="6668" width="4.5546875" customWidth="1"/>
    <col min="6669" max="6674" width="5.5546875" customWidth="1"/>
    <col min="6675" max="6675" width="9.6640625" customWidth="1"/>
    <col min="6676" max="6676" width="11.88671875" customWidth="1"/>
    <col min="6677" max="6678" width="6.88671875" customWidth="1"/>
    <col min="6679" max="6679" width="10" customWidth="1"/>
    <col min="6680" max="6680" width="15.5546875" customWidth="1"/>
    <col min="6681" max="6681" width="7.33203125" customWidth="1"/>
    <col min="6682" max="6682" width="6.5546875" customWidth="1"/>
    <col min="6683" max="6683" width="3.5546875" customWidth="1"/>
    <col min="6686" max="6686" width="8.109375" customWidth="1"/>
    <col min="6687" max="6687" width="6.5546875" customWidth="1"/>
    <col min="6688" max="6688" width="6.33203125" customWidth="1"/>
    <col min="6689" max="6689" width="7.33203125" customWidth="1"/>
    <col min="6690" max="6690" width="6.88671875" customWidth="1"/>
    <col min="6914" max="6914" width="36.109375" customWidth="1"/>
    <col min="6915" max="6916" width="8.33203125" customWidth="1"/>
    <col min="6917" max="6917" width="12" customWidth="1"/>
    <col min="6918" max="6918" width="9.109375" customWidth="1"/>
    <col min="6919" max="6919" width="8.33203125" customWidth="1"/>
    <col min="6920" max="6920" width="4.5546875" customWidth="1"/>
    <col min="6921" max="6921" width="10.88671875" customWidth="1"/>
    <col min="6922" max="6924" width="4.5546875" customWidth="1"/>
    <col min="6925" max="6930" width="5.5546875" customWidth="1"/>
    <col min="6931" max="6931" width="9.6640625" customWidth="1"/>
    <col min="6932" max="6932" width="11.88671875" customWidth="1"/>
    <col min="6933" max="6934" width="6.88671875" customWidth="1"/>
    <col min="6935" max="6935" width="10" customWidth="1"/>
    <col min="6936" max="6936" width="15.5546875" customWidth="1"/>
    <col min="6937" max="6937" width="7.33203125" customWidth="1"/>
    <col min="6938" max="6938" width="6.5546875" customWidth="1"/>
    <col min="6939" max="6939" width="3.5546875" customWidth="1"/>
    <col min="6942" max="6942" width="8.109375" customWidth="1"/>
    <col min="6943" max="6943" width="6.5546875" customWidth="1"/>
    <col min="6944" max="6944" width="6.33203125" customWidth="1"/>
    <col min="6945" max="6945" width="7.33203125" customWidth="1"/>
    <col min="6946" max="6946" width="6.88671875" customWidth="1"/>
    <col min="7170" max="7170" width="36.109375" customWidth="1"/>
    <col min="7171" max="7172" width="8.33203125" customWidth="1"/>
    <col min="7173" max="7173" width="12" customWidth="1"/>
    <col min="7174" max="7174" width="9.109375" customWidth="1"/>
    <col min="7175" max="7175" width="8.33203125" customWidth="1"/>
    <col min="7176" max="7176" width="4.5546875" customWidth="1"/>
    <col min="7177" max="7177" width="10.88671875" customWidth="1"/>
    <col min="7178" max="7180" width="4.5546875" customWidth="1"/>
    <col min="7181" max="7186" width="5.5546875" customWidth="1"/>
    <col min="7187" max="7187" width="9.6640625" customWidth="1"/>
    <col min="7188" max="7188" width="11.88671875" customWidth="1"/>
    <col min="7189" max="7190" width="6.88671875" customWidth="1"/>
    <col min="7191" max="7191" width="10" customWidth="1"/>
    <col min="7192" max="7192" width="15.5546875" customWidth="1"/>
    <col min="7193" max="7193" width="7.33203125" customWidth="1"/>
    <col min="7194" max="7194" width="6.5546875" customWidth="1"/>
    <col min="7195" max="7195" width="3.5546875" customWidth="1"/>
    <col min="7198" max="7198" width="8.109375" customWidth="1"/>
    <col min="7199" max="7199" width="6.5546875" customWidth="1"/>
    <col min="7200" max="7200" width="6.33203125" customWidth="1"/>
    <col min="7201" max="7201" width="7.33203125" customWidth="1"/>
    <col min="7202" max="7202" width="6.88671875" customWidth="1"/>
    <col min="7426" max="7426" width="36.109375" customWidth="1"/>
    <col min="7427" max="7428" width="8.33203125" customWidth="1"/>
    <col min="7429" max="7429" width="12" customWidth="1"/>
    <col min="7430" max="7430" width="9.109375" customWidth="1"/>
    <col min="7431" max="7431" width="8.33203125" customWidth="1"/>
    <col min="7432" max="7432" width="4.5546875" customWidth="1"/>
    <col min="7433" max="7433" width="10.88671875" customWidth="1"/>
    <col min="7434" max="7436" width="4.5546875" customWidth="1"/>
    <col min="7437" max="7442" width="5.5546875" customWidth="1"/>
    <col min="7443" max="7443" width="9.6640625" customWidth="1"/>
    <col min="7444" max="7444" width="11.88671875" customWidth="1"/>
    <col min="7445" max="7446" width="6.88671875" customWidth="1"/>
    <col min="7447" max="7447" width="10" customWidth="1"/>
    <col min="7448" max="7448" width="15.5546875" customWidth="1"/>
    <col min="7449" max="7449" width="7.33203125" customWidth="1"/>
    <col min="7450" max="7450" width="6.5546875" customWidth="1"/>
    <col min="7451" max="7451" width="3.5546875" customWidth="1"/>
    <col min="7454" max="7454" width="8.109375" customWidth="1"/>
    <col min="7455" max="7455" width="6.5546875" customWidth="1"/>
    <col min="7456" max="7456" width="6.33203125" customWidth="1"/>
    <col min="7457" max="7457" width="7.33203125" customWidth="1"/>
    <col min="7458" max="7458" width="6.88671875" customWidth="1"/>
    <col min="7682" max="7682" width="36.109375" customWidth="1"/>
    <col min="7683" max="7684" width="8.33203125" customWidth="1"/>
    <col min="7685" max="7685" width="12" customWidth="1"/>
    <col min="7686" max="7686" width="9.109375" customWidth="1"/>
    <col min="7687" max="7687" width="8.33203125" customWidth="1"/>
    <col min="7688" max="7688" width="4.5546875" customWidth="1"/>
    <col min="7689" max="7689" width="10.88671875" customWidth="1"/>
    <col min="7690" max="7692" width="4.5546875" customWidth="1"/>
    <col min="7693" max="7698" width="5.5546875" customWidth="1"/>
    <col min="7699" max="7699" width="9.6640625" customWidth="1"/>
    <col min="7700" max="7700" width="11.88671875" customWidth="1"/>
    <col min="7701" max="7702" width="6.88671875" customWidth="1"/>
    <col min="7703" max="7703" width="10" customWidth="1"/>
    <col min="7704" max="7704" width="15.5546875" customWidth="1"/>
    <col min="7705" max="7705" width="7.33203125" customWidth="1"/>
    <col min="7706" max="7706" width="6.5546875" customWidth="1"/>
    <col min="7707" max="7707" width="3.5546875" customWidth="1"/>
    <col min="7710" max="7710" width="8.109375" customWidth="1"/>
    <col min="7711" max="7711" width="6.5546875" customWidth="1"/>
    <col min="7712" max="7712" width="6.33203125" customWidth="1"/>
    <col min="7713" max="7713" width="7.33203125" customWidth="1"/>
    <col min="7714" max="7714" width="6.88671875" customWidth="1"/>
    <col min="7938" max="7938" width="36.109375" customWidth="1"/>
    <col min="7939" max="7940" width="8.33203125" customWidth="1"/>
    <col min="7941" max="7941" width="12" customWidth="1"/>
    <col min="7942" max="7942" width="9.109375" customWidth="1"/>
    <col min="7943" max="7943" width="8.33203125" customWidth="1"/>
    <col min="7944" max="7944" width="4.5546875" customWidth="1"/>
    <col min="7945" max="7945" width="10.88671875" customWidth="1"/>
    <col min="7946" max="7948" width="4.5546875" customWidth="1"/>
    <col min="7949" max="7954" width="5.5546875" customWidth="1"/>
    <col min="7955" max="7955" width="9.6640625" customWidth="1"/>
    <col min="7956" max="7956" width="11.88671875" customWidth="1"/>
    <col min="7957" max="7958" width="6.88671875" customWidth="1"/>
    <col min="7959" max="7959" width="10" customWidth="1"/>
    <col min="7960" max="7960" width="15.5546875" customWidth="1"/>
    <col min="7961" max="7961" width="7.33203125" customWidth="1"/>
    <col min="7962" max="7962" width="6.5546875" customWidth="1"/>
    <col min="7963" max="7963" width="3.5546875" customWidth="1"/>
    <col min="7966" max="7966" width="8.109375" customWidth="1"/>
    <col min="7967" max="7967" width="6.5546875" customWidth="1"/>
    <col min="7968" max="7968" width="6.33203125" customWidth="1"/>
    <col min="7969" max="7969" width="7.33203125" customWidth="1"/>
    <col min="7970" max="7970" width="6.88671875" customWidth="1"/>
    <col min="8194" max="8194" width="36.109375" customWidth="1"/>
    <col min="8195" max="8196" width="8.33203125" customWidth="1"/>
    <col min="8197" max="8197" width="12" customWidth="1"/>
    <col min="8198" max="8198" width="9.109375" customWidth="1"/>
    <col min="8199" max="8199" width="8.33203125" customWidth="1"/>
    <col min="8200" max="8200" width="4.5546875" customWidth="1"/>
    <col min="8201" max="8201" width="10.88671875" customWidth="1"/>
    <col min="8202" max="8204" width="4.5546875" customWidth="1"/>
    <col min="8205" max="8210" width="5.5546875" customWidth="1"/>
    <col min="8211" max="8211" width="9.6640625" customWidth="1"/>
    <col min="8212" max="8212" width="11.88671875" customWidth="1"/>
    <col min="8213" max="8214" width="6.88671875" customWidth="1"/>
    <col min="8215" max="8215" width="10" customWidth="1"/>
    <col min="8216" max="8216" width="15.5546875" customWidth="1"/>
    <col min="8217" max="8217" width="7.33203125" customWidth="1"/>
    <col min="8218" max="8218" width="6.5546875" customWidth="1"/>
    <col min="8219" max="8219" width="3.5546875" customWidth="1"/>
    <col min="8222" max="8222" width="8.109375" customWidth="1"/>
    <col min="8223" max="8223" width="6.5546875" customWidth="1"/>
    <col min="8224" max="8224" width="6.33203125" customWidth="1"/>
    <col min="8225" max="8225" width="7.33203125" customWidth="1"/>
    <col min="8226" max="8226" width="6.88671875" customWidth="1"/>
    <col min="8450" max="8450" width="36.109375" customWidth="1"/>
    <col min="8451" max="8452" width="8.33203125" customWidth="1"/>
    <col min="8453" max="8453" width="12" customWidth="1"/>
    <col min="8454" max="8454" width="9.109375" customWidth="1"/>
    <col min="8455" max="8455" width="8.33203125" customWidth="1"/>
    <col min="8456" max="8456" width="4.5546875" customWidth="1"/>
    <col min="8457" max="8457" width="10.88671875" customWidth="1"/>
    <col min="8458" max="8460" width="4.5546875" customWidth="1"/>
    <col min="8461" max="8466" width="5.5546875" customWidth="1"/>
    <col min="8467" max="8467" width="9.6640625" customWidth="1"/>
    <col min="8468" max="8468" width="11.88671875" customWidth="1"/>
    <col min="8469" max="8470" width="6.88671875" customWidth="1"/>
    <col min="8471" max="8471" width="10" customWidth="1"/>
    <col min="8472" max="8472" width="15.5546875" customWidth="1"/>
    <col min="8473" max="8473" width="7.33203125" customWidth="1"/>
    <col min="8474" max="8474" width="6.5546875" customWidth="1"/>
    <col min="8475" max="8475" width="3.5546875" customWidth="1"/>
    <col min="8478" max="8478" width="8.109375" customWidth="1"/>
    <col min="8479" max="8479" width="6.5546875" customWidth="1"/>
    <col min="8480" max="8480" width="6.33203125" customWidth="1"/>
    <col min="8481" max="8481" width="7.33203125" customWidth="1"/>
    <col min="8482" max="8482" width="6.88671875" customWidth="1"/>
    <col min="8706" max="8706" width="36.109375" customWidth="1"/>
    <col min="8707" max="8708" width="8.33203125" customWidth="1"/>
    <col min="8709" max="8709" width="12" customWidth="1"/>
    <col min="8710" max="8710" width="9.109375" customWidth="1"/>
    <col min="8711" max="8711" width="8.33203125" customWidth="1"/>
    <col min="8712" max="8712" width="4.5546875" customWidth="1"/>
    <col min="8713" max="8713" width="10.88671875" customWidth="1"/>
    <col min="8714" max="8716" width="4.5546875" customWidth="1"/>
    <col min="8717" max="8722" width="5.5546875" customWidth="1"/>
    <col min="8723" max="8723" width="9.6640625" customWidth="1"/>
    <col min="8724" max="8724" width="11.88671875" customWidth="1"/>
    <col min="8725" max="8726" width="6.88671875" customWidth="1"/>
    <col min="8727" max="8727" width="10" customWidth="1"/>
    <col min="8728" max="8728" width="15.5546875" customWidth="1"/>
    <col min="8729" max="8729" width="7.33203125" customWidth="1"/>
    <col min="8730" max="8730" width="6.5546875" customWidth="1"/>
    <col min="8731" max="8731" width="3.5546875" customWidth="1"/>
    <col min="8734" max="8734" width="8.109375" customWidth="1"/>
    <col min="8735" max="8735" width="6.5546875" customWidth="1"/>
    <col min="8736" max="8736" width="6.33203125" customWidth="1"/>
    <col min="8737" max="8737" width="7.33203125" customWidth="1"/>
    <col min="8738" max="8738" width="6.88671875" customWidth="1"/>
    <col min="8962" max="8962" width="36.109375" customWidth="1"/>
    <col min="8963" max="8964" width="8.33203125" customWidth="1"/>
    <col min="8965" max="8965" width="12" customWidth="1"/>
    <col min="8966" max="8966" width="9.109375" customWidth="1"/>
    <col min="8967" max="8967" width="8.33203125" customWidth="1"/>
    <col min="8968" max="8968" width="4.5546875" customWidth="1"/>
    <col min="8969" max="8969" width="10.88671875" customWidth="1"/>
    <col min="8970" max="8972" width="4.5546875" customWidth="1"/>
    <col min="8973" max="8978" width="5.5546875" customWidth="1"/>
    <col min="8979" max="8979" width="9.6640625" customWidth="1"/>
    <col min="8980" max="8980" width="11.88671875" customWidth="1"/>
    <col min="8981" max="8982" width="6.88671875" customWidth="1"/>
    <col min="8983" max="8983" width="10" customWidth="1"/>
    <col min="8984" max="8984" width="15.5546875" customWidth="1"/>
    <col min="8985" max="8985" width="7.33203125" customWidth="1"/>
    <col min="8986" max="8986" width="6.5546875" customWidth="1"/>
    <col min="8987" max="8987" width="3.5546875" customWidth="1"/>
    <col min="8990" max="8990" width="8.109375" customWidth="1"/>
    <col min="8991" max="8991" width="6.5546875" customWidth="1"/>
    <col min="8992" max="8992" width="6.33203125" customWidth="1"/>
    <col min="8993" max="8993" width="7.33203125" customWidth="1"/>
    <col min="8994" max="8994" width="6.88671875" customWidth="1"/>
    <col min="9218" max="9218" width="36.109375" customWidth="1"/>
    <col min="9219" max="9220" width="8.33203125" customWidth="1"/>
    <col min="9221" max="9221" width="12" customWidth="1"/>
    <col min="9222" max="9222" width="9.109375" customWidth="1"/>
    <col min="9223" max="9223" width="8.33203125" customWidth="1"/>
    <col min="9224" max="9224" width="4.5546875" customWidth="1"/>
    <col min="9225" max="9225" width="10.88671875" customWidth="1"/>
    <col min="9226" max="9228" width="4.5546875" customWidth="1"/>
    <col min="9229" max="9234" width="5.5546875" customWidth="1"/>
    <col min="9235" max="9235" width="9.6640625" customWidth="1"/>
    <col min="9236" max="9236" width="11.88671875" customWidth="1"/>
    <col min="9237" max="9238" width="6.88671875" customWidth="1"/>
    <col min="9239" max="9239" width="10" customWidth="1"/>
    <col min="9240" max="9240" width="15.5546875" customWidth="1"/>
    <col min="9241" max="9241" width="7.33203125" customWidth="1"/>
    <col min="9242" max="9242" width="6.5546875" customWidth="1"/>
    <col min="9243" max="9243" width="3.5546875" customWidth="1"/>
    <col min="9246" max="9246" width="8.109375" customWidth="1"/>
    <col min="9247" max="9247" width="6.5546875" customWidth="1"/>
    <col min="9248" max="9248" width="6.33203125" customWidth="1"/>
    <col min="9249" max="9249" width="7.33203125" customWidth="1"/>
    <col min="9250" max="9250" width="6.88671875" customWidth="1"/>
    <col min="9474" max="9474" width="36.109375" customWidth="1"/>
    <col min="9475" max="9476" width="8.33203125" customWidth="1"/>
    <col min="9477" max="9477" width="12" customWidth="1"/>
    <col min="9478" max="9478" width="9.109375" customWidth="1"/>
    <col min="9479" max="9479" width="8.33203125" customWidth="1"/>
    <col min="9480" max="9480" width="4.5546875" customWidth="1"/>
    <col min="9481" max="9481" width="10.88671875" customWidth="1"/>
    <col min="9482" max="9484" width="4.5546875" customWidth="1"/>
    <col min="9485" max="9490" width="5.5546875" customWidth="1"/>
    <col min="9491" max="9491" width="9.6640625" customWidth="1"/>
    <col min="9492" max="9492" width="11.88671875" customWidth="1"/>
    <col min="9493" max="9494" width="6.88671875" customWidth="1"/>
    <col min="9495" max="9495" width="10" customWidth="1"/>
    <col min="9496" max="9496" width="15.5546875" customWidth="1"/>
    <col min="9497" max="9497" width="7.33203125" customWidth="1"/>
    <col min="9498" max="9498" width="6.5546875" customWidth="1"/>
    <col min="9499" max="9499" width="3.5546875" customWidth="1"/>
    <col min="9502" max="9502" width="8.109375" customWidth="1"/>
    <col min="9503" max="9503" width="6.5546875" customWidth="1"/>
    <col min="9504" max="9504" width="6.33203125" customWidth="1"/>
    <col min="9505" max="9505" width="7.33203125" customWidth="1"/>
    <col min="9506" max="9506" width="6.88671875" customWidth="1"/>
    <col min="9730" max="9730" width="36.109375" customWidth="1"/>
    <col min="9731" max="9732" width="8.33203125" customWidth="1"/>
    <col min="9733" max="9733" width="12" customWidth="1"/>
    <col min="9734" max="9734" width="9.109375" customWidth="1"/>
    <col min="9735" max="9735" width="8.33203125" customWidth="1"/>
    <col min="9736" max="9736" width="4.5546875" customWidth="1"/>
    <col min="9737" max="9737" width="10.88671875" customWidth="1"/>
    <col min="9738" max="9740" width="4.5546875" customWidth="1"/>
    <col min="9741" max="9746" width="5.5546875" customWidth="1"/>
    <col min="9747" max="9747" width="9.6640625" customWidth="1"/>
    <col min="9748" max="9748" width="11.88671875" customWidth="1"/>
    <col min="9749" max="9750" width="6.88671875" customWidth="1"/>
    <col min="9751" max="9751" width="10" customWidth="1"/>
    <col min="9752" max="9752" width="15.5546875" customWidth="1"/>
    <col min="9753" max="9753" width="7.33203125" customWidth="1"/>
    <col min="9754" max="9754" width="6.5546875" customWidth="1"/>
    <col min="9755" max="9755" width="3.5546875" customWidth="1"/>
    <col min="9758" max="9758" width="8.109375" customWidth="1"/>
    <col min="9759" max="9759" width="6.5546875" customWidth="1"/>
    <col min="9760" max="9760" width="6.33203125" customWidth="1"/>
    <col min="9761" max="9761" width="7.33203125" customWidth="1"/>
    <col min="9762" max="9762" width="6.88671875" customWidth="1"/>
    <col min="9986" max="9986" width="36.109375" customWidth="1"/>
    <col min="9987" max="9988" width="8.33203125" customWidth="1"/>
    <col min="9989" max="9989" width="12" customWidth="1"/>
    <col min="9990" max="9990" width="9.109375" customWidth="1"/>
    <col min="9991" max="9991" width="8.33203125" customWidth="1"/>
    <col min="9992" max="9992" width="4.5546875" customWidth="1"/>
    <col min="9993" max="9993" width="10.88671875" customWidth="1"/>
    <col min="9994" max="9996" width="4.5546875" customWidth="1"/>
    <col min="9997" max="10002" width="5.5546875" customWidth="1"/>
    <col min="10003" max="10003" width="9.6640625" customWidth="1"/>
    <col min="10004" max="10004" width="11.88671875" customWidth="1"/>
    <col min="10005" max="10006" width="6.88671875" customWidth="1"/>
    <col min="10007" max="10007" width="10" customWidth="1"/>
    <col min="10008" max="10008" width="15.5546875" customWidth="1"/>
    <col min="10009" max="10009" width="7.33203125" customWidth="1"/>
    <col min="10010" max="10010" width="6.5546875" customWidth="1"/>
    <col min="10011" max="10011" width="3.5546875" customWidth="1"/>
    <col min="10014" max="10014" width="8.109375" customWidth="1"/>
    <col min="10015" max="10015" width="6.5546875" customWidth="1"/>
    <col min="10016" max="10016" width="6.33203125" customWidth="1"/>
    <col min="10017" max="10017" width="7.33203125" customWidth="1"/>
    <col min="10018" max="10018" width="6.88671875" customWidth="1"/>
    <col min="10242" max="10242" width="36.109375" customWidth="1"/>
    <col min="10243" max="10244" width="8.33203125" customWidth="1"/>
    <col min="10245" max="10245" width="12" customWidth="1"/>
    <col min="10246" max="10246" width="9.109375" customWidth="1"/>
    <col min="10247" max="10247" width="8.33203125" customWidth="1"/>
    <col min="10248" max="10248" width="4.5546875" customWidth="1"/>
    <col min="10249" max="10249" width="10.88671875" customWidth="1"/>
    <col min="10250" max="10252" width="4.5546875" customWidth="1"/>
    <col min="10253" max="10258" width="5.5546875" customWidth="1"/>
    <col min="10259" max="10259" width="9.6640625" customWidth="1"/>
    <col min="10260" max="10260" width="11.88671875" customWidth="1"/>
    <col min="10261" max="10262" width="6.88671875" customWidth="1"/>
    <col min="10263" max="10263" width="10" customWidth="1"/>
    <col min="10264" max="10264" width="15.5546875" customWidth="1"/>
    <col min="10265" max="10265" width="7.33203125" customWidth="1"/>
    <col min="10266" max="10266" width="6.5546875" customWidth="1"/>
    <col min="10267" max="10267" width="3.5546875" customWidth="1"/>
    <col min="10270" max="10270" width="8.109375" customWidth="1"/>
    <col min="10271" max="10271" width="6.5546875" customWidth="1"/>
    <col min="10272" max="10272" width="6.33203125" customWidth="1"/>
    <col min="10273" max="10273" width="7.33203125" customWidth="1"/>
    <col min="10274" max="10274" width="6.88671875" customWidth="1"/>
    <col min="10498" max="10498" width="36.109375" customWidth="1"/>
    <col min="10499" max="10500" width="8.33203125" customWidth="1"/>
    <col min="10501" max="10501" width="12" customWidth="1"/>
    <col min="10502" max="10502" width="9.109375" customWidth="1"/>
    <col min="10503" max="10503" width="8.33203125" customWidth="1"/>
    <col min="10504" max="10504" width="4.5546875" customWidth="1"/>
    <col min="10505" max="10505" width="10.88671875" customWidth="1"/>
    <col min="10506" max="10508" width="4.5546875" customWidth="1"/>
    <col min="10509" max="10514" width="5.5546875" customWidth="1"/>
    <col min="10515" max="10515" width="9.6640625" customWidth="1"/>
    <col min="10516" max="10516" width="11.88671875" customWidth="1"/>
    <col min="10517" max="10518" width="6.88671875" customWidth="1"/>
    <col min="10519" max="10519" width="10" customWidth="1"/>
    <col min="10520" max="10520" width="15.5546875" customWidth="1"/>
    <col min="10521" max="10521" width="7.33203125" customWidth="1"/>
    <col min="10522" max="10522" width="6.5546875" customWidth="1"/>
    <col min="10523" max="10523" width="3.5546875" customWidth="1"/>
    <col min="10526" max="10526" width="8.109375" customWidth="1"/>
    <col min="10527" max="10527" width="6.5546875" customWidth="1"/>
    <col min="10528" max="10528" width="6.33203125" customWidth="1"/>
    <col min="10529" max="10529" width="7.33203125" customWidth="1"/>
    <col min="10530" max="10530" width="6.88671875" customWidth="1"/>
    <col min="10754" max="10754" width="36.109375" customWidth="1"/>
    <col min="10755" max="10756" width="8.33203125" customWidth="1"/>
    <col min="10757" max="10757" width="12" customWidth="1"/>
    <col min="10758" max="10758" width="9.109375" customWidth="1"/>
    <col min="10759" max="10759" width="8.33203125" customWidth="1"/>
    <col min="10760" max="10760" width="4.5546875" customWidth="1"/>
    <col min="10761" max="10761" width="10.88671875" customWidth="1"/>
    <col min="10762" max="10764" width="4.5546875" customWidth="1"/>
    <col min="10765" max="10770" width="5.5546875" customWidth="1"/>
    <col min="10771" max="10771" width="9.6640625" customWidth="1"/>
    <col min="10772" max="10772" width="11.88671875" customWidth="1"/>
    <col min="10773" max="10774" width="6.88671875" customWidth="1"/>
    <col min="10775" max="10775" width="10" customWidth="1"/>
    <col min="10776" max="10776" width="15.5546875" customWidth="1"/>
    <col min="10777" max="10777" width="7.33203125" customWidth="1"/>
    <col min="10778" max="10778" width="6.5546875" customWidth="1"/>
    <col min="10779" max="10779" width="3.5546875" customWidth="1"/>
    <col min="10782" max="10782" width="8.109375" customWidth="1"/>
    <col min="10783" max="10783" width="6.5546875" customWidth="1"/>
    <col min="10784" max="10784" width="6.33203125" customWidth="1"/>
    <col min="10785" max="10785" width="7.33203125" customWidth="1"/>
    <col min="10786" max="10786" width="6.88671875" customWidth="1"/>
    <col min="11010" max="11010" width="36.109375" customWidth="1"/>
    <col min="11011" max="11012" width="8.33203125" customWidth="1"/>
    <col min="11013" max="11013" width="12" customWidth="1"/>
    <col min="11014" max="11014" width="9.109375" customWidth="1"/>
    <col min="11015" max="11015" width="8.33203125" customWidth="1"/>
    <col min="11016" max="11016" width="4.5546875" customWidth="1"/>
    <col min="11017" max="11017" width="10.88671875" customWidth="1"/>
    <col min="11018" max="11020" width="4.5546875" customWidth="1"/>
    <col min="11021" max="11026" width="5.5546875" customWidth="1"/>
    <col min="11027" max="11027" width="9.6640625" customWidth="1"/>
    <col min="11028" max="11028" width="11.88671875" customWidth="1"/>
    <col min="11029" max="11030" width="6.88671875" customWidth="1"/>
    <col min="11031" max="11031" width="10" customWidth="1"/>
    <col min="11032" max="11032" width="15.5546875" customWidth="1"/>
    <col min="11033" max="11033" width="7.33203125" customWidth="1"/>
    <col min="11034" max="11034" width="6.5546875" customWidth="1"/>
    <col min="11035" max="11035" width="3.5546875" customWidth="1"/>
    <col min="11038" max="11038" width="8.109375" customWidth="1"/>
    <col min="11039" max="11039" width="6.5546875" customWidth="1"/>
    <col min="11040" max="11040" width="6.33203125" customWidth="1"/>
    <col min="11041" max="11041" width="7.33203125" customWidth="1"/>
    <col min="11042" max="11042" width="6.88671875" customWidth="1"/>
    <col min="11266" max="11266" width="36.109375" customWidth="1"/>
    <col min="11267" max="11268" width="8.33203125" customWidth="1"/>
    <col min="11269" max="11269" width="12" customWidth="1"/>
    <col min="11270" max="11270" width="9.109375" customWidth="1"/>
    <col min="11271" max="11271" width="8.33203125" customWidth="1"/>
    <col min="11272" max="11272" width="4.5546875" customWidth="1"/>
    <col min="11273" max="11273" width="10.88671875" customWidth="1"/>
    <col min="11274" max="11276" width="4.5546875" customWidth="1"/>
    <col min="11277" max="11282" width="5.5546875" customWidth="1"/>
    <col min="11283" max="11283" width="9.6640625" customWidth="1"/>
    <col min="11284" max="11284" width="11.88671875" customWidth="1"/>
    <col min="11285" max="11286" width="6.88671875" customWidth="1"/>
    <col min="11287" max="11287" width="10" customWidth="1"/>
    <col min="11288" max="11288" width="15.5546875" customWidth="1"/>
    <col min="11289" max="11289" width="7.33203125" customWidth="1"/>
    <col min="11290" max="11290" width="6.5546875" customWidth="1"/>
    <col min="11291" max="11291" width="3.5546875" customWidth="1"/>
    <col min="11294" max="11294" width="8.109375" customWidth="1"/>
    <col min="11295" max="11295" width="6.5546875" customWidth="1"/>
    <col min="11296" max="11296" width="6.33203125" customWidth="1"/>
    <col min="11297" max="11297" width="7.33203125" customWidth="1"/>
    <col min="11298" max="11298" width="6.88671875" customWidth="1"/>
    <col min="11522" max="11522" width="36.109375" customWidth="1"/>
    <col min="11523" max="11524" width="8.33203125" customWidth="1"/>
    <col min="11525" max="11525" width="12" customWidth="1"/>
    <col min="11526" max="11526" width="9.109375" customWidth="1"/>
    <col min="11527" max="11527" width="8.33203125" customWidth="1"/>
    <col min="11528" max="11528" width="4.5546875" customWidth="1"/>
    <col min="11529" max="11529" width="10.88671875" customWidth="1"/>
    <col min="11530" max="11532" width="4.5546875" customWidth="1"/>
    <col min="11533" max="11538" width="5.5546875" customWidth="1"/>
    <col min="11539" max="11539" width="9.6640625" customWidth="1"/>
    <col min="11540" max="11540" width="11.88671875" customWidth="1"/>
    <col min="11541" max="11542" width="6.88671875" customWidth="1"/>
    <col min="11543" max="11543" width="10" customWidth="1"/>
    <col min="11544" max="11544" width="15.5546875" customWidth="1"/>
    <col min="11545" max="11545" width="7.33203125" customWidth="1"/>
    <col min="11546" max="11546" width="6.5546875" customWidth="1"/>
    <col min="11547" max="11547" width="3.5546875" customWidth="1"/>
    <col min="11550" max="11550" width="8.109375" customWidth="1"/>
    <col min="11551" max="11551" width="6.5546875" customWidth="1"/>
    <col min="11552" max="11552" width="6.33203125" customWidth="1"/>
    <col min="11553" max="11553" width="7.33203125" customWidth="1"/>
    <col min="11554" max="11554" width="6.88671875" customWidth="1"/>
    <col min="11778" max="11778" width="36.109375" customWidth="1"/>
    <col min="11779" max="11780" width="8.33203125" customWidth="1"/>
    <col min="11781" max="11781" width="12" customWidth="1"/>
    <col min="11782" max="11782" width="9.109375" customWidth="1"/>
    <col min="11783" max="11783" width="8.33203125" customWidth="1"/>
    <col min="11784" max="11784" width="4.5546875" customWidth="1"/>
    <col min="11785" max="11785" width="10.88671875" customWidth="1"/>
    <col min="11786" max="11788" width="4.5546875" customWidth="1"/>
    <col min="11789" max="11794" width="5.5546875" customWidth="1"/>
    <col min="11795" max="11795" width="9.6640625" customWidth="1"/>
    <col min="11796" max="11796" width="11.88671875" customWidth="1"/>
    <col min="11797" max="11798" width="6.88671875" customWidth="1"/>
    <col min="11799" max="11799" width="10" customWidth="1"/>
    <col min="11800" max="11800" width="15.5546875" customWidth="1"/>
    <col min="11801" max="11801" width="7.33203125" customWidth="1"/>
    <col min="11802" max="11802" width="6.5546875" customWidth="1"/>
    <col min="11803" max="11803" width="3.5546875" customWidth="1"/>
    <col min="11806" max="11806" width="8.109375" customWidth="1"/>
    <col min="11807" max="11807" width="6.5546875" customWidth="1"/>
    <col min="11808" max="11808" width="6.33203125" customWidth="1"/>
    <col min="11809" max="11809" width="7.33203125" customWidth="1"/>
    <col min="11810" max="11810" width="6.88671875" customWidth="1"/>
    <col min="12034" max="12034" width="36.109375" customWidth="1"/>
    <col min="12035" max="12036" width="8.33203125" customWidth="1"/>
    <col min="12037" max="12037" width="12" customWidth="1"/>
    <col min="12038" max="12038" width="9.109375" customWidth="1"/>
    <col min="12039" max="12039" width="8.33203125" customWidth="1"/>
    <col min="12040" max="12040" width="4.5546875" customWidth="1"/>
    <col min="12041" max="12041" width="10.88671875" customWidth="1"/>
    <col min="12042" max="12044" width="4.5546875" customWidth="1"/>
    <col min="12045" max="12050" width="5.5546875" customWidth="1"/>
    <col min="12051" max="12051" width="9.6640625" customWidth="1"/>
    <col min="12052" max="12052" width="11.88671875" customWidth="1"/>
    <col min="12053" max="12054" width="6.88671875" customWidth="1"/>
    <col min="12055" max="12055" width="10" customWidth="1"/>
    <col min="12056" max="12056" width="15.5546875" customWidth="1"/>
    <col min="12057" max="12057" width="7.33203125" customWidth="1"/>
    <col min="12058" max="12058" width="6.5546875" customWidth="1"/>
    <col min="12059" max="12059" width="3.5546875" customWidth="1"/>
    <col min="12062" max="12062" width="8.109375" customWidth="1"/>
    <col min="12063" max="12063" width="6.5546875" customWidth="1"/>
    <col min="12064" max="12064" width="6.33203125" customWidth="1"/>
    <col min="12065" max="12065" width="7.33203125" customWidth="1"/>
    <col min="12066" max="12066" width="6.88671875" customWidth="1"/>
    <col min="12290" max="12290" width="36.109375" customWidth="1"/>
    <col min="12291" max="12292" width="8.33203125" customWidth="1"/>
    <col min="12293" max="12293" width="12" customWidth="1"/>
    <col min="12294" max="12294" width="9.109375" customWidth="1"/>
    <col min="12295" max="12295" width="8.33203125" customWidth="1"/>
    <col min="12296" max="12296" width="4.5546875" customWidth="1"/>
    <col min="12297" max="12297" width="10.88671875" customWidth="1"/>
    <col min="12298" max="12300" width="4.5546875" customWidth="1"/>
    <col min="12301" max="12306" width="5.5546875" customWidth="1"/>
    <col min="12307" max="12307" width="9.6640625" customWidth="1"/>
    <col min="12308" max="12308" width="11.88671875" customWidth="1"/>
    <col min="12309" max="12310" width="6.88671875" customWidth="1"/>
    <col min="12311" max="12311" width="10" customWidth="1"/>
    <col min="12312" max="12312" width="15.5546875" customWidth="1"/>
    <col min="12313" max="12313" width="7.33203125" customWidth="1"/>
    <col min="12314" max="12314" width="6.5546875" customWidth="1"/>
    <col min="12315" max="12315" width="3.5546875" customWidth="1"/>
    <col min="12318" max="12318" width="8.109375" customWidth="1"/>
    <col min="12319" max="12319" width="6.5546875" customWidth="1"/>
    <col min="12320" max="12320" width="6.33203125" customWidth="1"/>
    <col min="12321" max="12321" width="7.33203125" customWidth="1"/>
    <col min="12322" max="12322" width="6.88671875" customWidth="1"/>
    <col min="12546" max="12546" width="36.109375" customWidth="1"/>
    <col min="12547" max="12548" width="8.33203125" customWidth="1"/>
    <col min="12549" max="12549" width="12" customWidth="1"/>
    <col min="12550" max="12550" width="9.109375" customWidth="1"/>
    <col min="12551" max="12551" width="8.33203125" customWidth="1"/>
    <col min="12552" max="12552" width="4.5546875" customWidth="1"/>
    <col min="12553" max="12553" width="10.88671875" customWidth="1"/>
    <col min="12554" max="12556" width="4.5546875" customWidth="1"/>
    <col min="12557" max="12562" width="5.5546875" customWidth="1"/>
    <col min="12563" max="12563" width="9.6640625" customWidth="1"/>
    <col min="12564" max="12564" width="11.88671875" customWidth="1"/>
    <col min="12565" max="12566" width="6.88671875" customWidth="1"/>
    <col min="12567" max="12567" width="10" customWidth="1"/>
    <col min="12568" max="12568" width="15.5546875" customWidth="1"/>
    <col min="12569" max="12569" width="7.33203125" customWidth="1"/>
    <col min="12570" max="12570" width="6.5546875" customWidth="1"/>
    <col min="12571" max="12571" width="3.5546875" customWidth="1"/>
    <col min="12574" max="12574" width="8.109375" customWidth="1"/>
    <col min="12575" max="12575" width="6.5546875" customWidth="1"/>
    <col min="12576" max="12576" width="6.33203125" customWidth="1"/>
    <col min="12577" max="12577" width="7.33203125" customWidth="1"/>
    <col min="12578" max="12578" width="6.88671875" customWidth="1"/>
    <col min="12802" max="12802" width="36.109375" customWidth="1"/>
    <col min="12803" max="12804" width="8.33203125" customWidth="1"/>
    <col min="12805" max="12805" width="12" customWidth="1"/>
    <col min="12806" max="12806" width="9.109375" customWidth="1"/>
    <col min="12807" max="12807" width="8.33203125" customWidth="1"/>
    <col min="12808" max="12808" width="4.5546875" customWidth="1"/>
    <col min="12809" max="12809" width="10.88671875" customWidth="1"/>
    <col min="12810" max="12812" width="4.5546875" customWidth="1"/>
    <col min="12813" max="12818" width="5.5546875" customWidth="1"/>
    <col min="12819" max="12819" width="9.6640625" customWidth="1"/>
    <col min="12820" max="12820" width="11.88671875" customWidth="1"/>
    <col min="12821" max="12822" width="6.88671875" customWidth="1"/>
    <col min="12823" max="12823" width="10" customWidth="1"/>
    <col min="12824" max="12824" width="15.5546875" customWidth="1"/>
    <col min="12825" max="12825" width="7.33203125" customWidth="1"/>
    <col min="12826" max="12826" width="6.5546875" customWidth="1"/>
    <col min="12827" max="12827" width="3.5546875" customWidth="1"/>
    <col min="12830" max="12830" width="8.109375" customWidth="1"/>
    <col min="12831" max="12831" width="6.5546875" customWidth="1"/>
    <col min="12832" max="12832" width="6.33203125" customWidth="1"/>
    <col min="12833" max="12833" width="7.33203125" customWidth="1"/>
    <col min="12834" max="12834" width="6.88671875" customWidth="1"/>
    <col min="13058" max="13058" width="36.109375" customWidth="1"/>
    <col min="13059" max="13060" width="8.33203125" customWidth="1"/>
    <col min="13061" max="13061" width="12" customWidth="1"/>
    <col min="13062" max="13062" width="9.109375" customWidth="1"/>
    <col min="13063" max="13063" width="8.33203125" customWidth="1"/>
    <col min="13064" max="13064" width="4.5546875" customWidth="1"/>
    <col min="13065" max="13065" width="10.88671875" customWidth="1"/>
    <col min="13066" max="13068" width="4.5546875" customWidth="1"/>
    <col min="13069" max="13074" width="5.5546875" customWidth="1"/>
    <col min="13075" max="13075" width="9.6640625" customWidth="1"/>
    <col min="13076" max="13076" width="11.88671875" customWidth="1"/>
    <col min="13077" max="13078" width="6.88671875" customWidth="1"/>
    <col min="13079" max="13079" width="10" customWidth="1"/>
    <col min="13080" max="13080" width="15.5546875" customWidth="1"/>
    <col min="13081" max="13081" width="7.33203125" customWidth="1"/>
    <col min="13082" max="13082" width="6.5546875" customWidth="1"/>
    <col min="13083" max="13083" width="3.5546875" customWidth="1"/>
    <col min="13086" max="13086" width="8.109375" customWidth="1"/>
    <col min="13087" max="13087" width="6.5546875" customWidth="1"/>
    <col min="13088" max="13088" width="6.33203125" customWidth="1"/>
    <col min="13089" max="13089" width="7.33203125" customWidth="1"/>
    <col min="13090" max="13090" width="6.88671875" customWidth="1"/>
    <col min="13314" max="13314" width="36.109375" customWidth="1"/>
    <col min="13315" max="13316" width="8.33203125" customWidth="1"/>
    <col min="13317" max="13317" width="12" customWidth="1"/>
    <col min="13318" max="13318" width="9.109375" customWidth="1"/>
    <col min="13319" max="13319" width="8.33203125" customWidth="1"/>
    <col min="13320" max="13320" width="4.5546875" customWidth="1"/>
    <col min="13321" max="13321" width="10.88671875" customWidth="1"/>
    <col min="13322" max="13324" width="4.5546875" customWidth="1"/>
    <col min="13325" max="13330" width="5.5546875" customWidth="1"/>
    <col min="13331" max="13331" width="9.6640625" customWidth="1"/>
    <col min="13332" max="13332" width="11.88671875" customWidth="1"/>
    <col min="13333" max="13334" width="6.88671875" customWidth="1"/>
    <col min="13335" max="13335" width="10" customWidth="1"/>
    <col min="13336" max="13336" width="15.5546875" customWidth="1"/>
    <col min="13337" max="13337" width="7.33203125" customWidth="1"/>
    <col min="13338" max="13338" width="6.5546875" customWidth="1"/>
    <col min="13339" max="13339" width="3.5546875" customWidth="1"/>
    <col min="13342" max="13342" width="8.109375" customWidth="1"/>
    <col min="13343" max="13343" width="6.5546875" customWidth="1"/>
    <col min="13344" max="13344" width="6.33203125" customWidth="1"/>
    <col min="13345" max="13345" width="7.33203125" customWidth="1"/>
    <col min="13346" max="13346" width="6.88671875" customWidth="1"/>
    <col min="13570" max="13570" width="36.109375" customWidth="1"/>
    <col min="13571" max="13572" width="8.33203125" customWidth="1"/>
    <col min="13573" max="13573" width="12" customWidth="1"/>
    <col min="13574" max="13574" width="9.109375" customWidth="1"/>
    <col min="13575" max="13575" width="8.33203125" customWidth="1"/>
    <col min="13576" max="13576" width="4.5546875" customWidth="1"/>
    <col min="13577" max="13577" width="10.88671875" customWidth="1"/>
    <col min="13578" max="13580" width="4.5546875" customWidth="1"/>
    <col min="13581" max="13586" width="5.5546875" customWidth="1"/>
    <col min="13587" max="13587" width="9.6640625" customWidth="1"/>
    <col min="13588" max="13588" width="11.88671875" customWidth="1"/>
    <col min="13589" max="13590" width="6.88671875" customWidth="1"/>
    <col min="13591" max="13591" width="10" customWidth="1"/>
    <col min="13592" max="13592" width="15.5546875" customWidth="1"/>
    <col min="13593" max="13593" width="7.33203125" customWidth="1"/>
    <col min="13594" max="13594" width="6.5546875" customWidth="1"/>
    <col min="13595" max="13595" width="3.5546875" customWidth="1"/>
    <col min="13598" max="13598" width="8.109375" customWidth="1"/>
    <col min="13599" max="13599" width="6.5546875" customWidth="1"/>
    <col min="13600" max="13600" width="6.33203125" customWidth="1"/>
    <col min="13601" max="13601" width="7.33203125" customWidth="1"/>
    <col min="13602" max="13602" width="6.88671875" customWidth="1"/>
    <col min="13826" max="13826" width="36.109375" customWidth="1"/>
    <col min="13827" max="13828" width="8.33203125" customWidth="1"/>
    <col min="13829" max="13829" width="12" customWidth="1"/>
    <col min="13830" max="13830" width="9.109375" customWidth="1"/>
    <col min="13831" max="13831" width="8.33203125" customWidth="1"/>
    <col min="13832" max="13832" width="4.5546875" customWidth="1"/>
    <col min="13833" max="13833" width="10.88671875" customWidth="1"/>
    <col min="13834" max="13836" width="4.5546875" customWidth="1"/>
    <col min="13837" max="13842" width="5.5546875" customWidth="1"/>
    <col min="13843" max="13843" width="9.6640625" customWidth="1"/>
    <col min="13844" max="13844" width="11.88671875" customWidth="1"/>
    <col min="13845" max="13846" width="6.88671875" customWidth="1"/>
    <col min="13847" max="13847" width="10" customWidth="1"/>
    <col min="13848" max="13848" width="15.5546875" customWidth="1"/>
    <col min="13849" max="13849" width="7.33203125" customWidth="1"/>
    <col min="13850" max="13850" width="6.5546875" customWidth="1"/>
    <col min="13851" max="13851" width="3.5546875" customWidth="1"/>
    <col min="13854" max="13854" width="8.109375" customWidth="1"/>
    <col min="13855" max="13855" width="6.5546875" customWidth="1"/>
    <col min="13856" max="13856" width="6.33203125" customWidth="1"/>
    <col min="13857" max="13857" width="7.33203125" customWidth="1"/>
    <col min="13858" max="13858" width="6.88671875" customWidth="1"/>
    <col min="14082" max="14082" width="36.109375" customWidth="1"/>
    <col min="14083" max="14084" width="8.33203125" customWidth="1"/>
    <col min="14085" max="14085" width="12" customWidth="1"/>
    <col min="14086" max="14086" width="9.109375" customWidth="1"/>
    <col min="14087" max="14087" width="8.33203125" customWidth="1"/>
    <col min="14088" max="14088" width="4.5546875" customWidth="1"/>
    <col min="14089" max="14089" width="10.88671875" customWidth="1"/>
    <col min="14090" max="14092" width="4.5546875" customWidth="1"/>
    <col min="14093" max="14098" width="5.5546875" customWidth="1"/>
    <col min="14099" max="14099" width="9.6640625" customWidth="1"/>
    <col min="14100" max="14100" width="11.88671875" customWidth="1"/>
    <col min="14101" max="14102" width="6.88671875" customWidth="1"/>
    <col min="14103" max="14103" width="10" customWidth="1"/>
    <col min="14104" max="14104" width="15.5546875" customWidth="1"/>
    <col min="14105" max="14105" width="7.33203125" customWidth="1"/>
    <col min="14106" max="14106" width="6.5546875" customWidth="1"/>
    <col min="14107" max="14107" width="3.5546875" customWidth="1"/>
    <col min="14110" max="14110" width="8.109375" customWidth="1"/>
    <col min="14111" max="14111" width="6.5546875" customWidth="1"/>
    <col min="14112" max="14112" width="6.33203125" customWidth="1"/>
    <col min="14113" max="14113" width="7.33203125" customWidth="1"/>
    <col min="14114" max="14114" width="6.88671875" customWidth="1"/>
    <col min="14338" max="14338" width="36.109375" customWidth="1"/>
    <col min="14339" max="14340" width="8.33203125" customWidth="1"/>
    <col min="14341" max="14341" width="12" customWidth="1"/>
    <col min="14342" max="14342" width="9.109375" customWidth="1"/>
    <col min="14343" max="14343" width="8.33203125" customWidth="1"/>
    <col min="14344" max="14344" width="4.5546875" customWidth="1"/>
    <col min="14345" max="14345" width="10.88671875" customWidth="1"/>
    <col min="14346" max="14348" width="4.5546875" customWidth="1"/>
    <col min="14349" max="14354" width="5.5546875" customWidth="1"/>
    <col min="14355" max="14355" width="9.6640625" customWidth="1"/>
    <col min="14356" max="14356" width="11.88671875" customWidth="1"/>
    <col min="14357" max="14358" width="6.88671875" customWidth="1"/>
    <col min="14359" max="14359" width="10" customWidth="1"/>
    <col min="14360" max="14360" width="15.5546875" customWidth="1"/>
    <col min="14361" max="14361" width="7.33203125" customWidth="1"/>
    <col min="14362" max="14362" width="6.5546875" customWidth="1"/>
    <col min="14363" max="14363" width="3.5546875" customWidth="1"/>
    <col min="14366" max="14366" width="8.109375" customWidth="1"/>
    <col min="14367" max="14367" width="6.5546875" customWidth="1"/>
    <col min="14368" max="14368" width="6.33203125" customWidth="1"/>
    <col min="14369" max="14369" width="7.33203125" customWidth="1"/>
    <col min="14370" max="14370" width="6.88671875" customWidth="1"/>
    <col min="14594" max="14594" width="36.109375" customWidth="1"/>
    <col min="14595" max="14596" width="8.33203125" customWidth="1"/>
    <col min="14597" max="14597" width="12" customWidth="1"/>
    <col min="14598" max="14598" width="9.109375" customWidth="1"/>
    <col min="14599" max="14599" width="8.33203125" customWidth="1"/>
    <col min="14600" max="14600" width="4.5546875" customWidth="1"/>
    <col min="14601" max="14601" width="10.88671875" customWidth="1"/>
    <col min="14602" max="14604" width="4.5546875" customWidth="1"/>
    <col min="14605" max="14610" width="5.5546875" customWidth="1"/>
    <col min="14611" max="14611" width="9.6640625" customWidth="1"/>
    <col min="14612" max="14612" width="11.88671875" customWidth="1"/>
    <col min="14613" max="14614" width="6.88671875" customWidth="1"/>
    <col min="14615" max="14615" width="10" customWidth="1"/>
    <col min="14616" max="14616" width="15.5546875" customWidth="1"/>
    <col min="14617" max="14617" width="7.33203125" customWidth="1"/>
    <col min="14618" max="14618" width="6.5546875" customWidth="1"/>
    <col min="14619" max="14619" width="3.5546875" customWidth="1"/>
    <col min="14622" max="14622" width="8.109375" customWidth="1"/>
    <col min="14623" max="14623" width="6.5546875" customWidth="1"/>
    <col min="14624" max="14624" width="6.33203125" customWidth="1"/>
    <col min="14625" max="14625" width="7.33203125" customWidth="1"/>
    <col min="14626" max="14626" width="6.88671875" customWidth="1"/>
    <col min="14850" max="14850" width="36.109375" customWidth="1"/>
    <col min="14851" max="14852" width="8.33203125" customWidth="1"/>
    <col min="14853" max="14853" width="12" customWidth="1"/>
    <col min="14854" max="14854" width="9.109375" customWidth="1"/>
    <col min="14855" max="14855" width="8.33203125" customWidth="1"/>
    <col min="14856" max="14856" width="4.5546875" customWidth="1"/>
    <col min="14857" max="14857" width="10.88671875" customWidth="1"/>
    <col min="14858" max="14860" width="4.5546875" customWidth="1"/>
    <col min="14861" max="14866" width="5.5546875" customWidth="1"/>
    <col min="14867" max="14867" width="9.6640625" customWidth="1"/>
    <col min="14868" max="14868" width="11.88671875" customWidth="1"/>
    <col min="14869" max="14870" width="6.88671875" customWidth="1"/>
    <col min="14871" max="14871" width="10" customWidth="1"/>
    <col min="14872" max="14872" width="15.5546875" customWidth="1"/>
    <col min="14873" max="14873" width="7.33203125" customWidth="1"/>
    <col min="14874" max="14874" width="6.5546875" customWidth="1"/>
    <col min="14875" max="14875" width="3.5546875" customWidth="1"/>
    <col min="14878" max="14878" width="8.109375" customWidth="1"/>
    <col min="14879" max="14879" width="6.5546875" customWidth="1"/>
    <col min="14880" max="14880" width="6.33203125" customWidth="1"/>
    <col min="14881" max="14881" width="7.33203125" customWidth="1"/>
    <col min="14882" max="14882" width="6.88671875" customWidth="1"/>
    <col min="15106" max="15106" width="36.109375" customWidth="1"/>
    <col min="15107" max="15108" width="8.33203125" customWidth="1"/>
    <col min="15109" max="15109" width="12" customWidth="1"/>
    <col min="15110" max="15110" width="9.109375" customWidth="1"/>
    <col min="15111" max="15111" width="8.33203125" customWidth="1"/>
    <col min="15112" max="15112" width="4.5546875" customWidth="1"/>
    <col min="15113" max="15113" width="10.88671875" customWidth="1"/>
    <col min="15114" max="15116" width="4.5546875" customWidth="1"/>
    <col min="15117" max="15122" width="5.5546875" customWidth="1"/>
    <col min="15123" max="15123" width="9.6640625" customWidth="1"/>
    <col min="15124" max="15124" width="11.88671875" customWidth="1"/>
    <col min="15125" max="15126" width="6.88671875" customWidth="1"/>
    <col min="15127" max="15127" width="10" customWidth="1"/>
    <col min="15128" max="15128" width="15.5546875" customWidth="1"/>
    <col min="15129" max="15129" width="7.33203125" customWidth="1"/>
    <col min="15130" max="15130" width="6.5546875" customWidth="1"/>
    <col min="15131" max="15131" width="3.5546875" customWidth="1"/>
    <col min="15134" max="15134" width="8.109375" customWidth="1"/>
    <col min="15135" max="15135" width="6.5546875" customWidth="1"/>
    <col min="15136" max="15136" width="6.33203125" customWidth="1"/>
    <col min="15137" max="15137" width="7.33203125" customWidth="1"/>
    <col min="15138" max="15138" width="6.88671875" customWidth="1"/>
    <col min="15362" max="15362" width="36.109375" customWidth="1"/>
    <col min="15363" max="15364" width="8.33203125" customWidth="1"/>
    <col min="15365" max="15365" width="12" customWidth="1"/>
    <col min="15366" max="15366" width="9.109375" customWidth="1"/>
    <col min="15367" max="15367" width="8.33203125" customWidth="1"/>
    <col min="15368" max="15368" width="4.5546875" customWidth="1"/>
    <col min="15369" max="15369" width="10.88671875" customWidth="1"/>
    <col min="15370" max="15372" width="4.5546875" customWidth="1"/>
    <col min="15373" max="15378" width="5.5546875" customWidth="1"/>
    <col min="15379" max="15379" width="9.6640625" customWidth="1"/>
    <col min="15380" max="15380" width="11.88671875" customWidth="1"/>
    <col min="15381" max="15382" width="6.88671875" customWidth="1"/>
    <col min="15383" max="15383" width="10" customWidth="1"/>
    <col min="15384" max="15384" width="15.5546875" customWidth="1"/>
    <col min="15385" max="15385" width="7.33203125" customWidth="1"/>
    <col min="15386" max="15386" width="6.5546875" customWidth="1"/>
    <col min="15387" max="15387" width="3.5546875" customWidth="1"/>
    <col min="15390" max="15390" width="8.109375" customWidth="1"/>
    <col min="15391" max="15391" width="6.5546875" customWidth="1"/>
    <col min="15392" max="15392" width="6.33203125" customWidth="1"/>
    <col min="15393" max="15393" width="7.33203125" customWidth="1"/>
    <col min="15394" max="15394" width="6.88671875" customWidth="1"/>
    <col min="15618" max="15618" width="36.109375" customWidth="1"/>
    <col min="15619" max="15620" width="8.33203125" customWidth="1"/>
    <col min="15621" max="15621" width="12" customWidth="1"/>
    <col min="15622" max="15622" width="9.109375" customWidth="1"/>
    <col min="15623" max="15623" width="8.33203125" customWidth="1"/>
    <col min="15624" max="15624" width="4.5546875" customWidth="1"/>
    <col min="15625" max="15625" width="10.88671875" customWidth="1"/>
    <col min="15626" max="15628" width="4.5546875" customWidth="1"/>
    <col min="15629" max="15634" width="5.5546875" customWidth="1"/>
    <col min="15635" max="15635" width="9.6640625" customWidth="1"/>
    <col min="15636" max="15636" width="11.88671875" customWidth="1"/>
    <col min="15637" max="15638" width="6.88671875" customWidth="1"/>
    <col min="15639" max="15639" width="10" customWidth="1"/>
    <col min="15640" max="15640" width="15.5546875" customWidth="1"/>
    <col min="15641" max="15641" width="7.33203125" customWidth="1"/>
    <col min="15642" max="15642" width="6.5546875" customWidth="1"/>
    <col min="15643" max="15643" width="3.5546875" customWidth="1"/>
    <col min="15646" max="15646" width="8.109375" customWidth="1"/>
    <col min="15647" max="15647" width="6.5546875" customWidth="1"/>
    <col min="15648" max="15648" width="6.33203125" customWidth="1"/>
    <col min="15649" max="15649" width="7.33203125" customWidth="1"/>
    <col min="15650" max="15650" width="6.88671875" customWidth="1"/>
    <col min="15874" max="15874" width="36.109375" customWidth="1"/>
    <col min="15875" max="15876" width="8.33203125" customWidth="1"/>
    <col min="15877" max="15877" width="12" customWidth="1"/>
    <col min="15878" max="15878" width="9.109375" customWidth="1"/>
    <col min="15879" max="15879" width="8.33203125" customWidth="1"/>
    <col min="15880" max="15880" width="4.5546875" customWidth="1"/>
    <col min="15881" max="15881" width="10.88671875" customWidth="1"/>
    <col min="15882" max="15884" width="4.5546875" customWidth="1"/>
    <col min="15885" max="15890" width="5.5546875" customWidth="1"/>
    <col min="15891" max="15891" width="9.6640625" customWidth="1"/>
    <col min="15892" max="15892" width="11.88671875" customWidth="1"/>
    <col min="15893" max="15894" width="6.88671875" customWidth="1"/>
    <col min="15895" max="15895" width="10" customWidth="1"/>
    <col min="15896" max="15896" width="15.5546875" customWidth="1"/>
    <col min="15897" max="15897" width="7.33203125" customWidth="1"/>
    <col min="15898" max="15898" width="6.5546875" customWidth="1"/>
    <col min="15899" max="15899" width="3.5546875" customWidth="1"/>
    <col min="15902" max="15902" width="8.109375" customWidth="1"/>
    <col min="15903" max="15903" width="6.5546875" customWidth="1"/>
    <col min="15904" max="15904" width="6.33203125" customWidth="1"/>
    <col min="15905" max="15905" width="7.33203125" customWidth="1"/>
    <col min="15906" max="15906" width="6.88671875" customWidth="1"/>
    <col min="16130" max="16130" width="36.109375" customWidth="1"/>
    <col min="16131" max="16132" width="8.33203125" customWidth="1"/>
    <col min="16133" max="16133" width="12" customWidth="1"/>
    <col min="16134" max="16134" width="9.109375" customWidth="1"/>
    <col min="16135" max="16135" width="8.33203125" customWidth="1"/>
    <col min="16136" max="16136" width="4.5546875" customWidth="1"/>
    <col min="16137" max="16137" width="10.88671875" customWidth="1"/>
    <col min="16138" max="16140" width="4.5546875" customWidth="1"/>
    <col min="16141" max="16146" width="5.5546875" customWidth="1"/>
    <col min="16147" max="16147" width="9.6640625" customWidth="1"/>
    <col min="16148" max="16148" width="11.88671875" customWidth="1"/>
    <col min="16149" max="16150" width="6.88671875" customWidth="1"/>
    <col min="16151" max="16151" width="10" customWidth="1"/>
    <col min="16152" max="16152" width="15.5546875" customWidth="1"/>
    <col min="16153" max="16153" width="7.33203125" customWidth="1"/>
    <col min="16154" max="16154" width="6.5546875" customWidth="1"/>
    <col min="16155" max="16155" width="3.5546875" customWidth="1"/>
    <col min="16158" max="16158" width="8.109375" customWidth="1"/>
    <col min="16159" max="16159" width="6.5546875" customWidth="1"/>
    <col min="16160" max="16160" width="6.33203125" customWidth="1"/>
    <col min="16161" max="16161" width="7.33203125" customWidth="1"/>
    <col min="16162" max="16162" width="6.88671875" customWidth="1"/>
  </cols>
  <sheetData>
    <row r="1" spans="1:34" ht="33.75" customHeight="1" x14ac:dyDescent="0.3">
      <c r="D1" s="430" t="s">
        <v>91</v>
      </c>
      <c r="E1" s="431">
        <v>3</v>
      </c>
      <c r="F1" s="430" t="s">
        <v>92</v>
      </c>
      <c r="G1" s="431">
        <v>2</v>
      </c>
      <c r="H1" s="430" t="s">
        <v>93</v>
      </c>
      <c r="I1" s="431">
        <v>1</v>
      </c>
      <c r="T1" s="71" t="s">
        <v>94</v>
      </c>
      <c r="U1" s="72" t="s">
        <v>95</v>
      </c>
      <c r="V1" s="73" t="s">
        <v>96</v>
      </c>
      <c r="W1" s="74">
        <v>3</v>
      </c>
      <c r="X1" s="75" t="s">
        <v>97</v>
      </c>
      <c r="Y1" s="76">
        <v>4</v>
      </c>
      <c r="Z1" s="75" t="s">
        <v>98</v>
      </c>
      <c r="AA1" s="77">
        <v>5</v>
      </c>
      <c r="AB1" s="78" t="s">
        <v>99</v>
      </c>
      <c r="AC1" s="637" t="s">
        <v>100</v>
      </c>
      <c r="AD1" s="637"/>
      <c r="AE1" s="637"/>
      <c r="AF1" s="637"/>
    </row>
    <row r="2" spans="1:34" x14ac:dyDescent="0.3">
      <c r="C2"/>
    </row>
    <row r="3" spans="1:34" ht="46.5" customHeight="1" thickBot="1" x14ac:dyDescent="0.35">
      <c r="B3" s="423" t="s">
        <v>101</v>
      </c>
      <c r="C3" s="428" t="s">
        <v>102</v>
      </c>
      <c r="D3" s="426" t="s">
        <v>76</v>
      </c>
      <c r="E3" s="57" t="s">
        <v>77</v>
      </c>
      <c r="F3" s="57" t="s">
        <v>78</v>
      </c>
      <c r="G3" s="57" t="s">
        <v>79</v>
      </c>
      <c r="H3" s="57" t="s">
        <v>80</v>
      </c>
      <c r="I3" s="57" t="s">
        <v>81</v>
      </c>
      <c r="J3" s="57" t="s">
        <v>82</v>
      </c>
      <c r="K3" s="57" t="s">
        <v>83</v>
      </c>
      <c r="L3" s="57" t="s">
        <v>84</v>
      </c>
      <c r="M3" s="57" t="s">
        <v>85</v>
      </c>
      <c r="N3" s="57" t="s">
        <v>86</v>
      </c>
      <c r="O3" s="57" t="s">
        <v>87</v>
      </c>
      <c r="P3" s="57" t="s">
        <v>103</v>
      </c>
      <c r="Q3" s="57" t="s">
        <v>104</v>
      </c>
      <c r="R3" s="57" t="s">
        <v>105</v>
      </c>
      <c r="S3" s="79" t="s">
        <v>106</v>
      </c>
      <c r="T3" s="80" t="s">
        <v>107</v>
      </c>
      <c r="U3" s="80" t="s">
        <v>108</v>
      </c>
      <c r="V3" s="57" t="s">
        <v>109</v>
      </c>
      <c r="W3" s="57" t="s">
        <v>110</v>
      </c>
      <c r="X3" s="57" t="s">
        <v>111</v>
      </c>
      <c r="Y3" s="81" t="s">
        <v>112</v>
      </c>
      <c r="Z3" s="82" t="s">
        <v>113</v>
      </c>
      <c r="AB3" s="638" t="s">
        <v>114</v>
      </c>
      <c r="AC3" s="639"/>
      <c r="AD3" s="83" t="s">
        <v>109</v>
      </c>
      <c r="AE3" s="61" t="s">
        <v>110</v>
      </c>
      <c r="AF3" s="61" t="s">
        <v>111</v>
      </c>
      <c r="AG3" s="84" t="s">
        <v>112</v>
      </c>
      <c r="AH3" s="85" t="s">
        <v>113</v>
      </c>
    </row>
    <row r="4" spans="1:34" ht="60" customHeight="1" thickBot="1" x14ac:dyDescent="0.35">
      <c r="A4" s="422" t="s">
        <v>64</v>
      </c>
      <c r="B4" s="553" t="s">
        <v>439</v>
      </c>
      <c r="C4" s="429">
        <v>60</v>
      </c>
      <c r="D4" s="556">
        <v>2</v>
      </c>
      <c r="E4" s="556"/>
      <c r="F4" s="556">
        <v>1</v>
      </c>
      <c r="G4" s="556"/>
      <c r="H4" s="556"/>
      <c r="I4" s="556"/>
      <c r="J4" s="556"/>
      <c r="K4" s="556"/>
      <c r="L4" s="556"/>
      <c r="M4" s="556"/>
      <c r="N4" s="556"/>
      <c r="O4" s="556"/>
      <c r="P4" s="557">
        <v>1</v>
      </c>
      <c r="Q4" s="557">
        <v>1</v>
      </c>
      <c r="R4" s="557"/>
      <c r="S4" s="433">
        <f t="shared" ref="S4:S14" si="0">AVERAGE(D4:R4)</f>
        <v>1.25</v>
      </c>
      <c r="T4" s="653" t="s">
        <v>115</v>
      </c>
      <c r="U4" s="86" t="s">
        <v>17</v>
      </c>
      <c r="V4" s="87">
        <f>Theory!D$14</f>
        <v>10</v>
      </c>
      <c r="W4" s="87" t="str">
        <f>Theory!D$12</f>
        <v>0,1</v>
      </c>
      <c r="X4" s="88"/>
      <c r="Y4" s="88"/>
      <c r="Z4" s="89">
        <v>1</v>
      </c>
      <c r="AB4" s="90" t="s">
        <v>116</v>
      </c>
      <c r="AC4" s="122" t="s">
        <v>17</v>
      </c>
      <c r="AD4" s="92">
        <v>6</v>
      </c>
      <c r="AE4" s="93">
        <v>1</v>
      </c>
      <c r="AF4" s="92"/>
      <c r="AG4" s="92"/>
      <c r="AH4" s="89">
        <v>2</v>
      </c>
    </row>
    <row r="5" spans="1:34" ht="34.5" customHeight="1" thickBot="1" x14ac:dyDescent="0.35">
      <c r="A5" s="422" t="s">
        <v>65</v>
      </c>
      <c r="B5" s="554" t="s">
        <v>440</v>
      </c>
      <c r="C5" s="429">
        <v>60</v>
      </c>
      <c r="D5" s="556">
        <v>2</v>
      </c>
      <c r="E5" s="556"/>
      <c r="F5" s="556">
        <v>1</v>
      </c>
      <c r="G5" s="556"/>
      <c r="H5" s="556"/>
      <c r="I5" s="556"/>
      <c r="J5" s="556"/>
      <c r="K5" s="556"/>
      <c r="L5" s="556"/>
      <c r="M5" s="556"/>
      <c r="N5" s="556"/>
      <c r="O5" s="556"/>
      <c r="P5" s="557">
        <v>1</v>
      </c>
      <c r="Q5" s="557">
        <v>1</v>
      </c>
      <c r="R5" s="557"/>
      <c r="S5" s="433">
        <f t="shared" si="0"/>
        <v>1.25</v>
      </c>
      <c r="T5" s="654"/>
      <c r="U5" s="86" t="s">
        <v>18</v>
      </c>
      <c r="V5" s="87">
        <f>Theory!E$14</f>
        <v>0</v>
      </c>
      <c r="W5" s="87">
        <f>Theory!E$12</f>
        <v>0</v>
      </c>
      <c r="X5" s="88"/>
      <c r="Y5" s="88"/>
      <c r="Z5" s="94">
        <v>2</v>
      </c>
      <c r="AB5" s="95">
        <v>1</v>
      </c>
      <c r="AC5" s="122" t="s">
        <v>18</v>
      </c>
      <c r="AD5" s="92">
        <v>7</v>
      </c>
      <c r="AE5" s="93">
        <v>2</v>
      </c>
      <c r="AF5" s="92">
        <v>1</v>
      </c>
      <c r="AG5" s="92"/>
      <c r="AH5" s="89">
        <v>3</v>
      </c>
    </row>
    <row r="6" spans="1:34" ht="67.5" customHeight="1" thickBot="1" x14ac:dyDescent="0.35">
      <c r="A6" s="422" t="s">
        <v>66</v>
      </c>
      <c r="B6" s="555" t="s">
        <v>441</v>
      </c>
      <c r="C6" s="429">
        <v>60</v>
      </c>
      <c r="D6" s="556"/>
      <c r="E6" s="556">
        <v>3</v>
      </c>
      <c r="F6" s="556"/>
      <c r="G6" s="556">
        <v>3</v>
      </c>
      <c r="H6" s="556">
        <v>3</v>
      </c>
      <c r="I6" s="556"/>
      <c r="J6" s="556"/>
      <c r="K6" s="556">
        <v>1</v>
      </c>
      <c r="L6" s="556">
        <v>2</v>
      </c>
      <c r="M6" s="556"/>
      <c r="N6" s="556"/>
      <c r="O6" s="556">
        <v>1</v>
      </c>
      <c r="P6" s="557">
        <v>3</v>
      </c>
      <c r="Q6" s="557">
        <v>3</v>
      </c>
      <c r="R6" s="557">
        <v>3</v>
      </c>
      <c r="S6" s="433">
        <f t="shared" si="0"/>
        <v>2.4444444444444446</v>
      </c>
      <c r="T6" s="654"/>
      <c r="U6" s="86" t="s">
        <v>19</v>
      </c>
      <c r="V6" s="87">
        <f>Theory!F$14</f>
        <v>0</v>
      </c>
      <c r="W6" s="87">
        <f>Theory!F$12</f>
        <v>0</v>
      </c>
      <c r="X6" s="88"/>
      <c r="Y6" s="88"/>
      <c r="Z6" s="94"/>
      <c r="AB6" s="96"/>
      <c r="AC6" s="122" t="s">
        <v>19</v>
      </c>
      <c r="AD6" s="92">
        <v>7</v>
      </c>
      <c r="AE6" s="93">
        <v>2</v>
      </c>
      <c r="AF6" s="92">
        <v>1</v>
      </c>
      <c r="AG6" s="92"/>
      <c r="AH6" s="89">
        <v>3</v>
      </c>
    </row>
    <row r="7" spans="1:34" ht="40.5" customHeight="1" thickBot="1" x14ac:dyDescent="0.35">
      <c r="A7" s="422" t="s">
        <v>67</v>
      </c>
      <c r="B7" s="554" t="s">
        <v>442</v>
      </c>
      <c r="C7" s="429">
        <v>60</v>
      </c>
      <c r="D7" s="556"/>
      <c r="E7" s="556">
        <v>3</v>
      </c>
      <c r="F7" s="556"/>
      <c r="G7" s="556">
        <v>3</v>
      </c>
      <c r="H7" s="556">
        <v>3</v>
      </c>
      <c r="I7" s="556"/>
      <c r="J7" s="556">
        <v>3</v>
      </c>
      <c r="K7" s="556"/>
      <c r="L7" s="556">
        <v>3</v>
      </c>
      <c r="M7" s="556"/>
      <c r="N7" s="556"/>
      <c r="O7" s="556">
        <v>3</v>
      </c>
      <c r="P7" s="557">
        <v>3</v>
      </c>
      <c r="Q7" s="557">
        <v>3</v>
      </c>
      <c r="R7" s="557">
        <v>3</v>
      </c>
      <c r="S7" s="433">
        <f t="shared" si="0"/>
        <v>3</v>
      </c>
      <c r="T7" s="654"/>
      <c r="U7" s="86" t="s">
        <v>20</v>
      </c>
      <c r="V7" s="87">
        <f>Theory!G$14</f>
        <v>0</v>
      </c>
      <c r="W7" s="87">
        <f>Theory!G$12</f>
        <v>0</v>
      </c>
      <c r="X7" s="88"/>
      <c r="Y7" s="88"/>
      <c r="Z7" s="94"/>
      <c r="AB7" s="97"/>
      <c r="AC7" s="122" t="s">
        <v>20</v>
      </c>
      <c r="AD7" s="92"/>
      <c r="AE7" s="93"/>
      <c r="AF7" s="92"/>
      <c r="AG7" s="92"/>
      <c r="AH7" s="89"/>
    </row>
    <row r="8" spans="1:34" ht="63" customHeight="1" thickBot="1" x14ac:dyDescent="0.35">
      <c r="A8" s="422" t="s">
        <v>68</v>
      </c>
      <c r="B8" s="424"/>
      <c r="C8" s="429"/>
      <c r="D8" s="556"/>
      <c r="E8" s="556">
        <v>3</v>
      </c>
      <c r="F8" s="556"/>
      <c r="G8" s="556">
        <v>3</v>
      </c>
      <c r="H8" s="556">
        <v>3</v>
      </c>
      <c r="I8" s="556">
        <v>3</v>
      </c>
      <c r="J8" s="556"/>
      <c r="K8" s="556"/>
      <c r="L8" s="556">
        <v>3</v>
      </c>
      <c r="M8" s="556"/>
      <c r="N8" s="556"/>
      <c r="O8" s="556">
        <v>3</v>
      </c>
      <c r="P8" s="557">
        <v>3</v>
      </c>
      <c r="Q8" s="557">
        <v>3</v>
      </c>
      <c r="R8" s="557">
        <v>3</v>
      </c>
      <c r="S8" s="433">
        <f t="shared" si="0"/>
        <v>3</v>
      </c>
      <c r="T8" s="654"/>
      <c r="U8" s="86" t="s">
        <v>21</v>
      </c>
      <c r="V8" s="87">
        <f>Theory!H$14</f>
        <v>10</v>
      </c>
      <c r="W8" s="87" t="str">
        <f>Theory!H$12</f>
        <v>0,1</v>
      </c>
      <c r="X8" s="88">
        <v>1</v>
      </c>
      <c r="Y8" s="88"/>
      <c r="Z8" s="94">
        <v>3</v>
      </c>
      <c r="AB8" s="98" t="s">
        <v>116</v>
      </c>
      <c r="AC8" s="435" t="s">
        <v>21</v>
      </c>
      <c r="AD8" s="99">
        <v>6</v>
      </c>
      <c r="AE8" s="100">
        <v>2</v>
      </c>
      <c r="AF8" s="99">
        <v>1</v>
      </c>
      <c r="AG8" s="99"/>
      <c r="AH8" s="94">
        <v>2</v>
      </c>
    </row>
    <row r="9" spans="1:34" ht="18.600000000000001" thickBot="1" x14ac:dyDescent="0.35">
      <c r="A9" s="422"/>
      <c r="B9" s="424"/>
      <c r="C9" s="429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102"/>
      <c r="R9" s="102"/>
      <c r="S9" s="433" t="e">
        <f t="shared" si="0"/>
        <v>#DIV/0!</v>
      </c>
      <c r="T9" s="654"/>
      <c r="U9" s="86" t="s">
        <v>22</v>
      </c>
      <c r="V9" s="87">
        <f>Theory!I$14</f>
        <v>0</v>
      </c>
      <c r="W9" s="87">
        <f>Theory!I$12</f>
        <v>0</v>
      </c>
      <c r="X9" s="88">
        <v>1</v>
      </c>
      <c r="Y9" s="88"/>
      <c r="Z9" s="94">
        <v>3</v>
      </c>
      <c r="AB9" s="103">
        <v>2</v>
      </c>
      <c r="AC9" s="435" t="s">
        <v>22</v>
      </c>
      <c r="AD9" s="99">
        <v>7</v>
      </c>
      <c r="AE9" s="100">
        <v>5</v>
      </c>
      <c r="AF9" s="99">
        <v>3</v>
      </c>
      <c r="AG9" s="99"/>
      <c r="AH9" s="94">
        <v>3</v>
      </c>
    </row>
    <row r="10" spans="1:34" ht="15.6" x14ac:dyDescent="0.3">
      <c r="A10" s="422" t="s">
        <v>70</v>
      </c>
      <c r="B10" s="425" t="s">
        <v>70</v>
      </c>
      <c r="C10" s="422"/>
      <c r="D10" s="427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433" t="e">
        <f t="shared" si="0"/>
        <v>#DIV/0!</v>
      </c>
      <c r="T10" s="654"/>
      <c r="U10" s="86" t="s">
        <v>23</v>
      </c>
      <c r="V10" s="87">
        <f>Theory!J$14</f>
        <v>0</v>
      </c>
      <c r="W10" s="87">
        <f>Theory!J$12</f>
        <v>0</v>
      </c>
      <c r="X10" s="88"/>
      <c r="Y10" s="88"/>
      <c r="Z10" s="94"/>
      <c r="AB10" s="105"/>
      <c r="AC10" s="435" t="s">
        <v>23</v>
      </c>
      <c r="AD10" s="99">
        <v>7</v>
      </c>
      <c r="AE10" s="100">
        <v>5</v>
      </c>
      <c r="AF10" s="99">
        <v>3</v>
      </c>
      <c r="AG10" s="99"/>
      <c r="AH10" s="94">
        <v>3</v>
      </c>
    </row>
    <row r="11" spans="1:34" ht="15.6" x14ac:dyDescent="0.3">
      <c r="A11" s="422" t="s">
        <v>71</v>
      </c>
      <c r="B11" s="425" t="s">
        <v>71</v>
      </c>
      <c r="C11" s="422"/>
      <c r="D11" s="427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433" t="e">
        <f t="shared" si="0"/>
        <v>#DIV/0!</v>
      </c>
      <c r="T11" s="654"/>
      <c r="U11" s="86" t="s">
        <v>24</v>
      </c>
      <c r="V11" s="87">
        <f>Theory!K$14</f>
        <v>0</v>
      </c>
      <c r="W11" s="87">
        <f>Theory!K$12</f>
        <v>0</v>
      </c>
      <c r="X11" s="88"/>
      <c r="Y11" s="88"/>
      <c r="Z11" s="94"/>
      <c r="AB11" s="106"/>
      <c r="AC11" s="435" t="s">
        <v>24</v>
      </c>
      <c r="AD11" s="99"/>
      <c r="AE11" s="100"/>
      <c r="AF11" s="99"/>
      <c r="AG11" s="99"/>
      <c r="AH11" s="94"/>
    </row>
    <row r="12" spans="1:34" ht="15.6" x14ac:dyDescent="0.3">
      <c r="A12" s="422" t="s">
        <v>72</v>
      </c>
      <c r="B12" s="425" t="s">
        <v>72</v>
      </c>
      <c r="C12" s="422"/>
      <c r="D12" s="427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433" t="e">
        <f t="shared" si="0"/>
        <v>#DIV/0!</v>
      </c>
      <c r="T12" s="654"/>
      <c r="U12" s="86" t="s">
        <v>25</v>
      </c>
      <c r="V12" s="87">
        <f>Theory!L$14</f>
        <v>10</v>
      </c>
      <c r="W12" s="87" t="str">
        <f>Theory!L$12</f>
        <v>0,1</v>
      </c>
      <c r="X12" s="88">
        <v>1</v>
      </c>
      <c r="Y12" s="88"/>
      <c r="Z12" s="94">
        <v>3</v>
      </c>
      <c r="AB12" s="90" t="s">
        <v>116</v>
      </c>
      <c r="AC12" s="122" t="s">
        <v>25</v>
      </c>
      <c r="AD12" s="92">
        <v>10</v>
      </c>
      <c r="AE12" s="93">
        <v>3</v>
      </c>
      <c r="AF12" s="92">
        <v>2</v>
      </c>
      <c r="AG12" s="92"/>
      <c r="AH12" s="94">
        <v>3</v>
      </c>
    </row>
    <row r="13" spans="1:34" ht="15.6" x14ac:dyDescent="0.3">
      <c r="A13" s="422" t="s">
        <v>73</v>
      </c>
      <c r="B13" s="425" t="s">
        <v>73</v>
      </c>
      <c r="C13" s="422"/>
      <c r="D13" s="427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433" t="e">
        <f t="shared" si="0"/>
        <v>#DIV/0!</v>
      </c>
      <c r="T13" s="654"/>
      <c r="U13" s="86" t="s">
        <v>26</v>
      </c>
      <c r="V13" s="87">
        <f>Theory!M$14</f>
        <v>0</v>
      </c>
      <c r="W13" s="87">
        <f>Theory!M$12</f>
        <v>0</v>
      </c>
      <c r="X13" s="88">
        <v>1</v>
      </c>
      <c r="Y13" s="88"/>
      <c r="Z13" s="94">
        <v>3</v>
      </c>
      <c r="AB13" s="95">
        <v>3</v>
      </c>
      <c r="AC13" s="122" t="s">
        <v>26</v>
      </c>
      <c r="AD13" s="92">
        <v>10</v>
      </c>
      <c r="AE13" s="93">
        <v>3</v>
      </c>
      <c r="AF13" s="92">
        <v>2</v>
      </c>
      <c r="AG13" s="92"/>
      <c r="AH13" s="94">
        <v>3</v>
      </c>
    </row>
    <row r="14" spans="1:34" ht="23.4" x14ac:dyDescent="0.45">
      <c r="D14" s="107">
        <f>SUM(D4:D13)</f>
        <v>4</v>
      </c>
      <c r="E14" s="107">
        <f t="shared" ref="E14:R14" si="1">SUM(E4:E13)</f>
        <v>9</v>
      </c>
      <c r="F14" s="107">
        <f t="shared" si="1"/>
        <v>2</v>
      </c>
      <c r="G14" s="107">
        <f t="shared" si="1"/>
        <v>9</v>
      </c>
      <c r="H14" s="107">
        <f t="shared" si="1"/>
        <v>9</v>
      </c>
      <c r="I14" s="107">
        <f t="shared" si="1"/>
        <v>3</v>
      </c>
      <c r="J14" s="107">
        <f t="shared" si="1"/>
        <v>3</v>
      </c>
      <c r="K14" s="107">
        <f t="shared" si="1"/>
        <v>1</v>
      </c>
      <c r="L14" s="107">
        <f t="shared" si="1"/>
        <v>8</v>
      </c>
      <c r="M14" s="107">
        <f t="shared" si="1"/>
        <v>0</v>
      </c>
      <c r="N14" s="107">
        <f t="shared" si="1"/>
        <v>0</v>
      </c>
      <c r="O14" s="107">
        <f t="shared" si="1"/>
        <v>7</v>
      </c>
      <c r="P14" s="107">
        <f t="shared" si="1"/>
        <v>11</v>
      </c>
      <c r="Q14" s="107">
        <f t="shared" si="1"/>
        <v>11</v>
      </c>
      <c r="R14" s="107">
        <f t="shared" si="1"/>
        <v>9</v>
      </c>
      <c r="S14" s="433">
        <f t="shared" si="0"/>
        <v>5.7333333333333334</v>
      </c>
      <c r="T14" s="654"/>
      <c r="U14" s="86" t="s">
        <v>27</v>
      </c>
      <c r="V14" s="87">
        <f>Theory!N$14</f>
        <v>0</v>
      </c>
      <c r="W14" s="87">
        <f>Theory!N$12</f>
        <v>0</v>
      </c>
      <c r="X14" s="88"/>
      <c r="Y14" s="88"/>
      <c r="Z14" s="94"/>
      <c r="AB14" s="96"/>
      <c r="AC14" s="122" t="s">
        <v>27</v>
      </c>
      <c r="AD14" s="92"/>
      <c r="AE14" s="93"/>
      <c r="AF14" s="92"/>
      <c r="AG14" s="92"/>
      <c r="AH14" s="94"/>
    </row>
    <row r="15" spans="1:34" x14ac:dyDescent="0.3">
      <c r="T15" s="654"/>
      <c r="U15" s="86" t="s">
        <v>28</v>
      </c>
      <c r="V15" s="87">
        <f>Theory!O$14</f>
        <v>0</v>
      </c>
      <c r="W15" s="87">
        <f>Theory!O$12</f>
        <v>0</v>
      </c>
      <c r="X15" s="108"/>
      <c r="Y15" s="108"/>
      <c r="Z15" s="48"/>
      <c r="AB15" s="97"/>
      <c r="AC15" s="122" t="s">
        <v>28</v>
      </c>
      <c r="AD15" s="91"/>
      <c r="AE15" s="109"/>
      <c r="AF15" s="110"/>
      <c r="AG15" s="110"/>
      <c r="AH15" s="64"/>
    </row>
    <row r="16" spans="1:34" x14ac:dyDescent="0.3">
      <c r="T16" s="654"/>
      <c r="U16" s="86" t="s">
        <v>29</v>
      </c>
      <c r="V16" s="87">
        <f>Theory!P$14</f>
        <v>10</v>
      </c>
      <c r="W16" s="87" t="str">
        <f>Theory!P$12</f>
        <v>0,1</v>
      </c>
      <c r="X16" s="111">
        <v>1</v>
      </c>
      <c r="Y16" s="111"/>
      <c r="Z16" s="19">
        <v>3</v>
      </c>
      <c r="AB16" s="112" t="s">
        <v>116</v>
      </c>
      <c r="AC16" s="75" t="s">
        <v>29</v>
      </c>
      <c r="AD16" s="75">
        <v>10</v>
      </c>
      <c r="AE16" s="114">
        <v>3</v>
      </c>
      <c r="AF16" s="75">
        <v>2</v>
      </c>
      <c r="AG16" s="75"/>
      <c r="AH16" s="19">
        <v>3</v>
      </c>
    </row>
    <row r="17" spans="2:34" ht="23.25" customHeight="1" x14ac:dyDescent="0.4">
      <c r="B17" s="641" t="s">
        <v>284</v>
      </c>
      <c r="C17" s="642"/>
      <c r="D17" s="642"/>
      <c r="E17" s="642"/>
      <c r="F17" s="642"/>
      <c r="G17" s="642"/>
      <c r="I17" s="147"/>
      <c r="J17" s="401" t="s">
        <v>118</v>
      </c>
      <c r="K17" s="401"/>
      <c r="L17" s="401"/>
      <c r="M17" s="401"/>
      <c r="N17" s="401"/>
      <c r="O17" s="401"/>
      <c r="P17" s="401"/>
      <c r="Q17" s="401"/>
      <c r="R17" s="401"/>
      <c r="S17" s="434"/>
      <c r="T17" s="655"/>
      <c r="U17" s="86" t="s">
        <v>30</v>
      </c>
      <c r="V17" s="87">
        <f>Theory!Q$14</f>
        <v>0</v>
      </c>
      <c r="W17" s="87">
        <f>Theory!Q$12</f>
        <v>0</v>
      </c>
      <c r="X17" s="111">
        <v>1</v>
      </c>
      <c r="Y17" s="111"/>
      <c r="Z17" s="19">
        <v>3</v>
      </c>
      <c r="AB17" s="115">
        <v>4</v>
      </c>
      <c r="AC17" s="75" t="s">
        <v>30</v>
      </c>
      <c r="AD17" s="75">
        <v>10</v>
      </c>
      <c r="AE17" s="114">
        <v>3</v>
      </c>
      <c r="AF17" s="75">
        <v>2</v>
      </c>
      <c r="AG17" s="75"/>
      <c r="AH17" s="19">
        <v>3</v>
      </c>
    </row>
    <row r="18" spans="2:34" ht="15" customHeight="1" x14ac:dyDescent="0.3">
      <c r="B18" s="116"/>
      <c r="C18" s="137" t="s">
        <v>119</v>
      </c>
      <c r="D18" s="137" t="s">
        <v>120</v>
      </c>
      <c r="E18" s="58" t="s">
        <v>121</v>
      </c>
      <c r="F18" s="137" t="s">
        <v>106</v>
      </c>
      <c r="G18" s="137" t="s">
        <v>122</v>
      </c>
      <c r="I18" s="643" t="s">
        <v>123</v>
      </c>
      <c r="J18" s="656">
        <v>1</v>
      </c>
      <c r="K18" s="657" t="s">
        <v>124</v>
      </c>
      <c r="L18" s="657"/>
      <c r="M18" s="657"/>
      <c r="N18" s="657"/>
      <c r="O18" s="657"/>
      <c r="P18" s="657"/>
      <c r="Q18" s="657"/>
      <c r="R18" s="657"/>
      <c r="S18" s="434"/>
      <c r="T18" s="655"/>
      <c r="U18" s="86" t="s">
        <v>31</v>
      </c>
      <c r="V18" s="87">
        <f>Theory!R$14</f>
        <v>0</v>
      </c>
      <c r="W18" s="87">
        <f>Theory!R$12</f>
        <v>0</v>
      </c>
      <c r="X18" s="111"/>
      <c r="Y18" s="111"/>
      <c r="Z18" s="118"/>
      <c r="AB18" s="119"/>
      <c r="AC18" s="75" t="s">
        <v>31</v>
      </c>
      <c r="AD18" s="75"/>
      <c r="AE18" s="114"/>
      <c r="AF18" s="75"/>
      <c r="AG18" s="75"/>
      <c r="AH18" s="19"/>
    </row>
    <row r="19" spans="2:34" x14ac:dyDescent="0.3">
      <c r="B19" s="137" t="s">
        <v>64</v>
      </c>
      <c r="C19" s="120">
        <f>CES!D84</f>
        <v>27</v>
      </c>
      <c r="D19" s="120">
        <f>CES!E84</f>
        <v>14</v>
      </c>
      <c r="E19" s="120">
        <f>CES!F84</f>
        <v>0</v>
      </c>
      <c r="F19" s="120">
        <f>CES!G84</f>
        <v>0</v>
      </c>
      <c r="G19" s="120">
        <f>CES!H84</f>
        <v>0</v>
      </c>
      <c r="I19" s="643"/>
      <c r="J19" s="656"/>
      <c r="K19" s="657"/>
      <c r="L19" s="657"/>
      <c r="M19" s="657"/>
      <c r="N19" s="657"/>
      <c r="O19" s="657"/>
      <c r="P19" s="657"/>
      <c r="Q19" s="657"/>
      <c r="R19" s="657"/>
      <c r="S19" s="434"/>
      <c r="T19" s="655"/>
      <c r="U19" s="86" t="s">
        <v>32</v>
      </c>
      <c r="V19" s="87">
        <f>Theory!S$14</f>
        <v>0</v>
      </c>
      <c r="W19" s="87">
        <f>Theory!S$12</f>
        <v>0</v>
      </c>
      <c r="X19" s="111"/>
      <c r="Y19" s="111"/>
      <c r="Z19" s="118"/>
      <c r="AB19" s="121"/>
      <c r="AC19" s="75" t="s">
        <v>32</v>
      </c>
      <c r="AD19" s="75"/>
      <c r="AE19" s="114"/>
      <c r="AF19" s="75"/>
      <c r="AG19" s="75"/>
      <c r="AH19" s="19"/>
    </row>
    <row r="20" spans="2:34" ht="15" customHeight="1" x14ac:dyDescent="0.3">
      <c r="B20" s="137" t="s">
        <v>65</v>
      </c>
      <c r="C20" s="120">
        <f>CES!D85</f>
        <v>25</v>
      </c>
      <c r="D20" s="120">
        <f>CES!E85</f>
        <v>16</v>
      </c>
      <c r="E20" s="120">
        <f>CES!F85</f>
        <v>0</v>
      </c>
      <c r="F20" s="120">
        <f>CES!G85</f>
        <v>0</v>
      </c>
      <c r="G20" s="120">
        <f>CES!H85</f>
        <v>0</v>
      </c>
      <c r="I20" s="644" t="s">
        <v>125</v>
      </c>
      <c r="J20" s="656">
        <v>2</v>
      </c>
      <c r="K20" s="648" t="s">
        <v>126</v>
      </c>
      <c r="L20" s="648"/>
      <c r="M20" s="648"/>
      <c r="N20" s="648"/>
      <c r="O20" s="648"/>
      <c r="P20" s="648"/>
      <c r="Q20" s="648"/>
      <c r="R20" s="648"/>
      <c r="S20" s="434"/>
      <c r="T20" s="655"/>
      <c r="U20" s="86" t="s">
        <v>33</v>
      </c>
      <c r="V20" s="87">
        <f>Theory!T$14</f>
        <v>10</v>
      </c>
      <c r="W20" s="87" t="str">
        <f>Theory!T$12</f>
        <v>0,1</v>
      </c>
      <c r="X20" s="111">
        <v>1</v>
      </c>
      <c r="Y20" s="111"/>
      <c r="Z20" s="118">
        <v>3</v>
      </c>
      <c r="AB20" s="90" t="s">
        <v>116</v>
      </c>
      <c r="AC20" s="122" t="s">
        <v>33</v>
      </c>
      <c r="AD20" s="122">
        <v>6</v>
      </c>
      <c r="AE20" s="123">
        <v>3</v>
      </c>
      <c r="AF20" s="122">
        <v>2</v>
      </c>
      <c r="AG20" s="122"/>
      <c r="AH20" s="19">
        <v>3</v>
      </c>
    </row>
    <row r="21" spans="2:34" ht="12" customHeight="1" x14ac:dyDescent="0.3">
      <c r="B21" s="137" t="s">
        <v>66</v>
      </c>
      <c r="C21" s="120">
        <f>CES!D86</f>
        <v>29</v>
      </c>
      <c r="D21" s="120">
        <f>CES!E86</f>
        <v>12</v>
      </c>
      <c r="E21" s="120">
        <f>CES!F86</f>
        <v>0</v>
      </c>
      <c r="F21" s="120">
        <f>CES!G86</f>
        <v>0</v>
      </c>
      <c r="G21" s="120">
        <f>CES!H86</f>
        <v>0</v>
      </c>
      <c r="I21" s="644"/>
      <c r="J21" s="656"/>
      <c r="K21" s="648"/>
      <c r="L21" s="648"/>
      <c r="M21" s="648"/>
      <c r="N21" s="648"/>
      <c r="O21" s="648"/>
      <c r="P21" s="648"/>
      <c r="Q21" s="648"/>
      <c r="R21" s="648"/>
      <c r="S21" s="434"/>
      <c r="T21" s="655"/>
      <c r="U21" s="86" t="s">
        <v>34</v>
      </c>
      <c r="V21" s="87">
        <f>Theory!U$14</f>
        <v>0</v>
      </c>
      <c r="W21" s="87">
        <f>Theory!U$12</f>
        <v>0</v>
      </c>
      <c r="X21" s="111"/>
      <c r="Y21" s="111"/>
      <c r="Z21" s="118"/>
      <c r="AB21" s="95">
        <v>5</v>
      </c>
      <c r="AC21" s="122" t="s">
        <v>34</v>
      </c>
      <c r="AD21" s="122">
        <v>6</v>
      </c>
      <c r="AE21" s="123">
        <v>3</v>
      </c>
      <c r="AF21" s="122">
        <v>2</v>
      </c>
      <c r="AG21" s="122"/>
      <c r="AH21" s="19">
        <v>3</v>
      </c>
    </row>
    <row r="22" spans="2:34" ht="16.5" customHeight="1" x14ac:dyDescent="0.3">
      <c r="B22" s="137" t="s">
        <v>67</v>
      </c>
      <c r="C22" s="120">
        <f>CES!D87</f>
        <v>29</v>
      </c>
      <c r="D22" s="120">
        <f>CES!E87</f>
        <v>12</v>
      </c>
      <c r="E22" s="120">
        <f>CES!F87</f>
        <v>0</v>
      </c>
      <c r="F22" s="120">
        <f>CES!G87</f>
        <v>0</v>
      </c>
      <c r="G22" s="120">
        <f>CES!H87</f>
        <v>0</v>
      </c>
      <c r="I22" s="403" t="s">
        <v>127</v>
      </c>
      <c r="J22" s="402">
        <v>3</v>
      </c>
      <c r="K22" s="658" t="s">
        <v>128</v>
      </c>
      <c r="L22" s="659"/>
      <c r="M22" s="659"/>
      <c r="N22" s="659"/>
      <c r="O22" s="659"/>
      <c r="P22" s="659"/>
      <c r="Q22" s="659"/>
      <c r="R22" s="659"/>
      <c r="S22" s="434"/>
      <c r="T22" s="655"/>
      <c r="U22" s="86" t="s">
        <v>35</v>
      </c>
      <c r="V22" s="87">
        <f>Theory!V$14</f>
        <v>0</v>
      </c>
      <c r="W22" s="87">
        <f>Theory!V$12</f>
        <v>0</v>
      </c>
      <c r="X22" s="111"/>
      <c r="Y22" s="111"/>
      <c r="Z22" s="118"/>
      <c r="AB22" s="96"/>
      <c r="AC22" s="122" t="s">
        <v>35</v>
      </c>
      <c r="AD22" s="122">
        <v>8</v>
      </c>
      <c r="AE22" s="123">
        <v>3</v>
      </c>
      <c r="AF22" s="122">
        <v>2</v>
      </c>
      <c r="AG22" s="122"/>
      <c r="AH22" s="19">
        <v>3</v>
      </c>
    </row>
    <row r="23" spans="2:34" ht="14.25" customHeight="1" x14ac:dyDescent="0.3">
      <c r="B23" s="137" t="s">
        <v>68</v>
      </c>
      <c r="C23" s="120">
        <f>CES!D88</f>
        <v>0</v>
      </c>
      <c r="D23" s="120">
        <f>CES!E88</f>
        <v>0</v>
      </c>
      <c r="E23" s="120">
        <f>CES!F88</f>
        <v>0</v>
      </c>
      <c r="F23" s="120">
        <f>CES!G88</f>
        <v>0</v>
      </c>
      <c r="G23" s="120">
        <f>CES!H88</f>
        <v>0</v>
      </c>
      <c r="I23" s="403" t="s">
        <v>129</v>
      </c>
      <c r="J23" s="402">
        <v>4</v>
      </c>
      <c r="K23" s="648" t="s">
        <v>130</v>
      </c>
      <c r="L23" s="648"/>
      <c r="M23" s="648"/>
      <c r="N23" s="648"/>
      <c r="O23" s="648"/>
      <c r="P23" s="648"/>
      <c r="Q23" s="648"/>
      <c r="R23" s="648"/>
      <c r="S23" s="434"/>
      <c r="T23" s="655"/>
      <c r="U23" s="86" t="s">
        <v>36</v>
      </c>
      <c r="V23" s="87">
        <f>Theory!W$14</f>
        <v>0</v>
      </c>
      <c r="W23" s="87">
        <f>Theory!W$12</f>
        <v>0</v>
      </c>
      <c r="X23" s="111"/>
      <c r="Y23" s="111"/>
      <c r="Z23" s="118"/>
      <c r="AB23" s="97"/>
      <c r="AC23" s="122" t="s">
        <v>36</v>
      </c>
      <c r="AD23" s="122"/>
      <c r="AE23" s="123"/>
      <c r="AF23" s="122"/>
      <c r="AG23" s="122"/>
      <c r="AH23" s="19"/>
    </row>
    <row r="24" spans="2:34" x14ac:dyDescent="0.3">
      <c r="B24" s="137" t="s">
        <v>69</v>
      </c>
      <c r="C24" s="120" t="e">
        <f>CES!D89</f>
        <v>#DIV/0!</v>
      </c>
      <c r="D24" s="120" t="e">
        <f>CES!E89</f>
        <v>#DIV/0!</v>
      </c>
      <c r="E24" s="120" t="e">
        <f>CES!F89</f>
        <v>#DIV/0!</v>
      </c>
      <c r="F24" s="120" t="e">
        <f>CES!G89</f>
        <v>#DIV/0!</v>
      </c>
      <c r="G24" s="120" t="e">
        <f>CES!H89</f>
        <v>#DIV/0!</v>
      </c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434"/>
      <c r="T24" s="655"/>
      <c r="U24" s="86" t="s">
        <v>37</v>
      </c>
      <c r="V24" s="87">
        <f>Theory!X$14</f>
        <v>10</v>
      </c>
      <c r="W24" s="87" t="str">
        <f>Theory!X$12</f>
        <v>0,1</v>
      </c>
      <c r="X24" s="111">
        <v>1</v>
      </c>
      <c r="Y24" s="111"/>
      <c r="Z24" s="118">
        <v>3</v>
      </c>
      <c r="AB24" s="112" t="s">
        <v>116</v>
      </c>
      <c r="AC24" s="75" t="s">
        <v>37</v>
      </c>
      <c r="AD24" s="75">
        <v>6</v>
      </c>
      <c r="AE24" s="114">
        <v>3</v>
      </c>
      <c r="AF24" s="75">
        <v>2</v>
      </c>
      <c r="AG24" s="75"/>
      <c r="AH24" s="19">
        <v>3</v>
      </c>
    </row>
    <row r="25" spans="2:34" ht="15" customHeight="1" x14ac:dyDescent="0.3">
      <c r="B25" s="137" t="s">
        <v>70</v>
      </c>
      <c r="C25" s="120"/>
      <c r="D25" s="120"/>
      <c r="E25" s="120"/>
      <c r="F25" s="120"/>
      <c r="G25" s="120"/>
      <c r="I25" s="147"/>
      <c r="J25" s="649" t="s">
        <v>131</v>
      </c>
      <c r="K25" s="649"/>
      <c r="L25" s="649"/>
      <c r="M25" s="649"/>
      <c r="N25" s="649"/>
      <c r="O25" s="649"/>
      <c r="P25" s="649"/>
      <c r="Q25" s="649"/>
      <c r="R25" s="649"/>
      <c r="S25" s="434"/>
      <c r="T25" s="655"/>
      <c r="U25" s="86" t="s">
        <v>38</v>
      </c>
      <c r="V25" s="87">
        <f>Theory!Y$14</f>
        <v>0</v>
      </c>
      <c r="W25" s="87">
        <f>Theory!Y$12</f>
        <v>0</v>
      </c>
      <c r="X25" s="111"/>
      <c r="Y25" s="111"/>
      <c r="Z25" s="118"/>
      <c r="AB25" s="115">
        <v>6</v>
      </c>
      <c r="AC25" s="75" t="s">
        <v>38</v>
      </c>
      <c r="AD25" s="75">
        <v>6</v>
      </c>
      <c r="AE25" s="114">
        <v>3</v>
      </c>
      <c r="AF25" s="75">
        <v>3</v>
      </c>
      <c r="AG25" s="75"/>
      <c r="AH25" s="19">
        <v>3</v>
      </c>
    </row>
    <row r="26" spans="2:34" ht="15" customHeight="1" x14ac:dyDescent="0.3">
      <c r="B26" s="137" t="s">
        <v>71</v>
      </c>
      <c r="C26" s="120"/>
      <c r="D26" s="120"/>
      <c r="E26" s="120"/>
      <c r="F26" s="120"/>
      <c r="G26" s="120"/>
      <c r="I26" s="147"/>
      <c r="J26" s="650">
        <v>1</v>
      </c>
      <c r="K26" s="651"/>
      <c r="L26" s="651"/>
      <c r="M26" s="651"/>
      <c r="N26" s="651"/>
      <c r="O26" s="651"/>
      <c r="P26" s="651"/>
      <c r="Q26" s="651"/>
      <c r="R26" s="651"/>
      <c r="S26" s="434"/>
      <c r="T26" s="655"/>
      <c r="U26" s="86" t="s">
        <v>39</v>
      </c>
      <c r="V26" s="87">
        <f>Theory!Z$14</f>
        <v>0</v>
      </c>
      <c r="W26" s="87">
        <f>Theory!Z$12</f>
        <v>0</v>
      </c>
      <c r="X26" s="111"/>
      <c r="Y26" s="111"/>
      <c r="Z26" s="118"/>
      <c r="AB26" s="119"/>
      <c r="AC26" s="75" t="s">
        <v>39</v>
      </c>
      <c r="AD26" s="75">
        <v>8</v>
      </c>
      <c r="AE26" s="114">
        <v>3</v>
      </c>
      <c r="AF26" s="75">
        <v>2</v>
      </c>
      <c r="AG26" s="75"/>
      <c r="AH26" s="19">
        <v>3</v>
      </c>
    </row>
    <row r="27" spans="2:34" ht="14.25" customHeight="1" x14ac:dyDescent="0.3">
      <c r="B27" s="137" t="s">
        <v>72</v>
      </c>
      <c r="C27" s="120"/>
      <c r="D27" s="120"/>
      <c r="E27" s="120"/>
      <c r="F27" s="120"/>
      <c r="G27" s="120"/>
      <c r="I27" s="147"/>
      <c r="J27" s="650"/>
      <c r="K27" s="651"/>
      <c r="L27" s="651"/>
      <c r="M27" s="651"/>
      <c r="N27" s="651"/>
      <c r="O27" s="651"/>
      <c r="P27" s="651"/>
      <c r="Q27" s="651"/>
      <c r="R27" s="651"/>
      <c r="S27" s="434"/>
      <c r="T27" s="655"/>
      <c r="U27" s="86" t="s">
        <v>40</v>
      </c>
      <c r="V27" s="87">
        <f>Theory!AA$14</f>
        <v>0</v>
      </c>
      <c r="W27" s="87">
        <f>Theory!AA$12</f>
        <v>0</v>
      </c>
      <c r="X27" s="111"/>
      <c r="Y27" s="108"/>
      <c r="Z27" s="124"/>
      <c r="AB27" s="121"/>
      <c r="AC27" s="75" t="s">
        <v>40</v>
      </c>
      <c r="AD27" s="113"/>
      <c r="AE27" s="125"/>
      <c r="AF27" s="126"/>
      <c r="AG27" s="126"/>
      <c r="AH27" s="64"/>
    </row>
    <row r="28" spans="2:34" x14ac:dyDescent="0.3">
      <c r="B28" s="137" t="s">
        <v>73</v>
      </c>
      <c r="C28" s="120"/>
      <c r="D28" s="120"/>
      <c r="E28" s="120"/>
      <c r="F28" s="120"/>
      <c r="G28" s="120"/>
      <c r="I28" s="147"/>
      <c r="J28" s="650">
        <v>2</v>
      </c>
      <c r="K28" s="652"/>
      <c r="L28" s="652"/>
      <c r="M28" s="652"/>
      <c r="N28" s="652"/>
      <c r="O28" s="652"/>
      <c r="P28" s="652"/>
      <c r="Q28" s="652"/>
      <c r="R28" s="652"/>
      <c r="S28" s="434"/>
      <c r="T28" s="655"/>
      <c r="U28" s="86" t="s">
        <v>41</v>
      </c>
      <c r="V28" s="87">
        <f>Theory!AB$14</f>
        <v>10</v>
      </c>
      <c r="W28" s="87" t="str">
        <f>Theory!AB$12</f>
        <v>0,1</v>
      </c>
      <c r="X28" s="111" t="s">
        <v>132</v>
      </c>
      <c r="Y28" s="108"/>
      <c r="Z28" s="124">
        <v>4</v>
      </c>
      <c r="AB28" s="90" t="s">
        <v>116</v>
      </c>
      <c r="AC28" s="122" t="s">
        <v>41</v>
      </c>
      <c r="AD28" s="122">
        <v>10</v>
      </c>
      <c r="AE28" s="123">
        <v>3</v>
      </c>
      <c r="AF28" s="122">
        <v>2</v>
      </c>
      <c r="AG28" s="122"/>
      <c r="AH28" s="64">
        <v>3</v>
      </c>
    </row>
    <row r="29" spans="2:34" x14ac:dyDescent="0.3">
      <c r="I29" s="147"/>
      <c r="J29" s="650"/>
      <c r="K29" s="652"/>
      <c r="L29" s="652"/>
      <c r="M29" s="652"/>
      <c r="N29" s="652"/>
      <c r="O29" s="652"/>
      <c r="P29" s="652"/>
      <c r="Q29" s="652"/>
      <c r="R29" s="652"/>
      <c r="S29" s="434"/>
      <c r="T29" s="655"/>
      <c r="U29" s="86" t="s">
        <v>42</v>
      </c>
      <c r="V29" s="87">
        <f>Theory!AC$14</f>
        <v>0</v>
      </c>
      <c r="W29" s="87">
        <f>Theory!AC$12</f>
        <v>0</v>
      </c>
      <c r="X29" s="111"/>
      <c r="Y29" s="111"/>
      <c r="Z29" s="118"/>
      <c r="AB29" s="95">
        <v>7</v>
      </c>
      <c r="AC29" s="122" t="s">
        <v>42</v>
      </c>
      <c r="AD29" s="122">
        <v>10</v>
      </c>
      <c r="AE29" s="123">
        <v>4</v>
      </c>
      <c r="AF29" s="122">
        <v>3</v>
      </c>
      <c r="AG29" s="122"/>
      <c r="AH29" s="19">
        <v>4</v>
      </c>
    </row>
    <row r="30" spans="2:34" x14ac:dyDescent="0.3"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434"/>
      <c r="T30" s="655"/>
      <c r="U30" s="86" t="s">
        <v>43</v>
      </c>
      <c r="V30" s="87">
        <f>Theory!AD$14</f>
        <v>0</v>
      </c>
      <c r="W30" s="87">
        <f>Theory!AD$12</f>
        <v>0</v>
      </c>
      <c r="X30" s="111"/>
      <c r="Y30" s="111"/>
      <c r="Z30" s="118"/>
      <c r="AB30" s="96"/>
      <c r="AC30" s="122" t="s">
        <v>43</v>
      </c>
      <c r="AD30" s="122"/>
      <c r="AE30" s="123"/>
      <c r="AF30" s="122"/>
      <c r="AG30" s="122"/>
      <c r="AH30" s="19"/>
    </row>
    <row r="31" spans="2:34" x14ac:dyDescent="0.3">
      <c r="B31" s="640"/>
      <c r="C31" s="640"/>
      <c r="T31" s="654"/>
      <c r="U31" s="86" t="s">
        <v>44</v>
      </c>
      <c r="V31" s="87">
        <f>Theory!AE$14</f>
        <v>0</v>
      </c>
      <c r="W31" s="87">
        <f>Theory!AE$12</f>
        <v>0</v>
      </c>
      <c r="X31" s="111"/>
      <c r="Y31" s="111"/>
      <c r="Z31" s="118"/>
      <c r="AB31" s="97"/>
      <c r="AC31" s="122" t="s">
        <v>44</v>
      </c>
      <c r="AD31" s="122"/>
      <c r="AE31" s="123"/>
      <c r="AF31" s="122"/>
      <c r="AG31" s="122"/>
      <c r="AH31" s="19"/>
    </row>
    <row r="32" spans="2:34" x14ac:dyDescent="0.3">
      <c r="T32" s="654"/>
      <c r="U32" s="86" t="s">
        <v>45</v>
      </c>
      <c r="V32" s="87">
        <f>Theory!AF$14</f>
        <v>10</v>
      </c>
      <c r="W32" s="87" t="str">
        <f>Theory!AF$12</f>
        <v>0,1</v>
      </c>
      <c r="X32" s="111" t="s">
        <v>132</v>
      </c>
      <c r="Y32" s="111"/>
      <c r="Z32" s="118">
        <v>4</v>
      </c>
      <c r="AB32" s="90" t="s">
        <v>116</v>
      </c>
      <c r="AC32" s="122" t="s">
        <v>45</v>
      </c>
      <c r="AD32" s="122">
        <v>10</v>
      </c>
      <c r="AE32" s="123">
        <v>3</v>
      </c>
      <c r="AF32" s="122">
        <v>2</v>
      </c>
      <c r="AG32" s="122"/>
      <c r="AH32" s="64">
        <v>3</v>
      </c>
    </row>
    <row r="33" spans="20:34" x14ac:dyDescent="0.3">
      <c r="T33" s="654"/>
      <c r="U33" s="86" t="s">
        <v>46</v>
      </c>
      <c r="V33" s="87">
        <f>Theory!AG$14</f>
        <v>0</v>
      </c>
      <c r="W33" s="87">
        <f>Theory!AG$12</f>
        <v>0</v>
      </c>
      <c r="X33" s="111"/>
      <c r="Y33" s="111"/>
      <c r="Z33" s="118"/>
      <c r="AB33" s="95">
        <v>8</v>
      </c>
      <c r="AC33" s="122" t="s">
        <v>46</v>
      </c>
      <c r="AD33" s="122">
        <v>10</v>
      </c>
      <c r="AE33" s="123">
        <v>4</v>
      </c>
      <c r="AF33" s="122">
        <v>3</v>
      </c>
      <c r="AG33" s="122"/>
      <c r="AH33" s="19">
        <v>4</v>
      </c>
    </row>
    <row r="34" spans="20:34" x14ac:dyDescent="0.3">
      <c r="T34" s="654"/>
      <c r="U34" s="86" t="s">
        <v>47</v>
      </c>
      <c r="V34" s="87">
        <f>Theory!AH$14</f>
        <v>0</v>
      </c>
      <c r="W34" s="87">
        <f>Theory!AH$12</f>
        <v>0</v>
      </c>
      <c r="X34" s="111"/>
      <c r="Y34" s="111"/>
      <c r="Z34" s="118"/>
      <c r="AB34" s="96"/>
      <c r="AC34" s="122" t="s">
        <v>47</v>
      </c>
      <c r="AD34" s="122"/>
      <c r="AE34" s="123"/>
      <c r="AF34" s="122"/>
      <c r="AG34" s="122"/>
      <c r="AH34" s="19"/>
    </row>
    <row r="35" spans="20:34" x14ac:dyDescent="0.3">
      <c r="T35" s="654"/>
      <c r="U35" s="86" t="s">
        <v>48</v>
      </c>
      <c r="V35" s="87">
        <f>Theory!AI$14</f>
        <v>0</v>
      </c>
      <c r="W35" s="87">
        <f>Theory!AI$12</f>
        <v>0</v>
      </c>
      <c r="X35" s="111"/>
      <c r="Y35" s="111"/>
      <c r="Z35" s="118"/>
      <c r="AB35" s="97"/>
      <c r="AC35" s="122" t="s">
        <v>48</v>
      </c>
      <c r="AD35" s="122"/>
      <c r="AE35" s="123"/>
      <c r="AF35" s="122"/>
      <c r="AG35" s="122"/>
      <c r="AH35" s="19"/>
    </row>
    <row r="36" spans="20:34" ht="18" x14ac:dyDescent="0.35">
      <c r="T36" s="645" t="s">
        <v>133</v>
      </c>
      <c r="U36" s="127" t="s">
        <v>17</v>
      </c>
      <c r="V36" s="87">
        <f>Theory!AJ$14</f>
        <v>10</v>
      </c>
      <c r="W36" s="87" t="str">
        <f>Theory!AJ$12</f>
        <v>0,4</v>
      </c>
      <c r="X36" s="127"/>
      <c r="Y36" s="127"/>
      <c r="Z36" s="118">
        <v>1</v>
      </c>
      <c r="AC36" s="436" t="s">
        <v>134</v>
      </c>
      <c r="AD36" s="437">
        <f>SUM(AD4:AD35)</f>
        <v>160</v>
      </c>
    </row>
    <row r="37" spans="20:34" x14ac:dyDescent="0.3">
      <c r="T37" s="646"/>
      <c r="U37" s="127" t="s">
        <v>18</v>
      </c>
      <c r="V37" s="87">
        <f>Theory!AK$14</f>
        <v>0</v>
      </c>
      <c r="W37" s="87">
        <f>Theory!AK$12</f>
        <v>0</v>
      </c>
      <c r="X37" s="127"/>
      <c r="Y37" s="127"/>
      <c r="Z37" s="118">
        <v>2</v>
      </c>
    </row>
    <row r="38" spans="20:34" x14ac:dyDescent="0.3">
      <c r="T38" s="646"/>
      <c r="U38" s="127" t="s">
        <v>19</v>
      </c>
      <c r="V38" s="87">
        <f>Theory!AL$14</f>
        <v>0</v>
      </c>
      <c r="W38" s="87">
        <f>Theory!AL$12</f>
        <v>0</v>
      </c>
      <c r="X38" s="127"/>
      <c r="Y38" s="127"/>
      <c r="Z38" s="118"/>
    </row>
    <row r="39" spans="20:34" x14ac:dyDescent="0.3">
      <c r="T39" s="646"/>
      <c r="U39" s="127" t="s">
        <v>20</v>
      </c>
      <c r="V39" s="87">
        <f>Theory!AM$14</f>
        <v>0</v>
      </c>
      <c r="W39" s="87">
        <f>Theory!AM$12</f>
        <v>0</v>
      </c>
      <c r="X39" s="127"/>
      <c r="Y39" s="127"/>
      <c r="Z39" s="118"/>
    </row>
    <row r="40" spans="20:34" x14ac:dyDescent="0.3">
      <c r="T40" s="646"/>
      <c r="U40" s="127" t="s">
        <v>21</v>
      </c>
      <c r="V40" s="87">
        <f>Theory!AN$14</f>
        <v>5</v>
      </c>
      <c r="W40" s="87" t="str">
        <f>Theory!AN$12</f>
        <v>0,4</v>
      </c>
      <c r="X40" s="127">
        <v>1</v>
      </c>
      <c r="Y40" s="127"/>
      <c r="Z40" s="118">
        <v>3</v>
      </c>
    </row>
    <row r="41" spans="20:34" x14ac:dyDescent="0.3">
      <c r="T41" s="646"/>
      <c r="U41" s="127" t="s">
        <v>22</v>
      </c>
      <c r="V41" s="87">
        <f>Theory!AO$14</f>
        <v>5</v>
      </c>
      <c r="W41" s="87" t="str">
        <f>Theory!AO$12</f>
        <v>0,4</v>
      </c>
      <c r="X41" s="127">
        <v>1</v>
      </c>
      <c r="Y41" s="127"/>
      <c r="Z41" s="118">
        <v>3</v>
      </c>
      <c r="AH41"/>
    </row>
    <row r="42" spans="20:34" x14ac:dyDescent="0.3">
      <c r="T42" s="646"/>
      <c r="U42" s="127" t="s">
        <v>23</v>
      </c>
      <c r="V42" s="87">
        <f>Theory!AP$14</f>
        <v>0</v>
      </c>
      <c r="W42" s="87">
        <f>Theory!AP$12</f>
        <v>0</v>
      </c>
      <c r="X42" s="127"/>
      <c r="Y42" s="127"/>
      <c r="Z42" s="118"/>
      <c r="AH42"/>
    </row>
    <row r="43" spans="20:34" x14ac:dyDescent="0.3">
      <c r="T43" s="646"/>
      <c r="U43" s="127" t="s">
        <v>24</v>
      </c>
      <c r="V43" s="87">
        <f>Theory!AQ$14</f>
        <v>0</v>
      </c>
      <c r="W43" s="87">
        <f>Theory!AQ$12</f>
        <v>0</v>
      </c>
      <c r="X43" s="127"/>
      <c r="Y43" s="127"/>
      <c r="Z43" s="118"/>
      <c r="AH43"/>
    </row>
    <row r="44" spans="20:34" ht="32.25" customHeight="1" x14ac:dyDescent="0.3">
      <c r="T44" s="646"/>
      <c r="U44" s="127" t="s">
        <v>25</v>
      </c>
      <c r="V44" s="87">
        <f>Theory!AR$14</f>
        <v>10</v>
      </c>
      <c r="W44" s="87" t="str">
        <f>Theory!AR$12</f>
        <v>0,2</v>
      </c>
      <c r="X44" s="127">
        <v>1</v>
      </c>
      <c r="Y44" s="127"/>
      <c r="Z44" s="118">
        <v>3</v>
      </c>
      <c r="AH44"/>
    </row>
    <row r="45" spans="20:34" x14ac:dyDescent="0.3">
      <c r="T45" s="646"/>
      <c r="U45" s="127" t="s">
        <v>26</v>
      </c>
      <c r="V45" s="87">
        <f>Theory!AS$14</f>
        <v>0</v>
      </c>
      <c r="W45" s="87">
        <f>Theory!AS$12</f>
        <v>0</v>
      </c>
      <c r="X45" s="127"/>
      <c r="Y45" s="127"/>
      <c r="Z45" s="118"/>
      <c r="AH45"/>
    </row>
    <row r="46" spans="20:34" x14ac:dyDescent="0.3">
      <c r="T46" s="646"/>
      <c r="U46" s="127" t="s">
        <v>27</v>
      </c>
      <c r="V46" s="87">
        <f>Theory!AT$14</f>
        <v>0</v>
      </c>
      <c r="W46" s="87">
        <f>Theory!AT$12</f>
        <v>0</v>
      </c>
      <c r="X46" s="127"/>
      <c r="Y46" s="127"/>
      <c r="Z46" s="118"/>
      <c r="AH46"/>
    </row>
    <row r="47" spans="20:34" x14ac:dyDescent="0.3">
      <c r="T47" s="646"/>
      <c r="U47" s="127" t="s">
        <v>28</v>
      </c>
      <c r="V47" s="87">
        <f>Theory!AU$14</f>
        <v>0</v>
      </c>
      <c r="W47" s="87">
        <f>Theory!AU$12</f>
        <v>0</v>
      </c>
      <c r="X47" s="127"/>
      <c r="Y47" s="127"/>
      <c r="Z47" s="118"/>
      <c r="AH47"/>
    </row>
    <row r="48" spans="20:34" x14ac:dyDescent="0.3">
      <c r="T48" s="646"/>
      <c r="U48" s="127" t="s">
        <v>29</v>
      </c>
      <c r="V48" s="87">
        <f>Theory!AV$14</f>
        <v>10</v>
      </c>
      <c r="W48" s="87" t="str">
        <f>Theory!AV$12</f>
        <v>0,2</v>
      </c>
      <c r="X48" s="127">
        <v>1</v>
      </c>
      <c r="Y48" s="127"/>
      <c r="Z48" s="118">
        <v>3</v>
      </c>
      <c r="AH48"/>
    </row>
    <row r="49" spans="20:26" x14ac:dyDescent="0.3">
      <c r="T49" s="646"/>
      <c r="U49" s="127" t="s">
        <v>30</v>
      </c>
      <c r="V49" s="87">
        <f>Theory!AW$14</f>
        <v>0</v>
      </c>
      <c r="W49" s="87">
        <f>Theory!AW$12</f>
        <v>0</v>
      </c>
      <c r="X49" s="127"/>
      <c r="Y49" s="127"/>
      <c r="Z49" s="118"/>
    </row>
    <row r="50" spans="20:26" x14ac:dyDescent="0.3">
      <c r="T50" s="646"/>
      <c r="U50" s="127" t="s">
        <v>31</v>
      </c>
      <c r="V50" s="87">
        <f>Theory!AX$14</f>
        <v>0</v>
      </c>
      <c r="W50" s="87">
        <f>Theory!AX$12</f>
        <v>0</v>
      </c>
      <c r="X50" s="127"/>
      <c r="Y50" s="127"/>
      <c r="Z50" s="118"/>
    </row>
    <row r="51" spans="20:26" x14ac:dyDescent="0.3">
      <c r="T51" s="646"/>
      <c r="U51" s="127" t="s">
        <v>32</v>
      </c>
      <c r="V51" s="87">
        <f>Theory!AY$14</f>
        <v>0</v>
      </c>
      <c r="W51" s="87">
        <f>Theory!AY$12</f>
        <v>0</v>
      </c>
      <c r="X51" s="127"/>
      <c r="Y51" s="127"/>
      <c r="Z51" s="118"/>
    </row>
    <row r="52" spans="20:26" x14ac:dyDescent="0.3">
      <c r="T52" s="646"/>
      <c r="U52" s="127" t="s">
        <v>33</v>
      </c>
      <c r="V52" s="87">
        <f>Theory!AZ$14</f>
        <v>10</v>
      </c>
      <c r="W52" s="87" t="str">
        <f>Theory!AZ$12</f>
        <v>0,4</v>
      </c>
      <c r="X52" s="127">
        <v>1</v>
      </c>
      <c r="Y52" s="127"/>
      <c r="Z52" s="118">
        <v>3</v>
      </c>
    </row>
    <row r="53" spans="20:26" x14ac:dyDescent="0.3">
      <c r="T53" s="646"/>
      <c r="U53" s="127" t="s">
        <v>34</v>
      </c>
      <c r="V53" s="87">
        <f>Theory!BA$14</f>
        <v>0</v>
      </c>
      <c r="W53" s="87">
        <f>Theory!BA$12</f>
        <v>0</v>
      </c>
      <c r="X53" s="127"/>
      <c r="Y53" s="127"/>
      <c r="Z53" s="118"/>
    </row>
    <row r="54" spans="20:26" x14ac:dyDescent="0.3">
      <c r="T54" s="646"/>
      <c r="U54" s="127" t="s">
        <v>35</v>
      </c>
      <c r="V54" s="87">
        <f>Theory!BB$14</f>
        <v>0</v>
      </c>
      <c r="W54" s="87">
        <f>Theory!BB$12</f>
        <v>0</v>
      </c>
      <c r="X54" s="127"/>
      <c r="Y54" s="127"/>
      <c r="Z54" s="118"/>
    </row>
    <row r="55" spans="20:26" x14ac:dyDescent="0.3">
      <c r="T55" s="646"/>
      <c r="U55" s="127" t="s">
        <v>36</v>
      </c>
      <c r="V55" s="87">
        <f>Theory!BC$14</f>
        <v>0</v>
      </c>
      <c r="W55" s="87">
        <f>Theory!BC$12</f>
        <v>0</v>
      </c>
      <c r="X55" s="127"/>
      <c r="Y55" s="127"/>
      <c r="Z55" s="118"/>
    </row>
    <row r="56" spans="20:26" x14ac:dyDescent="0.3">
      <c r="T56" s="646"/>
      <c r="U56" s="127" t="s">
        <v>37</v>
      </c>
      <c r="V56" s="87">
        <f>Theory!BD$14</f>
        <v>10</v>
      </c>
      <c r="W56" s="87" t="str">
        <f>Theory!BD$12</f>
        <v>0,4</v>
      </c>
      <c r="X56" s="127">
        <v>1</v>
      </c>
      <c r="Y56" s="127"/>
      <c r="Z56" s="118">
        <v>3</v>
      </c>
    </row>
    <row r="57" spans="20:26" x14ac:dyDescent="0.3">
      <c r="T57" s="646"/>
      <c r="U57" s="127" t="s">
        <v>38</v>
      </c>
      <c r="V57" s="87">
        <f>Theory!BE$14</f>
        <v>0</v>
      </c>
      <c r="W57" s="87">
        <f>Theory!BE$12</f>
        <v>0</v>
      </c>
      <c r="X57" s="127"/>
      <c r="Y57" s="127"/>
      <c r="Z57" s="118"/>
    </row>
    <row r="58" spans="20:26" x14ac:dyDescent="0.3">
      <c r="T58" s="646"/>
      <c r="U58" s="127" t="s">
        <v>39</v>
      </c>
      <c r="V58" s="87">
        <f>Theory!BF$14</f>
        <v>0</v>
      </c>
      <c r="W58" s="87">
        <f>Theory!BF$12</f>
        <v>0</v>
      </c>
      <c r="X58" s="127"/>
      <c r="Y58" s="127"/>
      <c r="Z58" s="118"/>
    </row>
    <row r="59" spans="20:26" x14ac:dyDescent="0.3">
      <c r="T59" s="646"/>
      <c r="U59" s="127" t="s">
        <v>40</v>
      </c>
      <c r="V59" s="87">
        <f>Theory!BG$14</f>
        <v>0</v>
      </c>
      <c r="W59" s="87">
        <f>Theory!BG$12</f>
        <v>0</v>
      </c>
      <c r="X59" s="127"/>
      <c r="Y59" s="127"/>
      <c r="Z59" s="118"/>
    </row>
    <row r="60" spans="20:26" x14ac:dyDescent="0.3">
      <c r="T60" s="646"/>
      <c r="U60" s="127" t="s">
        <v>41</v>
      </c>
      <c r="V60" s="87">
        <f>Theory!BH$14</f>
        <v>10</v>
      </c>
      <c r="W60" s="87" t="str">
        <f>Theory!BH$12</f>
        <v>0,4</v>
      </c>
      <c r="X60" s="127">
        <v>1</v>
      </c>
      <c r="Y60" s="127"/>
      <c r="Z60" s="118">
        <v>3</v>
      </c>
    </row>
    <row r="61" spans="20:26" x14ac:dyDescent="0.3">
      <c r="T61" s="646"/>
      <c r="U61" s="127" t="s">
        <v>42</v>
      </c>
      <c r="V61" s="87">
        <f>Theory!BI$14</f>
        <v>0</v>
      </c>
      <c r="W61" s="87">
        <f>Theory!BI$12</f>
        <v>0</v>
      </c>
      <c r="X61" s="127"/>
      <c r="Y61" s="127"/>
      <c r="Z61" s="118"/>
    </row>
    <row r="62" spans="20:26" x14ac:dyDescent="0.3">
      <c r="T62" s="646"/>
      <c r="U62" s="127" t="s">
        <v>43</v>
      </c>
      <c r="V62" s="87">
        <f>Theory!BJ$14</f>
        <v>0</v>
      </c>
      <c r="W62" s="87">
        <f>Theory!BJ$12</f>
        <v>0</v>
      </c>
      <c r="X62" s="127"/>
      <c r="Y62" s="127"/>
      <c r="Z62" s="118"/>
    </row>
    <row r="63" spans="20:26" x14ac:dyDescent="0.3">
      <c r="T63" s="646"/>
      <c r="U63" s="127" t="s">
        <v>44</v>
      </c>
      <c r="V63" s="87">
        <f>Theory!BK$14</f>
        <v>0</v>
      </c>
      <c r="W63" s="87">
        <f>Theory!BK$12</f>
        <v>0</v>
      </c>
      <c r="X63" s="127"/>
      <c r="Y63" s="127"/>
      <c r="Z63" s="118"/>
    </row>
    <row r="64" spans="20:26" x14ac:dyDescent="0.3">
      <c r="T64" s="646"/>
      <c r="U64" s="127" t="s">
        <v>45</v>
      </c>
      <c r="V64" s="87">
        <f>Theory!BL$14</f>
        <v>10</v>
      </c>
      <c r="W64" s="87" t="str">
        <f>Theory!BL$12</f>
        <v>0,4</v>
      </c>
      <c r="X64" s="127">
        <v>1</v>
      </c>
      <c r="Y64" s="127"/>
      <c r="Z64" s="118">
        <v>3</v>
      </c>
    </row>
    <row r="65" spans="20:26" x14ac:dyDescent="0.3">
      <c r="T65" s="646"/>
      <c r="U65" s="127" t="s">
        <v>46</v>
      </c>
      <c r="V65" s="87">
        <f>Theory!BM$14</f>
        <v>0</v>
      </c>
      <c r="W65" s="87">
        <f>Theory!BM$12</f>
        <v>0</v>
      </c>
      <c r="X65" s="127"/>
      <c r="Y65" s="127"/>
      <c r="Z65" s="118"/>
    </row>
    <row r="66" spans="20:26" x14ac:dyDescent="0.3">
      <c r="T66" s="646"/>
      <c r="U66" s="127" t="s">
        <v>47</v>
      </c>
      <c r="V66" s="87">
        <f>Theory!BN$14</f>
        <v>0</v>
      </c>
      <c r="W66" s="87">
        <f>Theory!BN$12</f>
        <v>0</v>
      </c>
      <c r="X66" s="127"/>
      <c r="Y66" s="127"/>
      <c r="Z66" s="118"/>
    </row>
    <row r="67" spans="20:26" x14ac:dyDescent="0.3">
      <c r="T67" s="646"/>
      <c r="U67" s="127" t="s">
        <v>48</v>
      </c>
      <c r="V67" s="87">
        <f>Theory!BO$14</f>
        <v>0</v>
      </c>
      <c r="W67" s="87">
        <f>Theory!BO$12</f>
        <v>0</v>
      </c>
      <c r="X67" s="127"/>
      <c r="Y67" s="127"/>
      <c r="Z67" s="118"/>
    </row>
    <row r="68" spans="20:26" x14ac:dyDescent="0.3">
      <c r="T68" s="647" t="s">
        <v>135</v>
      </c>
      <c r="U68" s="128" t="s">
        <v>17</v>
      </c>
      <c r="V68" s="87">
        <f>Theory!BP$14</f>
        <v>10</v>
      </c>
      <c r="W68" s="87" t="str">
        <f>Theory!BP$12</f>
        <v>0,3</v>
      </c>
      <c r="X68" s="128"/>
      <c r="Y68" s="128"/>
      <c r="Z68" s="118">
        <v>1</v>
      </c>
    </row>
    <row r="69" spans="20:26" x14ac:dyDescent="0.3">
      <c r="T69" s="647"/>
      <c r="U69" s="128" t="s">
        <v>18</v>
      </c>
      <c r="V69" s="87">
        <f>Theory!BQ$14</f>
        <v>0</v>
      </c>
      <c r="W69" s="87">
        <f>Theory!BQ$12</f>
        <v>0</v>
      </c>
      <c r="X69" s="128"/>
      <c r="Y69" s="128"/>
      <c r="Z69" s="118">
        <v>2</v>
      </c>
    </row>
    <row r="70" spans="20:26" x14ac:dyDescent="0.3">
      <c r="T70" s="647"/>
      <c r="U70" s="128" t="s">
        <v>19</v>
      </c>
      <c r="V70" s="87">
        <f>Theory!BR$14</f>
        <v>0</v>
      </c>
      <c r="W70" s="87">
        <f>Theory!BR$12</f>
        <v>0</v>
      </c>
      <c r="X70" s="128"/>
      <c r="Y70" s="128"/>
      <c r="Z70" s="118"/>
    </row>
    <row r="71" spans="20:26" x14ac:dyDescent="0.3">
      <c r="T71" s="647"/>
      <c r="U71" s="128" t="s">
        <v>20</v>
      </c>
      <c r="V71" s="87">
        <f>Theory!BS$14</f>
        <v>0</v>
      </c>
      <c r="W71" s="87">
        <f>Theory!BS$12</f>
        <v>0</v>
      </c>
      <c r="X71" s="128"/>
      <c r="Y71" s="128"/>
      <c r="Z71" s="118"/>
    </row>
    <row r="72" spans="20:26" x14ac:dyDescent="0.3">
      <c r="T72" s="647"/>
      <c r="U72" s="128" t="s">
        <v>21</v>
      </c>
      <c r="V72" s="87">
        <f>Theory!BT$14</f>
        <v>10</v>
      </c>
      <c r="W72" s="87" t="str">
        <f>Theory!BT$12</f>
        <v>0,4</v>
      </c>
      <c r="X72" s="128">
        <v>1</v>
      </c>
      <c r="Y72" s="128"/>
      <c r="Z72" s="118">
        <v>3</v>
      </c>
    </row>
    <row r="73" spans="20:26" x14ac:dyDescent="0.3">
      <c r="T73" s="647"/>
      <c r="U73" s="128" t="s">
        <v>22</v>
      </c>
      <c r="V73" s="87">
        <f>Theory!BU$14</f>
        <v>0</v>
      </c>
      <c r="W73" s="87">
        <f>Theory!BU$12</f>
        <v>0</v>
      </c>
      <c r="X73" s="128">
        <v>1</v>
      </c>
      <c r="Y73" s="128"/>
      <c r="Z73" s="118">
        <v>3</v>
      </c>
    </row>
    <row r="74" spans="20:26" x14ac:dyDescent="0.3">
      <c r="T74" s="647"/>
      <c r="U74" s="128" t="s">
        <v>23</v>
      </c>
      <c r="V74" s="87">
        <f>Theory!BV$14</f>
        <v>0</v>
      </c>
      <c r="W74" s="87">
        <f>Theory!BV$12</f>
        <v>0</v>
      </c>
      <c r="X74" s="128"/>
      <c r="Y74" s="128"/>
      <c r="Z74" s="118"/>
    </row>
    <row r="75" spans="20:26" x14ac:dyDescent="0.3">
      <c r="T75" s="647"/>
      <c r="U75" s="128" t="s">
        <v>24</v>
      </c>
      <c r="V75" s="87">
        <f>Theory!BW$14</f>
        <v>0</v>
      </c>
      <c r="W75" s="87">
        <f>Theory!BW$12</f>
        <v>0</v>
      </c>
      <c r="X75" s="128"/>
      <c r="Y75" s="128"/>
      <c r="Z75" s="118"/>
    </row>
    <row r="76" spans="20:26" x14ac:dyDescent="0.3">
      <c r="T76" s="647"/>
      <c r="U76" s="128" t="s">
        <v>25</v>
      </c>
      <c r="V76" s="87">
        <f>Theory!BX$14</f>
        <v>10</v>
      </c>
      <c r="W76" s="87" t="str">
        <f>Theory!BX$12</f>
        <v>0,3</v>
      </c>
      <c r="X76" s="128">
        <v>2</v>
      </c>
      <c r="Y76" s="128"/>
      <c r="Z76" s="118">
        <v>4</v>
      </c>
    </row>
    <row r="77" spans="20:26" x14ac:dyDescent="0.3">
      <c r="T77" s="647"/>
      <c r="U77" s="128" t="s">
        <v>26</v>
      </c>
      <c r="V77" s="87">
        <f>Theory!BY$14</f>
        <v>0</v>
      </c>
      <c r="W77" s="87">
        <f>Theory!BY$12</f>
        <v>0</v>
      </c>
      <c r="X77" s="128"/>
      <c r="Y77" s="128"/>
      <c r="Z77" s="118"/>
    </row>
    <row r="78" spans="20:26" x14ac:dyDescent="0.3">
      <c r="T78" s="647"/>
      <c r="U78" s="128" t="s">
        <v>27</v>
      </c>
      <c r="V78" s="87">
        <f>Theory!BZ$14</f>
        <v>0</v>
      </c>
      <c r="W78" s="87">
        <f>Theory!BZ$12</f>
        <v>0</v>
      </c>
      <c r="X78" s="128"/>
      <c r="Y78" s="128"/>
      <c r="Z78" s="118"/>
    </row>
    <row r="79" spans="20:26" x14ac:dyDescent="0.3">
      <c r="T79" s="647"/>
      <c r="U79" s="128" t="s">
        <v>28</v>
      </c>
      <c r="V79" s="87">
        <f>Theory!CA$14</f>
        <v>0</v>
      </c>
      <c r="W79" s="87">
        <f>Theory!CA$12</f>
        <v>0</v>
      </c>
      <c r="X79" s="128"/>
      <c r="Y79" s="128"/>
      <c r="Z79" s="118"/>
    </row>
    <row r="80" spans="20:26" x14ac:dyDescent="0.3">
      <c r="T80" s="647"/>
      <c r="U80" s="128" t="s">
        <v>29</v>
      </c>
      <c r="V80" s="87">
        <f>Theory!CB$14</f>
        <v>10</v>
      </c>
      <c r="W80" s="87" t="str">
        <f>Theory!CB$12</f>
        <v>0,3</v>
      </c>
      <c r="X80" s="128">
        <v>2</v>
      </c>
      <c r="Y80" s="128"/>
      <c r="Z80" s="118">
        <v>4</v>
      </c>
    </row>
    <row r="81" spans="20:26" x14ac:dyDescent="0.3">
      <c r="T81" s="647"/>
      <c r="U81" s="128" t="s">
        <v>30</v>
      </c>
      <c r="V81" s="87">
        <f>Theory!CC$14</f>
        <v>0</v>
      </c>
      <c r="W81" s="87">
        <f>Theory!CC$12</f>
        <v>0</v>
      </c>
      <c r="X81" s="128"/>
      <c r="Y81" s="128"/>
      <c r="Z81" s="118"/>
    </row>
    <row r="82" spans="20:26" x14ac:dyDescent="0.3">
      <c r="T82" s="647"/>
      <c r="U82" s="128" t="s">
        <v>31</v>
      </c>
      <c r="V82" s="87">
        <f>Theory!CD$14</f>
        <v>0</v>
      </c>
      <c r="W82" s="87">
        <f>Theory!CD$12</f>
        <v>0</v>
      </c>
      <c r="X82" s="128"/>
      <c r="Y82" s="128"/>
      <c r="Z82" s="118"/>
    </row>
    <row r="83" spans="20:26" x14ac:dyDescent="0.3">
      <c r="T83" s="647"/>
      <c r="U83" s="128" t="s">
        <v>32</v>
      </c>
      <c r="V83" s="87">
        <f>Theory!CE$14</f>
        <v>0</v>
      </c>
      <c r="W83" s="87">
        <f>Theory!CE$12</f>
        <v>0</v>
      </c>
      <c r="X83" s="128"/>
      <c r="Y83" s="128"/>
      <c r="Z83" s="118"/>
    </row>
    <row r="84" spans="20:26" x14ac:dyDescent="0.3">
      <c r="T84" s="647"/>
      <c r="U84" s="128" t="s">
        <v>33</v>
      </c>
      <c r="V84" s="87">
        <f>Theory!CF$14</f>
        <v>10</v>
      </c>
      <c r="W84" s="87" t="str">
        <f>Theory!CF$12</f>
        <v>0,3</v>
      </c>
      <c r="X84" s="128">
        <v>2</v>
      </c>
      <c r="Y84" s="128"/>
      <c r="Z84" s="118">
        <v>4</v>
      </c>
    </row>
    <row r="85" spans="20:26" x14ac:dyDescent="0.3">
      <c r="T85" s="647"/>
      <c r="U85" s="128" t="s">
        <v>34</v>
      </c>
      <c r="V85" s="87">
        <f>Theory!CG$14</f>
        <v>0</v>
      </c>
      <c r="W85" s="87">
        <f>Theory!CG$12</f>
        <v>0</v>
      </c>
      <c r="X85" s="128"/>
      <c r="Y85" s="128"/>
      <c r="Z85" s="118"/>
    </row>
    <row r="86" spans="20:26" x14ac:dyDescent="0.3">
      <c r="T86" s="647"/>
      <c r="U86" s="128" t="s">
        <v>35</v>
      </c>
      <c r="V86" s="87">
        <f>Theory!CH$14</f>
        <v>0</v>
      </c>
      <c r="W86" s="87">
        <f>Theory!CH$12</f>
        <v>0</v>
      </c>
      <c r="X86" s="128"/>
      <c r="Y86" s="128"/>
      <c r="Z86" s="118"/>
    </row>
    <row r="87" spans="20:26" x14ac:dyDescent="0.3">
      <c r="T87" s="647"/>
      <c r="U87" s="128" t="s">
        <v>36</v>
      </c>
      <c r="V87" s="87">
        <f>Theory!CI$14</f>
        <v>0</v>
      </c>
      <c r="W87" s="87">
        <f>Theory!CI$12</f>
        <v>0</v>
      </c>
      <c r="X87" s="128"/>
      <c r="Y87" s="128"/>
      <c r="Z87" s="118"/>
    </row>
    <row r="88" spans="20:26" x14ac:dyDescent="0.3">
      <c r="T88" s="647"/>
      <c r="U88" s="128" t="s">
        <v>37</v>
      </c>
      <c r="V88" s="87">
        <f>Theory!CJ$14</f>
        <v>10</v>
      </c>
      <c r="W88" s="87" t="str">
        <f>Theory!CJ$12</f>
        <v>0,3</v>
      </c>
      <c r="X88" s="128">
        <v>2</v>
      </c>
      <c r="Y88" s="128"/>
      <c r="Z88" s="118">
        <v>4</v>
      </c>
    </row>
    <row r="89" spans="20:26" x14ac:dyDescent="0.3">
      <c r="T89" s="647"/>
      <c r="U89" s="128" t="s">
        <v>38</v>
      </c>
      <c r="V89" s="87">
        <f>Theory!CK$14</f>
        <v>0</v>
      </c>
      <c r="W89" s="87">
        <f>Theory!CK$12</f>
        <v>0</v>
      </c>
      <c r="X89" s="128"/>
      <c r="Y89" s="128"/>
      <c r="Z89" s="118"/>
    </row>
    <row r="90" spans="20:26" x14ac:dyDescent="0.3">
      <c r="T90" s="647"/>
      <c r="U90" s="128" t="s">
        <v>39</v>
      </c>
      <c r="V90" s="87">
        <f>Theory!CL$14</f>
        <v>0</v>
      </c>
      <c r="W90" s="87">
        <f>Theory!CL$12</f>
        <v>0</v>
      </c>
      <c r="X90" s="128"/>
      <c r="Y90" s="128"/>
      <c r="Z90" s="118"/>
    </row>
    <row r="91" spans="20:26" x14ac:dyDescent="0.3">
      <c r="T91" s="647"/>
      <c r="U91" s="128" t="s">
        <v>40</v>
      </c>
      <c r="V91" s="87">
        <f>Theory!CM$14</f>
        <v>0</v>
      </c>
      <c r="W91" s="87">
        <f>Theory!CM$12</f>
        <v>0</v>
      </c>
      <c r="X91" s="128"/>
      <c r="Y91" s="128"/>
      <c r="Z91" s="118"/>
    </row>
    <row r="92" spans="20:26" x14ac:dyDescent="0.3">
      <c r="T92" s="647"/>
      <c r="U92" s="128" t="s">
        <v>41</v>
      </c>
      <c r="V92" s="87">
        <f>Theory!CN$14</f>
        <v>10</v>
      </c>
      <c r="W92" s="87" t="str">
        <f>Theory!CN$12</f>
        <v>0,4</v>
      </c>
      <c r="X92" s="128" t="s">
        <v>132</v>
      </c>
      <c r="Y92" s="128"/>
      <c r="Z92" s="118">
        <v>4</v>
      </c>
    </row>
    <row r="93" spans="20:26" x14ac:dyDescent="0.3">
      <c r="T93" s="647"/>
      <c r="U93" s="128" t="s">
        <v>42</v>
      </c>
      <c r="V93" s="87">
        <f>Theory!CO$14</f>
        <v>0</v>
      </c>
      <c r="W93" s="87">
        <f>Theory!CO$12</f>
        <v>0</v>
      </c>
      <c r="X93" s="128"/>
      <c r="Y93" s="128"/>
      <c r="Z93" s="118"/>
    </row>
    <row r="94" spans="20:26" x14ac:dyDescent="0.3">
      <c r="T94" s="647"/>
      <c r="U94" s="128" t="s">
        <v>43</v>
      </c>
      <c r="V94" s="87">
        <f>Theory!CP$14</f>
        <v>0</v>
      </c>
      <c r="W94" s="87">
        <f>Theory!CP$12</f>
        <v>0</v>
      </c>
      <c r="X94" s="128"/>
      <c r="Y94" s="128"/>
      <c r="Z94" s="118"/>
    </row>
    <row r="95" spans="20:26" x14ac:dyDescent="0.3">
      <c r="T95" s="647"/>
      <c r="U95" s="128" t="s">
        <v>44</v>
      </c>
      <c r="V95" s="87">
        <f>Theory!CQ$14</f>
        <v>0</v>
      </c>
      <c r="W95" s="87">
        <f>Theory!CQ$12</f>
        <v>0</v>
      </c>
      <c r="X95" s="128"/>
      <c r="Y95" s="128"/>
      <c r="Z95" s="118"/>
    </row>
    <row r="96" spans="20:26" x14ac:dyDescent="0.3">
      <c r="T96" s="647"/>
      <c r="U96" s="128" t="s">
        <v>45</v>
      </c>
      <c r="V96" s="87">
        <f>Theory!CR$14</f>
        <v>10</v>
      </c>
      <c r="W96" s="87" t="str">
        <f>Theory!CR$12</f>
        <v>0,4</v>
      </c>
      <c r="X96" s="128" t="s">
        <v>132</v>
      </c>
      <c r="Y96" s="128"/>
      <c r="Z96" s="118">
        <v>4</v>
      </c>
    </row>
    <row r="97" spans="20:26" x14ac:dyDescent="0.3">
      <c r="T97" s="647"/>
      <c r="U97" s="128" t="s">
        <v>46</v>
      </c>
      <c r="V97" s="87">
        <f>Theory!CS$14</f>
        <v>0</v>
      </c>
      <c r="W97" s="87">
        <f>Theory!CS$12</f>
        <v>0</v>
      </c>
      <c r="X97" s="128"/>
      <c r="Y97" s="128"/>
      <c r="Z97" s="118"/>
    </row>
    <row r="98" spans="20:26" x14ac:dyDescent="0.3">
      <c r="T98" s="647"/>
      <c r="U98" s="128" t="s">
        <v>47</v>
      </c>
      <c r="V98" s="87">
        <f>Theory!CT$14</f>
        <v>0</v>
      </c>
      <c r="W98" s="87">
        <f>Theory!CT$12</f>
        <v>0</v>
      </c>
      <c r="X98" s="128"/>
      <c r="Y98" s="128"/>
      <c r="Z98" s="118"/>
    </row>
    <row r="99" spans="20:26" x14ac:dyDescent="0.3">
      <c r="T99" s="647"/>
      <c r="U99" s="128" t="s">
        <v>48</v>
      </c>
      <c r="V99" s="87">
        <f>Theory!CU$14</f>
        <v>0</v>
      </c>
      <c r="W99" s="87">
        <f>Theory!CU$12</f>
        <v>0</v>
      </c>
      <c r="X99" s="128"/>
      <c r="Y99" s="128"/>
      <c r="Z99" s="118"/>
    </row>
    <row r="100" spans="20:26" x14ac:dyDescent="0.3">
      <c r="T100" s="128" t="s">
        <v>10</v>
      </c>
      <c r="U100" s="129"/>
      <c r="V100" s="87">
        <f>Theory!CV$14</f>
        <v>10</v>
      </c>
      <c r="W100" s="87" t="str">
        <f>Theory!CV$12</f>
        <v>0,1,2,3,4</v>
      </c>
      <c r="X100" s="128" t="s">
        <v>136</v>
      </c>
      <c r="Y100" s="128"/>
      <c r="Z100" s="118">
        <v>3</v>
      </c>
    </row>
    <row r="101" spans="20:26" x14ac:dyDescent="0.3">
      <c r="T101" s="128" t="s">
        <v>11</v>
      </c>
      <c r="U101" s="129"/>
      <c r="V101" s="87">
        <f>Theory!CW$14</f>
        <v>10</v>
      </c>
      <c r="W101" s="87" t="str">
        <f>Theory!CW$12</f>
        <v>0,1,2,3,4</v>
      </c>
      <c r="X101" s="128" t="s">
        <v>137</v>
      </c>
      <c r="Y101" s="128"/>
      <c r="Z101" s="118">
        <v>3</v>
      </c>
    </row>
    <row r="102" spans="20:26" x14ac:dyDescent="0.3">
      <c r="T102" s="128" t="s">
        <v>138</v>
      </c>
      <c r="U102" s="129"/>
      <c r="V102" s="87">
        <f>Lab!J6</f>
        <v>0</v>
      </c>
      <c r="W102" s="87">
        <f>Lab!J5</f>
        <v>0</v>
      </c>
      <c r="X102" s="128">
        <f>Lab!J4</f>
        <v>0</v>
      </c>
      <c r="Y102" s="128"/>
      <c r="Z102" s="64">
        <v>5</v>
      </c>
    </row>
    <row r="103" spans="20:26" x14ac:dyDescent="0.3">
      <c r="T103" s="128" t="s">
        <v>139</v>
      </c>
      <c r="U103" s="129"/>
      <c r="V103" s="87"/>
      <c r="W103" s="130"/>
      <c r="X103" s="128"/>
      <c r="Y103" s="128"/>
      <c r="Z103" s="48"/>
    </row>
  </sheetData>
  <mergeCells count="20">
    <mergeCell ref="T36:T67"/>
    <mergeCell ref="T68:T99"/>
    <mergeCell ref="K23:R23"/>
    <mergeCell ref="J25:R25"/>
    <mergeCell ref="J26:J27"/>
    <mergeCell ref="K26:R27"/>
    <mergeCell ref="J28:J29"/>
    <mergeCell ref="K28:R29"/>
    <mergeCell ref="T4:T35"/>
    <mergeCell ref="J18:J19"/>
    <mergeCell ref="K18:R19"/>
    <mergeCell ref="J20:J21"/>
    <mergeCell ref="K20:R21"/>
    <mergeCell ref="K22:R22"/>
    <mergeCell ref="AC1:AF1"/>
    <mergeCell ref="AB3:AC3"/>
    <mergeCell ref="B31:C31"/>
    <mergeCell ref="B17:G17"/>
    <mergeCell ref="I18:I19"/>
    <mergeCell ref="I20:I21"/>
  </mergeCells>
  <phoneticPr fontId="76" type="noConversion"/>
  <hyperlinks>
    <hyperlink ref="K22" r:id="rId1" xr:uid="{00000000-0004-0000-0700-000000000000}"/>
  </hyperlinks>
  <pageMargins left="0.7" right="0.7" top="0.75" bottom="0.75" header="0.3" footer="0.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179"/>
  <sheetViews>
    <sheetView tabSelected="1" topLeftCell="A164" zoomScale="98" zoomScaleNormal="98" workbookViewId="0">
      <selection activeCell="K184" sqref="K184"/>
    </sheetView>
  </sheetViews>
  <sheetFormatPr defaultRowHeight="14.4" x14ac:dyDescent="0.3"/>
  <cols>
    <col min="2" max="2" width="42.109375" customWidth="1"/>
    <col min="3" max="3" width="7.33203125" customWidth="1"/>
    <col min="4" max="4" width="7.6640625" customWidth="1"/>
    <col min="5" max="6" width="7.109375" customWidth="1"/>
    <col min="7" max="8" width="6.88671875" customWidth="1"/>
    <col min="9" max="10" width="7.33203125" customWidth="1"/>
    <col min="11" max="11" width="6.33203125" customWidth="1"/>
    <col min="12" max="12" width="8.109375" customWidth="1"/>
    <col min="13" max="13" width="7.6640625" customWidth="1"/>
    <col min="14" max="14" width="6.33203125" customWidth="1"/>
    <col min="15" max="15" width="7.33203125" customWidth="1"/>
    <col min="16" max="16" width="15.33203125" style="41" customWidth="1"/>
    <col min="17" max="17" width="12.6640625" style="41" customWidth="1"/>
    <col min="18" max="18" width="9.33203125" customWidth="1"/>
    <col min="258" max="258" width="42.109375" customWidth="1"/>
    <col min="259" max="259" width="7.33203125" customWidth="1"/>
    <col min="260" max="260" width="6.33203125" customWidth="1"/>
    <col min="261" max="261" width="6.109375" customWidth="1"/>
    <col min="262" max="262" width="6.5546875" customWidth="1"/>
    <col min="263" max="264" width="6.88671875" customWidth="1"/>
    <col min="265" max="266" width="7.33203125" customWidth="1"/>
    <col min="267" max="267" width="6.33203125" customWidth="1"/>
    <col min="268" max="268" width="8.109375" customWidth="1"/>
    <col min="269" max="269" width="7.6640625" customWidth="1"/>
    <col min="270" max="270" width="6.33203125" customWidth="1"/>
    <col min="271" max="271" width="7.33203125" customWidth="1"/>
    <col min="272" max="272" width="15.33203125" customWidth="1"/>
    <col min="273" max="273" width="12.6640625" customWidth="1"/>
    <col min="274" max="274" width="9.33203125" customWidth="1"/>
    <col min="514" max="514" width="42.109375" customWidth="1"/>
    <col min="515" max="515" width="7.33203125" customWidth="1"/>
    <col min="516" max="516" width="6.33203125" customWidth="1"/>
    <col min="517" max="517" width="6.109375" customWidth="1"/>
    <col min="518" max="518" width="6.5546875" customWidth="1"/>
    <col min="519" max="520" width="6.88671875" customWidth="1"/>
    <col min="521" max="522" width="7.33203125" customWidth="1"/>
    <col min="523" max="523" width="6.33203125" customWidth="1"/>
    <col min="524" max="524" width="8.109375" customWidth="1"/>
    <col min="525" max="525" width="7.6640625" customWidth="1"/>
    <col min="526" max="526" width="6.33203125" customWidth="1"/>
    <col min="527" max="527" width="7.33203125" customWidth="1"/>
    <col min="528" max="528" width="15.33203125" customWidth="1"/>
    <col min="529" max="529" width="12.6640625" customWidth="1"/>
    <col min="530" max="530" width="9.33203125" customWidth="1"/>
    <col min="770" max="770" width="42.109375" customWidth="1"/>
    <col min="771" max="771" width="7.33203125" customWidth="1"/>
    <col min="772" max="772" width="6.33203125" customWidth="1"/>
    <col min="773" max="773" width="6.109375" customWidth="1"/>
    <col min="774" max="774" width="6.5546875" customWidth="1"/>
    <col min="775" max="776" width="6.88671875" customWidth="1"/>
    <col min="777" max="778" width="7.33203125" customWidth="1"/>
    <col min="779" max="779" width="6.33203125" customWidth="1"/>
    <col min="780" max="780" width="8.109375" customWidth="1"/>
    <col min="781" max="781" width="7.6640625" customWidth="1"/>
    <col min="782" max="782" width="6.33203125" customWidth="1"/>
    <col min="783" max="783" width="7.33203125" customWidth="1"/>
    <col min="784" max="784" width="15.33203125" customWidth="1"/>
    <col min="785" max="785" width="12.6640625" customWidth="1"/>
    <col min="786" max="786" width="9.33203125" customWidth="1"/>
    <col min="1026" max="1026" width="42.109375" customWidth="1"/>
    <col min="1027" max="1027" width="7.33203125" customWidth="1"/>
    <col min="1028" max="1028" width="6.33203125" customWidth="1"/>
    <col min="1029" max="1029" width="6.109375" customWidth="1"/>
    <col min="1030" max="1030" width="6.5546875" customWidth="1"/>
    <col min="1031" max="1032" width="6.88671875" customWidth="1"/>
    <col min="1033" max="1034" width="7.33203125" customWidth="1"/>
    <col min="1035" max="1035" width="6.33203125" customWidth="1"/>
    <col min="1036" max="1036" width="8.109375" customWidth="1"/>
    <col min="1037" max="1037" width="7.6640625" customWidth="1"/>
    <col min="1038" max="1038" width="6.33203125" customWidth="1"/>
    <col min="1039" max="1039" width="7.33203125" customWidth="1"/>
    <col min="1040" max="1040" width="15.33203125" customWidth="1"/>
    <col min="1041" max="1041" width="12.6640625" customWidth="1"/>
    <col min="1042" max="1042" width="9.33203125" customWidth="1"/>
    <col min="1282" max="1282" width="42.109375" customWidth="1"/>
    <col min="1283" max="1283" width="7.33203125" customWidth="1"/>
    <col min="1284" max="1284" width="6.33203125" customWidth="1"/>
    <col min="1285" max="1285" width="6.109375" customWidth="1"/>
    <col min="1286" max="1286" width="6.5546875" customWidth="1"/>
    <col min="1287" max="1288" width="6.88671875" customWidth="1"/>
    <col min="1289" max="1290" width="7.33203125" customWidth="1"/>
    <col min="1291" max="1291" width="6.33203125" customWidth="1"/>
    <col min="1292" max="1292" width="8.109375" customWidth="1"/>
    <col min="1293" max="1293" width="7.6640625" customWidth="1"/>
    <col min="1294" max="1294" width="6.33203125" customWidth="1"/>
    <col min="1295" max="1295" width="7.33203125" customWidth="1"/>
    <col min="1296" max="1296" width="15.33203125" customWidth="1"/>
    <col min="1297" max="1297" width="12.6640625" customWidth="1"/>
    <col min="1298" max="1298" width="9.33203125" customWidth="1"/>
    <col min="1538" max="1538" width="42.109375" customWidth="1"/>
    <col min="1539" max="1539" width="7.33203125" customWidth="1"/>
    <col min="1540" max="1540" width="6.33203125" customWidth="1"/>
    <col min="1541" max="1541" width="6.109375" customWidth="1"/>
    <col min="1542" max="1542" width="6.5546875" customWidth="1"/>
    <col min="1543" max="1544" width="6.88671875" customWidth="1"/>
    <col min="1545" max="1546" width="7.33203125" customWidth="1"/>
    <col min="1547" max="1547" width="6.33203125" customWidth="1"/>
    <col min="1548" max="1548" width="8.109375" customWidth="1"/>
    <col min="1549" max="1549" width="7.6640625" customWidth="1"/>
    <col min="1550" max="1550" width="6.33203125" customWidth="1"/>
    <col min="1551" max="1551" width="7.33203125" customWidth="1"/>
    <col min="1552" max="1552" width="15.33203125" customWidth="1"/>
    <col min="1553" max="1553" width="12.6640625" customWidth="1"/>
    <col min="1554" max="1554" width="9.33203125" customWidth="1"/>
    <col min="1794" max="1794" width="42.109375" customWidth="1"/>
    <col min="1795" max="1795" width="7.33203125" customWidth="1"/>
    <col min="1796" max="1796" width="6.33203125" customWidth="1"/>
    <col min="1797" max="1797" width="6.109375" customWidth="1"/>
    <col min="1798" max="1798" width="6.5546875" customWidth="1"/>
    <col min="1799" max="1800" width="6.88671875" customWidth="1"/>
    <col min="1801" max="1802" width="7.33203125" customWidth="1"/>
    <col min="1803" max="1803" width="6.33203125" customWidth="1"/>
    <col min="1804" max="1804" width="8.109375" customWidth="1"/>
    <col min="1805" max="1805" width="7.6640625" customWidth="1"/>
    <col min="1806" max="1806" width="6.33203125" customWidth="1"/>
    <col min="1807" max="1807" width="7.33203125" customWidth="1"/>
    <col min="1808" max="1808" width="15.33203125" customWidth="1"/>
    <col min="1809" max="1809" width="12.6640625" customWidth="1"/>
    <col min="1810" max="1810" width="9.33203125" customWidth="1"/>
    <col min="2050" max="2050" width="42.109375" customWidth="1"/>
    <col min="2051" max="2051" width="7.33203125" customWidth="1"/>
    <col min="2052" max="2052" width="6.33203125" customWidth="1"/>
    <col min="2053" max="2053" width="6.109375" customWidth="1"/>
    <col min="2054" max="2054" width="6.5546875" customWidth="1"/>
    <col min="2055" max="2056" width="6.88671875" customWidth="1"/>
    <col min="2057" max="2058" width="7.33203125" customWidth="1"/>
    <col min="2059" max="2059" width="6.33203125" customWidth="1"/>
    <col min="2060" max="2060" width="8.109375" customWidth="1"/>
    <col min="2061" max="2061" width="7.6640625" customWidth="1"/>
    <col min="2062" max="2062" width="6.33203125" customWidth="1"/>
    <col min="2063" max="2063" width="7.33203125" customWidth="1"/>
    <col min="2064" max="2064" width="15.33203125" customWidth="1"/>
    <col min="2065" max="2065" width="12.6640625" customWidth="1"/>
    <col min="2066" max="2066" width="9.33203125" customWidth="1"/>
    <col min="2306" max="2306" width="42.109375" customWidth="1"/>
    <col min="2307" max="2307" width="7.33203125" customWidth="1"/>
    <col min="2308" max="2308" width="6.33203125" customWidth="1"/>
    <col min="2309" max="2309" width="6.109375" customWidth="1"/>
    <col min="2310" max="2310" width="6.5546875" customWidth="1"/>
    <col min="2311" max="2312" width="6.88671875" customWidth="1"/>
    <col min="2313" max="2314" width="7.33203125" customWidth="1"/>
    <col min="2315" max="2315" width="6.33203125" customWidth="1"/>
    <col min="2316" max="2316" width="8.109375" customWidth="1"/>
    <col min="2317" max="2317" width="7.6640625" customWidth="1"/>
    <col min="2318" max="2318" width="6.33203125" customWidth="1"/>
    <col min="2319" max="2319" width="7.33203125" customWidth="1"/>
    <col min="2320" max="2320" width="15.33203125" customWidth="1"/>
    <col min="2321" max="2321" width="12.6640625" customWidth="1"/>
    <col min="2322" max="2322" width="9.33203125" customWidth="1"/>
    <col min="2562" max="2562" width="42.109375" customWidth="1"/>
    <col min="2563" max="2563" width="7.33203125" customWidth="1"/>
    <col min="2564" max="2564" width="6.33203125" customWidth="1"/>
    <col min="2565" max="2565" width="6.109375" customWidth="1"/>
    <col min="2566" max="2566" width="6.5546875" customWidth="1"/>
    <col min="2567" max="2568" width="6.88671875" customWidth="1"/>
    <col min="2569" max="2570" width="7.33203125" customWidth="1"/>
    <col min="2571" max="2571" width="6.33203125" customWidth="1"/>
    <col min="2572" max="2572" width="8.109375" customWidth="1"/>
    <col min="2573" max="2573" width="7.6640625" customWidth="1"/>
    <col min="2574" max="2574" width="6.33203125" customWidth="1"/>
    <col min="2575" max="2575" width="7.33203125" customWidth="1"/>
    <col min="2576" max="2576" width="15.33203125" customWidth="1"/>
    <col min="2577" max="2577" width="12.6640625" customWidth="1"/>
    <col min="2578" max="2578" width="9.33203125" customWidth="1"/>
    <col min="2818" max="2818" width="42.109375" customWidth="1"/>
    <col min="2819" max="2819" width="7.33203125" customWidth="1"/>
    <col min="2820" max="2820" width="6.33203125" customWidth="1"/>
    <col min="2821" max="2821" width="6.109375" customWidth="1"/>
    <col min="2822" max="2822" width="6.5546875" customWidth="1"/>
    <col min="2823" max="2824" width="6.88671875" customWidth="1"/>
    <col min="2825" max="2826" width="7.33203125" customWidth="1"/>
    <col min="2827" max="2827" width="6.33203125" customWidth="1"/>
    <col min="2828" max="2828" width="8.109375" customWidth="1"/>
    <col min="2829" max="2829" width="7.6640625" customWidth="1"/>
    <col min="2830" max="2830" width="6.33203125" customWidth="1"/>
    <col min="2831" max="2831" width="7.33203125" customWidth="1"/>
    <col min="2832" max="2832" width="15.33203125" customWidth="1"/>
    <col min="2833" max="2833" width="12.6640625" customWidth="1"/>
    <col min="2834" max="2834" width="9.33203125" customWidth="1"/>
    <col min="3074" max="3074" width="42.109375" customWidth="1"/>
    <col min="3075" max="3075" width="7.33203125" customWidth="1"/>
    <col min="3076" max="3076" width="6.33203125" customWidth="1"/>
    <col min="3077" max="3077" width="6.109375" customWidth="1"/>
    <col min="3078" max="3078" width="6.5546875" customWidth="1"/>
    <col min="3079" max="3080" width="6.88671875" customWidth="1"/>
    <col min="3081" max="3082" width="7.33203125" customWidth="1"/>
    <col min="3083" max="3083" width="6.33203125" customWidth="1"/>
    <col min="3084" max="3084" width="8.109375" customWidth="1"/>
    <col min="3085" max="3085" width="7.6640625" customWidth="1"/>
    <col min="3086" max="3086" width="6.33203125" customWidth="1"/>
    <col min="3087" max="3087" width="7.33203125" customWidth="1"/>
    <col min="3088" max="3088" width="15.33203125" customWidth="1"/>
    <col min="3089" max="3089" width="12.6640625" customWidth="1"/>
    <col min="3090" max="3090" width="9.33203125" customWidth="1"/>
    <col min="3330" max="3330" width="42.109375" customWidth="1"/>
    <col min="3331" max="3331" width="7.33203125" customWidth="1"/>
    <col min="3332" max="3332" width="6.33203125" customWidth="1"/>
    <col min="3333" max="3333" width="6.109375" customWidth="1"/>
    <col min="3334" max="3334" width="6.5546875" customWidth="1"/>
    <col min="3335" max="3336" width="6.88671875" customWidth="1"/>
    <col min="3337" max="3338" width="7.33203125" customWidth="1"/>
    <col min="3339" max="3339" width="6.33203125" customWidth="1"/>
    <col min="3340" max="3340" width="8.109375" customWidth="1"/>
    <col min="3341" max="3341" width="7.6640625" customWidth="1"/>
    <col min="3342" max="3342" width="6.33203125" customWidth="1"/>
    <col min="3343" max="3343" width="7.33203125" customWidth="1"/>
    <col min="3344" max="3344" width="15.33203125" customWidth="1"/>
    <col min="3345" max="3345" width="12.6640625" customWidth="1"/>
    <col min="3346" max="3346" width="9.33203125" customWidth="1"/>
    <col min="3586" max="3586" width="42.109375" customWidth="1"/>
    <col min="3587" max="3587" width="7.33203125" customWidth="1"/>
    <col min="3588" max="3588" width="6.33203125" customWidth="1"/>
    <col min="3589" max="3589" width="6.109375" customWidth="1"/>
    <col min="3590" max="3590" width="6.5546875" customWidth="1"/>
    <col min="3591" max="3592" width="6.88671875" customWidth="1"/>
    <col min="3593" max="3594" width="7.33203125" customWidth="1"/>
    <col min="3595" max="3595" width="6.33203125" customWidth="1"/>
    <col min="3596" max="3596" width="8.109375" customWidth="1"/>
    <col min="3597" max="3597" width="7.6640625" customWidth="1"/>
    <col min="3598" max="3598" width="6.33203125" customWidth="1"/>
    <col min="3599" max="3599" width="7.33203125" customWidth="1"/>
    <col min="3600" max="3600" width="15.33203125" customWidth="1"/>
    <col min="3601" max="3601" width="12.6640625" customWidth="1"/>
    <col min="3602" max="3602" width="9.33203125" customWidth="1"/>
    <col min="3842" max="3842" width="42.109375" customWidth="1"/>
    <col min="3843" max="3843" width="7.33203125" customWidth="1"/>
    <col min="3844" max="3844" width="6.33203125" customWidth="1"/>
    <col min="3845" max="3845" width="6.109375" customWidth="1"/>
    <col min="3846" max="3846" width="6.5546875" customWidth="1"/>
    <col min="3847" max="3848" width="6.88671875" customWidth="1"/>
    <col min="3849" max="3850" width="7.33203125" customWidth="1"/>
    <col min="3851" max="3851" width="6.33203125" customWidth="1"/>
    <col min="3852" max="3852" width="8.109375" customWidth="1"/>
    <col min="3853" max="3853" width="7.6640625" customWidth="1"/>
    <col min="3854" max="3854" width="6.33203125" customWidth="1"/>
    <col min="3855" max="3855" width="7.33203125" customWidth="1"/>
    <col min="3856" max="3856" width="15.33203125" customWidth="1"/>
    <col min="3857" max="3857" width="12.6640625" customWidth="1"/>
    <col min="3858" max="3858" width="9.33203125" customWidth="1"/>
    <col min="4098" max="4098" width="42.109375" customWidth="1"/>
    <col min="4099" max="4099" width="7.33203125" customWidth="1"/>
    <col min="4100" max="4100" width="6.33203125" customWidth="1"/>
    <col min="4101" max="4101" width="6.109375" customWidth="1"/>
    <col min="4102" max="4102" width="6.5546875" customWidth="1"/>
    <col min="4103" max="4104" width="6.88671875" customWidth="1"/>
    <col min="4105" max="4106" width="7.33203125" customWidth="1"/>
    <col min="4107" max="4107" width="6.33203125" customWidth="1"/>
    <col min="4108" max="4108" width="8.109375" customWidth="1"/>
    <col min="4109" max="4109" width="7.6640625" customWidth="1"/>
    <col min="4110" max="4110" width="6.33203125" customWidth="1"/>
    <col min="4111" max="4111" width="7.33203125" customWidth="1"/>
    <col min="4112" max="4112" width="15.33203125" customWidth="1"/>
    <col min="4113" max="4113" width="12.6640625" customWidth="1"/>
    <col min="4114" max="4114" width="9.33203125" customWidth="1"/>
    <col min="4354" max="4354" width="42.109375" customWidth="1"/>
    <col min="4355" max="4355" width="7.33203125" customWidth="1"/>
    <col min="4356" max="4356" width="6.33203125" customWidth="1"/>
    <col min="4357" max="4357" width="6.109375" customWidth="1"/>
    <col min="4358" max="4358" width="6.5546875" customWidth="1"/>
    <col min="4359" max="4360" width="6.88671875" customWidth="1"/>
    <col min="4361" max="4362" width="7.33203125" customWidth="1"/>
    <col min="4363" max="4363" width="6.33203125" customWidth="1"/>
    <col min="4364" max="4364" width="8.109375" customWidth="1"/>
    <col min="4365" max="4365" width="7.6640625" customWidth="1"/>
    <col min="4366" max="4366" width="6.33203125" customWidth="1"/>
    <col min="4367" max="4367" width="7.33203125" customWidth="1"/>
    <col min="4368" max="4368" width="15.33203125" customWidth="1"/>
    <col min="4369" max="4369" width="12.6640625" customWidth="1"/>
    <col min="4370" max="4370" width="9.33203125" customWidth="1"/>
    <col min="4610" max="4610" width="42.109375" customWidth="1"/>
    <col min="4611" max="4611" width="7.33203125" customWidth="1"/>
    <col min="4612" max="4612" width="6.33203125" customWidth="1"/>
    <col min="4613" max="4613" width="6.109375" customWidth="1"/>
    <col min="4614" max="4614" width="6.5546875" customWidth="1"/>
    <col min="4615" max="4616" width="6.88671875" customWidth="1"/>
    <col min="4617" max="4618" width="7.33203125" customWidth="1"/>
    <col min="4619" max="4619" width="6.33203125" customWidth="1"/>
    <col min="4620" max="4620" width="8.109375" customWidth="1"/>
    <col min="4621" max="4621" width="7.6640625" customWidth="1"/>
    <col min="4622" max="4622" width="6.33203125" customWidth="1"/>
    <col min="4623" max="4623" width="7.33203125" customWidth="1"/>
    <col min="4624" max="4624" width="15.33203125" customWidth="1"/>
    <col min="4625" max="4625" width="12.6640625" customWidth="1"/>
    <col min="4626" max="4626" width="9.33203125" customWidth="1"/>
    <col min="4866" max="4866" width="42.109375" customWidth="1"/>
    <col min="4867" max="4867" width="7.33203125" customWidth="1"/>
    <col min="4868" max="4868" width="6.33203125" customWidth="1"/>
    <col min="4869" max="4869" width="6.109375" customWidth="1"/>
    <col min="4870" max="4870" width="6.5546875" customWidth="1"/>
    <col min="4871" max="4872" width="6.88671875" customWidth="1"/>
    <col min="4873" max="4874" width="7.33203125" customWidth="1"/>
    <col min="4875" max="4875" width="6.33203125" customWidth="1"/>
    <col min="4876" max="4876" width="8.109375" customWidth="1"/>
    <col min="4877" max="4877" width="7.6640625" customWidth="1"/>
    <col min="4878" max="4878" width="6.33203125" customWidth="1"/>
    <col min="4879" max="4879" width="7.33203125" customWidth="1"/>
    <col min="4880" max="4880" width="15.33203125" customWidth="1"/>
    <col min="4881" max="4881" width="12.6640625" customWidth="1"/>
    <col min="4882" max="4882" width="9.33203125" customWidth="1"/>
    <col min="5122" max="5122" width="42.109375" customWidth="1"/>
    <col min="5123" max="5123" width="7.33203125" customWidth="1"/>
    <col min="5124" max="5124" width="6.33203125" customWidth="1"/>
    <col min="5125" max="5125" width="6.109375" customWidth="1"/>
    <col min="5126" max="5126" width="6.5546875" customWidth="1"/>
    <col min="5127" max="5128" width="6.88671875" customWidth="1"/>
    <col min="5129" max="5130" width="7.33203125" customWidth="1"/>
    <col min="5131" max="5131" width="6.33203125" customWidth="1"/>
    <col min="5132" max="5132" width="8.109375" customWidth="1"/>
    <col min="5133" max="5133" width="7.6640625" customWidth="1"/>
    <col min="5134" max="5134" width="6.33203125" customWidth="1"/>
    <col min="5135" max="5135" width="7.33203125" customWidth="1"/>
    <col min="5136" max="5136" width="15.33203125" customWidth="1"/>
    <col min="5137" max="5137" width="12.6640625" customWidth="1"/>
    <col min="5138" max="5138" width="9.33203125" customWidth="1"/>
    <col min="5378" max="5378" width="42.109375" customWidth="1"/>
    <col min="5379" max="5379" width="7.33203125" customWidth="1"/>
    <col min="5380" max="5380" width="6.33203125" customWidth="1"/>
    <col min="5381" max="5381" width="6.109375" customWidth="1"/>
    <col min="5382" max="5382" width="6.5546875" customWidth="1"/>
    <col min="5383" max="5384" width="6.88671875" customWidth="1"/>
    <col min="5385" max="5386" width="7.33203125" customWidth="1"/>
    <col min="5387" max="5387" width="6.33203125" customWidth="1"/>
    <col min="5388" max="5388" width="8.109375" customWidth="1"/>
    <col min="5389" max="5389" width="7.6640625" customWidth="1"/>
    <col min="5390" max="5390" width="6.33203125" customWidth="1"/>
    <col min="5391" max="5391" width="7.33203125" customWidth="1"/>
    <col min="5392" max="5392" width="15.33203125" customWidth="1"/>
    <col min="5393" max="5393" width="12.6640625" customWidth="1"/>
    <col min="5394" max="5394" width="9.33203125" customWidth="1"/>
    <col min="5634" max="5634" width="42.109375" customWidth="1"/>
    <col min="5635" max="5635" width="7.33203125" customWidth="1"/>
    <col min="5636" max="5636" width="6.33203125" customWidth="1"/>
    <col min="5637" max="5637" width="6.109375" customWidth="1"/>
    <col min="5638" max="5638" width="6.5546875" customWidth="1"/>
    <col min="5639" max="5640" width="6.88671875" customWidth="1"/>
    <col min="5641" max="5642" width="7.33203125" customWidth="1"/>
    <col min="5643" max="5643" width="6.33203125" customWidth="1"/>
    <col min="5644" max="5644" width="8.109375" customWidth="1"/>
    <col min="5645" max="5645" width="7.6640625" customWidth="1"/>
    <col min="5646" max="5646" width="6.33203125" customWidth="1"/>
    <col min="5647" max="5647" width="7.33203125" customWidth="1"/>
    <col min="5648" max="5648" width="15.33203125" customWidth="1"/>
    <col min="5649" max="5649" width="12.6640625" customWidth="1"/>
    <col min="5650" max="5650" width="9.33203125" customWidth="1"/>
    <col min="5890" max="5890" width="42.109375" customWidth="1"/>
    <col min="5891" max="5891" width="7.33203125" customWidth="1"/>
    <col min="5892" max="5892" width="6.33203125" customWidth="1"/>
    <col min="5893" max="5893" width="6.109375" customWidth="1"/>
    <col min="5894" max="5894" width="6.5546875" customWidth="1"/>
    <col min="5895" max="5896" width="6.88671875" customWidth="1"/>
    <col min="5897" max="5898" width="7.33203125" customWidth="1"/>
    <col min="5899" max="5899" width="6.33203125" customWidth="1"/>
    <col min="5900" max="5900" width="8.109375" customWidth="1"/>
    <col min="5901" max="5901" width="7.6640625" customWidth="1"/>
    <col min="5902" max="5902" width="6.33203125" customWidth="1"/>
    <col min="5903" max="5903" width="7.33203125" customWidth="1"/>
    <col min="5904" max="5904" width="15.33203125" customWidth="1"/>
    <col min="5905" max="5905" width="12.6640625" customWidth="1"/>
    <col min="5906" max="5906" width="9.33203125" customWidth="1"/>
    <col min="6146" max="6146" width="42.109375" customWidth="1"/>
    <col min="6147" max="6147" width="7.33203125" customWidth="1"/>
    <col min="6148" max="6148" width="6.33203125" customWidth="1"/>
    <col min="6149" max="6149" width="6.109375" customWidth="1"/>
    <col min="6150" max="6150" width="6.5546875" customWidth="1"/>
    <col min="6151" max="6152" width="6.88671875" customWidth="1"/>
    <col min="6153" max="6154" width="7.33203125" customWidth="1"/>
    <col min="6155" max="6155" width="6.33203125" customWidth="1"/>
    <col min="6156" max="6156" width="8.109375" customWidth="1"/>
    <col min="6157" max="6157" width="7.6640625" customWidth="1"/>
    <col min="6158" max="6158" width="6.33203125" customWidth="1"/>
    <col min="6159" max="6159" width="7.33203125" customWidth="1"/>
    <col min="6160" max="6160" width="15.33203125" customWidth="1"/>
    <col min="6161" max="6161" width="12.6640625" customWidth="1"/>
    <col min="6162" max="6162" width="9.33203125" customWidth="1"/>
    <col min="6402" max="6402" width="42.109375" customWidth="1"/>
    <col min="6403" max="6403" width="7.33203125" customWidth="1"/>
    <col min="6404" max="6404" width="6.33203125" customWidth="1"/>
    <col min="6405" max="6405" width="6.109375" customWidth="1"/>
    <col min="6406" max="6406" width="6.5546875" customWidth="1"/>
    <col min="6407" max="6408" width="6.88671875" customWidth="1"/>
    <col min="6409" max="6410" width="7.33203125" customWidth="1"/>
    <col min="6411" max="6411" width="6.33203125" customWidth="1"/>
    <col min="6412" max="6412" width="8.109375" customWidth="1"/>
    <col min="6413" max="6413" width="7.6640625" customWidth="1"/>
    <col min="6414" max="6414" width="6.33203125" customWidth="1"/>
    <col min="6415" max="6415" width="7.33203125" customWidth="1"/>
    <col min="6416" max="6416" width="15.33203125" customWidth="1"/>
    <col min="6417" max="6417" width="12.6640625" customWidth="1"/>
    <col min="6418" max="6418" width="9.33203125" customWidth="1"/>
    <col min="6658" max="6658" width="42.109375" customWidth="1"/>
    <col min="6659" max="6659" width="7.33203125" customWidth="1"/>
    <col min="6660" max="6660" width="6.33203125" customWidth="1"/>
    <col min="6661" max="6661" width="6.109375" customWidth="1"/>
    <col min="6662" max="6662" width="6.5546875" customWidth="1"/>
    <col min="6663" max="6664" width="6.88671875" customWidth="1"/>
    <col min="6665" max="6666" width="7.33203125" customWidth="1"/>
    <col min="6667" max="6667" width="6.33203125" customWidth="1"/>
    <col min="6668" max="6668" width="8.109375" customWidth="1"/>
    <col min="6669" max="6669" width="7.6640625" customWidth="1"/>
    <col min="6670" max="6670" width="6.33203125" customWidth="1"/>
    <col min="6671" max="6671" width="7.33203125" customWidth="1"/>
    <col min="6672" max="6672" width="15.33203125" customWidth="1"/>
    <col min="6673" max="6673" width="12.6640625" customWidth="1"/>
    <col min="6674" max="6674" width="9.33203125" customWidth="1"/>
    <col min="6914" max="6914" width="42.109375" customWidth="1"/>
    <col min="6915" max="6915" width="7.33203125" customWidth="1"/>
    <col min="6916" max="6916" width="6.33203125" customWidth="1"/>
    <col min="6917" max="6917" width="6.109375" customWidth="1"/>
    <col min="6918" max="6918" width="6.5546875" customWidth="1"/>
    <col min="6919" max="6920" width="6.88671875" customWidth="1"/>
    <col min="6921" max="6922" width="7.33203125" customWidth="1"/>
    <col min="6923" max="6923" width="6.33203125" customWidth="1"/>
    <col min="6924" max="6924" width="8.109375" customWidth="1"/>
    <col min="6925" max="6925" width="7.6640625" customWidth="1"/>
    <col min="6926" max="6926" width="6.33203125" customWidth="1"/>
    <col min="6927" max="6927" width="7.33203125" customWidth="1"/>
    <col min="6928" max="6928" width="15.33203125" customWidth="1"/>
    <col min="6929" max="6929" width="12.6640625" customWidth="1"/>
    <col min="6930" max="6930" width="9.33203125" customWidth="1"/>
    <col min="7170" max="7170" width="42.109375" customWidth="1"/>
    <col min="7171" max="7171" width="7.33203125" customWidth="1"/>
    <col min="7172" max="7172" width="6.33203125" customWidth="1"/>
    <col min="7173" max="7173" width="6.109375" customWidth="1"/>
    <col min="7174" max="7174" width="6.5546875" customWidth="1"/>
    <col min="7175" max="7176" width="6.88671875" customWidth="1"/>
    <col min="7177" max="7178" width="7.33203125" customWidth="1"/>
    <col min="7179" max="7179" width="6.33203125" customWidth="1"/>
    <col min="7180" max="7180" width="8.109375" customWidth="1"/>
    <col min="7181" max="7181" width="7.6640625" customWidth="1"/>
    <col min="7182" max="7182" width="6.33203125" customWidth="1"/>
    <col min="7183" max="7183" width="7.33203125" customWidth="1"/>
    <col min="7184" max="7184" width="15.33203125" customWidth="1"/>
    <col min="7185" max="7185" width="12.6640625" customWidth="1"/>
    <col min="7186" max="7186" width="9.33203125" customWidth="1"/>
    <col min="7426" max="7426" width="42.109375" customWidth="1"/>
    <col min="7427" max="7427" width="7.33203125" customWidth="1"/>
    <col min="7428" max="7428" width="6.33203125" customWidth="1"/>
    <col min="7429" max="7429" width="6.109375" customWidth="1"/>
    <col min="7430" max="7430" width="6.5546875" customWidth="1"/>
    <col min="7431" max="7432" width="6.88671875" customWidth="1"/>
    <col min="7433" max="7434" width="7.33203125" customWidth="1"/>
    <col min="7435" max="7435" width="6.33203125" customWidth="1"/>
    <col min="7436" max="7436" width="8.109375" customWidth="1"/>
    <col min="7437" max="7437" width="7.6640625" customWidth="1"/>
    <col min="7438" max="7438" width="6.33203125" customWidth="1"/>
    <col min="7439" max="7439" width="7.33203125" customWidth="1"/>
    <col min="7440" max="7440" width="15.33203125" customWidth="1"/>
    <col min="7441" max="7441" width="12.6640625" customWidth="1"/>
    <col min="7442" max="7442" width="9.33203125" customWidth="1"/>
    <col min="7682" max="7682" width="42.109375" customWidth="1"/>
    <col min="7683" max="7683" width="7.33203125" customWidth="1"/>
    <col min="7684" max="7684" width="6.33203125" customWidth="1"/>
    <col min="7685" max="7685" width="6.109375" customWidth="1"/>
    <col min="7686" max="7686" width="6.5546875" customWidth="1"/>
    <col min="7687" max="7688" width="6.88671875" customWidth="1"/>
    <col min="7689" max="7690" width="7.33203125" customWidth="1"/>
    <col min="7691" max="7691" width="6.33203125" customWidth="1"/>
    <col min="7692" max="7692" width="8.109375" customWidth="1"/>
    <col min="7693" max="7693" width="7.6640625" customWidth="1"/>
    <col min="7694" max="7694" width="6.33203125" customWidth="1"/>
    <col min="7695" max="7695" width="7.33203125" customWidth="1"/>
    <col min="7696" max="7696" width="15.33203125" customWidth="1"/>
    <col min="7697" max="7697" width="12.6640625" customWidth="1"/>
    <col min="7698" max="7698" width="9.33203125" customWidth="1"/>
    <col min="7938" max="7938" width="42.109375" customWidth="1"/>
    <col min="7939" max="7939" width="7.33203125" customWidth="1"/>
    <col min="7940" max="7940" width="6.33203125" customWidth="1"/>
    <col min="7941" max="7941" width="6.109375" customWidth="1"/>
    <col min="7942" max="7942" width="6.5546875" customWidth="1"/>
    <col min="7943" max="7944" width="6.88671875" customWidth="1"/>
    <col min="7945" max="7946" width="7.33203125" customWidth="1"/>
    <col min="7947" max="7947" width="6.33203125" customWidth="1"/>
    <col min="7948" max="7948" width="8.109375" customWidth="1"/>
    <col min="7949" max="7949" width="7.6640625" customWidth="1"/>
    <col min="7950" max="7950" width="6.33203125" customWidth="1"/>
    <col min="7951" max="7951" width="7.33203125" customWidth="1"/>
    <col min="7952" max="7952" width="15.33203125" customWidth="1"/>
    <col min="7953" max="7953" width="12.6640625" customWidth="1"/>
    <col min="7954" max="7954" width="9.33203125" customWidth="1"/>
    <col min="8194" max="8194" width="42.109375" customWidth="1"/>
    <col min="8195" max="8195" width="7.33203125" customWidth="1"/>
    <col min="8196" max="8196" width="6.33203125" customWidth="1"/>
    <col min="8197" max="8197" width="6.109375" customWidth="1"/>
    <col min="8198" max="8198" width="6.5546875" customWidth="1"/>
    <col min="8199" max="8200" width="6.88671875" customWidth="1"/>
    <col min="8201" max="8202" width="7.33203125" customWidth="1"/>
    <col min="8203" max="8203" width="6.33203125" customWidth="1"/>
    <col min="8204" max="8204" width="8.109375" customWidth="1"/>
    <col min="8205" max="8205" width="7.6640625" customWidth="1"/>
    <col min="8206" max="8206" width="6.33203125" customWidth="1"/>
    <col min="8207" max="8207" width="7.33203125" customWidth="1"/>
    <col min="8208" max="8208" width="15.33203125" customWidth="1"/>
    <col min="8209" max="8209" width="12.6640625" customWidth="1"/>
    <col min="8210" max="8210" width="9.33203125" customWidth="1"/>
    <col min="8450" max="8450" width="42.109375" customWidth="1"/>
    <col min="8451" max="8451" width="7.33203125" customWidth="1"/>
    <col min="8452" max="8452" width="6.33203125" customWidth="1"/>
    <col min="8453" max="8453" width="6.109375" customWidth="1"/>
    <col min="8454" max="8454" width="6.5546875" customWidth="1"/>
    <col min="8455" max="8456" width="6.88671875" customWidth="1"/>
    <col min="8457" max="8458" width="7.33203125" customWidth="1"/>
    <col min="8459" max="8459" width="6.33203125" customWidth="1"/>
    <col min="8460" max="8460" width="8.109375" customWidth="1"/>
    <col min="8461" max="8461" width="7.6640625" customWidth="1"/>
    <col min="8462" max="8462" width="6.33203125" customWidth="1"/>
    <col min="8463" max="8463" width="7.33203125" customWidth="1"/>
    <col min="8464" max="8464" width="15.33203125" customWidth="1"/>
    <col min="8465" max="8465" width="12.6640625" customWidth="1"/>
    <col min="8466" max="8466" width="9.33203125" customWidth="1"/>
    <col min="8706" max="8706" width="42.109375" customWidth="1"/>
    <col min="8707" max="8707" width="7.33203125" customWidth="1"/>
    <col min="8708" max="8708" width="6.33203125" customWidth="1"/>
    <col min="8709" max="8709" width="6.109375" customWidth="1"/>
    <col min="8710" max="8710" width="6.5546875" customWidth="1"/>
    <col min="8711" max="8712" width="6.88671875" customWidth="1"/>
    <col min="8713" max="8714" width="7.33203125" customWidth="1"/>
    <col min="8715" max="8715" width="6.33203125" customWidth="1"/>
    <col min="8716" max="8716" width="8.109375" customWidth="1"/>
    <col min="8717" max="8717" width="7.6640625" customWidth="1"/>
    <col min="8718" max="8718" width="6.33203125" customWidth="1"/>
    <col min="8719" max="8719" width="7.33203125" customWidth="1"/>
    <col min="8720" max="8720" width="15.33203125" customWidth="1"/>
    <col min="8721" max="8721" width="12.6640625" customWidth="1"/>
    <col min="8722" max="8722" width="9.33203125" customWidth="1"/>
    <col min="8962" max="8962" width="42.109375" customWidth="1"/>
    <col min="8963" max="8963" width="7.33203125" customWidth="1"/>
    <col min="8964" max="8964" width="6.33203125" customWidth="1"/>
    <col min="8965" max="8965" width="6.109375" customWidth="1"/>
    <col min="8966" max="8966" width="6.5546875" customWidth="1"/>
    <col min="8967" max="8968" width="6.88671875" customWidth="1"/>
    <col min="8969" max="8970" width="7.33203125" customWidth="1"/>
    <col min="8971" max="8971" width="6.33203125" customWidth="1"/>
    <col min="8972" max="8972" width="8.109375" customWidth="1"/>
    <col min="8973" max="8973" width="7.6640625" customWidth="1"/>
    <col min="8974" max="8974" width="6.33203125" customWidth="1"/>
    <col min="8975" max="8975" width="7.33203125" customWidth="1"/>
    <col min="8976" max="8976" width="15.33203125" customWidth="1"/>
    <col min="8977" max="8977" width="12.6640625" customWidth="1"/>
    <col min="8978" max="8978" width="9.33203125" customWidth="1"/>
    <col min="9218" max="9218" width="42.109375" customWidth="1"/>
    <col min="9219" max="9219" width="7.33203125" customWidth="1"/>
    <col min="9220" max="9220" width="6.33203125" customWidth="1"/>
    <col min="9221" max="9221" width="6.109375" customWidth="1"/>
    <col min="9222" max="9222" width="6.5546875" customWidth="1"/>
    <col min="9223" max="9224" width="6.88671875" customWidth="1"/>
    <col min="9225" max="9226" width="7.33203125" customWidth="1"/>
    <col min="9227" max="9227" width="6.33203125" customWidth="1"/>
    <col min="9228" max="9228" width="8.109375" customWidth="1"/>
    <col min="9229" max="9229" width="7.6640625" customWidth="1"/>
    <col min="9230" max="9230" width="6.33203125" customWidth="1"/>
    <col min="9231" max="9231" width="7.33203125" customWidth="1"/>
    <col min="9232" max="9232" width="15.33203125" customWidth="1"/>
    <col min="9233" max="9233" width="12.6640625" customWidth="1"/>
    <col min="9234" max="9234" width="9.33203125" customWidth="1"/>
    <col min="9474" max="9474" width="42.109375" customWidth="1"/>
    <col min="9475" max="9475" width="7.33203125" customWidth="1"/>
    <col min="9476" max="9476" width="6.33203125" customWidth="1"/>
    <col min="9477" max="9477" width="6.109375" customWidth="1"/>
    <col min="9478" max="9478" width="6.5546875" customWidth="1"/>
    <col min="9479" max="9480" width="6.88671875" customWidth="1"/>
    <col min="9481" max="9482" width="7.33203125" customWidth="1"/>
    <col min="9483" max="9483" width="6.33203125" customWidth="1"/>
    <col min="9484" max="9484" width="8.109375" customWidth="1"/>
    <col min="9485" max="9485" width="7.6640625" customWidth="1"/>
    <col min="9486" max="9486" width="6.33203125" customWidth="1"/>
    <col min="9487" max="9487" width="7.33203125" customWidth="1"/>
    <col min="9488" max="9488" width="15.33203125" customWidth="1"/>
    <col min="9489" max="9489" width="12.6640625" customWidth="1"/>
    <col min="9490" max="9490" width="9.33203125" customWidth="1"/>
    <col min="9730" max="9730" width="42.109375" customWidth="1"/>
    <col min="9731" max="9731" width="7.33203125" customWidth="1"/>
    <col min="9732" max="9732" width="6.33203125" customWidth="1"/>
    <col min="9733" max="9733" width="6.109375" customWidth="1"/>
    <col min="9734" max="9734" width="6.5546875" customWidth="1"/>
    <col min="9735" max="9736" width="6.88671875" customWidth="1"/>
    <col min="9737" max="9738" width="7.33203125" customWidth="1"/>
    <col min="9739" max="9739" width="6.33203125" customWidth="1"/>
    <col min="9740" max="9740" width="8.109375" customWidth="1"/>
    <col min="9741" max="9741" width="7.6640625" customWidth="1"/>
    <col min="9742" max="9742" width="6.33203125" customWidth="1"/>
    <col min="9743" max="9743" width="7.33203125" customWidth="1"/>
    <col min="9744" max="9744" width="15.33203125" customWidth="1"/>
    <col min="9745" max="9745" width="12.6640625" customWidth="1"/>
    <col min="9746" max="9746" width="9.33203125" customWidth="1"/>
    <col min="9986" max="9986" width="42.109375" customWidth="1"/>
    <col min="9987" max="9987" width="7.33203125" customWidth="1"/>
    <col min="9988" max="9988" width="6.33203125" customWidth="1"/>
    <col min="9989" max="9989" width="6.109375" customWidth="1"/>
    <col min="9990" max="9990" width="6.5546875" customWidth="1"/>
    <col min="9991" max="9992" width="6.88671875" customWidth="1"/>
    <col min="9993" max="9994" width="7.33203125" customWidth="1"/>
    <col min="9995" max="9995" width="6.33203125" customWidth="1"/>
    <col min="9996" max="9996" width="8.109375" customWidth="1"/>
    <col min="9997" max="9997" width="7.6640625" customWidth="1"/>
    <col min="9998" max="9998" width="6.33203125" customWidth="1"/>
    <col min="9999" max="9999" width="7.33203125" customWidth="1"/>
    <col min="10000" max="10000" width="15.33203125" customWidth="1"/>
    <col min="10001" max="10001" width="12.6640625" customWidth="1"/>
    <col min="10002" max="10002" width="9.33203125" customWidth="1"/>
    <col min="10242" max="10242" width="42.109375" customWidth="1"/>
    <col min="10243" max="10243" width="7.33203125" customWidth="1"/>
    <col min="10244" max="10244" width="6.33203125" customWidth="1"/>
    <col min="10245" max="10245" width="6.109375" customWidth="1"/>
    <col min="10246" max="10246" width="6.5546875" customWidth="1"/>
    <col min="10247" max="10248" width="6.88671875" customWidth="1"/>
    <col min="10249" max="10250" width="7.33203125" customWidth="1"/>
    <col min="10251" max="10251" width="6.33203125" customWidth="1"/>
    <col min="10252" max="10252" width="8.109375" customWidth="1"/>
    <col min="10253" max="10253" width="7.6640625" customWidth="1"/>
    <col min="10254" max="10254" width="6.33203125" customWidth="1"/>
    <col min="10255" max="10255" width="7.33203125" customWidth="1"/>
    <col min="10256" max="10256" width="15.33203125" customWidth="1"/>
    <col min="10257" max="10257" width="12.6640625" customWidth="1"/>
    <col min="10258" max="10258" width="9.33203125" customWidth="1"/>
    <col min="10498" max="10498" width="42.109375" customWidth="1"/>
    <col min="10499" max="10499" width="7.33203125" customWidth="1"/>
    <col min="10500" max="10500" width="6.33203125" customWidth="1"/>
    <col min="10501" max="10501" width="6.109375" customWidth="1"/>
    <col min="10502" max="10502" width="6.5546875" customWidth="1"/>
    <col min="10503" max="10504" width="6.88671875" customWidth="1"/>
    <col min="10505" max="10506" width="7.33203125" customWidth="1"/>
    <col min="10507" max="10507" width="6.33203125" customWidth="1"/>
    <col min="10508" max="10508" width="8.109375" customWidth="1"/>
    <col min="10509" max="10509" width="7.6640625" customWidth="1"/>
    <col min="10510" max="10510" width="6.33203125" customWidth="1"/>
    <col min="10511" max="10511" width="7.33203125" customWidth="1"/>
    <col min="10512" max="10512" width="15.33203125" customWidth="1"/>
    <col min="10513" max="10513" width="12.6640625" customWidth="1"/>
    <col min="10514" max="10514" width="9.33203125" customWidth="1"/>
    <col min="10754" max="10754" width="42.109375" customWidth="1"/>
    <col min="10755" max="10755" width="7.33203125" customWidth="1"/>
    <col min="10756" max="10756" width="6.33203125" customWidth="1"/>
    <col min="10757" max="10757" width="6.109375" customWidth="1"/>
    <col min="10758" max="10758" width="6.5546875" customWidth="1"/>
    <col min="10759" max="10760" width="6.88671875" customWidth="1"/>
    <col min="10761" max="10762" width="7.33203125" customWidth="1"/>
    <col min="10763" max="10763" width="6.33203125" customWidth="1"/>
    <col min="10764" max="10764" width="8.109375" customWidth="1"/>
    <col min="10765" max="10765" width="7.6640625" customWidth="1"/>
    <col min="10766" max="10766" width="6.33203125" customWidth="1"/>
    <col min="10767" max="10767" width="7.33203125" customWidth="1"/>
    <col min="10768" max="10768" width="15.33203125" customWidth="1"/>
    <col min="10769" max="10769" width="12.6640625" customWidth="1"/>
    <col min="10770" max="10770" width="9.33203125" customWidth="1"/>
    <col min="11010" max="11010" width="42.109375" customWidth="1"/>
    <col min="11011" max="11011" width="7.33203125" customWidth="1"/>
    <col min="11012" max="11012" width="6.33203125" customWidth="1"/>
    <col min="11013" max="11013" width="6.109375" customWidth="1"/>
    <col min="11014" max="11014" width="6.5546875" customWidth="1"/>
    <col min="11015" max="11016" width="6.88671875" customWidth="1"/>
    <col min="11017" max="11018" width="7.33203125" customWidth="1"/>
    <col min="11019" max="11019" width="6.33203125" customWidth="1"/>
    <col min="11020" max="11020" width="8.109375" customWidth="1"/>
    <col min="11021" max="11021" width="7.6640625" customWidth="1"/>
    <col min="11022" max="11022" width="6.33203125" customWidth="1"/>
    <col min="11023" max="11023" width="7.33203125" customWidth="1"/>
    <col min="11024" max="11024" width="15.33203125" customWidth="1"/>
    <col min="11025" max="11025" width="12.6640625" customWidth="1"/>
    <col min="11026" max="11026" width="9.33203125" customWidth="1"/>
    <col min="11266" max="11266" width="42.109375" customWidth="1"/>
    <col min="11267" max="11267" width="7.33203125" customWidth="1"/>
    <col min="11268" max="11268" width="6.33203125" customWidth="1"/>
    <col min="11269" max="11269" width="6.109375" customWidth="1"/>
    <col min="11270" max="11270" width="6.5546875" customWidth="1"/>
    <col min="11271" max="11272" width="6.88671875" customWidth="1"/>
    <col min="11273" max="11274" width="7.33203125" customWidth="1"/>
    <col min="11275" max="11275" width="6.33203125" customWidth="1"/>
    <col min="11276" max="11276" width="8.109375" customWidth="1"/>
    <col min="11277" max="11277" width="7.6640625" customWidth="1"/>
    <col min="11278" max="11278" width="6.33203125" customWidth="1"/>
    <col min="11279" max="11279" width="7.33203125" customWidth="1"/>
    <col min="11280" max="11280" width="15.33203125" customWidth="1"/>
    <col min="11281" max="11281" width="12.6640625" customWidth="1"/>
    <col min="11282" max="11282" width="9.33203125" customWidth="1"/>
    <col min="11522" max="11522" width="42.109375" customWidth="1"/>
    <col min="11523" max="11523" width="7.33203125" customWidth="1"/>
    <col min="11524" max="11524" width="6.33203125" customWidth="1"/>
    <col min="11525" max="11525" width="6.109375" customWidth="1"/>
    <col min="11526" max="11526" width="6.5546875" customWidth="1"/>
    <col min="11527" max="11528" width="6.88671875" customWidth="1"/>
    <col min="11529" max="11530" width="7.33203125" customWidth="1"/>
    <col min="11531" max="11531" width="6.33203125" customWidth="1"/>
    <col min="11532" max="11532" width="8.109375" customWidth="1"/>
    <col min="11533" max="11533" width="7.6640625" customWidth="1"/>
    <col min="11534" max="11534" width="6.33203125" customWidth="1"/>
    <col min="11535" max="11535" width="7.33203125" customWidth="1"/>
    <col min="11536" max="11536" width="15.33203125" customWidth="1"/>
    <col min="11537" max="11537" width="12.6640625" customWidth="1"/>
    <col min="11538" max="11538" width="9.33203125" customWidth="1"/>
    <col min="11778" max="11778" width="42.109375" customWidth="1"/>
    <col min="11779" max="11779" width="7.33203125" customWidth="1"/>
    <col min="11780" max="11780" width="6.33203125" customWidth="1"/>
    <col min="11781" max="11781" width="6.109375" customWidth="1"/>
    <col min="11782" max="11782" width="6.5546875" customWidth="1"/>
    <col min="11783" max="11784" width="6.88671875" customWidth="1"/>
    <col min="11785" max="11786" width="7.33203125" customWidth="1"/>
    <col min="11787" max="11787" width="6.33203125" customWidth="1"/>
    <col min="11788" max="11788" width="8.109375" customWidth="1"/>
    <col min="11789" max="11789" width="7.6640625" customWidth="1"/>
    <col min="11790" max="11790" width="6.33203125" customWidth="1"/>
    <col min="11791" max="11791" width="7.33203125" customWidth="1"/>
    <col min="11792" max="11792" width="15.33203125" customWidth="1"/>
    <col min="11793" max="11793" width="12.6640625" customWidth="1"/>
    <col min="11794" max="11794" width="9.33203125" customWidth="1"/>
    <col min="12034" max="12034" width="42.109375" customWidth="1"/>
    <col min="12035" max="12035" width="7.33203125" customWidth="1"/>
    <col min="12036" max="12036" width="6.33203125" customWidth="1"/>
    <col min="12037" max="12037" width="6.109375" customWidth="1"/>
    <col min="12038" max="12038" width="6.5546875" customWidth="1"/>
    <col min="12039" max="12040" width="6.88671875" customWidth="1"/>
    <col min="12041" max="12042" width="7.33203125" customWidth="1"/>
    <col min="12043" max="12043" width="6.33203125" customWidth="1"/>
    <col min="12044" max="12044" width="8.109375" customWidth="1"/>
    <col min="12045" max="12045" width="7.6640625" customWidth="1"/>
    <col min="12046" max="12046" width="6.33203125" customWidth="1"/>
    <col min="12047" max="12047" width="7.33203125" customWidth="1"/>
    <col min="12048" max="12048" width="15.33203125" customWidth="1"/>
    <col min="12049" max="12049" width="12.6640625" customWidth="1"/>
    <col min="12050" max="12050" width="9.33203125" customWidth="1"/>
    <col min="12290" max="12290" width="42.109375" customWidth="1"/>
    <col min="12291" max="12291" width="7.33203125" customWidth="1"/>
    <col min="12292" max="12292" width="6.33203125" customWidth="1"/>
    <col min="12293" max="12293" width="6.109375" customWidth="1"/>
    <col min="12294" max="12294" width="6.5546875" customWidth="1"/>
    <col min="12295" max="12296" width="6.88671875" customWidth="1"/>
    <col min="12297" max="12298" width="7.33203125" customWidth="1"/>
    <col min="12299" max="12299" width="6.33203125" customWidth="1"/>
    <col min="12300" max="12300" width="8.109375" customWidth="1"/>
    <col min="12301" max="12301" width="7.6640625" customWidth="1"/>
    <col min="12302" max="12302" width="6.33203125" customWidth="1"/>
    <col min="12303" max="12303" width="7.33203125" customWidth="1"/>
    <col min="12304" max="12304" width="15.33203125" customWidth="1"/>
    <col min="12305" max="12305" width="12.6640625" customWidth="1"/>
    <col min="12306" max="12306" width="9.33203125" customWidth="1"/>
    <col min="12546" max="12546" width="42.109375" customWidth="1"/>
    <col min="12547" max="12547" width="7.33203125" customWidth="1"/>
    <col min="12548" max="12548" width="6.33203125" customWidth="1"/>
    <col min="12549" max="12549" width="6.109375" customWidth="1"/>
    <col min="12550" max="12550" width="6.5546875" customWidth="1"/>
    <col min="12551" max="12552" width="6.88671875" customWidth="1"/>
    <col min="12553" max="12554" width="7.33203125" customWidth="1"/>
    <col min="12555" max="12555" width="6.33203125" customWidth="1"/>
    <col min="12556" max="12556" width="8.109375" customWidth="1"/>
    <col min="12557" max="12557" width="7.6640625" customWidth="1"/>
    <col min="12558" max="12558" width="6.33203125" customWidth="1"/>
    <col min="12559" max="12559" width="7.33203125" customWidth="1"/>
    <col min="12560" max="12560" width="15.33203125" customWidth="1"/>
    <col min="12561" max="12561" width="12.6640625" customWidth="1"/>
    <col min="12562" max="12562" width="9.33203125" customWidth="1"/>
    <col min="12802" max="12802" width="42.109375" customWidth="1"/>
    <col min="12803" max="12803" width="7.33203125" customWidth="1"/>
    <col min="12804" max="12804" width="6.33203125" customWidth="1"/>
    <col min="12805" max="12805" width="6.109375" customWidth="1"/>
    <col min="12806" max="12806" width="6.5546875" customWidth="1"/>
    <col min="12807" max="12808" width="6.88671875" customWidth="1"/>
    <col min="12809" max="12810" width="7.33203125" customWidth="1"/>
    <col min="12811" max="12811" width="6.33203125" customWidth="1"/>
    <col min="12812" max="12812" width="8.109375" customWidth="1"/>
    <col min="12813" max="12813" width="7.6640625" customWidth="1"/>
    <col min="12814" max="12814" width="6.33203125" customWidth="1"/>
    <col min="12815" max="12815" width="7.33203125" customWidth="1"/>
    <col min="12816" max="12816" width="15.33203125" customWidth="1"/>
    <col min="12817" max="12817" width="12.6640625" customWidth="1"/>
    <col min="12818" max="12818" width="9.33203125" customWidth="1"/>
    <col min="13058" max="13058" width="42.109375" customWidth="1"/>
    <col min="13059" max="13059" width="7.33203125" customWidth="1"/>
    <col min="13060" max="13060" width="6.33203125" customWidth="1"/>
    <col min="13061" max="13061" width="6.109375" customWidth="1"/>
    <col min="13062" max="13062" width="6.5546875" customWidth="1"/>
    <col min="13063" max="13064" width="6.88671875" customWidth="1"/>
    <col min="13065" max="13066" width="7.33203125" customWidth="1"/>
    <col min="13067" max="13067" width="6.33203125" customWidth="1"/>
    <col min="13068" max="13068" width="8.109375" customWidth="1"/>
    <col min="13069" max="13069" width="7.6640625" customWidth="1"/>
    <col min="13070" max="13070" width="6.33203125" customWidth="1"/>
    <col min="13071" max="13071" width="7.33203125" customWidth="1"/>
    <col min="13072" max="13072" width="15.33203125" customWidth="1"/>
    <col min="13073" max="13073" width="12.6640625" customWidth="1"/>
    <col min="13074" max="13074" width="9.33203125" customWidth="1"/>
    <col min="13314" max="13314" width="42.109375" customWidth="1"/>
    <col min="13315" max="13315" width="7.33203125" customWidth="1"/>
    <col min="13316" max="13316" width="6.33203125" customWidth="1"/>
    <col min="13317" max="13317" width="6.109375" customWidth="1"/>
    <col min="13318" max="13318" width="6.5546875" customWidth="1"/>
    <col min="13319" max="13320" width="6.88671875" customWidth="1"/>
    <col min="13321" max="13322" width="7.33203125" customWidth="1"/>
    <col min="13323" max="13323" width="6.33203125" customWidth="1"/>
    <col min="13324" max="13324" width="8.109375" customWidth="1"/>
    <col min="13325" max="13325" width="7.6640625" customWidth="1"/>
    <col min="13326" max="13326" width="6.33203125" customWidth="1"/>
    <col min="13327" max="13327" width="7.33203125" customWidth="1"/>
    <col min="13328" max="13328" width="15.33203125" customWidth="1"/>
    <col min="13329" max="13329" width="12.6640625" customWidth="1"/>
    <col min="13330" max="13330" width="9.33203125" customWidth="1"/>
    <col min="13570" max="13570" width="42.109375" customWidth="1"/>
    <col min="13571" max="13571" width="7.33203125" customWidth="1"/>
    <col min="13572" max="13572" width="6.33203125" customWidth="1"/>
    <col min="13573" max="13573" width="6.109375" customWidth="1"/>
    <col min="13574" max="13574" width="6.5546875" customWidth="1"/>
    <col min="13575" max="13576" width="6.88671875" customWidth="1"/>
    <col min="13577" max="13578" width="7.33203125" customWidth="1"/>
    <col min="13579" max="13579" width="6.33203125" customWidth="1"/>
    <col min="13580" max="13580" width="8.109375" customWidth="1"/>
    <col min="13581" max="13581" width="7.6640625" customWidth="1"/>
    <col min="13582" max="13582" width="6.33203125" customWidth="1"/>
    <col min="13583" max="13583" width="7.33203125" customWidth="1"/>
    <col min="13584" max="13584" width="15.33203125" customWidth="1"/>
    <col min="13585" max="13585" width="12.6640625" customWidth="1"/>
    <col min="13586" max="13586" width="9.33203125" customWidth="1"/>
    <col min="13826" max="13826" width="42.109375" customWidth="1"/>
    <col min="13827" max="13827" width="7.33203125" customWidth="1"/>
    <col min="13828" max="13828" width="6.33203125" customWidth="1"/>
    <col min="13829" max="13829" width="6.109375" customWidth="1"/>
    <col min="13830" max="13830" width="6.5546875" customWidth="1"/>
    <col min="13831" max="13832" width="6.88671875" customWidth="1"/>
    <col min="13833" max="13834" width="7.33203125" customWidth="1"/>
    <col min="13835" max="13835" width="6.33203125" customWidth="1"/>
    <col min="13836" max="13836" width="8.109375" customWidth="1"/>
    <col min="13837" max="13837" width="7.6640625" customWidth="1"/>
    <col min="13838" max="13838" width="6.33203125" customWidth="1"/>
    <col min="13839" max="13839" width="7.33203125" customWidth="1"/>
    <col min="13840" max="13840" width="15.33203125" customWidth="1"/>
    <col min="13841" max="13841" width="12.6640625" customWidth="1"/>
    <col min="13842" max="13842" width="9.33203125" customWidth="1"/>
    <col min="14082" max="14082" width="42.109375" customWidth="1"/>
    <col min="14083" max="14083" width="7.33203125" customWidth="1"/>
    <col min="14084" max="14084" width="6.33203125" customWidth="1"/>
    <col min="14085" max="14085" width="6.109375" customWidth="1"/>
    <col min="14086" max="14086" width="6.5546875" customWidth="1"/>
    <col min="14087" max="14088" width="6.88671875" customWidth="1"/>
    <col min="14089" max="14090" width="7.33203125" customWidth="1"/>
    <col min="14091" max="14091" width="6.33203125" customWidth="1"/>
    <col min="14092" max="14092" width="8.109375" customWidth="1"/>
    <col min="14093" max="14093" width="7.6640625" customWidth="1"/>
    <col min="14094" max="14094" width="6.33203125" customWidth="1"/>
    <col min="14095" max="14095" width="7.33203125" customWidth="1"/>
    <col min="14096" max="14096" width="15.33203125" customWidth="1"/>
    <col min="14097" max="14097" width="12.6640625" customWidth="1"/>
    <col min="14098" max="14098" width="9.33203125" customWidth="1"/>
    <col min="14338" max="14338" width="42.109375" customWidth="1"/>
    <col min="14339" max="14339" width="7.33203125" customWidth="1"/>
    <col min="14340" max="14340" width="6.33203125" customWidth="1"/>
    <col min="14341" max="14341" width="6.109375" customWidth="1"/>
    <col min="14342" max="14342" width="6.5546875" customWidth="1"/>
    <col min="14343" max="14344" width="6.88671875" customWidth="1"/>
    <col min="14345" max="14346" width="7.33203125" customWidth="1"/>
    <col min="14347" max="14347" width="6.33203125" customWidth="1"/>
    <col min="14348" max="14348" width="8.109375" customWidth="1"/>
    <col min="14349" max="14349" width="7.6640625" customWidth="1"/>
    <col min="14350" max="14350" width="6.33203125" customWidth="1"/>
    <col min="14351" max="14351" width="7.33203125" customWidth="1"/>
    <col min="14352" max="14352" width="15.33203125" customWidth="1"/>
    <col min="14353" max="14353" width="12.6640625" customWidth="1"/>
    <col min="14354" max="14354" width="9.33203125" customWidth="1"/>
    <col min="14594" max="14594" width="42.109375" customWidth="1"/>
    <col min="14595" max="14595" width="7.33203125" customWidth="1"/>
    <col min="14596" max="14596" width="6.33203125" customWidth="1"/>
    <col min="14597" max="14597" width="6.109375" customWidth="1"/>
    <col min="14598" max="14598" width="6.5546875" customWidth="1"/>
    <col min="14599" max="14600" width="6.88671875" customWidth="1"/>
    <col min="14601" max="14602" width="7.33203125" customWidth="1"/>
    <col min="14603" max="14603" width="6.33203125" customWidth="1"/>
    <col min="14604" max="14604" width="8.109375" customWidth="1"/>
    <col min="14605" max="14605" width="7.6640625" customWidth="1"/>
    <col min="14606" max="14606" width="6.33203125" customWidth="1"/>
    <col min="14607" max="14607" width="7.33203125" customWidth="1"/>
    <col min="14608" max="14608" width="15.33203125" customWidth="1"/>
    <col min="14609" max="14609" width="12.6640625" customWidth="1"/>
    <col min="14610" max="14610" width="9.33203125" customWidth="1"/>
    <col min="14850" max="14850" width="42.109375" customWidth="1"/>
    <col min="14851" max="14851" width="7.33203125" customWidth="1"/>
    <col min="14852" max="14852" width="6.33203125" customWidth="1"/>
    <col min="14853" max="14853" width="6.109375" customWidth="1"/>
    <col min="14854" max="14854" width="6.5546875" customWidth="1"/>
    <col min="14855" max="14856" width="6.88671875" customWidth="1"/>
    <col min="14857" max="14858" width="7.33203125" customWidth="1"/>
    <col min="14859" max="14859" width="6.33203125" customWidth="1"/>
    <col min="14860" max="14860" width="8.109375" customWidth="1"/>
    <col min="14861" max="14861" width="7.6640625" customWidth="1"/>
    <col min="14862" max="14862" width="6.33203125" customWidth="1"/>
    <col min="14863" max="14863" width="7.33203125" customWidth="1"/>
    <col min="14864" max="14864" width="15.33203125" customWidth="1"/>
    <col min="14865" max="14865" width="12.6640625" customWidth="1"/>
    <col min="14866" max="14866" width="9.33203125" customWidth="1"/>
    <col min="15106" max="15106" width="42.109375" customWidth="1"/>
    <col min="15107" max="15107" width="7.33203125" customWidth="1"/>
    <col min="15108" max="15108" width="6.33203125" customWidth="1"/>
    <col min="15109" max="15109" width="6.109375" customWidth="1"/>
    <col min="15110" max="15110" width="6.5546875" customWidth="1"/>
    <col min="15111" max="15112" width="6.88671875" customWidth="1"/>
    <col min="15113" max="15114" width="7.33203125" customWidth="1"/>
    <col min="15115" max="15115" width="6.33203125" customWidth="1"/>
    <col min="15116" max="15116" width="8.109375" customWidth="1"/>
    <col min="15117" max="15117" width="7.6640625" customWidth="1"/>
    <col min="15118" max="15118" width="6.33203125" customWidth="1"/>
    <col min="15119" max="15119" width="7.33203125" customWidth="1"/>
    <col min="15120" max="15120" width="15.33203125" customWidth="1"/>
    <col min="15121" max="15121" width="12.6640625" customWidth="1"/>
    <col min="15122" max="15122" width="9.33203125" customWidth="1"/>
    <col min="15362" max="15362" width="42.109375" customWidth="1"/>
    <col min="15363" max="15363" width="7.33203125" customWidth="1"/>
    <col min="15364" max="15364" width="6.33203125" customWidth="1"/>
    <col min="15365" max="15365" width="6.109375" customWidth="1"/>
    <col min="15366" max="15366" width="6.5546875" customWidth="1"/>
    <col min="15367" max="15368" width="6.88671875" customWidth="1"/>
    <col min="15369" max="15370" width="7.33203125" customWidth="1"/>
    <col min="15371" max="15371" width="6.33203125" customWidth="1"/>
    <col min="15372" max="15372" width="8.109375" customWidth="1"/>
    <col min="15373" max="15373" width="7.6640625" customWidth="1"/>
    <col min="15374" max="15374" width="6.33203125" customWidth="1"/>
    <col min="15375" max="15375" width="7.33203125" customWidth="1"/>
    <col min="15376" max="15376" width="15.33203125" customWidth="1"/>
    <col min="15377" max="15377" width="12.6640625" customWidth="1"/>
    <col min="15378" max="15378" width="9.33203125" customWidth="1"/>
    <col min="15618" max="15618" width="42.109375" customWidth="1"/>
    <col min="15619" max="15619" width="7.33203125" customWidth="1"/>
    <col min="15620" max="15620" width="6.33203125" customWidth="1"/>
    <col min="15621" max="15621" width="6.109375" customWidth="1"/>
    <col min="15622" max="15622" width="6.5546875" customWidth="1"/>
    <col min="15623" max="15624" width="6.88671875" customWidth="1"/>
    <col min="15625" max="15626" width="7.33203125" customWidth="1"/>
    <col min="15627" max="15627" width="6.33203125" customWidth="1"/>
    <col min="15628" max="15628" width="8.109375" customWidth="1"/>
    <col min="15629" max="15629" width="7.6640625" customWidth="1"/>
    <col min="15630" max="15630" width="6.33203125" customWidth="1"/>
    <col min="15631" max="15631" width="7.33203125" customWidth="1"/>
    <col min="15632" max="15632" width="15.33203125" customWidth="1"/>
    <col min="15633" max="15633" width="12.6640625" customWidth="1"/>
    <col min="15634" max="15634" width="9.33203125" customWidth="1"/>
    <col min="15874" max="15874" width="42.109375" customWidth="1"/>
    <col min="15875" max="15875" width="7.33203125" customWidth="1"/>
    <col min="15876" max="15876" width="6.33203125" customWidth="1"/>
    <col min="15877" max="15877" width="6.109375" customWidth="1"/>
    <col min="15878" max="15878" width="6.5546875" customWidth="1"/>
    <col min="15879" max="15880" width="6.88671875" customWidth="1"/>
    <col min="15881" max="15882" width="7.33203125" customWidth="1"/>
    <col min="15883" max="15883" width="6.33203125" customWidth="1"/>
    <col min="15884" max="15884" width="8.109375" customWidth="1"/>
    <col min="15885" max="15885" width="7.6640625" customWidth="1"/>
    <col min="15886" max="15886" width="6.33203125" customWidth="1"/>
    <col min="15887" max="15887" width="7.33203125" customWidth="1"/>
    <col min="15888" max="15888" width="15.33203125" customWidth="1"/>
    <col min="15889" max="15889" width="12.6640625" customWidth="1"/>
    <col min="15890" max="15890" width="9.33203125" customWidth="1"/>
    <col min="16130" max="16130" width="42.109375" customWidth="1"/>
    <col min="16131" max="16131" width="7.33203125" customWidth="1"/>
    <col min="16132" max="16132" width="6.33203125" customWidth="1"/>
    <col min="16133" max="16133" width="6.109375" customWidth="1"/>
    <col min="16134" max="16134" width="6.5546875" customWidth="1"/>
    <col min="16135" max="16136" width="6.88671875" customWidth="1"/>
    <col min="16137" max="16138" width="7.33203125" customWidth="1"/>
    <col min="16139" max="16139" width="6.33203125" customWidth="1"/>
    <col min="16140" max="16140" width="8.109375" customWidth="1"/>
    <col min="16141" max="16141" width="7.6640625" customWidth="1"/>
    <col min="16142" max="16142" width="6.33203125" customWidth="1"/>
    <col min="16143" max="16143" width="7.33203125" customWidth="1"/>
    <col min="16144" max="16144" width="15.33203125" customWidth="1"/>
    <col min="16145" max="16145" width="12.6640625" customWidth="1"/>
    <col min="16146" max="16146" width="9.33203125" customWidth="1"/>
  </cols>
  <sheetData>
    <row r="1" spans="2:21" ht="15" thickBot="1" x14ac:dyDescent="0.35"/>
    <row r="2" spans="2:21" ht="18.600000000000001" thickBot="1" x14ac:dyDescent="0.4">
      <c r="B2" s="138" t="s">
        <v>140</v>
      </c>
      <c r="C2" s="139"/>
      <c r="D2" s="139"/>
      <c r="E2" s="139"/>
      <c r="F2" s="140" t="s">
        <v>141</v>
      </c>
      <c r="G2" s="141" t="str">
        <f>Theory!D88</f>
        <v>D12</v>
      </c>
      <c r="H2" s="140" t="s">
        <v>142</v>
      </c>
      <c r="I2" s="142" t="str">
        <f>Theory!D89</f>
        <v>DD12</v>
      </c>
      <c r="J2" s="143"/>
      <c r="M2" s="144"/>
    </row>
    <row r="3" spans="2:21" ht="19.2" thickTop="1" thickBot="1" x14ac:dyDescent="0.4">
      <c r="B3" s="145"/>
      <c r="C3" t="s">
        <v>143</v>
      </c>
      <c r="E3" s="144"/>
      <c r="F3" t="s">
        <v>144</v>
      </c>
      <c r="I3" s="146"/>
      <c r="J3" s="143"/>
      <c r="M3" s="144"/>
      <c r="U3" s="147">
        <v>0</v>
      </c>
    </row>
    <row r="4" spans="2:21" ht="19.2" thickTop="1" thickBot="1" x14ac:dyDescent="0.4">
      <c r="B4" s="148" t="s">
        <v>145</v>
      </c>
      <c r="C4" s="149"/>
      <c r="D4" s="149"/>
      <c r="E4" s="149"/>
      <c r="F4" s="150" t="s">
        <v>141</v>
      </c>
      <c r="G4" s="151" t="str">
        <f>Theory!D90</f>
        <v>D86</v>
      </c>
      <c r="H4" s="150" t="s">
        <v>142</v>
      </c>
      <c r="I4" s="152" t="str">
        <f>Theory!D91</f>
        <v>DD86</v>
      </c>
      <c r="J4" s="143"/>
      <c r="M4" s="144"/>
    </row>
    <row r="5" spans="2:21" ht="19.2" thickTop="1" thickBot="1" x14ac:dyDescent="0.4">
      <c r="B5" s="153"/>
      <c r="C5" s="154" t="s">
        <v>143</v>
      </c>
      <c r="D5" s="154"/>
      <c r="E5" s="155"/>
      <c r="F5" s="154" t="s">
        <v>193</v>
      </c>
      <c r="G5" s="154"/>
      <c r="H5" s="154"/>
      <c r="I5" s="156"/>
      <c r="J5" s="143"/>
      <c r="M5" s="144"/>
    </row>
    <row r="6" spans="2:21" ht="18.600000000000001" thickBot="1" x14ac:dyDescent="0.4">
      <c r="B6" s="157"/>
      <c r="E6" s="144"/>
      <c r="J6" s="143"/>
      <c r="M6" s="144"/>
    </row>
    <row r="7" spans="2:21" ht="26.25" customHeight="1" x14ac:dyDescent="0.3">
      <c r="B7" s="158" t="s">
        <v>146</v>
      </c>
      <c r="C7" s="159" t="str">
        <f ca="1">IF(C8=""," ","CO1")</f>
        <v>CO1</v>
      </c>
      <c r="D7" s="159" t="str">
        <f ca="1">IF(D8=""," ","CO2")</f>
        <v>CO2</v>
      </c>
      <c r="E7" s="159" t="str">
        <f ca="1">IF(E8=""," ","CO3")</f>
        <v>CO3</v>
      </c>
      <c r="F7" s="159" t="str">
        <f ca="1">IF(F8=""," ","CO4")</f>
        <v>CO4</v>
      </c>
      <c r="G7" s="159" t="str">
        <f ca="1">IF(G8=""," ","CO5")</f>
        <v xml:space="preserve"> </v>
      </c>
      <c r="H7" s="159" t="str">
        <f ca="1">IF(H8=""," ","CO6")</f>
        <v xml:space="preserve"> </v>
      </c>
      <c r="I7" s="159" t="str">
        <f ca="1">IF(I8=""," ","CO7")</f>
        <v xml:space="preserve"> </v>
      </c>
      <c r="J7" s="159" t="str">
        <f ca="1">IF(J8=""," ","CO8")</f>
        <v xml:space="preserve"> </v>
      </c>
      <c r="K7" s="159" t="str">
        <f ca="1">IF(K8=""," ","CO9")</f>
        <v xml:space="preserve"> </v>
      </c>
      <c r="L7" s="159" t="str">
        <f ca="1">IF(L8=""," ","CO10")</f>
        <v xml:space="preserve"> </v>
      </c>
      <c r="M7" s="160"/>
      <c r="N7" s="160"/>
      <c r="O7" s="160"/>
      <c r="P7" s="447"/>
      <c r="Q7" s="447"/>
      <c r="R7" s="161"/>
    </row>
    <row r="8" spans="2:21" ht="24.75" customHeight="1" x14ac:dyDescent="0.35">
      <c r="B8" s="162" t="s">
        <v>147</v>
      </c>
      <c r="C8" s="163">
        <f ca="1">IF(COUNTIFS(INDIRECT("'Theory'! "&amp;$G$2&amp;":"&amp;$I$2),"=*1*",INDIRECT("'Theory'! "&amp;$G$4&amp;":"&amp;$I$4),"&lt;&gt;0")=0,"",SUMIF(INDIRECT("'Theory'! "&amp;$G$2&amp;":"&amp;$I$2),"=*1*",INDIRECT("'Theory'! "&amp;$G$4&amp;":"&amp;$I$4))/COUNTIFS(INDIRECT("'Theory'! "&amp;$G$2&amp;":"&amp;$I$2),"=*1*",INDIRECT("'Theory'! "&amp;$G$4&amp;":"&amp;$I$4),"&lt;&gt;0"))</f>
        <v>63.838095238095242</v>
      </c>
      <c r="D8" s="163">
        <f ca="1">IF(COUNTIFS(INDIRECT("'Theory'! "&amp;$G$2&amp;":"&amp;$I$2),"=*2*",INDIRECT("'Theory'! "&amp;$G$4&amp;":"&amp;$I$4),"&lt;&gt;0")=0,"",SUMIF(INDIRECT("'Theory'! "&amp;$G$2&amp;":"&amp;$I$2),"=*2*",INDIRECT("'Theory'! "&amp;$G$4&amp;":"&amp;$I$4))/COUNTIFS(INDIRECT("'Theory'! "&amp;$G$2&amp;":"&amp;$I$2),"=*2*",INDIRECT("'Theory'! "&amp;$G$4&amp;":"&amp;$I$4),"&lt;&gt;0"))</f>
        <v>83.821428571428569</v>
      </c>
      <c r="E8" s="163">
        <f ca="1">IF(COUNTIFS(INDIRECT("'Theory'! "&amp;$G$2&amp;":"&amp;$I$2),"=*3*",INDIRECT("'Theory'! "&amp;$G$4&amp;":"&amp;$I$4),"&lt;&gt;0")=0,"",SUMIF(INDIRECT("'Theory'! "&amp;$G$2&amp;":"&amp;$I$2),"=*3*",INDIRECT("'Theory'! "&amp;$G$4&amp;":"&amp;$I$4))/COUNTIFS(INDIRECT("'Theory'! "&amp;$G$2&amp;":"&amp;$I$2),"=*3*",INDIRECT("'Theory'! "&amp;$G$4&amp;":"&amp;$I$4),"&lt;&gt;0"))</f>
        <v>86.968027210884358</v>
      </c>
      <c r="F8" s="163">
        <f ca="1">IF(COUNTIFS(INDIRECT("'Theory'! "&amp;$G$2&amp;":"&amp;$I$2),"=*4*",INDIRECT("'Theory'! "&amp;$G$4&amp;":"&amp;$I$4),"&lt;&gt;0")=0,"",SUMIF(INDIRECT("'Theory'! "&amp;$G$2&amp;":"&amp;$I$2),"=*4*",INDIRECT("'Theory'! "&amp;$G$4&amp;":"&amp;$I$4))/COUNTIFS(INDIRECT("'Theory'! "&amp;$G$2&amp;":"&amp;$I$2),"=*4*",INDIRECT("'Theory'! "&amp;$G$4&amp;":"&amp;$I$4),"&lt;&gt;0"))</f>
        <v>64.465886939571149</v>
      </c>
      <c r="G8" s="163" t="str">
        <f ca="1">IF(COUNTIFS(INDIRECT("'Theory'! "&amp;$G$2&amp;":"&amp;$I$2),"=*5*",INDIRECT("'Theory'! "&amp;$G$4&amp;":"&amp;$I$4),"&lt;&gt;0")=0,"",SUMIF(INDIRECT("'Theory'! "&amp;$G$2&amp;":"&amp;$I$2),"=*5*",INDIRECT("'Theory'! "&amp;$G$4&amp;":"&amp;$I$4))/COUNTIFS(INDIRECT("'Theory'! "&amp;$G$2&amp;":"&amp;$I$2),"=*5*",INDIRECT("'Theory'! "&amp;$G$4&amp;":"&amp;$I$4),"&lt;&gt;0"))</f>
        <v/>
      </c>
      <c r="H8" s="163" t="str">
        <f ca="1">IF(COUNTIFS(INDIRECT("'Theory'! "&amp;$G$2&amp;":"&amp;$I$2),"=*6*",INDIRECT("'Theory'! "&amp;$G$4&amp;":"&amp;$I$4),"&lt;&gt;0")=0,"",SUMIF(INDIRECT("'Theory'! "&amp;$G$2&amp;":"&amp;$I$2),"=*6*",INDIRECT("'Theory'! "&amp;$G$4&amp;":"&amp;$I$4))/COUNTIFS(INDIRECT("'Theory'! "&amp;$G$2&amp;":"&amp;$I$2),"=*6*",INDIRECT("'Theory'! "&amp;$G$4&amp;":"&amp;$I$4),"&lt;&gt;0"))</f>
        <v/>
      </c>
      <c r="I8" s="163" t="str">
        <f ca="1">IF(COUNTIFS(INDIRECT("'Theory'! "&amp;$G$2&amp;":"&amp;$I$2),"=*7*",INDIRECT("'Theory'! "&amp;$G$4&amp;":"&amp;$I$4),"&lt;&gt;0")=0,"",SUMIF(INDIRECT("'Theory'! "&amp;$G$2&amp;":"&amp;$I$2),"=*7*",INDIRECT("'Theory'! "&amp;$G$4&amp;":"&amp;$I$4))/COUNTIFS(INDIRECT("'Theory'! "&amp;$G$2&amp;":"&amp;$I$2),"=*7*",INDIRECT("'Theory'! "&amp;$G$4&amp;":"&amp;$I$4),"&lt;&gt;0"))</f>
        <v/>
      </c>
      <c r="J8" s="163" t="str">
        <f ca="1">IF(COUNTIFS(INDIRECT("'Theory'! "&amp;$G$2&amp;":"&amp;$I$2),"=*8*",INDIRECT("'Theory'! "&amp;$G$4&amp;":"&amp;$I$4),"&lt;&gt;0")=0,"",SUMIF(INDIRECT("'Theory'! "&amp;$G$2&amp;":"&amp;$I$2),"=*8*",INDIRECT("'Theory'! "&amp;$G$4&amp;":"&amp;$I$4))/COUNTIFS(INDIRECT("'Theory'! "&amp;$G$2&amp;":"&amp;$I$2),"=*8*",INDIRECT("'Theory'! "&amp;$G$4&amp;":"&amp;$I$4),"&lt;&gt;0"))</f>
        <v/>
      </c>
      <c r="K8" s="163" t="str">
        <f ca="1">IF(COUNTIFS(INDIRECT("'Theory'! "&amp;$G$2&amp;":"&amp;$I$2),"=*9*",INDIRECT("'Theory'! "&amp;$G$4&amp;":"&amp;$I$4),"&lt;&gt;0")=0,"",SUMIF(INDIRECT("'Theory'! "&amp;$G$2&amp;":"&amp;$I$2),"=*9*",INDIRECT("'Theory'! "&amp;$G$4&amp;":"&amp;$I$4))/COUNTIFS(INDIRECT("'Theory'! "&amp;$G$2&amp;":"&amp;$I$2),"=*9*",INDIRECT("'Theory'! "&amp;$G$4&amp;":"&amp;$I$4),"&lt;&gt;0"))</f>
        <v/>
      </c>
      <c r="L8" s="163" t="str">
        <f ca="1">IF(COUNTIFS(INDIRECT("'Theory'! "&amp;$G$2&amp;":"&amp;$I$2),"=*10*",INDIRECT("'Theory'! "&amp;$G$4&amp;":"&amp;$I$4),"&lt;&gt;0")=0,"",SUMIF(INDIRECT("'Theory'! "&amp;$G$2&amp;":"&amp;$I$2),"=*10*",INDIRECT("'Theory'! "&amp;$G$4&amp;":"&amp;$I$4))/COUNTIFS(INDIRECT("'Theory'! "&amp;$G$2&amp;":"&amp;$I$2),"=*10*",INDIRECT("'Theory'! "&amp;$G$4&amp;":"&amp;$I$4),"&lt;&gt;0"))</f>
        <v/>
      </c>
      <c r="R8" s="164"/>
    </row>
    <row r="9" spans="2:21" x14ac:dyDescent="0.3">
      <c r="B9" s="165"/>
      <c r="C9" s="166"/>
      <c r="D9" s="166"/>
      <c r="E9" s="166"/>
      <c r="F9" s="166"/>
      <c r="G9" s="166"/>
      <c r="H9" s="166"/>
      <c r="I9" s="166"/>
      <c r="J9" s="166"/>
      <c r="K9" s="166"/>
      <c r="L9" s="166"/>
      <c r="R9" s="164"/>
    </row>
    <row r="10" spans="2:21" ht="25.8" x14ac:dyDescent="0.5">
      <c r="B10" s="660" t="s">
        <v>148</v>
      </c>
      <c r="C10" s="661"/>
      <c r="D10" s="661"/>
      <c r="E10" s="661"/>
      <c r="F10" s="661"/>
      <c r="G10" s="661"/>
      <c r="H10" s="661"/>
      <c r="I10" s="661"/>
      <c r="J10" s="661"/>
      <c r="K10" s="661"/>
      <c r="L10" s="661"/>
      <c r="R10" s="164"/>
    </row>
    <row r="11" spans="2:21" ht="32.25" customHeight="1" x14ac:dyDescent="0.3">
      <c r="B11" s="167" t="s">
        <v>233</v>
      </c>
      <c r="C11" s="304" t="str">
        <f ca="1">IF(C12=""," ","CO1")</f>
        <v>CO1</v>
      </c>
      <c r="D11" s="304" t="str">
        <f ca="1">IF(D12=""," ","CO2")</f>
        <v>CO2</v>
      </c>
      <c r="E11" s="304" t="str">
        <f ca="1">IF(E12=""," ","CO3")</f>
        <v>CO3</v>
      </c>
      <c r="F11" s="304" t="str">
        <f ca="1">IF(F12=""," ","CO4")</f>
        <v>CO4</v>
      </c>
      <c r="G11" s="304" t="str">
        <f>IF(G12=""," ","CO5")</f>
        <v xml:space="preserve"> </v>
      </c>
      <c r="H11" s="304" t="str">
        <f>IF(H12=""," ","CO6")</f>
        <v xml:space="preserve"> </v>
      </c>
      <c r="I11" s="168" t="str">
        <f ca="1">IF(I12=""," ","CO7")</f>
        <v xml:space="preserve"> </v>
      </c>
      <c r="J11" s="168" t="str">
        <f ca="1">IF(J12=""," ","CO8")</f>
        <v xml:space="preserve"> </v>
      </c>
      <c r="K11" s="168" t="str">
        <f ca="1">IF(K12=""," ","CO9")</f>
        <v xml:space="preserve"> </v>
      </c>
      <c r="L11" s="168" t="str">
        <f ca="1">IF(L12=""," ","CO10")</f>
        <v xml:space="preserve"> </v>
      </c>
      <c r="R11" s="164"/>
    </row>
    <row r="12" spans="2:21" ht="18" x14ac:dyDescent="0.35">
      <c r="B12" s="296" t="s">
        <v>149</v>
      </c>
      <c r="C12" s="301">
        <f ca="1">IFERROR(SUM(C8,Lab!D$89,Quiz1!D$80,Quiz2!D$80)/SUM(COUNTIFS(C8,"&lt;&gt;"&amp;"",C8,"&gt;0"),COUNTIFS(Lab!D$89,"&lt;&gt;"&amp;"",Lab!D$89,"&gt;0"),COUNTIFS(Quiz1!D$80,"&lt;&gt;"&amp;"",Quiz1!D$80,"&gt;0"),COUNTIFS(Quiz2!D$80,"&lt;&gt;"&amp;"",Quiz2!D$80,"&gt;0")),"")</f>
        <v>63.838095238095242</v>
      </c>
      <c r="D12" s="475">
        <f ca="1">IFERROR(SUM(D8,Lab!E$89,Quiz1!E$80,Quiz2!E$80)/SUM(COUNTIFS(D8,"&lt;&gt;"&amp;"",D8,"&gt;0"),COUNTIFS(Lab!E$89,"&lt;&gt;"&amp;"",Lab!E$89,"&gt;0"),COUNTIFS(Quiz1!E$80,"&lt;&gt;"&amp;"",Quiz1!E$80,"&gt;0"),COUNTIFS(Quiz2!E$80,"&lt;&gt;"&amp;"",Quiz2!E$80,"&gt;0")),"")</f>
        <v>83.821428571428569</v>
      </c>
      <c r="E12" s="301">
        <f ca="1">IFERROR(SUM(E8,Lab!F$89,Quiz1!F$80,Quiz2!F$80)/SUM(COUNTIFS(E8,"&lt;&gt;"&amp;"",E8,"&gt;0"),COUNTIFS(Lab!F$89,"&lt;&gt;"&amp;"",Lab!F$89,"&gt;0"),COUNTIFS(Quiz1!F$80,"&lt;&gt;"&amp;"",Quiz1!F$80,"&gt;0"),COUNTIFS(Quiz2!F$80,"&lt;&gt;"&amp;"",Quiz2!F$80,"&gt;0")),"")</f>
        <v>86.968027210884358</v>
      </c>
      <c r="F12" s="301">
        <f ca="1">IFERROR(SUM(F8,Lab!G$89,Quiz1!G$80,Quiz2!G$80)/SUM(COUNTIFS(F8,"&lt;&gt;"&amp;"",F8,"&gt;0"),COUNTIFS(Lab!G$89,"&lt;&gt;"&amp;"",Lab!G$89,"&gt;0"),COUNTIFS(Quiz1!G$80,"&lt;&gt;"&amp;"",Quiz1!G$80,"&gt;0"),COUNTIFS(Quiz2!G$80,"&lt;&gt;"&amp;"",Quiz2!G$80,"&gt;0")),"")</f>
        <v>64.465886939571149</v>
      </c>
      <c r="G12" s="301"/>
      <c r="H12" s="301"/>
      <c r="I12" s="169" t="str">
        <f ca="1">IFERROR(SUM(I8,Lab!J$89,Quiz1!J$80,Quiz2!J$80)/SUM(COUNTIFS(I8,"&lt;&gt;"&amp;"",I8,"&gt;0"),COUNTIFS(Lab!J$89,"&lt;&gt;"&amp;"",Lab!J$89,"&gt;0"),COUNTIFS(Quiz1!J$80,"&lt;&gt;"&amp;"",Quiz1!J$80,"&gt;0"),COUNTIFS(Quiz2!J$80,"&lt;&gt;"&amp;"",Quiz2!J$80,"&gt;0")),"")</f>
        <v/>
      </c>
      <c r="J12" s="169" t="str">
        <f ca="1">IFERROR(SUM(J8,Lab!K$89,Quiz1!K$80,Quiz2!K$80)/SUM(COUNTIFS(J8,"&lt;&gt;"&amp;"",J8,"&gt;0"),COUNTIFS(Lab!K$89,"&lt;&gt;"&amp;"",Lab!K$89,"&gt;0"),COUNTIFS(Quiz1!K$80,"&lt;&gt;"&amp;"",Quiz1!K$80,"&gt;0"),COUNTIFS(Quiz2!K$80,"&lt;&gt;"&amp;"",Quiz2!K$80,"&gt;0")),"")</f>
        <v/>
      </c>
      <c r="K12" s="169" t="str">
        <f ca="1">IFERROR(SUM(K8,Lab!L$89,Quiz1!L$80,Quiz2!L$80)/SUM(COUNTIFS(K8,"&lt;&gt;"&amp;"",K8,"&gt;0"),COUNTIFS(Lab!L$89,"&lt;&gt;"&amp;"",Lab!L$89,"&gt;0"),COUNTIFS(Quiz1!L$80,"&lt;&gt;"&amp;"",Quiz1!L$80,"&gt;0"),COUNTIFS(Quiz2!L$80,"&lt;&gt;"&amp;"",Quiz2!L$80,"&gt;0")),"")</f>
        <v/>
      </c>
      <c r="L12" s="169" t="str">
        <f ca="1">IFERROR(SUM(L8,Lab!M$89,Quiz1!M$80,Quiz2!M$80)/SUM(COUNTIFS(L8,"&lt;&gt;"&amp;"",L8,"&gt;0"),COUNTIFS(Lab!M$89,"&lt;&gt;"&amp;"",Lab!M$89,"&gt;0"),COUNTIFS(Quiz1!M$80,"&lt;&gt;"&amp;"",Quiz1!M$80,"&gt;0"),COUNTIFS(Quiz2!M$80,"&lt;&gt;"&amp;"",Quiz2!M$80,"&gt;0")),"")</f>
        <v/>
      </c>
      <c r="R12" s="164"/>
    </row>
    <row r="13" spans="2:21" ht="22.5" customHeight="1" x14ac:dyDescent="0.3">
      <c r="B13" s="297" t="s">
        <v>150</v>
      </c>
      <c r="C13" s="305">
        <f ca="1">IF(C$8&lt;&gt;"",(Theory!$DC$86+Lab!$K$84),(IF(Lab!$K84&lt;&gt;"",Lab!$K84,"")))</f>
        <v>76.55</v>
      </c>
      <c r="D13" s="305">
        <f ca="1">IF(D$8&lt;&gt;"",(Theory!$DC$86+Lab!$K$84),(IF(Lab!$K84&lt;&gt;"",Lab!$K84,"")))</f>
        <v>76.55</v>
      </c>
      <c r="E13" s="305">
        <f ca="1">IF(E$8&lt;&gt;"",(Theory!$DC$86+Lab!$K$84),(IF(Lab!$K84&lt;&gt;"",Lab!$K84,"")))</f>
        <v>76.55</v>
      </c>
      <c r="F13" s="305">
        <f ca="1">IF(F$8&lt;&gt;"",(Theory!$DC$86+Lab!$K$84),(IF(Lab!$K84&lt;&gt;"",Lab!$K84,"")))</f>
        <v>76.55</v>
      </c>
      <c r="G13" s="305"/>
      <c r="H13" s="305"/>
      <c r="I13" s="305" t="str">
        <f ca="1">IF(I$8&lt;&gt;"",(Theory!$DE$86+Lab!$K$84),(IF(Lab!M84&lt;&gt;"",Lab!M84,"")))</f>
        <v/>
      </c>
      <c r="J13" s="305" t="str">
        <f ca="1">IF(J$8&lt;&gt;"",(Theory!$DE$86+Lab!$K$84),(IF(Lab!N84&lt;&gt;"",Lab!N84,"")))</f>
        <v/>
      </c>
      <c r="K13" s="305" t="str">
        <f ca="1">IF(K$8&lt;&gt;"",(Theory!$DE$86+Lab!$K$84),(IF(Lab!O84&lt;&gt;"",Lab!O84,"")))</f>
        <v/>
      </c>
      <c r="L13" s="305" t="str">
        <f ca="1">IF(L$8&lt;&gt;"",(Theory!$DE$86+Lab!$K$84),(IF(Lab!P84&lt;&gt;"",Lab!P84,"")))</f>
        <v/>
      </c>
      <c r="R13" s="164"/>
      <c r="T13" t="str">
        <f ca="1">J17</f>
        <v/>
      </c>
    </row>
    <row r="14" spans="2:21" ht="29.25" customHeight="1" x14ac:dyDescent="0.35">
      <c r="B14" s="298" t="s">
        <v>151</v>
      </c>
      <c r="C14" s="302">
        <f>IFERROR(IF($Q44=0,"",Q44),"")</f>
        <v>93</v>
      </c>
      <c r="D14" s="302">
        <f>IFERROR(IF($Q45=0,"",Q45),"")</f>
        <v>92</v>
      </c>
      <c r="E14" s="302">
        <f>IFERROR(IF($Q46=0,"",Q46),"")</f>
        <v>94</v>
      </c>
      <c r="F14" s="302">
        <f>IFERROR(IF($Q47=0,"",Q47),"")</f>
        <v>94</v>
      </c>
      <c r="G14" s="302"/>
      <c r="H14" s="303"/>
      <c r="I14" s="171" t="str">
        <f>IFERROR(IF($Q50=0,"",Q50),"")</f>
        <v/>
      </c>
      <c r="J14" s="171" t="str">
        <f>IFERROR(IF($Q51=0,"",Q51),"")</f>
        <v/>
      </c>
      <c r="K14" s="171" t="str">
        <f>IFERROR(IF($Q52=0,"",Q52),"")</f>
        <v/>
      </c>
      <c r="L14" s="171" t="str">
        <f>IFERROR(IF($Q53=0,"",Q53),"")</f>
        <v/>
      </c>
      <c r="R14" s="164"/>
    </row>
    <row r="15" spans="2:21" ht="29.25" customHeight="1" x14ac:dyDescent="0.3">
      <c r="B15" s="299" t="s">
        <v>152</v>
      </c>
      <c r="C15" s="305">
        <f ca="1">IFERROR(AVERAGE(C12:C13),"")</f>
        <v>70.194047619047623</v>
      </c>
      <c r="D15" s="305">
        <f t="shared" ref="D15:L15" ca="1" si="0">IFERROR(AVERAGE(D12:D13),"")</f>
        <v>80.185714285714283</v>
      </c>
      <c r="E15" s="305">
        <f t="shared" ca="1" si="0"/>
        <v>81.759013605442178</v>
      </c>
      <c r="F15" s="305">
        <f t="shared" ca="1" si="0"/>
        <v>70.507943469785573</v>
      </c>
      <c r="G15" s="305"/>
      <c r="H15" s="305"/>
      <c r="I15" s="170" t="str">
        <f t="shared" ca="1" si="0"/>
        <v/>
      </c>
      <c r="J15" s="170" t="str">
        <f t="shared" ca="1" si="0"/>
        <v/>
      </c>
      <c r="K15" s="170" t="str">
        <f t="shared" ca="1" si="0"/>
        <v/>
      </c>
      <c r="L15" s="170" t="str">
        <f t="shared" ca="1" si="0"/>
        <v/>
      </c>
      <c r="R15" s="164"/>
      <c r="U15" t="str">
        <f ca="1">K17</f>
        <v/>
      </c>
    </row>
    <row r="16" spans="2:21" ht="15.6" x14ac:dyDescent="0.3">
      <c r="B16" s="300"/>
      <c r="C16" s="306" t="str">
        <f ca="1">IF(C17&lt;&gt;"","CO1 ","")</f>
        <v xml:space="preserve">CO1 </v>
      </c>
      <c r="D16" s="306" t="str">
        <f ca="1">IF(D17&lt;&gt;"","CO2 ","")</f>
        <v xml:space="preserve">CO2 </v>
      </c>
      <c r="E16" s="306" t="str">
        <f ca="1">IF(E17&lt;&gt;"","CO3 ","")</f>
        <v xml:space="preserve">CO3 </v>
      </c>
      <c r="F16" s="306" t="str">
        <f ca="1">IF(F17&lt;&gt;"","CO4 ","")</f>
        <v xml:space="preserve">CO4 </v>
      </c>
      <c r="G16" s="306"/>
      <c r="H16" s="306"/>
      <c r="I16" s="172" t="str">
        <f ca="1">IF(I17&lt;&gt;"","CO7 ","")</f>
        <v/>
      </c>
      <c r="J16" s="172" t="str">
        <f ca="1">IF(J17&lt;&gt;"","CO8 ","")</f>
        <v/>
      </c>
      <c r="K16" s="172" t="str">
        <f ca="1">IF(K17&lt;&gt;"","CO9 ","")</f>
        <v/>
      </c>
      <c r="L16" s="172" t="str">
        <f ca="1">IF(L17&lt;&gt;"","CO10 ","")</f>
        <v/>
      </c>
      <c r="R16" s="164"/>
    </row>
    <row r="17" spans="2:18" ht="45" customHeight="1" x14ac:dyDescent="0.3">
      <c r="B17" s="455" t="s">
        <v>294</v>
      </c>
      <c r="C17" s="454">
        <f ca="1">IFERROR(
IF(C$13&lt;&gt;"",
   IF(C$12&lt;&gt;"",C$12*0.54,"") +
   IF(C$13&lt;&gt;"",C$13*0.36,"") +
   IF(C$14&lt;&gt;"",C$14*0.1,""),
   IF(C$12&lt;&gt;"",C$12*0.9,"") +
   IF(C$14&lt;&gt;"",C$14*0.1,"")
),
"")</f>
        <v>71.330571428571432</v>
      </c>
      <c r="D17" s="456">
        <f t="shared" ref="D17:L17" ca="1" si="1">IFERROR(
IF(D$13&lt;&gt;"",
   IF(D$12&lt;&gt;"",D$12*0.54,"") +
   IF(D$13&lt;&gt;"",D$13*0.36,"") +
   IF(D$14&lt;&gt;"",D$14*0.1,""),
   IF(D$12&lt;&gt;"",D$12*0.9,"") +
   IF(D$14&lt;&gt;"",D$14*0.1,"")
),
"")</f>
        <v>82.021571428571434</v>
      </c>
      <c r="E17" s="454">
        <f t="shared" ca="1" si="1"/>
        <v>83.920734693877563</v>
      </c>
      <c r="F17" s="454">
        <f t="shared" ca="1" si="1"/>
        <v>71.76957894736843</v>
      </c>
      <c r="G17" s="454" t="str">
        <f t="shared" si="1"/>
        <v/>
      </c>
      <c r="H17" s="454" t="str">
        <f t="shared" si="1"/>
        <v/>
      </c>
      <c r="I17" s="454" t="str">
        <f t="shared" ca="1" si="1"/>
        <v/>
      </c>
      <c r="J17" s="454" t="str">
        <f t="shared" ca="1" si="1"/>
        <v/>
      </c>
      <c r="K17" s="454" t="str">
        <f t="shared" ca="1" si="1"/>
        <v/>
      </c>
      <c r="L17" s="454" t="str">
        <f t="shared" ca="1" si="1"/>
        <v/>
      </c>
      <c r="R17" s="164"/>
    </row>
    <row r="18" spans="2:18" ht="15" thickBot="1" x14ac:dyDescent="0.35">
      <c r="B18" s="173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448"/>
      <c r="Q18" s="448"/>
      <c r="R18" s="175"/>
    </row>
    <row r="20" spans="2:18" ht="15.6" x14ac:dyDescent="0.3">
      <c r="B20" s="457" t="s">
        <v>153</v>
      </c>
      <c r="C20" s="48" t="s">
        <v>154</v>
      </c>
      <c r="D20" s="176" t="s">
        <v>155</v>
      </c>
      <c r="E20" s="176" t="s">
        <v>156</v>
      </c>
      <c r="F20" s="48" t="s">
        <v>157</v>
      </c>
      <c r="G20" s="48" t="s">
        <v>158</v>
      </c>
      <c r="H20" s="48" t="s">
        <v>159</v>
      </c>
      <c r="I20" s="48" t="s">
        <v>160</v>
      </c>
      <c r="J20" s="48" t="s">
        <v>161</v>
      </c>
      <c r="K20" s="48" t="s">
        <v>162</v>
      </c>
      <c r="L20" s="48" t="s">
        <v>163</v>
      </c>
    </row>
    <row r="21" spans="2:18" ht="15.6" x14ac:dyDescent="0.3">
      <c r="B21" s="458"/>
      <c r="C21" s="48">
        <f>COUNTIFS(Theory!DA17:DA83,"&gt;=0",Theory!DA17:DA83,"&lt;=5")</f>
        <v>0</v>
      </c>
      <c r="D21" s="48">
        <f>COUNTIFS(Theory!DA17:DA83,"&gt;=6",Theory!DA17:DA83,"&lt;=10")</f>
        <v>0</v>
      </c>
      <c r="E21" s="48">
        <f>COUNTIFS(Theory!DA17:DA83,"&gt;=11",Theory!DA17:DA83,"&lt;=15")</f>
        <v>0</v>
      </c>
      <c r="F21" s="48">
        <f>COUNTIFS(Theory!DA17:DA83,"&gt;=16",Theory!DA17:DA83,"&lt;=20")</f>
        <v>0</v>
      </c>
      <c r="G21" s="48">
        <f>COUNTIFS(Theory!DA17:DA83,"&gt;=21",Theory!DA17:DA83,"&lt;=25")</f>
        <v>0</v>
      </c>
      <c r="H21" s="48">
        <f>COUNTIFS(Theory!DA17:DA83,"&gt;=26",Theory!DA17:DA83,"&lt;=30")</f>
        <v>0</v>
      </c>
      <c r="I21" s="48">
        <f>COUNTIFS(Theory!DA17:DA83,"&gt;=31",Theory!DA17:DA83,"&lt;=35")</f>
        <v>6</v>
      </c>
      <c r="J21" s="48">
        <f>COUNTIFS(Theory!DA17:DA83,"&gt;=36",Theory!DA17:DA83,"&lt;=40")</f>
        <v>8</v>
      </c>
      <c r="K21" s="48">
        <f>COUNTIFS(Theory!DA17:DA83,"&gt;=41",Theory!DA17:DA83,"&lt;=45")</f>
        <v>14</v>
      </c>
      <c r="L21" s="48">
        <f>COUNTIFS(Theory!DA17:DA83,"&gt;=46",Theory!DA17:DA83,"&lt;=50")</f>
        <v>12</v>
      </c>
    </row>
    <row r="22" spans="2:18" ht="15.6" x14ac:dyDescent="0.3">
      <c r="B22" s="458"/>
    </row>
    <row r="23" spans="2:18" ht="15.6" x14ac:dyDescent="0.3">
      <c r="B23" s="459" t="s">
        <v>51</v>
      </c>
      <c r="C23" s="177"/>
      <c r="D23" s="177"/>
      <c r="E23" s="177"/>
      <c r="F23" s="177"/>
      <c r="G23" s="177"/>
      <c r="H23" s="177"/>
      <c r="I23" s="177"/>
      <c r="J23" s="662"/>
      <c r="K23" s="662"/>
      <c r="L23" s="662"/>
    </row>
    <row r="24" spans="2:18" x14ac:dyDescent="0.3">
      <c r="C24" s="460" t="s">
        <v>287</v>
      </c>
      <c r="D24" s="460" t="s">
        <v>288</v>
      </c>
      <c r="E24" s="460" t="s">
        <v>54</v>
      </c>
      <c r="F24" s="460" t="s">
        <v>289</v>
      </c>
      <c r="G24" s="460" t="s">
        <v>52</v>
      </c>
      <c r="H24" s="460" t="s">
        <v>53</v>
      </c>
      <c r="I24" s="460" t="s">
        <v>295</v>
      </c>
      <c r="J24" s="460" t="s">
        <v>55</v>
      </c>
      <c r="K24" s="460" t="s">
        <v>290</v>
      </c>
      <c r="L24" s="460" t="s">
        <v>134</v>
      </c>
    </row>
    <row r="25" spans="2:18" x14ac:dyDescent="0.3">
      <c r="C25" s="64">
        <f>COUNTIF(Theory!$DE$17:$DE$83,C24)</f>
        <v>8</v>
      </c>
      <c r="D25" s="64">
        <f>COUNTIF(Theory!$DE$17:$DE$83,D24)</f>
        <v>19</v>
      </c>
      <c r="E25" s="64">
        <f>COUNTIF(Theory!$DE$17:$DE$83,E24)</f>
        <v>9</v>
      </c>
      <c r="F25" s="64">
        <f>COUNTIF(Theory!$DE$17:$DE$83,F24)</f>
        <v>3</v>
      </c>
      <c r="G25" s="64">
        <f>COUNTIF(Theory!$DE$17:$DE$83,G24)</f>
        <v>0</v>
      </c>
      <c r="H25" s="64">
        <f>COUNTIF(Theory!$DE$17:$DE$83,H24)</f>
        <v>1</v>
      </c>
      <c r="I25" s="64">
        <f>COUNTIF(Theory!$DE$17:$DE$83,I24)</f>
        <v>0</v>
      </c>
      <c r="J25" s="64">
        <f>COUNTIF(Theory!$DE$17:$DE$83,J24)</f>
        <v>0</v>
      </c>
      <c r="K25" s="64">
        <f>COUNTIF(Theory!$DE$17:$DE$83,K24)</f>
        <v>0</v>
      </c>
      <c r="L25" s="64">
        <f>SUM(C25:K25)</f>
        <v>40</v>
      </c>
    </row>
    <row r="39" spans="2:17" ht="15" thickBot="1" x14ac:dyDescent="0.35">
      <c r="H39" s="178"/>
    </row>
    <row r="40" spans="2:17" ht="15" thickBot="1" x14ac:dyDescent="0.35">
      <c r="I40" s="664" t="s">
        <v>164</v>
      </c>
      <c r="J40" s="664"/>
      <c r="K40" s="179">
        <f>CORREL(Theory!DA17:DA75,Theory!DC17:DC75)</f>
        <v>0.68350384414624465</v>
      </c>
    </row>
    <row r="41" spans="2:17" ht="23.4" x14ac:dyDescent="0.45">
      <c r="B41" s="180"/>
    </row>
    <row r="42" spans="2:17" x14ac:dyDescent="0.3">
      <c r="B42" s="150" t="s">
        <v>165</v>
      </c>
      <c r="C42" s="150"/>
      <c r="D42" s="150"/>
      <c r="E42" s="150"/>
      <c r="F42" s="150"/>
      <c r="O42" s="674" t="s">
        <v>117</v>
      </c>
      <c r="P42" s="674"/>
      <c r="Q42" s="674"/>
    </row>
    <row r="43" spans="2:17" ht="28.8" x14ac:dyDescent="0.3">
      <c r="P43" s="449" t="s">
        <v>166</v>
      </c>
      <c r="Q43" s="449" t="s">
        <v>167</v>
      </c>
    </row>
    <row r="44" spans="2:17" x14ac:dyDescent="0.3">
      <c r="C44" s="117" t="s">
        <v>64</v>
      </c>
      <c r="D44" s="117" t="s">
        <v>65</v>
      </c>
      <c r="E44" s="117" t="s">
        <v>66</v>
      </c>
      <c r="F44" s="117" t="s">
        <v>67</v>
      </c>
      <c r="G44" s="117" t="s">
        <v>68</v>
      </c>
      <c r="H44" s="117" t="s">
        <v>69</v>
      </c>
      <c r="I44" s="117" t="s">
        <v>70</v>
      </c>
      <c r="J44" s="117" t="s">
        <v>71</v>
      </c>
      <c r="K44" s="117" t="s">
        <v>72</v>
      </c>
      <c r="L44" s="117" t="s">
        <v>73</v>
      </c>
      <c r="M44" s="117" t="s">
        <v>134</v>
      </c>
      <c r="O44" s="117" t="s">
        <v>64</v>
      </c>
      <c r="P44" s="64">
        <f>IFERROR(ROUND((CO_PO_PSO_MAPPING!C19*5+CO_PO_PSO_MAPPING!D19*4+CO_PO_PSO_MAPPING!E19*3+CO_PO_PSO_MAPPING!F19*2+CO_PO_PSO_MAPPING!G19*1)/SUM(CO_PO_PSO_MAPPING!C19:G19),2),0)</f>
        <v>4.66</v>
      </c>
      <c r="Q44" s="64">
        <f>ROUND(P44/CES!$C$82*100,0)</f>
        <v>93</v>
      </c>
    </row>
    <row r="45" spans="2:17" x14ac:dyDescent="0.3">
      <c r="B45" s="117" t="str">
        <f>CO_PO_PSO_MAPPING!T4</f>
        <v>TEST-1</v>
      </c>
      <c r="C45" s="170">
        <f>SUMIF(CO_PO_PSO_MAPPING!$W$4:$W$35,"*1*",CO_PO_PSO_MAPPING!$V$4:$V$35)</f>
        <v>80</v>
      </c>
      <c r="D45" s="170">
        <f>SUMIF(CO_PO_PSO_MAPPING!$W$4:$W$35,"*2*",CO_PO_PSO_MAPPING!$V$4:$V$35)</f>
        <v>0</v>
      </c>
      <c r="E45" s="170">
        <f>SUMIF(CO_PO_PSO_MAPPING!$W$4:$W$35,"*3*",CO_PO_PSO_MAPPING!$V$4:$V$35)</f>
        <v>0</v>
      </c>
      <c r="F45" s="170">
        <f>SUMIF(CO_PO_PSO_MAPPING!$W$4:$W$35,"*4*",CO_PO_PSO_MAPPING!$V$4:$V$35)</f>
        <v>0</v>
      </c>
      <c r="G45" s="170">
        <f>SUMIF(CO_PO_PSO_MAPPING!$W$4:$W$35,"*5*",CO_PO_PSO_MAPPING!$V$4:$V$35)</f>
        <v>0</v>
      </c>
      <c r="H45" s="170">
        <f>SUMIF(CO_PO_PSO_MAPPING!$W$4:$W$35,"*6*",CO_PO_PSO_MAPPING!$V$4:$V$35)</f>
        <v>0</v>
      </c>
      <c r="I45" s="170">
        <f>SUMIF(CO_PO_PSO_MAPPING!$W$4:$W$35,"*7*",CO_PO_PSO_MAPPING!$V$4:$V$35)</f>
        <v>0</v>
      </c>
      <c r="J45" s="170">
        <f>SUMIF(CO_PO_PSO_MAPPING!$W$4:$W$35,"*8*",CO_PO_PSO_MAPPING!$V$4:$V$35)</f>
        <v>0</v>
      </c>
      <c r="K45" s="170">
        <f>SUMIF(CO_PO_PSO_MAPPING!$W$4:$W$35,"*9*",CO_PO_PSO_MAPPING!$V$4:$V$35)</f>
        <v>0</v>
      </c>
      <c r="L45" s="170">
        <f>SUMIF(CO_PO_PSO_MAPPING!$W$4:$W$35,"*10*",CO_PO_PSO_MAPPING!$V$4:$V$35)</f>
        <v>0</v>
      </c>
      <c r="M45" s="181">
        <f t="shared" ref="M45:M52" si="2">SUM(C45:L45)</f>
        <v>80</v>
      </c>
      <c r="O45" s="117" t="s">
        <v>65</v>
      </c>
      <c r="P45" s="64">
        <f>IFERROR(ROUND((CO_PO_PSO_MAPPING!C20*5+CO_PO_PSO_MAPPING!D20*4+CO_PO_PSO_MAPPING!E20*3+CO_PO_PSO_MAPPING!F20*2+CO_PO_PSO_MAPPING!G20*1)/SUM(CO_PO_PSO_MAPPING!C20:G20),2),0)</f>
        <v>4.6100000000000003</v>
      </c>
      <c r="Q45" s="64">
        <f>ROUND(P45/CES!$C$82*100,0)</f>
        <v>92</v>
      </c>
    </row>
    <row r="46" spans="2:17" x14ac:dyDescent="0.3">
      <c r="B46" s="117" t="str">
        <f>CO_PO_PSO_MAPPING!T36</f>
        <v>TEST-2</v>
      </c>
      <c r="C46" s="170">
        <f>SUMIF(CO_PO_PSO_MAPPING!$W$36:$W$67,"*1*",CO_PO_PSO_MAPPING!$V$36:$V$67)</f>
        <v>0</v>
      </c>
      <c r="D46" s="170">
        <f>SUMIF(CO_PO_PSO_MAPPING!$W$36:$W$67,"*2*",CO_PO_PSO_MAPPING!$V$36:$V$67)</f>
        <v>20</v>
      </c>
      <c r="E46" s="170">
        <f>SUMIF(CO_PO_PSO_MAPPING!$W$36:$W$67,"*3*",CO_PO_PSO_MAPPING!$V$36:$V$67)</f>
        <v>0</v>
      </c>
      <c r="F46" s="170">
        <f>SUMIF(CO_PO_PSO_MAPPING!$W$36:$W$67,"*4*",CO_PO_PSO_MAPPING!$V$36:$V$67)</f>
        <v>60</v>
      </c>
      <c r="G46" s="170">
        <f>SUMIF(CO_PO_PSO_MAPPING!$W$36:$W$67,"*5*",CO_PO_PSO_MAPPING!$V$36:$V$67)</f>
        <v>0</v>
      </c>
      <c r="H46" s="170">
        <f>SUMIF(CO_PO_PSO_MAPPING!$W$36:$W$67,"*6*",CO_PO_PSO_MAPPING!$V$36:$V$67)</f>
        <v>0</v>
      </c>
      <c r="I46" s="170">
        <f>SUMIF(CO_PO_PSO_MAPPING!$W$36:$W$67,"*7*",CO_PO_PSO_MAPPING!$V$36:$V$67)</f>
        <v>0</v>
      </c>
      <c r="J46" s="170">
        <f>SUMIF(CO_PO_PSO_MAPPING!$W$36:$W$67,"*8*",CO_PO_PSO_MAPPING!$V$36:$V$67)</f>
        <v>0</v>
      </c>
      <c r="K46" s="170">
        <f>SUMIF(CO_PO_PSO_MAPPING!$W$36:$W$67,"*9*",CO_PO_PSO_MAPPING!$V$36:$V$67)</f>
        <v>0</v>
      </c>
      <c r="L46" s="170">
        <f>SUMIF(CO_PO_PSO_MAPPING!$W$36:$W$67,"*10*",CO_PO_PSO_MAPPING!$V$36:$V$67)</f>
        <v>0</v>
      </c>
      <c r="M46" s="181">
        <f t="shared" si="2"/>
        <v>80</v>
      </c>
      <c r="O46" s="117" t="s">
        <v>66</v>
      </c>
      <c r="P46" s="64">
        <f>IFERROR(ROUND((CO_PO_PSO_MAPPING!C21*5+CO_PO_PSO_MAPPING!D21*4+CO_PO_PSO_MAPPING!E21*3+CO_PO_PSO_MAPPING!F21*2+CO_PO_PSO_MAPPING!G21*1)/SUM(CO_PO_PSO_MAPPING!C21:G21),2),0)</f>
        <v>4.71</v>
      </c>
      <c r="Q46" s="64">
        <f>ROUND(P46/CES!$C$82*100,0)</f>
        <v>94</v>
      </c>
    </row>
    <row r="47" spans="2:17" x14ac:dyDescent="0.3">
      <c r="B47" s="117" t="str">
        <f>CO_PO_PSO_MAPPING!T68</f>
        <v>TEST-3</v>
      </c>
      <c r="C47" s="170">
        <f>SUMIF(CO_PO_PSO_MAPPING!$W$68:$W$99,"*1*",CO_PO_PSO_MAPPING!$V$68:$V$99)</f>
        <v>0</v>
      </c>
      <c r="D47" s="170">
        <f>SUMIF(CO_PO_PSO_MAPPING!$W$68:$W$99,"*2*",CO_PO_PSO_MAPPING!$V$68:$V$99)</f>
        <v>0</v>
      </c>
      <c r="E47" s="170">
        <f>SUMIF(CO_PO_PSO_MAPPING!$W$68:$W$99,"*3*",CO_PO_PSO_MAPPING!$V$68:$V$99)</f>
        <v>50</v>
      </c>
      <c r="F47" s="170">
        <f>SUMIF(CO_PO_PSO_MAPPING!$W$68:$W$99,"*4*",CO_PO_PSO_MAPPING!$V$68:$V$99)</f>
        <v>30</v>
      </c>
      <c r="G47" s="170">
        <f>SUMIF(CO_PO_PSO_MAPPING!$W$68:$W$99,"*5*",CO_PO_PSO_MAPPING!$V$68:$V$99)</f>
        <v>0</v>
      </c>
      <c r="H47" s="170">
        <f>SUMIF(CO_PO_PSO_MAPPING!$W$68:$W$99,"*6*",CO_PO_PSO_MAPPING!$V$68:$V$99)</f>
        <v>0</v>
      </c>
      <c r="I47" s="170">
        <f>SUMIF(CO_PO_PSO_MAPPING!$W$68:$W$99,"*7*",CO_PO_PSO_MAPPING!$V$68:$V$99)</f>
        <v>0</v>
      </c>
      <c r="J47" s="170">
        <f>SUMIF(CO_PO_PSO_MAPPING!$W$68:$W$99,"*8*",CO_PO_PSO_MAPPING!$V$68:$V$99)</f>
        <v>0</v>
      </c>
      <c r="K47" s="170">
        <f>SUMIF(CO_PO_PSO_MAPPING!$W$68:$W$99,"*9*",CO_PO_PSO_MAPPING!$V$68:$V$99)</f>
        <v>0</v>
      </c>
      <c r="L47" s="170">
        <f>SUMIF(CO_PO_PSO_MAPPING!$W$68:$W$99,"*10*",CO_PO_PSO_MAPPING!$V$68:$V$99)</f>
        <v>0</v>
      </c>
      <c r="M47" s="181">
        <f t="shared" si="2"/>
        <v>80</v>
      </c>
      <c r="O47" s="117" t="s">
        <v>67</v>
      </c>
      <c r="P47" s="64">
        <f>IFERROR(ROUND((CO_PO_PSO_MAPPING!C22*5+CO_PO_PSO_MAPPING!D22*4+CO_PO_PSO_MAPPING!E22*3+CO_PO_PSO_MAPPING!F22*2+CO_PO_PSO_MAPPING!G22*1)/SUM(CO_PO_PSO_MAPPING!C22:G22),2),0)</f>
        <v>4.71</v>
      </c>
      <c r="Q47" s="64">
        <f>ROUND(P47/CES!$C$82*100,0)</f>
        <v>94</v>
      </c>
    </row>
    <row r="48" spans="2:17" x14ac:dyDescent="0.3">
      <c r="B48" s="117" t="str">
        <f>CO_PO_PSO_MAPPING!T100</f>
        <v>AAT</v>
      </c>
      <c r="C48" s="170">
        <f>SUMIF(CO_PO_PSO_MAPPING!$W$100,"*1*",CO_PO_PSO_MAPPING!$V$100)</f>
        <v>10</v>
      </c>
      <c r="D48" s="170">
        <f>SUMIF(CO_PO_PSO_MAPPING!$W$100,"*2*",CO_PO_PSO_MAPPING!$V$100)</f>
        <v>10</v>
      </c>
      <c r="E48" s="170">
        <f>SUMIF(CO_PO_PSO_MAPPING!$W$100,"*1*",CO_PO_PSO_MAPPING!$V$100)</f>
        <v>10</v>
      </c>
      <c r="F48" s="170">
        <f>SUMIF(CO_PO_PSO_MAPPING!$W$100,"*1*",CO_PO_PSO_MAPPING!$V$100)</f>
        <v>10</v>
      </c>
      <c r="G48" s="170">
        <f>SUMIF(CO_PO_PSO_MAPPING!$W$100,"*5*",CO_PO_PSO_MAPPING!$V$100)</f>
        <v>0</v>
      </c>
      <c r="H48" s="170">
        <f>SUMIF(CO_PO_PSO_MAPPING!$W$100,"*6*",CO_PO_PSO_MAPPING!$V$100)</f>
        <v>0</v>
      </c>
      <c r="I48" s="170">
        <f>SUMIF(CO_PO_PSO_MAPPING!$W$100,"*7*",CO_PO_PSO_MAPPING!$V$100)</f>
        <v>0</v>
      </c>
      <c r="J48" s="170">
        <f>SUMIF(CO_PO_PSO_MAPPING!$W$100,"*8*",CO_PO_PSO_MAPPING!$V$100)</f>
        <v>0</v>
      </c>
      <c r="K48" s="170">
        <f>SUMIF(CO_PO_PSO_MAPPING!$W$100,"*9*",CO_PO_PSO_MAPPING!$V$100)</f>
        <v>0</v>
      </c>
      <c r="L48" s="170">
        <f>SUMIF(CO_PO_PSO_MAPPING!$W$100,"*10*",CO_PO_PSO_MAPPING!$V$100)</f>
        <v>0</v>
      </c>
      <c r="M48" s="181">
        <f>SUM(C48:L48)</f>
        <v>40</v>
      </c>
      <c r="O48" s="117" t="s">
        <v>68</v>
      </c>
      <c r="P48" s="64">
        <f>IFERROR(ROUND((CO_PO_PSO_MAPPING!C23*5+CO_PO_PSO_MAPPING!D23*4+CO_PO_PSO_MAPPING!E23*3+CO_PO_PSO_MAPPING!F23*2+CO_PO_PSO_MAPPING!G23*1)/SUM(CO_PO_PSO_MAPPING!C23:G23),2),0)</f>
        <v>0</v>
      </c>
      <c r="Q48" s="64">
        <f>ROUND(P48/CES!$C$82*100,0)</f>
        <v>0</v>
      </c>
    </row>
    <row r="49" spans="2:17" x14ac:dyDescent="0.3">
      <c r="B49" s="117" t="str">
        <f>CO_PO_PSO_MAPPING!T101</f>
        <v>QUIZ</v>
      </c>
      <c r="C49" s="170">
        <f>SUMIF(CO_PO_PSO_MAPPING!$W$101,"*1*",CO_PO_PSO_MAPPING!$V$101)</f>
        <v>10</v>
      </c>
      <c r="D49" s="170">
        <f>SUMIF(CO_PO_PSO_MAPPING!$W$101,"*2*",CO_PO_PSO_MAPPING!$V$101)</f>
        <v>10</v>
      </c>
      <c r="E49" s="170">
        <f>SUMIF(CO_PO_PSO_MAPPING!$W$101,"*3*",CO_PO_PSO_MAPPING!$V$101)</f>
        <v>10</v>
      </c>
      <c r="F49" s="170">
        <f>SUMIF(CO_PO_PSO_MAPPING!$W$101,"*4*",CO_PO_PSO_MAPPING!$V$101)</f>
        <v>10</v>
      </c>
      <c r="G49" s="170">
        <f>SUMIF(CO_PO_PSO_MAPPING!$W$101,"*5*",CO_PO_PSO_MAPPING!$V$101)</f>
        <v>0</v>
      </c>
      <c r="H49" s="170">
        <f>SUMIF(CO_PO_PSO_MAPPING!$W$101,"*6*",CO_PO_PSO_MAPPING!$V$101)</f>
        <v>0</v>
      </c>
      <c r="I49" s="170">
        <f>SUMIF(CO_PO_PSO_MAPPING!$W$101,"*7*",CO_PO_PSO_MAPPING!$V$101)</f>
        <v>0</v>
      </c>
      <c r="J49" s="170">
        <f>SUMIF(CO_PO_PSO_MAPPING!$W$101,"*8*",CO_PO_PSO_MAPPING!$V$101)</f>
        <v>0</v>
      </c>
      <c r="K49" s="170">
        <f>SUMIF(CO_PO_PSO_MAPPING!$W$101,"*9*",CO_PO_PSO_MAPPING!$V$101)</f>
        <v>0</v>
      </c>
      <c r="L49" s="170">
        <f>SUMIF(CO_PO_PSO_MAPPING!$W$101,"*10*",CO_PO_PSO_MAPPING!$V$101)</f>
        <v>0</v>
      </c>
      <c r="M49" s="181">
        <f>SUM(C49:L49)</f>
        <v>40</v>
      </c>
      <c r="O49" s="117" t="s">
        <v>69</v>
      </c>
      <c r="P49" s="64">
        <f>IFERROR(ROUND((CO_PO_PSO_MAPPING!C24*5+CO_PO_PSO_MAPPING!D24*4+CO_PO_PSO_MAPPING!E24*3+CO_PO_PSO_MAPPING!F24*2+CO_PO_PSO_MAPPING!G24*1)/SUM(CO_PO_PSO_MAPPING!C24:G24),2),0)</f>
        <v>0</v>
      </c>
      <c r="Q49" s="64">
        <f>ROUND(P49/CES!$C$82*100,0)</f>
        <v>0</v>
      </c>
    </row>
    <row r="50" spans="2:17" x14ac:dyDescent="0.3">
      <c r="B50" s="117" t="str">
        <f>CO_PO_PSO_MAPPING!T102</f>
        <v>Lab</v>
      </c>
      <c r="C50" s="170">
        <f>SUMIF(CO_PO_PSO_MAPPING!$W$102,"*1*",CO_PO_PSO_MAPPING!$V$102)</f>
        <v>0</v>
      </c>
      <c r="D50" s="170">
        <f>SUMIF(CO_PO_PSO_MAPPING!$W$102,"*2*",CO_PO_PSO_MAPPING!$V$102)</f>
        <v>0</v>
      </c>
      <c r="E50" s="170">
        <f>SUMIF(CO_PO_PSO_MAPPING!$W$102,"*3*",CO_PO_PSO_MAPPING!$V$102)</f>
        <v>0</v>
      </c>
      <c r="F50" s="170">
        <f>SUMIF(CO_PO_PSO_MAPPING!$W$102,"*4*",CO_PO_PSO_MAPPING!$V$102)</f>
        <v>0</v>
      </c>
      <c r="G50" s="170">
        <f>SUMIF(CO_PO_PSO_MAPPING!$W$102,"*5*",CO_PO_PSO_MAPPING!$V$102)</f>
        <v>0</v>
      </c>
      <c r="H50" s="170">
        <f>SUMIF(CO_PO_PSO_MAPPING!$W$102,"*6*",CO_PO_PSO_MAPPING!$V$102)</f>
        <v>0</v>
      </c>
      <c r="I50" s="170">
        <f>SUMIF(CO_PO_PSO_MAPPING!$W$102,"*7*",CO_PO_PSO_MAPPING!$V$102)</f>
        <v>0</v>
      </c>
      <c r="J50" s="170">
        <f>SUMIF(CO_PO_PSO_MAPPING!$W$102,"*8*",CO_PO_PSO_MAPPING!$V$102)</f>
        <v>0</v>
      </c>
      <c r="K50" s="170">
        <f>SUMIF(CO_PO_PSO_MAPPING!$W$102,"*9*",CO_PO_PSO_MAPPING!$V$102)</f>
        <v>0</v>
      </c>
      <c r="L50" s="170">
        <f>SUMIF(CO_PO_PSO_MAPPING!$W$102,"*10*",CO_PO_PSO_MAPPING!$V$102)</f>
        <v>0</v>
      </c>
      <c r="M50" s="181">
        <f>SUM(C50:L50)</f>
        <v>0</v>
      </c>
      <c r="O50" s="117" t="s">
        <v>70</v>
      </c>
      <c r="P50" s="64">
        <f>IFERROR(ROUND((CO_PO_PSO_MAPPING!C25*5+CO_PO_PSO_MAPPING!D25*4+CO_PO_PSO_MAPPING!E25*3+CO_PO_PSO_MAPPING!F25*2+CO_PO_PSO_MAPPING!G25*1)/SUM(CO_PO_PSO_MAPPING!C25:G25),2),0)</f>
        <v>0</v>
      </c>
      <c r="Q50" s="64">
        <f>ROUND(P50/CES!$C$82*100,0)</f>
        <v>0</v>
      </c>
    </row>
    <row r="51" spans="2:17" x14ac:dyDescent="0.3">
      <c r="B51" s="117" t="str">
        <f>CO_PO_PSO_MAPPING!T103</f>
        <v>Project</v>
      </c>
      <c r="C51" s="170">
        <f>SUMIF(CO_PO_PSO_MAPPING!$W$103,"*1*",CO_PO_PSO_MAPPING!$V$103)</f>
        <v>0</v>
      </c>
      <c r="D51" s="170">
        <f>SUMIF(CO_PO_PSO_MAPPING!$W$103,"*2*",CO_PO_PSO_MAPPING!$V$103)</f>
        <v>0</v>
      </c>
      <c r="E51" s="170">
        <f>SUMIF(CO_PO_PSO_MAPPING!$W$103,"*3*",CO_PO_PSO_MAPPING!$V$103)</f>
        <v>0</v>
      </c>
      <c r="F51" s="170">
        <f>SUMIF(CO_PO_PSO_MAPPING!$W$103,"*4*",CO_PO_PSO_MAPPING!$V$103)</f>
        <v>0</v>
      </c>
      <c r="G51" s="170">
        <f>SUMIF(CO_PO_PSO_MAPPING!$W$103,"*5*",CO_PO_PSO_MAPPING!$V$103)</f>
        <v>0</v>
      </c>
      <c r="H51" s="170">
        <f>SUMIF(CO_PO_PSO_MAPPING!$W$103,"*6*",CO_PO_PSO_MAPPING!$V$103)</f>
        <v>0</v>
      </c>
      <c r="I51" s="170">
        <f>SUMIF(CO_PO_PSO_MAPPING!$W$103,"*7*",CO_PO_PSO_MAPPING!$V$103)</f>
        <v>0</v>
      </c>
      <c r="J51" s="170">
        <f>SUMIF(CO_PO_PSO_MAPPING!$W$103,"*8*",CO_PO_PSO_MAPPING!$V$103)</f>
        <v>0</v>
      </c>
      <c r="K51" s="170">
        <f>SUMIF(CO_PO_PSO_MAPPING!$W$103,"*9*",CO_PO_PSO_MAPPING!$V$103)</f>
        <v>0</v>
      </c>
      <c r="L51" s="170">
        <f>SUMIF(CO_PO_PSO_MAPPING!$W$103,"*10*",CO_PO_PSO_MAPPING!$V$103)</f>
        <v>0</v>
      </c>
      <c r="M51" s="181">
        <f t="shared" si="2"/>
        <v>0</v>
      </c>
      <c r="O51" s="117" t="s">
        <v>71</v>
      </c>
      <c r="P51" s="64">
        <f>IFERROR(ROUND((CO_PO_PSO_MAPPING!C26*5+CO_PO_PSO_MAPPING!D26*4+CO_PO_PSO_MAPPING!E26*3+CO_PO_PSO_MAPPING!F26*2+CO_PO_PSO_MAPPING!G26*1)/SUM(CO_PO_PSO_MAPPING!C26:G26),2),0)</f>
        <v>0</v>
      </c>
      <c r="Q51" s="64">
        <f>ROUND(P51/CES!$C$82*100,0)</f>
        <v>0</v>
      </c>
    </row>
    <row r="52" spans="2:17" x14ac:dyDescent="0.3">
      <c r="B52" s="182" t="s">
        <v>168</v>
      </c>
      <c r="C52" s="183">
        <f>SUM(C45:C51)</f>
        <v>100</v>
      </c>
      <c r="D52" s="183">
        <f t="shared" ref="D52:L52" si="3">SUM(D45:D51)</f>
        <v>40</v>
      </c>
      <c r="E52" s="183">
        <f t="shared" si="3"/>
        <v>70</v>
      </c>
      <c r="F52" s="183">
        <f t="shared" si="3"/>
        <v>110</v>
      </c>
      <c r="G52" s="183">
        <f t="shared" si="3"/>
        <v>0</v>
      </c>
      <c r="H52" s="183">
        <f t="shared" si="3"/>
        <v>0</v>
      </c>
      <c r="I52" s="183">
        <f t="shared" si="3"/>
        <v>0</v>
      </c>
      <c r="J52" s="183">
        <f t="shared" si="3"/>
        <v>0</v>
      </c>
      <c r="K52" s="183">
        <f t="shared" si="3"/>
        <v>0</v>
      </c>
      <c r="L52" s="183">
        <f t="shared" si="3"/>
        <v>0</v>
      </c>
      <c r="M52" s="183">
        <f t="shared" si="2"/>
        <v>320</v>
      </c>
      <c r="O52" s="117" t="s">
        <v>72</v>
      </c>
      <c r="P52" s="64">
        <f>IFERROR(ROUND((CO_PO_PSO_MAPPING!C27*5+CO_PO_PSO_MAPPING!D27*4+CO_PO_PSO_MAPPING!E27*3+CO_PO_PSO_MAPPING!F27*2+CO_PO_PSO_MAPPING!G27*1)/SUM(CO_PO_PSO_MAPPING!C27:G27),2),0)</f>
        <v>0</v>
      </c>
      <c r="Q52" s="64">
        <f>ROUND(P52/CES!$C$82*100,0)</f>
        <v>0</v>
      </c>
    </row>
    <row r="53" spans="2:17" x14ac:dyDescent="0.3">
      <c r="B53" s="184" t="s">
        <v>169</v>
      </c>
      <c r="C53" s="185">
        <f t="shared" ref="C53:M53" si="4">ROUND(C52/$M$52*100,0)</f>
        <v>31</v>
      </c>
      <c r="D53" s="185">
        <f t="shared" si="4"/>
        <v>13</v>
      </c>
      <c r="E53" s="185">
        <f t="shared" si="4"/>
        <v>22</v>
      </c>
      <c r="F53" s="185">
        <f t="shared" si="4"/>
        <v>34</v>
      </c>
      <c r="G53" s="185">
        <f t="shared" si="4"/>
        <v>0</v>
      </c>
      <c r="H53" s="185">
        <f t="shared" si="4"/>
        <v>0</v>
      </c>
      <c r="I53" s="185">
        <f t="shared" si="4"/>
        <v>0</v>
      </c>
      <c r="J53" s="185">
        <f t="shared" si="4"/>
        <v>0</v>
      </c>
      <c r="K53" s="185">
        <f t="shared" si="4"/>
        <v>0</v>
      </c>
      <c r="L53" s="185">
        <f t="shared" si="4"/>
        <v>0</v>
      </c>
      <c r="M53" s="185">
        <f t="shared" si="4"/>
        <v>100</v>
      </c>
      <c r="O53" s="117" t="s">
        <v>73</v>
      </c>
      <c r="P53" s="64">
        <f>IFERROR(ROUND((CO_PO_PSO_MAPPING!C28*5+CO_PO_PSO_MAPPING!D28*4+CO_PO_PSO_MAPPING!E28*3+CO_PO_PSO_MAPPING!F28*2+CO_PO_PSO_MAPPING!G28*1)/SUM(CO_PO_PSO_MAPPING!C28:G28),2),0)</f>
        <v>0</v>
      </c>
      <c r="Q53" s="64">
        <f>ROUND(P53/CES!$C$82*100,0)</f>
        <v>0</v>
      </c>
    </row>
    <row r="55" spans="2:17" ht="15" thickBot="1" x14ac:dyDescent="0.35"/>
    <row r="56" spans="2:17" ht="29.4" thickBot="1" x14ac:dyDescent="0.35">
      <c r="B56" s="186" t="s">
        <v>170</v>
      </c>
      <c r="C56" s="187" t="s">
        <v>76</v>
      </c>
      <c r="D56" s="187" t="s">
        <v>77</v>
      </c>
      <c r="E56" s="187" t="s">
        <v>78</v>
      </c>
      <c r="F56" s="187" t="s">
        <v>79</v>
      </c>
      <c r="G56" s="187" t="s">
        <v>80</v>
      </c>
      <c r="H56" s="187" t="s">
        <v>81</v>
      </c>
      <c r="I56" s="187" t="s">
        <v>82</v>
      </c>
      <c r="J56" s="187" t="s">
        <v>83</v>
      </c>
      <c r="K56" s="187" t="s">
        <v>84</v>
      </c>
      <c r="L56" s="187" t="s">
        <v>85</v>
      </c>
      <c r="M56" s="187" t="s">
        <v>86</v>
      </c>
      <c r="N56" s="187" t="s">
        <v>87</v>
      </c>
      <c r="O56" s="187" t="s">
        <v>103</v>
      </c>
      <c r="P56" s="187" t="s">
        <v>104</v>
      </c>
      <c r="Q56" s="188" t="s">
        <v>105</v>
      </c>
    </row>
    <row r="57" spans="2:17" ht="47.4" thickBot="1" x14ac:dyDescent="0.35">
      <c r="B57" s="413" t="str">
        <f>CO_PO_PSO_MAPPING!B4</f>
        <v>Understand the foundations, enabling technologies and apply sensors in IoT environment.</v>
      </c>
      <c r="C57" s="209">
        <f>IF(CO_PO_PSO_MAPPING!D4&gt;=1,IF(AND($C$53&lt;=10,$C$53&gt;0),1,IF(AND($C$53&gt;10,$C$53&lt;=20),2,IF($C$53&gt;20,3,""))),"")</f>
        <v>3</v>
      </c>
      <c r="D57" s="209" t="str">
        <f>IF(CO_PO_PSO_MAPPING!E4&gt;=1,IF(AND($C$53&lt;=10,$C$53&gt;0),1,IF(AND($C$53&gt;10,$C$53&lt;=20),2,IF($C$53&gt;20,3,""))),"")</f>
        <v/>
      </c>
      <c r="E57" s="209">
        <f>IF(CO_PO_PSO_MAPPING!F4&gt;=1,IF(AND($C$53&lt;=10,$C$53&gt;0),1,IF(AND($C$53&gt;10,$C$53&lt;=20),2,IF($C$53&gt;20,3,""))),"")</f>
        <v>3</v>
      </c>
      <c r="F57" s="209" t="str">
        <f>IF(CO_PO_PSO_MAPPING!G4&gt;=1,IF(AND($C$53&lt;=10,$C$53&gt;0),1,IF(AND($C$53&gt;10,$C$53&lt;=20),2,IF($C$53&gt;20,3,""))),"")</f>
        <v/>
      </c>
      <c r="G57" s="209" t="str">
        <f>IF(CO_PO_PSO_MAPPING!H4&gt;=1,IF(AND($C$53&lt;=10,$C$53&gt;0),1,IF(AND($C$53&gt;10,$C$53&lt;=20),2,IF($C$53&gt;20,3,""))),"")</f>
        <v/>
      </c>
      <c r="H57" s="209" t="str">
        <f>IF(CO_PO_PSO_MAPPING!I4&gt;=1,IF(AND($C$53&lt;=10,$C$53&gt;0),1,IF(AND($C$53&gt;10,$C$53&lt;=20),2,IF($C$53&gt;20,3,""))),"")</f>
        <v/>
      </c>
      <c r="I57" s="209" t="str">
        <f>IF(CO_PO_PSO_MAPPING!J4&gt;=1,IF(AND($C$53&lt;=10,$C$53&gt;0),1,IF(AND($C$53&gt;10,$C$53&lt;=20),2,IF($C$53&gt;20,3,""))),"")</f>
        <v/>
      </c>
      <c r="J57" s="209" t="str">
        <f>IF(CO_PO_PSO_MAPPING!K4&gt;=1,IF(AND($C$53&lt;=10,$C$53&gt;0),1,IF(AND($C$53&gt;10,$C$53&lt;=20),2,IF($C$53&gt;20,3,""))),"")</f>
        <v/>
      </c>
      <c r="K57" s="209" t="str">
        <f>IF(CO_PO_PSO_MAPPING!L4&gt;=1,IF(AND($C$53&lt;=10,$C$53&gt;0),1,IF(AND($C$53&gt;10,$C$53&lt;=20),2,IF($C$53&gt;20,3,""))),"")</f>
        <v/>
      </c>
      <c r="L57" s="209" t="str">
        <f>IF(CO_PO_PSO_MAPPING!M4&gt;=1,IF(AND($C$53&lt;=10,$C$53&gt;0),1,IF(AND($C$53&gt;10,$C$53&lt;=20),2,IF($C$53&gt;20,3,""))),"")</f>
        <v/>
      </c>
      <c r="M57" s="209" t="str">
        <f>IF(CO_PO_PSO_MAPPING!N4&gt;=1,IF(AND($C$53&lt;=10,$C$53&gt;0),1,IF(AND($C$53&gt;10,$C$53&lt;=20),2,IF($C$53&gt;20,3,""))),"")</f>
        <v/>
      </c>
      <c r="N57" s="209" t="str">
        <f>IF(CO_PO_PSO_MAPPING!O4&gt;=1,IF(AND($C$53&lt;=10,$C$53&gt;0),1,IF(AND($C$53&gt;10,$C$53&lt;=20),2,IF($C$53&gt;20,3,""))),"")</f>
        <v/>
      </c>
      <c r="O57" s="209">
        <f>IF(CO_PO_PSO_MAPPING!P4&gt;=1,IF(AND($C$53&lt;=10,$C$53&gt;0),1,IF(AND($C$53&gt;10,$C$53&lt;=20),2,IF($C$53&gt;20,3,""))),"")</f>
        <v>3</v>
      </c>
      <c r="P57" s="209">
        <f>IF(CO_PO_PSO_MAPPING!Q4&gt;=1,IF(AND($C$53&lt;=10,$C$53&gt;0),1,IF(AND($C$53&gt;10,$C$53&lt;=20),2,IF($C$53&gt;20,3,""))),"")</f>
        <v>3</v>
      </c>
      <c r="Q57" s="209" t="str">
        <f>IF(CO_PO_PSO_MAPPING!R4&gt;=1,IF(AND($C$53&lt;=10,$C$53&gt;0),1,IF(AND($C$53&gt;10,$C$53&lt;=20),2,IF($C$53&gt;20,3,""))),"")</f>
        <v/>
      </c>
    </row>
    <row r="58" spans="2:17" ht="48" customHeight="1" thickBot="1" x14ac:dyDescent="0.35">
      <c r="B58" s="413" t="str">
        <f>CO_PO_PSO_MAPPING!B5</f>
        <v>Utilize Python programming skills to devise an IoT ecosystem employing Raspberry Pi and Arduino.</v>
      </c>
      <c r="C58" s="209">
        <f>IF(CO_PO_PSO_MAPPING!D5&gt;=1,IF(AND($D$53&lt;=10,$D$53&gt;0),1,IF(AND($D$53&gt;10,$D$53&lt;=20),2,IF($D$53&gt;20,3,""))),"")</f>
        <v>2</v>
      </c>
      <c r="D58" s="209" t="str">
        <f>IF(CO_PO_PSO_MAPPING!E5&gt;=1,IF(AND($D$53&lt;=10,$D$53&gt;0),1,IF(AND($D$53&gt;10,$D$53&lt;=20),2,IF($D$53&gt;20,3,""))),"")</f>
        <v/>
      </c>
      <c r="E58" s="209">
        <f>IF(CO_PO_PSO_MAPPING!F5&gt;=1,IF(AND($D$53&lt;=10,$D$53&gt;0),1,IF(AND($D$53&gt;10,$D$53&lt;=20),2,IF($D$53&gt;20,3,""))),"")</f>
        <v>2</v>
      </c>
      <c r="F58" s="209" t="str">
        <f>IF(CO_PO_PSO_MAPPING!G5&gt;=1,IF(AND($D$53&lt;=10,$D$53&gt;0),1,IF(AND($D$53&gt;10,$D$53&lt;=20),2,IF($D$53&gt;20,3,""))),"")</f>
        <v/>
      </c>
      <c r="G58" s="209" t="str">
        <f>IF(CO_PO_PSO_MAPPING!H5&gt;=1,IF(AND($D$53&lt;=10,$D$53&gt;0),1,IF(AND($D$53&gt;10,$D$53&lt;=20),2,IF($D$53&gt;20,3,""))),"")</f>
        <v/>
      </c>
      <c r="H58" s="209" t="str">
        <f>IF(CO_PO_PSO_MAPPING!I5&gt;=1,IF(AND($D$53&lt;=10,$D$53&gt;0),1,IF(AND($D$53&gt;10,$D$53&lt;=20),2,IF($D$53&gt;20,3,""))),"")</f>
        <v/>
      </c>
      <c r="I58" s="209" t="str">
        <f>IF(CO_PO_PSO_MAPPING!J5&gt;=1,IF(AND($D$53&lt;=10,$D$53&gt;0),1,IF(AND($D$53&gt;10,$D$53&lt;=20),2,IF($D$53&gt;20,3,""))),"")</f>
        <v/>
      </c>
      <c r="J58" s="209" t="str">
        <f>IF(CO_PO_PSO_MAPPING!K5&gt;=1,IF(AND($D$53&lt;=10,$D$53&gt;0),1,IF(AND($D$53&gt;10,$D$53&lt;=20),2,IF($D$53&gt;20,3,""))),"")</f>
        <v/>
      </c>
      <c r="K58" s="209" t="str">
        <f>IF(CO_PO_PSO_MAPPING!L5&gt;=1,IF(AND($D$53&lt;=10,$D$53&gt;0),1,IF(AND($D$53&gt;10,$D$53&lt;=20),2,IF($D$53&gt;20,3,""))),"")</f>
        <v/>
      </c>
      <c r="L58" s="209" t="str">
        <f>IF(CO_PO_PSO_MAPPING!M5&gt;=1,IF(AND($D$53&lt;=10,$D$53&gt;0),1,IF(AND($D$53&gt;10,$D$53&lt;=20),2,IF($D$53&gt;20,3,""))),"")</f>
        <v/>
      </c>
      <c r="M58" s="209" t="str">
        <f>IF(CO_PO_PSO_MAPPING!N5&gt;=1,IF(AND($D$53&lt;=10,$D$53&gt;0),1,IF(AND($D$53&gt;10,$D$53&lt;=20),2,IF($D$53&gt;20,3,""))),"")</f>
        <v/>
      </c>
      <c r="N58" s="209" t="str">
        <f>IF(CO_PO_PSO_MAPPING!O5&gt;=1,IF(AND($D$53&lt;=10,$D$53&gt;0),1,IF(AND($D$53&gt;10,$D$53&lt;=20),2,IF($D$53&gt;20,3,""))),"")</f>
        <v/>
      </c>
      <c r="O58" s="209">
        <f>IF(CO_PO_PSO_MAPPING!P5&gt;=1,IF(AND($D$53&lt;=10,$D$53&gt;0),1,IF(AND($D$53&gt;10,$D$53&lt;=20),2,IF($D$53&gt;20,3,""))),"")</f>
        <v>2</v>
      </c>
      <c r="P58" s="209">
        <f>IF(CO_PO_PSO_MAPPING!Q5&gt;=1,IF(AND($D$53&lt;=10,$D$53&gt;0),1,IF(AND($D$53&gt;10,$D$53&lt;=20),2,IF($D$53&gt;20,3,""))),"")</f>
        <v>2</v>
      </c>
      <c r="Q58" s="209" t="str">
        <f>IF(CO_PO_PSO_MAPPING!R5&gt;=1,IF(AND($D$53&lt;=10,$D$53&gt;0),1,IF(AND($D$53&gt;10,$D$53&lt;=20),2,IF($D$53&gt;20,3,""))),"")</f>
        <v/>
      </c>
    </row>
    <row r="59" spans="2:17" ht="86.25" customHeight="1" thickBot="1" x14ac:dyDescent="0.35">
      <c r="B59" s="413" t="str">
        <f>CO_PO_PSO_MAPPING!B6</f>
        <v>Analyze the architecture and role of physical and cloud servers in IoT environment</v>
      </c>
      <c r="C59" s="209" t="str">
        <f>IF(CO_PO_PSO_MAPPING!D6&gt;=1,IF(AND($E$53&lt;=10,$E$53&gt;0),1,IF(AND($E$53&gt;10,$E$53&lt;=20),2,IF($E$53&gt;20,3,""))),"")</f>
        <v/>
      </c>
      <c r="D59" s="209">
        <f>IF(CO_PO_PSO_MAPPING!E6&gt;=1,IF(AND($E$53&lt;=10,$E$53&gt;0),1,IF(AND($E$53&gt;10,$E$53&lt;=20),2,IF($E$53&gt;20,3,""))),"")</f>
        <v>3</v>
      </c>
      <c r="E59" s="209" t="str">
        <f>IF(CO_PO_PSO_MAPPING!F6&gt;=1,IF(AND($E$53&lt;=10,$E$53&gt;0),1,IF(AND($E$53&gt;10,$E$53&lt;=20),2,IF($E$53&gt;20,3,""))),"")</f>
        <v/>
      </c>
      <c r="F59" s="209">
        <f>IF(CO_PO_PSO_MAPPING!G6&gt;=1,IF(AND($E$53&lt;=10,$E$53&gt;0),1,IF(AND($E$53&gt;10,$E$53&lt;=20),2,IF($E$53&gt;20,3,""))),"")</f>
        <v>3</v>
      </c>
      <c r="G59" s="209">
        <f>IF(CO_PO_PSO_MAPPING!H6&gt;=1,IF(AND($E$53&lt;=10,$E$53&gt;0),1,IF(AND($E$53&gt;10,$E$53&lt;=20),2,IF($E$53&gt;20,3,""))),"")</f>
        <v>3</v>
      </c>
      <c r="H59" s="209" t="str">
        <f>IF(CO_PO_PSO_MAPPING!I6&gt;=1,IF(AND($E$53&lt;=10,$E$53&gt;0),1,IF(AND($E$53&gt;10,$E$53&lt;=20),2,IF($E$53&gt;20,3,""))),"")</f>
        <v/>
      </c>
      <c r="I59" s="209" t="str">
        <f>IF(CO_PO_PSO_MAPPING!J6&gt;=1,IF(AND($E$53&lt;=10,$E$53&gt;0),1,IF(AND($E$53&gt;10,$E$53&lt;=20),2,IF($E$53&gt;20,3,""))),"")</f>
        <v/>
      </c>
      <c r="J59" s="209">
        <f>IF(CO_PO_PSO_MAPPING!K6&gt;=1,IF(AND($E$53&lt;=10,$E$53&gt;0),1,IF(AND($E$53&gt;10,$E$53&lt;=20),2,IF($E$53&gt;20,3,""))),"")</f>
        <v>3</v>
      </c>
      <c r="K59" s="209">
        <f>IF(CO_PO_PSO_MAPPING!L6&gt;=1,IF(AND($E$53&lt;=10,$E$53&gt;0),1,IF(AND($E$53&gt;10,$E$53&lt;=20),2,IF($E$53&gt;20,3,""))),"")</f>
        <v>3</v>
      </c>
      <c r="L59" s="209" t="str">
        <f>IF(CO_PO_PSO_MAPPING!M6&gt;=1,IF(AND($E$53&lt;=10,$E$53&gt;0),1,IF(AND($E$53&gt;10,$E$53&lt;=20),2,IF($E$53&gt;20,3,""))),"")</f>
        <v/>
      </c>
      <c r="M59" s="209" t="str">
        <f>IF(CO_PO_PSO_MAPPING!N6&gt;=1,IF(AND($E$53&lt;=10,$E$53&gt;0),1,IF(AND($E$53&gt;10,$E$53&lt;=20),2,IF($E$53&gt;20,3,""))),"")</f>
        <v/>
      </c>
      <c r="N59" s="209">
        <v>2</v>
      </c>
      <c r="O59" s="209">
        <v>1</v>
      </c>
      <c r="P59" s="209">
        <f>IF(CO_PO_PSO_MAPPING!Q6&gt;=1,IF(AND($E$53&lt;=10,$E$53&gt;0),1,IF(AND($E$53&gt;10,$E$53&lt;=20),2,IF($E$53&gt;20,3,""))),"")</f>
        <v>3</v>
      </c>
      <c r="Q59" s="209">
        <f>IF(CO_PO_PSO_MAPPING!R6&gt;=1,IF(AND($E$53&lt;=10,$E$53&gt;0),1,IF(AND($E$53&gt;10,$E$53&lt;=20),2,IF($E$53&gt;20,3,""))),"")</f>
        <v>3</v>
      </c>
    </row>
    <row r="60" spans="2:17" ht="46.5" customHeight="1" thickBot="1" x14ac:dyDescent="0.35">
      <c r="B60" s="413" t="str">
        <f>CO_PO_PSO_MAPPING!B7</f>
        <v>Analyze the vulnerabilities and security challenges in IoT</v>
      </c>
      <c r="C60" s="209" t="str">
        <f>IF(CO_PO_PSO_MAPPING!D7&gt;=1,IF(AND($F$53&lt;=10,$F$53&gt;0),1,IF(AND($F$53&gt;10,$F$53&lt;=20),2,IF($F$53&gt;20,3,""))),"")</f>
        <v/>
      </c>
      <c r="D60" s="209">
        <f>IF(CO_PO_PSO_MAPPING!E7&gt;=1,IF(AND($F$53&lt;=10,$F$53&gt;0),1,IF(AND($F$53&gt;10,$F$53&lt;=20),2,IF($F$53&gt;20,3,""))),"")</f>
        <v>3</v>
      </c>
      <c r="E60" s="209" t="str">
        <f>IF(CO_PO_PSO_MAPPING!F7&gt;=1,IF(AND($F$53&lt;=10,$F$53&gt;0),1,IF(AND($F$53&gt;10,$F$53&lt;=20),2,IF($F$53&gt;20,3,""))),"")</f>
        <v/>
      </c>
      <c r="F60" s="209"/>
      <c r="G60" s="209">
        <f>IF(CO_PO_PSO_MAPPING!H7&gt;=1,IF(AND($F$53&lt;=10,$F$53&gt;0),1,IF(AND($F$53&gt;10,$F$53&lt;=20),2,IF($F$53&gt;20,3,""))),"")</f>
        <v>3</v>
      </c>
      <c r="H60" s="209" t="str">
        <f>IF(CO_PO_PSO_MAPPING!I7&gt;=1,IF(AND($F$53&lt;=10,$F$53&gt;0),1,IF(AND($F$53&gt;10,$F$53&lt;=20),2,IF($F$53&gt;20,3,""))),"")</f>
        <v/>
      </c>
      <c r="I60" s="209">
        <f>IF(CO_PO_PSO_MAPPING!J7&gt;=1,IF(AND($F$53&lt;=10,$F$53&gt;0),1,IF(AND($F$53&gt;10,$F$53&lt;=20),2,IF($F$53&gt;20,3,""))),"")</f>
        <v>3</v>
      </c>
      <c r="J60" s="209" t="str">
        <f>IF(CO_PO_PSO_MAPPING!K7&gt;=1,IF(AND($F$53&lt;=10,$F$53&gt;0),1,IF(AND($F$53&gt;10,$F$53&lt;=20),2,IF($F$53&gt;20,3,""))),"")</f>
        <v/>
      </c>
      <c r="K60" s="209">
        <f>IF(CO_PO_PSO_MAPPING!L7&gt;=1,IF(AND($F$53&lt;=10,$F$53&gt;0),1,IF(AND($F$53&gt;10,$F$53&lt;=20),2,IF($F$53&gt;20,3,""))),"")</f>
        <v>3</v>
      </c>
      <c r="L60" s="209" t="str">
        <f>IF(CO_PO_PSO_MAPPING!M7&gt;=1,IF(AND($F$53&lt;=10,$F$53&gt;0),1,IF(AND($F$53&gt;10,$F$53&lt;=20),2,IF($F$53&gt;20,3,""))),"")</f>
        <v/>
      </c>
      <c r="M60" s="209" t="str">
        <f>IF(CO_PO_PSO_MAPPING!N7&gt;=1,IF(AND($F$53&lt;=10,$F$53&gt;0),1,IF(AND($F$53&gt;10,$F$53&lt;=20),2,IF($F$53&gt;20,3,""))),"")</f>
        <v/>
      </c>
      <c r="N60" s="209">
        <f>IF(CO_PO_PSO_MAPPING!O7&gt;=1,IF(AND($F$53&lt;=10,$F$53&gt;0),1,IF(AND($F$53&gt;10,$F$53&lt;=20),2,IF($F$53&gt;20,3,""))),"")</f>
        <v>3</v>
      </c>
      <c r="O60" s="209">
        <f>IF(CO_PO_PSO_MAPPING!P7&gt;=1,IF(AND($F$53&lt;=10,$F$53&gt;0),1,IF(AND($F$53&gt;10,$F$53&lt;=20),2,IF($F$53&gt;20,3,""))),"")</f>
        <v>3</v>
      </c>
      <c r="P60" s="209">
        <f>IF(CO_PO_PSO_MAPPING!Q7&gt;=1,IF(AND($F$53&lt;=10,$F$53&gt;0),1,IF(AND($F$53&gt;10,$F$53&lt;=20),2,IF($F$53&gt;20,3,""))),"")</f>
        <v>3</v>
      </c>
      <c r="Q60" s="209">
        <f>IF(CO_PO_PSO_MAPPING!R7&gt;=1,IF(AND($F$53&lt;=10,$F$53&gt;0),1,IF(AND($F$53&gt;10,$F$53&lt;=20),2,IF($F$53&gt;20,3,""))),"")</f>
        <v>3</v>
      </c>
    </row>
    <row r="61" spans="2:17" ht="21" thickBot="1" x14ac:dyDescent="0.35">
      <c r="B61" s="413">
        <f>CO_PO_PSO_MAPPING!B8</f>
        <v>0</v>
      </c>
      <c r="C61" s="209" t="str">
        <f>IF(CO_PO_PSO_MAPPING!D8&gt;=1,IF(AND($G$53&lt;=10,$G$53&gt;0),1,IF(AND($G$53&gt;10,$G$53&lt;=20),2,IF($G$53&gt;20,3,""))),"")</f>
        <v/>
      </c>
      <c r="D61" s="209" t="str">
        <f>IF(CO_PO_PSO_MAPPING!E8&gt;=1,IF(AND($G$53&lt;=10,$G$53&gt;0),1,IF(AND($G$53&gt;10,$G$53&lt;=20),2,IF($G$53&gt;20,3,""))),"")</f>
        <v/>
      </c>
      <c r="E61" s="209" t="str">
        <f>IF(CO_PO_PSO_MAPPING!F8&gt;=1,IF(AND($G$53&lt;=10,$G$53&gt;0),1,IF(AND($G$53&gt;10,$G$53&lt;=20),2,IF($G$53&gt;20,3,""))),"")</f>
        <v/>
      </c>
      <c r="F61" s="209" t="str">
        <f>IF(CO_PO_PSO_MAPPING!G8&gt;=1,IF(AND($G$53&lt;=10,$G$53&gt;0),1,IF(AND($G$53&gt;10,$G$53&lt;=20),2,IF($G$53&gt;20,3,""))),"")</f>
        <v/>
      </c>
      <c r="G61" s="209" t="str">
        <f>IF(CO_PO_PSO_MAPPING!H8&gt;=1,IF(AND($G$53&lt;=10,$G$53&gt;0),1,IF(AND($G$53&gt;10,$G$53&lt;=20),2,IF($G$53&gt;20,3,""))),"")</f>
        <v/>
      </c>
      <c r="H61" s="209" t="str">
        <f>IF(CO_PO_PSO_MAPPING!I8&gt;=1,IF(AND($G$53&lt;=10,$G$53&gt;0),1,IF(AND($G$53&gt;10,$G$53&lt;=20),2,IF($G$53&gt;20,3,""))),"")</f>
        <v/>
      </c>
      <c r="I61" s="209" t="str">
        <f>IF(CO_PO_PSO_MAPPING!J8&gt;=1,IF(AND($G$53&lt;=10,$G$53&gt;0),1,IF(AND($G$53&gt;10,$G$53&lt;=20),2,IF($G$53&gt;20,3,""))),"")</f>
        <v/>
      </c>
      <c r="J61" s="209" t="str">
        <f>IF(CO_PO_PSO_MAPPING!K8&gt;=1,IF(AND($G$53&lt;=10,$G$53&gt;0),1,IF(AND($G$53&gt;10,$G$53&lt;=20),2,IF($G$53&gt;20,3,""))),"")</f>
        <v/>
      </c>
      <c r="K61" s="209" t="str">
        <f>IF(CO_PO_PSO_MAPPING!L8&gt;=1,IF(AND($G$53&lt;=10,$G$53&gt;0),1,IF(AND($G$53&gt;10,$G$53&lt;=20),2,IF($G$53&gt;20,3,""))),"")</f>
        <v/>
      </c>
      <c r="L61" s="209" t="str">
        <f>IF(CO_PO_PSO_MAPPING!M8&gt;=1,IF(AND($G$53&lt;=10,$G$53&gt;0),1,IF(AND($G$53&gt;10,$G$53&lt;=20),2,IF($G$53&gt;20,3,""))),"")</f>
        <v/>
      </c>
      <c r="M61" s="209" t="str">
        <f>IF(CO_PO_PSO_MAPPING!N8&gt;=1,IF(AND($G$53&lt;=10,$G$53&gt;0),1,IF(AND($G$53&gt;10,$G$53&lt;=20),2,IF($G$53&gt;20,3,""))),"")</f>
        <v/>
      </c>
      <c r="N61" s="209" t="str">
        <f>IF(CO_PO_PSO_MAPPING!O8&gt;=1,IF(AND($G$53&lt;=10,$G$53&gt;0),1,IF(AND($G$53&gt;10,$G$53&lt;=20),2,IF($G$53&gt;20,3,""))),"")</f>
        <v/>
      </c>
      <c r="O61" s="209" t="str">
        <f>IF(CO_PO_PSO_MAPPING!P8&gt;=1,IF(AND($G$53&lt;=10,$G$53&gt;0),1,IF(AND($G$53&gt;10,$G$53&lt;=20),2,IF($G$53&gt;20,3,""))),"")</f>
        <v/>
      </c>
      <c r="P61" s="209" t="str">
        <f>IF(CO_PO_PSO_MAPPING!Q8&gt;=1,IF(AND($G$53&lt;=10,$G$53&gt;0),1,IF(AND($G$53&gt;10,$G$53&lt;=20),2,IF($G$53&gt;20,3,""))),"")</f>
        <v/>
      </c>
      <c r="Q61" s="209" t="str">
        <f>IF(CO_PO_PSO_MAPPING!R8&gt;=1,IF(AND($G$53&lt;=10,$G$53&gt;0),1,IF(AND($G$53&gt;10,$G$53&lt;=20),2,IF($G$53&gt;20,3,""))),"")</f>
        <v/>
      </c>
    </row>
    <row r="62" spans="2:17" ht="21" thickBot="1" x14ac:dyDescent="0.35">
      <c r="B62" s="413">
        <f>CO_PO_PSO_MAPPING!B9</f>
        <v>0</v>
      </c>
      <c r="C62" s="209" t="str">
        <f>IF(CO_PO_PSO_MAPPING!D9&gt;=1,IF(AND($H$53&lt;=10,$H$53&gt;0),1,IF(AND($H$53&gt;10,$H$53&lt;=20),2,IF($H$53&gt;20,3,""))),"")</f>
        <v/>
      </c>
      <c r="D62" s="209" t="str">
        <f>IF(CO_PO_PSO_MAPPING!E9&gt;=1,IF(AND($H$53&lt;=10,$H$53&gt;0),1,IF(AND($H$53&gt;10,$H$53&lt;=20),2,IF($H$53&gt;20,3,""))),"")</f>
        <v/>
      </c>
      <c r="E62" s="209" t="str">
        <f>IF(CO_PO_PSO_MAPPING!F9&gt;=1,IF(AND($H$53&lt;=10,$H$53&gt;0),1,IF(AND($H$53&gt;10,$H$53&lt;=20),2,IF($H$53&gt;20,3,""))),"")</f>
        <v/>
      </c>
      <c r="F62" s="209" t="str">
        <f>IF(CO_PO_PSO_MAPPING!G9&gt;=1,IF(AND($H$53&lt;=10,$H$53&gt;0),1,IF(AND($H$53&gt;10,$H$53&lt;=20),2,IF($H$53&gt;20,3,""))),"")</f>
        <v/>
      </c>
      <c r="G62" s="209" t="str">
        <f>IF(CO_PO_PSO_MAPPING!H9&gt;=1,IF(AND($H$53&lt;=10,$H$53&gt;0),1,IF(AND($H$53&gt;10,$H$53&lt;=20),2,IF($H$53&gt;20,3,""))),"")</f>
        <v/>
      </c>
      <c r="H62" s="209" t="str">
        <f>IF(CO_PO_PSO_MAPPING!I9&gt;=1,IF(AND($H$53&lt;=10,$H$53&gt;0),1,IF(AND($H$53&gt;10,$H$53&lt;=20),2,IF($H$53&gt;20,3,""))),"")</f>
        <v/>
      </c>
      <c r="I62" s="209" t="str">
        <f>IF(CO_PO_PSO_MAPPING!J9&gt;=1,IF(AND($H$53&lt;=10,$H$53&gt;0),1,IF(AND($H$53&gt;10,$H$53&lt;=20),2,IF($H$53&gt;20,3,""))),"")</f>
        <v/>
      </c>
      <c r="J62" s="209" t="str">
        <f>IF(CO_PO_PSO_MAPPING!K9&gt;=1,IF(AND($H$53&lt;=10,$H$53&gt;0),1,IF(AND($H$53&gt;10,$H$53&lt;=20),2,IF($H$53&gt;20,3,""))),"")</f>
        <v/>
      </c>
      <c r="K62" s="209" t="str">
        <f>IF(CO_PO_PSO_MAPPING!L9&gt;=1,IF(AND($H$53&lt;=10,$H$53&gt;0),1,IF(AND($H$53&gt;10,$H$53&lt;=20),2,IF($H$53&gt;20,3,""))),"")</f>
        <v/>
      </c>
      <c r="L62" s="209" t="str">
        <f>IF(CO_PO_PSO_MAPPING!M9&gt;=1,IF(AND($H$53&lt;=10,$H$53&gt;0),1,IF(AND($H$53&gt;10,$H$53&lt;=20),2,IF($H$53&gt;20,3,""))),"")</f>
        <v/>
      </c>
      <c r="M62" s="209" t="str">
        <f>IF(CO_PO_PSO_MAPPING!N9&gt;=1,IF(AND($H$53&lt;=10,$H$53&gt;0),1,IF(AND($H$53&gt;10,$H$53&lt;=20),2,IF($H$53&gt;20,3,""))),"")</f>
        <v/>
      </c>
      <c r="N62" s="209" t="str">
        <f>IF(CO_PO_PSO_MAPPING!O9&gt;=1,IF(AND($H$53&lt;=10,$H$53&gt;0),1,IF(AND($H$53&gt;10,$H$53&lt;=20),2,IF($H$53&gt;20,3,""))),"")</f>
        <v/>
      </c>
      <c r="O62" s="209" t="str">
        <f>IF(CO_PO_PSO_MAPPING!P9&gt;=1,IF(AND($H$53&lt;=10,$H$53&gt;0),1,IF(AND($H$53&gt;10,$H$53&lt;=20),2,IF($H$53&gt;20,3,""))),"")</f>
        <v/>
      </c>
      <c r="P62" s="209" t="str">
        <f>IF(CO_PO_PSO_MAPPING!Q9&gt;=1,IF(AND($H$53&lt;=10,$H$53&gt;0),1,IF(AND($H$53&gt;10,$H$53&lt;=20),2,IF($H$53&gt;20,3,""))),"")</f>
        <v/>
      </c>
      <c r="Q62" s="209" t="str">
        <f>IF(CO_PO_PSO_MAPPING!R9&gt;=1,IF(AND($H$53&lt;=10,$H$53&gt;0),1,IF(AND($H$53&gt;10,$H$53&lt;=20),2,IF($H$53&gt;20,3,""))),"")</f>
        <v/>
      </c>
    </row>
    <row r="63" spans="2:17" ht="21" thickBot="1" x14ac:dyDescent="0.35">
      <c r="B63" s="413" t="str">
        <f>CO_PO_PSO_MAPPING!B10</f>
        <v>CO7</v>
      </c>
      <c r="C63" s="209" t="str">
        <f>IF(CO_PO_PSO_MAPPING!D10&gt;=1,IF(AND($I$53&lt;=10,$I$53&gt;0),1,IF(AND($I$53&gt;10,$I$53&lt;=20),2,IF($I$53&gt;20,3,""))),"")</f>
        <v/>
      </c>
      <c r="D63" s="209" t="str">
        <f>IF(CO_PO_PSO_MAPPING!E10&gt;=1,IF(AND($I$53&lt;=10,$I$53&gt;0),1,IF(AND($I$53&gt;10,$I$53&lt;=20),2,IF($I$53&gt;20,3,""))),"")</f>
        <v/>
      </c>
      <c r="E63" s="209" t="str">
        <f>IF(CO_PO_PSO_MAPPING!F10&gt;=1,IF(AND($I$53&lt;=10,$I$53&gt;0),1,IF(AND($I$53&gt;10,$I$53&lt;=20),2,IF($I$53&gt;20,3,""))),"")</f>
        <v/>
      </c>
      <c r="F63" s="209" t="str">
        <f>IF(CO_PO_PSO_MAPPING!G10&gt;=1,IF(AND($I$53&lt;=10,$I$53&gt;0),1,IF(AND($I$53&gt;10,$I$53&lt;=20),2,IF($I$53&gt;20,3,""))),"")</f>
        <v/>
      </c>
      <c r="G63" s="209" t="str">
        <f>IF(CO_PO_PSO_MAPPING!H10&gt;=1,IF(AND($I$53&lt;=10,$I$53&gt;0),1,IF(AND($I$53&gt;10,$I$53&lt;=20),2,IF($I$53&gt;20,3,""))),"")</f>
        <v/>
      </c>
      <c r="H63" s="209" t="str">
        <f>IF(CO_PO_PSO_MAPPING!I10&gt;=1,IF(AND($I$53&lt;=10,$I$53&gt;0),1,IF(AND($I$53&gt;10,$I$53&lt;=20),2,IF($I$53&gt;20,3,""))),"")</f>
        <v/>
      </c>
      <c r="I63" s="209" t="str">
        <f>IF(CO_PO_PSO_MAPPING!J10&gt;=1,IF(AND($I$53&lt;=10,$I$53&gt;0),1,IF(AND($I$53&gt;10,$I$53&lt;=20),2,IF($I$53&gt;20,3,""))),"")</f>
        <v/>
      </c>
      <c r="J63" s="209" t="str">
        <f>IF(CO_PO_PSO_MAPPING!K10&gt;=1,IF(AND($I$53&lt;=10,$I$53&gt;0),1,IF(AND($I$53&gt;10,$I$53&lt;=20),2,IF($I$53&gt;20,3,""))),"")</f>
        <v/>
      </c>
      <c r="K63" s="209" t="str">
        <f>IF(CO_PO_PSO_MAPPING!L10&gt;=1,IF(AND($I$53&lt;=10,$I$53&gt;0),1,IF(AND($I$53&gt;10,$I$53&lt;=20),2,IF($I$53&gt;20,3,""))),"")</f>
        <v/>
      </c>
      <c r="L63" s="209" t="str">
        <f>IF(CO_PO_PSO_MAPPING!M10&gt;=1,IF(AND($I$53&lt;=10,$I$53&gt;0),1,IF(AND($I$53&gt;10,$I$53&lt;=20),2,IF($I$53&gt;20,3,""))),"")</f>
        <v/>
      </c>
      <c r="M63" s="209" t="str">
        <f>IF(CO_PO_PSO_MAPPING!N10&gt;=1,IF(AND($I$53&lt;=10,$I$53&gt;0),1,IF(AND($I$53&gt;10,$I$53&lt;=20),2,IF($I$53&gt;20,3,""))),"")</f>
        <v/>
      </c>
      <c r="N63" s="209" t="str">
        <f>IF(CO_PO_PSO_MAPPING!O10&gt;=1,IF(AND($I$53&lt;=10,$I$53&gt;0),1,IF(AND($I$53&gt;10,$I$53&lt;=20),2,IF($I$53&gt;20,3,""))),"")</f>
        <v/>
      </c>
      <c r="O63" s="209" t="str">
        <f>IF(CO_PO_PSO_MAPPING!P10&gt;=1,IF(AND($I$53&lt;=10,$I$53&gt;0),1,IF(AND($I$53&gt;10,$I$53&lt;=20),2,IF($I$53&gt;20,3,""))),"")</f>
        <v/>
      </c>
      <c r="P63" s="209" t="str">
        <f>IF(CO_PO_PSO_MAPPING!Q10&gt;=1,IF(AND($I$53&lt;=10,$I$53&gt;0),1,IF(AND($I$53&gt;10,$I$53&lt;=20),2,IF($I$53&gt;20,3,""))),"")</f>
        <v/>
      </c>
      <c r="Q63" s="209" t="str">
        <f>IF(CO_PO_PSO_MAPPING!R10&gt;=1,IF(AND($I$53&lt;=10,$I$53&gt;0),1,IF(AND($I$53&gt;10,$I$53&lt;=20),2,IF($I$53&gt;20,3,""))),"")</f>
        <v/>
      </c>
    </row>
    <row r="64" spans="2:17" ht="21" thickBot="1" x14ac:dyDescent="0.35">
      <c r="B64" s="413" t="str">
        <f>CO_PO_PSO_MAPPING!B11</f>
        <v>CO8</v>
      </c>
      <c r="C64" s="209" t="str">
        <f>IF(CO_PO_PSO_MAPPING!D11&gt;=1,IF(AND($J$53&lt;=10,$J$53&gt;0),1,IF(AND($J$53&gt;10,$J$53&lt;=20),2,IF($J$53&gt;20,3,""))),"")</f>
        <v/>
      </c>
      <c r="D64" s="209" t="str">
        <f>IF(CO_PO_PSO_MAPPING!E11&gt;=1,IF(AND($J$53&lt;=10,$J$53&gt;0),1,IF(AND($J$53&gt;10,$J$53&lt;=20),2,IF($J$53&gt;20,3,""))),"")</f>
        <v/>
      </c>
      <c r="E64" s="209" t="str">
        <f>IF(CO_PO_PSO_MAPPING!F11&gt;=1,IF(AND($J$53&lt;=10,$J$53&gt;0),1,IF(AND($J$53&gt;10,$J$53&lt;=20),2,IF($J$53&gt;20,3,""))),"")</f>
        <v/>
      </c>
      <c r="F64" s="209" t="str">
        <f>IF(CO_PO_PSO_MAPPING!G11&gt;=1,IF(AND($J$53&lt;=10,$J$53&gt;0),1,IF(AND($J$53&gt;10,$J$53&lt;=20),2,IF($J$53&gt;20,3,""))),"")</f>
        <v/>
      </c>
      <c r="G64" s="209" t="str">
        <f>IF(CO_PO_PSO_MAPPING!H11&gt;=1,IF(AND($J$53&lt;=10,$J$53&gt;0),1,IF(AND($J$53&gt;10,$J$53&lt;=20),2,IF($J$53&gt;20,3,""))),"")</f>
        <v/>
      </c>
      <c r="H64" s="209" t="str">
        <f>IF(CO_PO_PSO_MAPPING!I11&gt;=1,IF(AND($J$53&lt;=10,$J$53&gt;0),1,IF(AND($J$53&gt;10,$J$53&lt;=20),2,IF($J$53&gt;20,3,""))),"")</f>
        <v/>
      </c>
      <c r="I64" s="209" t="str">
        <f>IF(CO_PO_PSO_MAPPING!J11&gt;=1,IF(AND($J$53&lt;=10,$J$53&gt;0),1,IF(AND($J$53&gt;10,$J$53&lt;=20),2,IF($J$53&gt;20,3,""))),"")</f>
        <v/>
      </c>
      <c r="J64" s="209" t="str">
        <f>IF(CO_PO_PSO_MAPPING!K11&gt;=1,IF(AND($J$53&lt;=10,$J$53&gt;0),1,IF(AND($J$53&gt;10,$J$53&lt;=20),2,IF($J$53&gt;20,3,""))),"")</f>
        <v/>
      </c>
      <c r="K64" s="209" t="str">
        <f>IF(CO_PO_PSO_MAPPING!L11&gt;=1,IF(AND($J$53&lt;=10,$J$53&gt;0),1,IF(AND($J$53&gt;10,$J$53&lt;=20),2,IF($J$53&gt;20,3,""))),"")</f>
        <v/>
      </c>
      <c r="L64" s="209" t="str">
        <f>IF(CO_PO_PSO_MAPPING!M11&gt;=1,IF(AND($J$53&lt;=10,$J$53&gt;0),1,IF(AND($J$53&gt;10,$J$53&lt;=20),2,IF($J$53&gt;20,3,""))),"")</f>
        <v/>
      </c>
      <c r="M64" s="209" t="str">
        <f>IF(CO_PO_PSO_MAPPING!N11&gt;=1,IF(AND($J$53&lt;=10,$J$53&gt;0),1,IF(AND($J$53&gt;10,$J$53&lt;=20),2,IF($J$53&gt;20,3,""))),"")</f>
        <v/>
      </c>
      <c r="N64" s="209" t="str">
        <f>IF(CO_PO_PSO_MAPPING!O11&gt;=1,IF(AND($J$53&lt;=10,$J$53&gt;0),1,IF(AND($J$53&gt;10,$J$53&lt;=20),2,IF($J$53&gt;20,3,""))),"")</f>
        <v/>
      </c>
      <c r="O64" s="209" t="str">
        <f>IF(CO_PO_PSO_MAPPING!P11&gt;=1,IF(AND($J$53&lt;=10,$J$53&gt;0),1,IF(AND($J$53&gt;10,$J$53&lt;=20),2,IF($J$53&gt;20,3,""))),"")</f>
        <v/>
      </c>
      <c r="P64" s="209" t="str">
        <f>IF(CO_PO_PSO_MAPPING!Q11&gt;=1,IF(AND($J$53&lt;=10,$J$53&gt;0),1,IF(AND($J$53&gt;10,$J$53&lt;=20),2,IF($J$53&gt;20,3,""))),"")</f>
        <v/>
      </c>
      <c r="Q64" s="209" t="str">
        <f>IF(CO_PO_PSO_MAPPING!R11&gt;=1,IF(AND($J$53&lt;=10,$J$53&gt;0),1,IF(AND($J$53&gt;10,$J$53&lt;=20),2,IF($J$53&gt;20,3,""))),"")</f>
        <v/>
      </c>
    </row>
    <row r="65" spans="2:22" ht="21" thickBot="1" x14ac:dyDescent="0.35">
      <c r="B65" s="413" t="str">
        <f>CO_PO_PSO_MAPPING!B12</f>
        <v>CO9</v>
      </c>
      <c r="C65" s="209" t="str">
        <f>IF(CO_PO_PSO_MAPPING!D12&gt;=1,IF(AND($K$53&lt;=10,$K$53&gt;0),1,IF(AND($K$53&gt;10,$K$53&lt;=20),2,IF($K$53&gt;20,3,""))),"")</f>
        <v/>
      </c>
      <c r="D65" s="209" t="str">
        <f>IF(CO_PO_PSO_MAPPING!E12&gt;=1,IF(AND($K$53&lt;=10,$K$53&gt;0),1,IF(AND($K$53&gt;10,$K$53&lt;=20),2,IF($K$53&gt;20,3,""))),"")</f>
        <v/>
      </c>
      <c r="E65" s="209" t="str">
        <f>IF(CO_PO_PSO_MAPPING!F12&gt;=1,IF(AND($K$53&lt;=10,$K$53&gt;0),1,IF(AND($K$53&gt;10,$K$53&lt;=20),2,IF($K$53&gt;20,3,""))),"")</f>
        <v/>
      </c>
      <c r="F65" s="209" t="str">
        <f>IF(CO_PO_PSO_MAPPING!G12&gt;=1,IF(AND($K$53&lt;=10,$K$53&gt;0),1,IF(AND($K$53&gt;10,$K$53&lt;=20),2,IF($K$53&gt;20,3,""))),"")</f>
        <v/>
      </c>
      <c r="G65" s="209" t="str">
        <f>IF(CO_PO_PSO_MAPPING!H12&gt;=1,IF(AND($K$53&lt;=10,$K$53&gt;0),1,IF(AND($K$53&gt;10,$K$53&lt;=20),2,IF($K$53&gt;20,3,""))),"")</f>
        <v/>
      </c>
      <c r="H65" s="209" t="str">
        <f>IF(CO_PO_PSO_MAPPING!I12&gt;=1,IF(AND($K$53&lt;=10,$K$53&gt;0),1,IF(AND($K$53&gt;10,$K$53&lt;=20),2,IF($K$53&gt;20,3,""))),"")</f>
        <v/>
      </c>
      <c r="I65" s="209" t="str">
        <f>IF(CO_PO_PSO_MAPPING!J12&gt;=1,IF(AND($K$53&lt;=10,$K$53&gt;0),1,IF(AND($K$53&gt;10,$K$53&lt;=20),2,IF($K$53&gt;20,3,""))),"")</f>
        <v/>
      </c>
      <c r="J65" s="209" t="str">
        <f>IF(CO_PO_PSO_MAPPING!K12&gt;=1,IF(AND($K$53&lt;=10,$K$53&gt;0),1,IF(AND($K$53&gt;10,$K$53&lt;=20),2,IF($K$53&gt;20,3,""))),"")</f>
        <v/>
      </c>
      <c r="K65" s="209" t="str">
        <f>IF(CO_PO_PSO_MAPPING!L12&gt;=1,IF(AND($K$53&lt;=10,$K$53&gt;0),1,IF(AND($K$53&gt;10,$K$53&lt;=20),2,IF($K$53&gt;20,3,""))),"")</f>
        <v/>
      </c>
      <c r="L65" s="209" t="str">
        <f>IF(CO_PO_PSO_MAPPING!M12&gt;=1,IF(AND($K$53&lt;=10,$K$53&gt;0),1,IF(AND($K$53&gt;10,$K$53&lt;=20),2,IF($K$53&gt;20,3,""))),"")</f>
        <v/>
      </c>
      <c r="M65" s="209" t="str">
        <f>IF(CO_PO_PSO_MAPPING!N12&gt;=1,IF(AND($K$53&lt;=10,$K$53&gt;0),1,IF(AND($K$53&gt;10,$K$53&lt;=20),2,IF($K$53&gt;20,3,""))),"")</f>
        <v/>
      </c>
      <c r="N65" s="209" t="str">
        <f>IF(CO_PO_PSO_MAPPING!O12&gt;=1,IF(AND($K$53&lt;=10,$K$53&gt;0),1,IF(AND($K$53&gt;10,$K$53&lt;=20),2,IF($K$53&gt;20,3,""))),"")</f>
        <v/>
      </c>
      <c r="O65" s="209" t="str">
        <f>IF(CO_PO_PSO_MAPPING!P12&gt;=1,IF(AND($K$53&lt;=10,$K$53&gt;0),1,IF(AND($K$53&gt;10,$K$53&lt;=20),2,IF($K$53&gt;20,3,""))),"")</f>
        <v/>
      </c>
      <c r="P65" s="209" t="str">
        <f>IF(CO_PO_PSO_MAPPING!Q12&gt;=1,IF(AND($K$53&lt;=10,$K$53&gt;0),1,IF(AND($K$53&gt;10,$K$53&lt;=20),2,IF($K$53&gt;20,3,""))),"")</f>
        <v/>
      </c>
      <c r="Q65" s="209" t="str">
        <f>IF(CO_PO_PSO_MAPPING!R12&gt;=1,IF(AND($K$53&lt;=10,$K$53&gt;0),1,IF(AND($K$53&gt;10,$K$53&lt;=20),2,IF($K$53&gt;20,3,""))),"")</f>
        <v/>
      </c>
    </row>
    <row r="66" spans="2:22" ht="21" thickBot="1" x14ac:dyDescent="0.35">
      <c r="B66" s="413" t="str">
        <f>CO_PO_PSO_MAPPING!B13</f>
        <v>CO10</v>
      </c>
      <c r="C66" s="209" t="str">
        <f>IF(CO_PO_PSO_MAPPING!D13&gt;=1,IF(AND($L$53&lt;=10,$L$53&gt;0),1,IF(AND($L$53&gt;10,$L$53&lt;=20),2,IF($L$53&gt;20,3,""))),"")</f>
        <v/>
      </c>
      <c r="D66" s="209" t="str">
        <f>IF(CO_PO_PSO_MAPPING!E13&gt;=1,IF(AND($L$53&lt;=10,$L$53&gt;0),1,IF(AND($L$53&gt;10,$L$53&lt;=20),2,IF($L$53&gt;20,3,""))),"")</f>
        <v/>
      </c>
      <c r="E66" s="209" t="str">
        <f>IF(CO_PO_PSO_MAPPING!F13&gt;=1,IF(AND($L$53&lt;=10,$L$53&gt;0),1,IF(AND($L$53&gt;10,$L$53&lt;=20),2,IF($L$53&gt;20,3,""))),"")</f>
        <v/>
      </c>
      <c r="F66" s="209" t="str">
        <f>IF(CO_PO_PSO_MAPPING!G13&gt;=1,IF(AND($L$53&lt;=10,$L$53&gt;0),1,IF(AND($L$53&gt;10,$L$53&lt;=20),2,IF($L$53&gt;20,3,""))),"")</f>
        <v/>
      </c>
      <c r="G66" s="209" t="str">
        <f>IF(CO_PO_PSO_MAPPING!H13&gt;=1,IF(AND($L$53&lt;=10,$L$53&gt;0),1,IF(AND($L$53&gt;10,$L$53&lt;=20),2,IF($L$53&gt;20,3,""))),"")</f>
        <v/>
      </c>
      <c r="H66" s="209" t="str">
        <f>IF(CO_PO_PSO_MAPPING!I13&gt;=1,IF(AND($L$53&lt;=10,$L$53&gt;0),1,IF(AND($L$53&gt;10,$L$53&lt;=20),2,IF($L$53&gt;20,3,""))),"")</f>
        <v/>
      </c>
      <c r="I66" s="209" t="str">
        <f>IF(CO_PO_PSO_MAPPING!J13&gt;=1,IF(AND($L$53&lt;=10,$L$53&gt;0),1,IF(AND($L$53&gt;10,$L$53&lt;=20),2,IF($L$53&gt;20,3,""))),"")</f>
        <v/>
      </c>
      <c r="J66" s="209" t="str">
        <f>IF(CO_PO_PSO_MAPPING!K13&gt;=1,IF(AND($L$53&lt;=10,$L$53&gt;0),1,IF(AND($L$53&gt;10,$L$53&lt;=20),2,IF($L$53&gt;20,3,""))),"")</f>
        <v/>
      </c>
      <c r="K66" s="209" t="str">
        <f>IF(CO_PO_PSO_MAPPING!L13&gt;=1,IF(AND($L$53&lt;=10,$L$53&gt;0),1,IF(AND($L$53&gt;10,$L$53&lt;=20),2,IF($L$53&gt;20,3,""))),"")</f>
        <v/>
      </c>
      <c r="L66" s="209" t="str">
        <f>IF(CO_PO_PSO_MAPPING!M13&gt;=1,IF(AND($L$53&lt;=10,$L$53&gt;0),1,IF(AND($L$53&gt;10,$L$53&lt;=20),2,IF($L$53&gt;20,3,""))),"")</f>
        <v/>
      </c>
      <c r="M66" s="209" t="str">
        <f>IF(CO_PO_PSO_MAPPING!N13&gt;=1,IF(AND($L$53&lt;=10,$L$53&gt;0),1,IF(AND($L$53&gt;10,$L$53&lt;=20),2,IF($L$53&gt;20,3,""))),"")</f>
        <v/>
      </c>
      <c r="N66" s="209" t="str">
        <f>IF(CO_PO_PSO_MAPPING!O13&gt;=1,IF(AND($L$53&lt;=10,$L$53&gt;0),1,IF(AND($L$53&gt;10,$L$53&lt;=20),2,IF($L$53&gt;20,3,""))),"")</f>
        <v/>
      </c>
      <c r="O66" s="209" t="str">
        <f>IF(CO_PO_PSO_MAPPING!P13&gt;=1,IF(AND($L$53&lt;=10,$L$53&gt;0),1,IF(AND($L$53&gt;10,$L$53&lt;=20),2,IF($L$53&gt;20,3,""))),"")</f>
        <v/>
      </c>
      <c r="P66" s="209" t="str">
        <f>IF(CO_PO_PSO_MAPPING!Q13&gt;=1,IF(AND($L$53&lt;=10,$L$53&gt;0),1,IF(AND($L$53&gt;10,$L$53&lt;=20),2,IF($L$53&gt;20,3,""))),"")</f>
        <v/>
      </c>
      <c r="Q66" s="209" t="str">
        <f>IF(CO_PO_PSO_MAPPING!R13&gt;=1,IF(AND($L$53&lt;=10,$L$53&gt;0),1,IF(AND($L$53&gt;10,$L$53&lt;=20),2,IF($L$53&gt;20,3,""))),"")</f>
        <v/>
      </c>
    </row>
    <row r="67" spans="2:22" s="189" customFormat="1" ht="21" x14ac:dyDescent="0.4">
      <c r="C67" s="190">
        <f>SUM(C57:C66)</f>
        <v>5</v>
      </c>
      <c r="D67" s="190">
        <f t="shared" ref="D67:Q67" si="5">SUM(D57:D66)</f>
        <v>6</v>
      </c>
      <c r="E67" s="190">
        <f t="shared" si="5"/>
        <v>5</v>
      </c>
      <c r="F67" s="190">
        <f t="shared" si="5"/>
        <v>3</v>
      </c>
      <c r="G67" s="190">
        <f t="shared" si="5"/>
        <v>6</v>
      </c>
      <c r="H67" s="190">
        <f t="shared" si="5"/>
        <v>0</v>
      </c>
      <c r="I67" s="190">
        <f t="shared" si="5"/>
        <v>3</v>
      </c>
      <c r="J67" s="190">
        <f t="shared" si="5"/>
        <v>3</v>
      </c>
      <c r="K67" s="190">
        <f t="shared" si="5"/>
        <v>6</v>
      </c>
      <c r="L67" s="190">
        <f t="shared" si="5"/>
        <v>0</v>
      </c>
      <c r="M67" s="190">
        <f t="shared" si="5"/>
        <v>0</v>
      </c>
      <c r="N67" s="190">
        <f t="shared" si="5"/>
        <v>5</v>
      </c>
      <c r="O67" s="190">
        <f t="shared" si="5"/>
        <v>9</v>
      </c>
      <c r="P67" s="190">
        <f t="shared" si="5"/>
        <v>11</v>
      </c>
      <c r="Q67" s="190">
        <f t="shared" si="5"/>
        <v>6</v>
      </c>
    </row>
    <row r="68" spans="2:22" ht="18" x14ac:dyDescent="0.35">
      <c r="B68" s="665" t="s">
        <v>171</v>
      </c>
      <c r="C68" s="666"/>
      <c r="D68" s="666"/>
      <c r="E68" s="666"/>
      <c r="F68" s="666"/>
      <c r="G68" s="666"/>
      <c r="H68" s="666"/>
      <c r="I68" s="666"/>
      <c r="J68" s="666"/>
      <c r="K68" s="666"/>
      <c r="L68" s="666"/>
      <c r="M68" s="666"/>
      <c r="N68" s="666"/>
      <c r="O68" s="666"/>
      <c r="P68" s="666"/>
      <c r="Q68" s="667"/>
    </row>
    <row r="69" spans="2:22" s="191" customFormat="1" ht="21" x14ac:dyDescent="0.4">
      <c r="B69" s="191" t="s">
        <v>232</v>
      </c>
      <c r="C69" s="192">
        <f t="shared" ref="C69:Q69" ca="1" si="6">SUM(IFERROR($C$17*C$57/C67,0),IFERROR($D$17*C$58/C67,0),IFERROR($E$17*C$59/C67,0),IFERROR($F$17*C$60/C67,0),IFERROR($G$17*C$61/C67,0),IFERROR($H$17*C$62/C67,0),IFERROR($I$17*C$63/C67,0),IFERROR($J$17*C$64/C67,0),IFERROR($K$17*C$65/C67,0),IFERROR($L$17*C$66/C67,0))</f>
        <v>75.606971428571427</v>
      </c>
      <c r="D69" s="192">
        <f t="shared" ca="1" si="6"/>
        <v>77.845156820623004</v>
      </c>
      <c r="E69" s="192">
        <f t="shared" ca="1" si="6"/>
        <v>75.606971428571427</v>
      </c>
      <c r="F69" s="192">
        <f t="shared" ca="1" si="6"/>
        <v>83.920734693877563</v>
      </c>
      <c r="G69" s="192">
        <f t="shared" ca="1" si="6"/>
        <v>77.845156820623004</v>
      </c>
      <c r="H69" s="192">
        <f t="shared" ca="1" si="6"/>
        <v>0</v>
      </c>
      <c r="I69" s="192">
        <f t="shared" ca="1" si="6"/>
        <v>71.76957894736843</v>
      </c>
      <c r="J69" s="192">
        <f t="shared" ca="1" si="6"/>
        <v>83.920734693877563</v>
      </c>
      <c r="K69" s="192">
        <f t="shared" ca="1" si="6"/>
        <v>77.845156820623004</v>
      </c>
      <c r="L69" s="192">
        <f t="shared" ca="1" si="6"/>
        <v>0</v>
      </c>
      <c r="M69" s="192">
        <f t="shared" ca="1" si="6"/>
        <v>0</v>
      </c>
      <c r="N69" s="192">
        <f t="shared" ca="1" si="6"/>
        <v>76.63004124597208</v>
      </c>
      <c r="O69" s="192">
        <f t="shared" ca="1" si="6"/>
        <v>75.251592075426657</v>
      </c>
      <c r="P69" s="450">
        <f t="shared" ca="1" si="6"/>
        <v>76.827799824235925</v>
      </c>
      <c r="Q69" s="450">
        <f t="shared" ca="1" si="6"/>
        <v>77.845156820623004</v>
      </c>
    </row>
    <row r="70" spans="2:22" s="191" customFormat="1" ht="21" x14ac:dyDescent="0.4">
      <c r="B70" s="191" t="s">
        <v>231</v>
      </c>
      <c r="C70" s="193">
        <f>SUM(IFERROR($C$52*C$57/C$67,0),IFERROR($D$52*C$58/C$67,0),IFERROR($E$52*C$59/C$67,0),IFERROR($F$52*C$60/C$67,0),IFERROR($G$52*C$61/C$67,0),IFERROR($H$52*C$62/C$67,0),IFERROR($I$52*C$63/C$67,0),IFERROR($J$52*C$64/C$67,0),IFERROR($K$52*C$65/C$67,0),IFERROR($L$52*C$66/C$67,0))</f>
        <v>76</v>
      </c>
      <c r="D70" s="193">
        <f t="shared" ref="D70:M70" si="7">SUM(IFERROR($C$52*D$57/D$67,0),IFERROR($D$52*D$58/D$67,0),IFERROR($E$52*D$59/D$67,0),IFERROR($F$52*D$60/D$67,0),IFERROR($G$52*D$61/D$67,0),IFERROR($H$52*D$62/D$67,0),IFERROR($I$52*D$63/D$67,0),IFERROR($J$52*D$64/D$67,0),IFERROR($K$52*D$65/D$67,0),IFERROR($L$52*D$66/D$67,0))</f>
        <v>90</v>
      </c>
      <c r="E70" s="193">
        <f t="shared" si="7"/>
        <v>76</v>
      </c>
      <c r="F70" s="193">
        <f t="shared" si="7"/>
        <v>70</v>
      </c>
      <c r="G70" s="193">
        <f t="shared" si="7"/>
        <v>90</v>
      </c>
      <c r="H70" s="193">
        <f t="shared" si="7"/>
        <v>0</v>
      </c>
      <c r="I70" s="193">
        <f t="shared" si="7"/>
        <v>110</v>
      </c>
      <c r="J70" s="193">
        <f t="shared" si="7"/>
        <v>70</v>
      </c>
      <c r="K70" s="193">
        <f t="shared" si="7"/>
        <v>90</v>
      </c>
      <c r="L70" s="193">
        <f t="shared" si="7"/>
        <v>0</v>
      </c>
      <c r="M70" s="193">
        <f t="shared" si="7"/>
        <v>0</v>
      </c>
      <c r="N70" s="193">
        <f>SUM(IFERROR($C$52*N$57/N$67,0),IFERROR($D$52*N$58/N$67,0),IFERROR($E$52*N$59/N$67,0),IFERROR($F$52*N$60/N$67,0),IFERROR($G$52*N$61/N$67,0),IFERROR($H$52*N$62/N$67,0),IFERROR($I$52*N$63/N$67,0),IFERROR($J$52*N$64/N$67,0),IFERROR($K$52*N$65/N$67,0),IFERROR($L$52*N$66/N$67,0))</f>
        <v>94</v>
      </c>
      <c r="O70" s="193"/>
      <c r="P70" s="451"/>
      <c r="Q70" s="451"/>
      <c r="R70" s="291">
        <f>SUM(C70:Q70)</f>
        <v>766</v>
      </c>
      <c r="S70" s="289"/>
      <c r="T70" s="289"/>
      <c r="U70" s="289"/>
      <c r="V70" s="289"/>
    </row>
    <row r="71" spans="2:22" s="278" customFormat="1" ht="25.5" customHeight="1" x14ac:dyDescent="0.3">
      <c r="B71" s="276" t="s">
        <v>172</v>
      </c>
      <c r="C71" s="277">
        <f t="shared" ref="C71:O71" si="8">IFERROR((C$70/$R$70*100)," ")</f>
        <v>9.9216710182767613</v>
      </c>
      <c r="D71" s="277">
        <f t="shared" si="8"/>
        <v>11.74934725848564</v>
      </c>
      <c r="E71" s="277">
        <f t="shared" si="8"/>
        <v>9.9216710182767613</v>
      </c>
      <c r="F71" s="277">
        <f t="shared" si="8"/>
        <v>9.1383812010443854</v>
      </c>
      <c r="G71" s="277">
        <f t="shared" si="8"/>
        <v>11.74934725848564</v>
      </c>
      <c r="H71" s="277">
        <f t="shared" si="8"/>
        <v>0</v>
      </c>
      <c r="I71" s="277">
        <f t="shared" si="8"/>
        <v>14.360313315926893</v>
      </c>
      <c r="J71" s="277">
        <f t="shared" si="8"/>
        <v>9.1383812010443854</v>
      </c>
      <c r="K71" s="277">
        <f t="shared" si="8"/>
        <v>11.74934725848564</v>
      </c>
      <c r="L71" s="277">
        <f t="shared" si="8"/>
        <v>0</v>
      </c>
      <c r="M71" s="277">
        <f t="shared" si="8"/>
        <v>0</v>
      </c>
      <c r="N71" s="277">
        <f t="shared" si="8"/>
        <v>12.271540469973891</v>
      </c>
      <c r="O71" s="277">
        <f t="shared" si="8"/>
        <v>0</v>
      </c>
      <c r="P71" s="452"/>
      <c r="Q71" s="452"/>
      <c r="R71" s="292">
        <f>IFERROR((R$70/$R$70*100),0)</f>
        <v>100</v>
      </c>
      <c r="S71" s="290"/>
      <c r="T71" s="290"/>
      <c r="U71" s="290"/>
      <c r="V71" s="290"/>
    </row>
    <row r="72" spans="2:22" ht="18" x14ac:dyDescent="0.35">
      <c r="B72" s="194" t="s">
        <v>173</v>
      </c>
      <c r="C72" s="195"/>
      <c r="D72" s="195"/>
      <c r="E72" s="195"/>
      <c r="F72" s="195"/>
      <c r="G72" s="195"/>
      <c r="K72" s="194" t="s">
        <v>174</v>
      </c>
      <c r="L72" s="195"/>
      <c r="M72" s="195"/>
      <c r="N72" s="195"/>
      <c r="O72" s="195"/>
      <c r="P72" s="453"/>
    </row>
    <row r="73" spans="2:22" s="214" customFormat="1" ht="66" customHeight="1" x14ac:dyDescent="0.3">
      <c r="B73" s="668"/>
      <c r="C73" s="669"/>
      <c r="D73" s="279" t="s">
        <v>175</v>
      </c>
      <c r="E73" s="280" t="s">
        <v>176</v>
      </c>
      <c r="F73" s="280" t="s">
        <v>97</v>
      </c>
      <c r="G73" s="281" t="s">
        <v>98</v>
      </c>
      <c r="H73" s="282" t="s">
        <v>177</v>
      </c>
      <c r="I73" s="283" t="s">
        <v>178</v>
      </c>
      <c r="K73" s="668"/>
      <c r="L73" s="669"/>
      <c r="M73" s="212" t="s">
        <v>175</v>
      </c>
      <c r="N73" s="213" t="s">
        <v>176</v>
      </c>
      <c r="O73" s="213" t="s">
        <v>97</v>
      </c>
      <c r="P73" s="196" t="s">
        <v>98</v>
      </c>
      <c r="Q73" s="197" t="s">
        <v>177</v>
      </c>
      <c r="R73" s="198" t="s">
        <v>178</v>
      </c>
    </row>
    <row r="74" spans="2:22" ht="15" customHeight="1" x14ac:dyDescent="0.3">
      <c r="B74" s="672" t="s">
        <v>115</v>
      </c>
      <c r="C74" s="86" t="s">
        <v>17</v>
      </c>
      <c r="D74" s="199">
        <f>IF(OR(CO_PO_PSO_MAPPING!$Z4=1,CO_PO_PSO_MAPPING!$Z4=2),CO_PO_PSO_MAPPING!$V4,0)</f>
        <v>10</v>
      </c>
      <c r="E74" s="199">
        <f>IF(CO_PO_PSO_MAPPING!$Z4=3,CO_PO_PSO_MAPPING!$V4,0)</f>
        <v>0</v>
      </c>
      <c r="F74" s="199">
        <f>IF(CO_PO_PSO_MAPPING!$Z4=4,CO_PO_PSO_MAPPING!$V4,0)</f>
        <v>0</v>
      </c>
      <c r="G74" s="199">
        <f>IF(CO_PO_PSO_MAPPING!$Z4=5,CO_PO_PSO_MAPPING!$V4,0)</f>
        <v>0</v>
      </c>
      <c r="H74" s="199"/>
      <c r="I74" s="170">
        <f>SUM(D74:H74)</f>
        <v>10</v>
      </c>
      <c r="K74" s="670" t="s">
        <v>150</v>
      </c>
      <c r="L74" s="200" t="s">
        <v>17</v>
      </c>
      <c r="M74" s="199">
        <f>IF(OR(CO_PO_PSO_MAPPING!$AH4=1,CO_PO_PSO_MAPPING!$AH4=2),CO_PO_PSO_MAPPING!$AD4,0)</f>
        <v>6</v>
      </c>
      <c r="N74" s="199">
        <f>IF(CO_PO_PSO_MAPPING!$AH4=3,CO_PO_PSO_MAPPING!$AD4,0)</f>
        <v>0</v>
      </c>
      <c r="O74" s="199">
        <f>IF(CO_PO_PSO_MAPPING!$AH4=4,CO_PO_PSO_MAPPING!$AD4,0)</f>
        <v>0</v>
      </c>
      <c r="P74" s="199">
        <f>IF(CO_PO_PSO_MAPPING!$AH4=5,CO_PO_PSO_MAPPING!$AD4,0)</f>
        <v>0</v>
      </c>
      <c r="Q74" s="199"/>
      <c r="R74" s="170">
        <f>SUM(M74:Q74)</f>
        <v>6</v>
      </c>
    </row>
    <row r="75" spans="2:22" ht="15" customHeight="1" x14ac:dyDescent="0.3">
      <c r="B75" s="673"/>
      <c r="C75" s="86" t="s">
        <v>18</v>
      </c>
      <c r="D75" s="199">
        <f>IF(OR(CO_PO_PSO_MAPPING!$Z5=1,CO_PO_PSO_MAPPING!$Z5=2),CO_PO_PSO_MAPPING!$V5,0)</f>
        <v>0</v>
      </c>
      <c r="E75" s="199">
        <f>IF(CO_PO_PSO_MAPPING!$Z5=3,CO_PO_PSO_MAPPING!$V5,0)</f>
        <v>0</v>
      </c>
      <c r="F75" s="199">
        <f>IF(CO_PO_PSO_MAPPING!$Z5=4,CO_PO_PSO_MAPPING!$V5,0)</f>
        <v>0</v>
      </c>
      <c r="G75" s="199">
        <f>IF(CO_PO_PSO_MAPPING!$Z5=5,CO_PO_PSO_MAPPING!$V5,0)</f>
        <v>0</v>
      </c>
      <c r="H75" s="199"/>
      <c r="I75" s="170">
        <f t="shared" ref="I75:I76" si="9">SUM(D75:H75)</f>
        <v>0</v>
      </c>
      <c r="K75" s="671"/>
      <c r="L75" s="200" t="s">
        <v>18</v>
      </c>
      <c r="M75" s="199">
        <f>IF(OR(CO_PO_PSO_MAPPING!$AH5=1,CO_PO_PSO_MAPPING!$AH5=2),CO_PO_PSO_MAPPING!$AD5,0)</f>
        <v>0</v>
      </c>
      <c r="N75" s="199">
        <f>IF(CO_PO_PSO_MAPPING!$AH5=3,CO_PO_PSO_MAPPING!$AD5,0)</f>
        <v>7</v>
      </c>
      <c r="O75" s="199">
        <f>IF(CO_PO_PSO_MAPPING!$AH5=4,CO_PO_PSO_MAPPING!$AD5,0)</f>
        <v>0</v>
      </c>
      <c r="P75" s="199">
        <f>IF(CO_PO_PSO_MAPPING!$AH5=5,CO_PO_PSO_MAPPING!$AD5,0)</f>
        <v>0</v>
      </c>
      <c r="Q75" s="199"/>
      <c r="R75" s="170">
        <f t="shared" ref="R75:R101" si="10">SUM(M75:Q75)</f>
        <v>7</v>
      </c>
    </row>
    <row r="76" spans="2:22" ht="15" customHeight="1" x14ac:dyDescent="0.3">
      <c r="B76" s="673"/>
      <c r="C76" s="86" t="s">
        <v>19</v>
      </c>
      <c r="D76" s="199">
        <f>IF(OR(CO_PO_PSO_MAPPING!$Z6=1,CO_PO_PSO_MAPPING!$Z6=2),CO_PO_PSO_MAPPING!$V6,0)</f>
        <v>0</v>
      </c>
      <c r="E76" s="199">
        <f>IF(CO_PO_PSO_MAPPING!$Z6=3,CO_PO_PSO_MAPPING!$V6,0)</f>
        <v>0</v>
      </c>
      <c r="F76" s="199">
        <f>IF(CO_PO_PSO_MAPPING!$Z6=4,CO_PO_PSO_MAPPING!$V6,0)</f>
        <v>0</v>
      </c>
      <c r="G76" s="199">
        <f>IF(CO_PO_PSO_MAPPING!$Z6=5,CO_PO_PSO_MAPPING!$V6,0)</f>
        <v>0</v>
      </c>
      <c r="H76" s="199"/>
      <c r="I76" s="170">
        <f t="shared" si="9"/>
        <v>0</v>
      </c>
      <c r="K76" s="671"/>
      <c r="L76" s="200" t="s">
        <v>19</v>
      </c>
      <c r="M76" s="199">
        <f>IF(OR(CO_PO_PSO_MAPPING!$AH6=1,CO_PO_PSO_MAPPING!$AH6=2),CO_PO_PSO_MAPPING!$AD6,0)</f>
        <v>0</v>
      </c>
      <c r="N76" s="199">
        <f>IF(CO_PO_PSO_MAPPING!$AH6=3,CO_PO_PSO_MAPPING!$AD6,0)</f>
        <v>7</v>
      </c>
      <c r="O76" s="199">
        <f>IF(CO_PO_PSO_MAPPING!$AH6=4,CO_PO_PSO_MAPPING!$AD6,0)</f>
        <v>0</v>
      </c>
      <c r="P76" s="199">
        <f>IF(CO_PO_PSO_MAPPING!$AH6=5,CO_PO_PSO_MAPPING!$AD6,0)</f>
        <v>0</v>
      </c>
      <c r="Q76" s="199"/>
      <c r="R76" s="170">
        <f t="shared" si="10"/>
        <v>7</v>
      </c>
    </row>
    <row r="77" spans="2:22" ht="15" customHeight="1" x14ac:dyDescent="0.3">
      <c r="B77" s="673"/>
      <c r="C77" s="86" t="s">
        <v>20</v>
      </c>
      <c r="D77" s="199">
        <f>IF(OR(CO_PO_PSO_MAPPING!$Z7=1,CO_PO_PSO_MAPPING!$Z7=2),CO_PO_PSO_MAPPING!$V7,0)</f>
        <v>0</v>
      </c>
      <c r="E77" s="199">
        <f>IF(CO_PO_PSO_MAPPING!$Z7=3,CO_PO_PSO_MAPPING!$V7,0)</f>
        <v>0</v>
      </c>
      <c r="F77" s="199">
        <f>IF(CO_PO_PSO_MAPPING!$Z7=4,CO_PO_PSO_MAPPING!$V7,0)</f>
        <v>0</v>
      </c>
      <c r="G77" s="199">
        <f>IF(CO_PO_PSO_MAPPING!$Z7=5,CO_PO_PSO_MAPPING!$V7,0)</f>
        <v>0</v>
      </c>
      <c r="H77" s="199"/>
      <c r="I77" s="170">
        <f>SUM(D77:H77)</f>
        <v>0</v>
      </c>
      <c r="K77" s="671"/>
      <c r="L77" s="200" t="s">
        <v>20</v>
      </c>
      <c r="M77" s="199">
        <f>IF(OR(CO_PO_PSO_MAPPING!$AH7=1,CO_PO_PSO_MAPPING!$AH7=2),CO_PO_PSO_MAPPING!$AD7,0)</f>
        <v>0</v>
      </c>
      <c r="N77" s="199">
        <f>IF(CO_PO_PSO_MAPPING!$AH7=3,CO_PO_PSO_MAPPING!$AD7,0)</f>
        <v>0</v>
      </c>
      <c r="O77" s="199">
        <f>IF(CO_PO_PSO_MAPPING!$AH7=4,CO_PO_PSO_MAPPING!$AD7,0)</f>
        <v>0</v>
      </c>
      <c r="P77" s="199">
        <f>IF(CO_PO_PSO_MAPPING!$AH7=5,CO_PO_PSO_MAPPING!$AD7,0)</f>
        <v>0</v>
      </c>
      <c r="Q77" s="199"/>
      <c r="R77" s="170">
        <f t="shared" si="10"/>
        <v>0</v>
      </c>
    </row>
    <row r="78" spans="2:22" ht="15" customHeight="1" x14ac:dyDescent="0.3">
      <c r="B78" s="673"/>
      <c r="C78" s="86" t="s">
        <v>21</v>
      </c>
      <c r="D78" s="199">
        <f>IF(OR(CO_PO_PSO_MAPPING!$Z8=1,CO_PO_PSO_MAPPING!$Z8=2),CO_PO_PSO_MAPPING!$V8,0)</f>
        <v>0</v>
      </c>
      <c r="E78" s="199">
        <f>IF(CO_PO_PSO_MAPPING!$Z8=3,CO_PO_PSO_MAPPING!$V8,0)</f>
        <v>10</v>
      </c>
      <c r="F78" s="199">
        <f>IF(CO_PO_PSO_MAPPING!$Z8=4,CO_PO_PSO_MAPPING!$V8,0)</f>
        <v>0</v>
      </c>
      <c r="G78" s="199">
        <f>IF(CO_PO_PSO_MAPPING!$Z8=5,CO_PO_PSO_MAPPING!$V8,0)</f>
        <v>0</v>
      </c>
      <c r="H78" s="199"/>
      <c r="I78" s="170">
        <f t="shared" ref="I78:I83" si="11">SUM(D78:H78)</f>
        <v>10</v>
      </c>
      <c r="K78" s="671"/>
      <c r="L78" s="210" t="s">
        <v>21</v>
      </c>
      <c r="M78" s="201">
        <f>IF(OR(CO_PO_PSO_MAPPING!$AH8=1,CO_PO_PSO_MAPPING!$AH8=2),CO_PO_PSO_MAPPING!$AD8,0)</f>
        <v>6</v>
      </c>
      <c r="N78" s="201">
        <f>IF(CO_PO_PSO_MAPPING!$AH8=3,CO_PO_PSO_MAPPING!$AD8,0)</f>
        <v>0</v>
      </c>
      <c r="O78" s="201">
        <f>IF(CO_PO_PSO_MAPPING!$AH8=4,CO_PO_PSO_MAPPING!$AD8,0)</f>
        <v>0</v>
      </c>
      <c r="P78" s="201">
        <f>IF(CO_PO_PSO_MAPPING!$AH8=5,CO_PO_PSO_MAPPING!$AD8,0)</f>
        <v>0</v>
      </c>
      <c r="Q78" s="201"/>
      <c r="R78" s="170">
        <f t="shared" si="10"/>
        <v>6</v>
      </c>
    </row>
    <row r="79" spans="2:22" ht="15" customHeight="1" x14ac:dyDescent="0.3">
      <c r="B79" s="673"/>
      <c r="C79" s="86" t="s">
        <v>22</v>
      </c>
      <c r="D79" s="199">
        <f>IF(OR(CO_PO_PSO_MAPPING!$Z9=1,CO_PO_PSO_MAPPING!$Z9=2),CO_PO_PSO_MAPPING!$V9,0)</f>
        <v>0</v>
      </c>
      <c r="E79" s="199">
        <f>IF(CO_PO_PSO_MAPPING!$Z9=3,CO_PO_PSO_MAPPING!$V9,0)</f>
        <v>0</v>
      </c>
      <c r="F79" s="199">
        <f>IF(CO_PO_PSO_MAPPING!$Z9=4,CO_PO_PSO_MAPPING!$V9,0)</f>
        <v>0</v>
      </c>
      <c r="G79" s="199">
        <f>IF(CO_PO_PSO_MAPPING!$Z9=5,CO_PO_PSO_MAPPING!$V9,0)</f>
        <v>0</v>
      </c>
      <c r="H79" s="199"/>
      <c r="I79" s="170">
        <f t="shared" si="11"/>
        <v>0</v>
      </c>
      <c r="K79" s="671"/>
      <c r="L79" s="210" t="s">
        <v>22</v>
      </c>
      <c r="M79" s="201">
        <f>IF(OR(CO_PO_PSO_MAPPING!$AH9=1,CO_PO_PSO_MAPPING!$AH9=2),CO_PO_PSO_MAPPING!$AD9,0)</f>
        <v>0</v>
      </c>
      <c r="N79" s="201">
        <f>IF(CO_PO_PSO_MAPPING!$AH9=3,CO_PO_PSO_MAPPING!$AD9,0)</f>
        <v>7</v>
      </c>
      <c r="O79" s="201">
        <f>IF(CO_PO_PSO_MAPPING!$AH9=4,CO_PO_PSO_MAPPING!$AD9,0)</f>
        <v>0</v>
      </c>
      <c r="P79" s="201">
        <f>IF(CO_PO_PSO_MAPPING!$AH9=5,CO_PO_PSO_MAPPING!$AD9,0)</f>
        <v>0</v>
      </c>
      <c r="Q79" s="201"/>
      <c r="R79" s="170">
        <f t="shared" si="10"/>
        <v>7</v>
      </c>
    </row>
    <row r="80" spans="2:22" ht="15" customHeight="1" x14ac:dyDescent="0.3">
      <c r="B80" s="673"/>
      <c r="C80" s="86" t="s">
        <v>23</v>
      </c>
      <c r="D80" s="199">
        <f>IF(OR(CO_PO_PSO_MAPPING!$Z10=1,CO_PO_PSO_MAPPING!$Z10=2),CO_PO_PSO_MAPPING!$V10,0)</f>
        <v>0</v>
      </c>
      <c r="E80" s="199">
        <f>IF(CO_PO_PSO_MAPPING!$Z10=3,CO_PO_PSO_MAPPING!$V10,0)</f>
        <v>0</v>
      </c>
      <c r="F80" s="199">
        <f>IF(CO_PO_PSO_MAPPING!$Z10=4,CO_PO_PSO_MAPPING!$V10,0)</f>
        <v>0</v>
      </c>
      <c r="G80" s="199">
        <f>IF(CO_PO_PSO_MAPPING!$Z10=5,CO_PO_PSO_MAPPING!$V10,0)</f>
        <v>0</v>
      </c>
      <c r="H80" s="199"/>
      <c r="I80" s="170">
        <f t="shared" si="11"/>
        <v>0</v>
      </c>
      <c r="K80" s="671"/>
      <c r="L80" s="210" t="s">
        <v>23</v>
      </c>
      <c r="M80" s="201">
        <f>IF(OR(CO_PO_PSO_MAPPING!$AH10=1,CO_PO_PSO_MAPPING!$AH10=2),CO_PO_PSO_MAPPING!$AD10,0)</f>
        <v>0</v>
      </c>
      <c r="N80" s="201">
        <f>IF(CO_PO_PSO_MAPPING!$AH10=3,CO_PO_PSO_MAPPING!$AD10,0)</f>
        <v>7</v>
      </c>
      <c r="O80" s="201">
        <f>IF(CO_PO_PSO_MAPPING!$AH10=4,CO_PO_PSO_MAPPING!$AD10,0)</f>
        <v>0</v>
      </c>
      <c r="P80" s="201">
        <f>IF(CO_PO_PSO_MAPPING!$AH10=5,CO_PO_PSO_MAPPING!$AD10,0)</f>
        <v>0</v>
      </c>
      <c r="Q80" s="201"/>
      <c r="R80" s="170">
        <f t="shared" si="10"/>
        <v>7</v>
      </c>
    </row>
    <row r="81" spans="2:18" ht="15" customHeight="1" x14ac:dyDescent="0.3">
      <c r="B81" s="673"/>
      <c r="C81" s="86" t="s">
        <v>24</v>
      </c>
      <c r="D81" s="199">
        <f>IF(OR(CO_PO_PSO_MAPPING!$Z11=1,CO_PO_PSO_MAPPING!$Z11=2),CO_PO_PSO_MAPPING!$V11,0)</f>
        <v>0</v>
      </c>
      <c r="E81" s="199">
        <f>IF(CO_PO_PSO_MAPPING!$Z11=3,CO_PO_PSO_MAPPING!$V11,0)</f>
        <v>0</v>
      </c>
      <c r="F81" s="199">
        <f>IF(CO_PO_PSO_MAPPING!$Z11=4,CO_PO_PSO_MAPPING!$V11,0)</f>
        <v>0</v>
      </c>
      <c r="G81" s="199">
        <f>IF(CO_PO_PSO_MAPPING!$Z11=5,CO_PO_PSO_MAPPING!$V11,0)</f>
        <v>0</v>
      </c>
      <c r="H81" s="199"/>
      <c r="I81" s="170">
        <f t="shared" si="11"/>
        <v>0</v>
      </c>
      <c r="K81" s="671"/>
      <c r="L81" s="210" t="s">
        <v>24</v>
      </c>
      <c r="M81" s="201">
        <f>IF(OR(CO_PO_PSO_MAPPING!$AH11=1,CO_PO_PSO_MAPPING!$AH11=2),CO_PO_PSO_MAPPING!$AD11,0)</f>
        <v>0</v>
      </c>
      <c r="N81" s="201">
        <f>IF(CO_PO_PSO_MAPPING!$AH11=3,CO_PO_PSO_MAPPING!$AD11,0)</f>
        <v>0</v>
      </c>
      <c r="O81" s="201">
        <f>IF(CO_PO_PSO_MAPPING!$AH11=4,CO_PO_PSO_MAPPING!$AD11,0)</f>
        <v>0</v>
      </c>
      <c r="P81" s="201">
        <f>IF(CO_PO_PSO_MAPPING!$AH11=5,CO_PO_PSO_MAPPING!$AD11,0)</f>
        <v>0</v>
      </c>
      <c r="Q81" s="201"/>
      <c r="R81" s="170">
        <f t="shared" si="10"/>
        <v>0</v>
      </c>
    </row>
    <row r="82" spans="2:18" ht="15" customHeight="1" x14ac:dyDescent="0.3">
      <c r="B82" s="673"/>
      <c r="C82" s="86" t="s">
        <v>25</v>
      </c>
      <c r="D82" s="199">
        <f>IF(OR(CO_PO_PSO_MAPPING!$Z12=1,CO_PO_PSO_MAPPING!$Z12=2),CO_PO_PSO_MAPPING!$V12,0)</f>
        <v>0</v>
      </c>
      <c r="E82" s="199">
        <f>IF(CO_PO_PSO_MAPPING!$Z12=3,CO_PO_PSO_MAPPING!$V12,0)</f>
        <v>10</v>
      </c>
      <c r="F82" s="199">
        <f>IF(CO_PO_PSO_MAPPING!$Z12=4,CO_PO_PSO_MAPPING!$V12,0)</f>
        <v>0</v>
      </c>
      <c r="G82" s="199">
        <f>IF(CO_PO_PSO_MAPPING!$Z12=5,CO_PO_PSO_MAPPING!$V12,0)</f>
        <v>0</v>
      </c>
      <c r="H82" s="199"/>
      <c r="I82" s="170">
        <f t="shared" si="11"/>
        <v>10</v>
      </c>
      <c r="K82" s="671"/>
      <c r="L82" s="200" t="s">
        <v>25</v>
      </c>
      <c r="M82" s="199">
        <f>IF(OR(CO_PO_PSO_MAPPING!$AH12=1,CO_PO_PSO_MAPPING!$AH12=2),CO_PO_PSO_MAPPING!$AD12,0)</f>
        <v>0</v>
      </c>
      <c r="N82" s="199">
        <f>IF(CO_PO_PSO_MAPPING!$AH12=3,CO_PO_PSO_MAPPING!$AD12,0)</f>
        <v>10</v>
      </c>
      <c r="O82" s="199">
        <f>IF(CO_PO_PSO_MAPPING!$AH12=4,CO_PO_PSO_MAPPING!$AD12,0)</f>
        <v>0</v>
      </c>
      <c r="P82" s="199">
        <f>IF(CO_PO_PSO_MAPPING!$AH12=5,CO_PO_PSO_MAPPING!$AD12,0)</f>
        <v>0</v>
      </c>
      <c r="Q82" s="199"/>
      <c r="R82" s="170">
        <f t="shared" si="10"/>
        <v>10</v>
      </c>
    </row>
    <row r="83" spans="2:18" ht="15" customHeight="1" x14ac:dyDescent="0.3">
      <c r="B83" s="673"/>
      <c r="C83" s="86" t="s">
        <v>26</v>
      </c>
      <c r="D83" s="199">
        <f>IF(OR(CO_PO_PSO_MAPPING!$Z13=1,CO_PO_PSO_MAPPING!$Z13=2),CO_PO_PSO_MAPPING!$V13,0)</f>
        <v>0</v>
      </c>
      <c r="E83" s="199">
        <f>IF(CO_PO_PSO_MAPPING!$Z13=3,CO_PO_PSO_MAPPING!$V13,0)</f>
        <v>0</v>
      </c>
      <c r="F83" s="199">
        <f>IF(CO_PO_PSO_MAPPING!$Z13=4,CO_PO_PSO_MAPPING!$V13,0)</f>
        <v>0</v>
      </c>
      <c r="G83" s="199">
        <f>IF(CO_PO_PSO_MAPPING!$Z13=5,CO_PO_PSO_MAPPING!$V13,0)</f>
        <v>0</v>
      </c>
      <c r="H83" s="199"/>
      <c r="I83" s="170">
        <f t="shared" si="11"/>
        <v>0</v>
      </c>
      <c r="K83" s="671"/>
      <c r="L83" s="200" t="s">
        <v>26</v>
      </c>
      <c r="M83" s="199">
        <f>IF(OR(CO_PO_PSO_MAPPING!$AH13=1,CO_PO_PSO_MAPPING!$AH13=2),CO_PO_PSO_MAPPING!$AD13,0)</f>
        <v>0</v>
      </c>
      <c r="N83" s="199">
        <f>IF(CO_PO_PSO_MAPPING!$AH13=3,CO_PO_PSO_MAPPING!$AD13,0)</f>
        <v>10</v>
      </c>
      <c r="O83" s="199">
        <f>IF(CO_PO_PSO_MAPPING!$AH13=4,CO_PO_PSO_MAPPING!$AD13,0)</f>
        <v>0</v>
      </c>
      <c r="P83" s="199">
        <f>IF(CO_PO_PSO_MAPPING!$AH13=5,CO_PO_PSO_MAPPING!$AD13,0)</f>
        <v>0</v>
      </c>
      <c r="Q83" s="199"/>
      <c r="R83" s="170">
        <f t="shared" si="10"/>
        <v>10</v>
      </c>
    </row>
    <row r="84" spans="2:18" ht="15" customHeight="1" x14ac:dyDescent="0.3">
      <c r="B84" s="673"/>
      <c r="C84" s="86" t="s">
        <v>27</v>
      </c>
      <c r="D84" s="199">
        <f>IF(OR(CO_PO_PSO_MAPPING!$Z14=1,CO_PO_PSO_MAPPING!$Z14=2),CO_PO_PSO_MAPPING!$V14,0)</f>
        <v>0</v>
      </c>
      <c r="E84" s="199">
        <f>IF(CO_PO_PSO_MAPPING!$Z14=3,CO_PO_PSO_MAPPING!$V14,0)</f>
        <v>0</v>
      </c>
      <c r="F84" s="199">
        <f>IF(CO_PO_PSO_MAPPING!$Z14=4,CO_PO_PSO_MAPPING!$V14,0)</f>
        <v>0</v>
      </c>
      <c r="G84" s="199">
        <f>IF(CO_PO_PSO_MAPPING!$Z14=5,CO_PO_PSO_MAPPING!$V14,0)</f>
        <v>0</v>
      </c>
      <c r="H84" s="199"/>
      <c r="I84" s="170">
        <f t="shared" ref="I84:I147" si="12">SUM(D84:H84)</f>
        <v>0</v>
      </c>
      <c r="K84" s="671"/>
      <c r="L84" s="200" t="s">
        <v>27</v>
      </c>
      <c r="M84" s="199">
        <f>IF(OR(CO_PO_PSO_MAPPING!$AH14=1,CO_PO_PSO_MAPPING!$AH14=2),CO_PO_PSO_MAPPING!$AD14,0)</f>
        <v>0</v>
      </c>
      <c r="N84" s="199">
        <f>IF(CO_PO_PSO_MAPPING!$AH14=3,CO_PO_PSO_MAPPING!$AD14,0)</f>
        <v>0</v>
      </c>
      <c r="O84" s="199">
        <f>IF(CO_PO_PSO_MAPPING!$AH14=4,CO_PO_PSO_MAPPING!$AD14,0)</f>
        <v>0</v>
      </c>
      <c r="P84" s="199">
        <f>IF(CO_PO_PSO_MAPPING!$AH14=5,CO_PO_PSO_MAPPING!$AD14,0)</f>
        <v>0</v>
      </c>
      <c r="Q84" s="199"/>
      <c r="R84" s="170">
        <f t="shared" si="10"/>
        <v>0</v>
      </c>
    </row>
    <row r="85" spans="2:18" ht="15" customHeight="1" x14ac:dyDescent="0.3">
      <c r="B85" s="673"/>
      <c r="C85" s="86" t="s">
        <v>28</v>
      </c>
      <c r="D85" s="199">
        <f>IF(OR(CO_PO_PSO_MAPPING!$Z15=1,CO_PO_PSO_MAPPING!$Z15=2),CO_PO_PSO_MAPPING!$V15,0)</f>
        <v>0</v>
      </c>
      <c r="E85" s="199">
        <f>IF(CO_PO_PSO_MAPPING!$Z15=3,CO_PO_PSO_MAPPING!$V15,0)</f>
        <v>0</v>
      </c>
      <c r="F85" s="199">
        <f>IF(CO_PO_PSO_MAPPING!$Z15=4,CO_PO_PSO_MAPPING!$V15,0)</f>
        <v>0</v>
      </c>
      <c r="G85" s="199">
        <f>IF(CO_PO_PSO_MAPPING!$Z15=5,CO_PO_PSO_MAPPING!$V15,0)</f>
        <v>0</v>
      </c>
      <c r="H85" s="199"/>
      <c r="I85" s="170">
        <f t="shared" si="12"/>
        <v>0</v>
      </c>
      <c r="K85" s="671"/>
      <c r="L85" s="200" t="s">
        <v>28</v>
      </c>
      <c r="M85" s="199">
        <f>IF(OR(CO_PO_PSO_MAPPING!$AH15=1,CO_PO_PSO_MAPPING!$AH15=2),CO_PO_PSO_MAPPING!$AD15,0)</f>
        <v>0</v>
      </c>
      <c r="N85" s="199">
        <f>IF(CO_PO_PSO_MAPPING!$AH15=3,CO_PO_PSO_MAPPING!$AD15,0)</f>
        <v>0</v>
      </c>
      <c r="O85" s="199">
        <f>IF(CO_PO_PSO_MAPPING!$AH15=4,CO_PO_PSO_MAPPING!$AD15,0)</f>
        <v>0</v>
      </c>
      <c r="P85" s="199">
        <f>IF(CO_PO_PSO_MAPPING!$AH15=5,CO_PO_PSO_MAPPING!$AD15,0)</f>
        <v>0</v>
      </c>
      <c r="Q85" s="199"/>
      <c r="R85" s="170">
        <f t="shared" si="10"/>
        <v>0</v>
      </c>
    </row>
    <row r="86" spans="2:18" ht="15" customHeight="1" x14ac:dyDescent="0.3">
      <c r="B86" s="673"/>
      <c r="C86" s="86" t="s">
        <v>29</v>
      </c>
      <c r="D86" s="199">
        <f>IF(OR(CO_PO_PSO_MAPPING!$Z16=1,CO_PO_PSO_MAPPING!$Z16=2),CO_PO_PSO_MAPPING!$V16,0)</f>
        <v>0</v>
      </c>
      <c r="E86" s="199">
        <f>IF(CO_PO_PSO_MAPPING!$Z16=3,CO_PO_PSO_MAPPING!$V16,0)</f>
        <v>10</v>
      </c>
      <c r="F86" s="199">
        <f>IF(CO_PO_PSO_MAPPING!$Z16=4,CO_PO_PSO_MAPPING!$V16,0)</f>
        <v>0</v>
      </c>
      <c r="G86" s="199">
        <f>IF(CO_PO_PSO_MAPPING!$Z16=5,CO_PO_PSO_MAPPING!$V16,0)</f>
        <v>0</v>
      </c>
      <c r="H86" s="199"/>
      <c r="I86" s="170">
        <f t="shared" si="12"/>
        <v>10</v>
      </c>
      <c r="K86" s="671"/>
      <c r="L86" s="203" t="s">
        <v>29</v>
      </c>
      <c r="M86" s="202">
        <f>IF(OR(CO_PO_PSO_MAPPING!$AH16=1,CO_PO_PSO_MAPPING!$AH16=2),CO_PO_PSO_MAPPING!$AD16,0)</f>
        <v>0</v>
      </c>
      <c r="N86" s="202">
        <f>IF(CO_PO_PSO_MAPPING!$AH16=3,CO_PO_PSO_MAPPING!$AD16,0)</f>
        <v>10</v>
      </c>
      <c r="O86" s="202">
        <f>IF(CO_PO_PSO_MAPPING!$AH16=4,CO_PO_PSO_MAPPING!$AD16,0)</f>
        <v>0</v>
      </c>
      <c r="P86" s="202">
        <f>IF(CO_PO_PSO_MAPPING!$AH16=5,CO_PO_PSO_MAPPING!$AD16,0)</f>
        <v>0</v>
      </c>
      <c r="Q86" s="202"/>
      <c r="R86" s="170">
        <f t="shared" si="10"/>
        <v>10</v>
      </c>
    </row>
    <row r="87" spans="2:18" ht="15" customHeight="1" x14ac:dyDescent="0.3">
      <c r="B87" s="673"/>
      <c r="C87" s="86" t="s">
        <v>30</v>
      </c>
      <c r="D87" s="199">
        <f>IF(OR(CO_PO_PSO_MAPPING!$Z17=1,CO_PO_PSO_MAPPING!$Z17=2),CO_PO_PSO_MAPPING!$V17,0)</f>
        <v>0</v>
      </c>
      <c r="E87" s="199">
        <f>IF(CO_PO_PSO_MAPPING!$Z17=3,CO_PO_PSO_MAPPING!$V17,0)</f>
        <v>0</v>
      </c>
      <c r="F87" s="199">
        <f>IF(CO_PO_PSO_MAPPING!$Z17=4,CO_PO_PSO_MAPPING!$V17,0)</f>
        <v>0</v>
      </c>
      <c r="G87" s="199">
        <f>IF(CO_PO_PSO_MAPPING!$Z17=5,CO_PO_PSO_MAPPING!$V17,0)</f>
        <v>0</v>
      </c>
      <c r="H87" s="199"/>
      <c r="I87" s="170">
        <f t="shared" si="12"/>
        <v>0</v>
      </c>
      <c r="K87" s="671"/>
      <c r="L87" s="203" t="s">
        <v>30</v>
      </c>
      <c r="M87" s="202">
        <f>IF(OR(CO_PO_PSO_MAPPING!$AH17=1,CO_PO_PSO_MAPPING!$AH17=2),CO_PO_PSO_MAPPING!$AD17,0)</f>
        <v>0</v>
      </c>
      <c r="N87" s="202">
        <f>IF(CO_PO_PSO_MAPPING!$AH17=3,CO_PO_PSO_MAPPING!$AD17,0)</f>
        <v>10</v>
      </c>
      <c r="O87" s="202">
        <f>IF(CO_PO_PSO_MAPPING!$AH17=4,CO_PO_PSO_MAPPING!$AD17,0)</f>
        <v>0</v>
      </c>
      <c r="P87" s="202">
        <f>IF(CO_PO_PSO_MAPPING!$AH17=5,CO_PO_PSO_MAPPING!$AD17,0)</f>
        <v>0</v>
      </c>
      <c r="Q87" s="202"/>
      <c r="R87" s="170">
        <f t="shared" si="10"/>
        <v>10</v>
      </c>
    </row>
    <row r="88" spans="2:18" ht="15" customHeight="1" x14ac:dyDescent="0.3">
      <c r="B88" s="673"/>
      <c r="C88" s="86" t="s">
        <v>31</v>
      </c>
      <c r="D88" s="199">
        <f>IF(OR(CO_PO_PSO_MAPPING!$Z18=1,CO_PO_PSO_MAPPING!$Z18=2),CO_PO_PSO_MAPPING!$V18,0)</f>
        <v>0</v>
      </c>
      <c r="E88" s="199">
        <f>IF(CO_PO_PSO_MAPPING!$Z18=3,CO_PO_PSO_MAPPING!$V18,0)</f>
        <v>0</v>
      </c>
      <c r="F88" s="199">
        <f>IF(CO_PO_PSO_MAPPING!$Z18=4,CO_PO_PSO_MAPPING!$V18,0)</f>
        <v>0</v>
      </c>
      <c r="G88" s="199">
        <f>IF(CO_PO_PSO_MAPPING!$Z18=5,CO_PO_PSO_MAPPING!$V18,0)</f>
        <v>0</v>
      </c>
      <c r="H88" s="199"/>
      <c r="I88" s="170">
        <f t="shared" si="12"/>
        <v>0</v>
      </c>
      <c r="K88" s="671"/>
      <c r="L88" s="203" t="s">
        <v>31</v>
      </c>
      <c r="M88" s="202">
        <f>IF(OR(CO_PO_PSO_MAPPING!$AH18=1,CO_PO_PSO_MAPPING!$AH18=2),CO_PO_PSO_MAPPING!$AD18,0)</f>
        <v>0</v>
      </c>
      <c r="N88" s="202">
        <f>IF(CO_PO_PSO_MAPPING!$AH18=3,CO_PO_PSO_MAPPING!$AD18,0)</f>
        <v>0</v>
      </c>
      <c r="O88" s="202">
        <f>IF(CO_PO_PSO_MAPPING!$AH18=4,CO_PO_PSO_MAPPING!$AD18,0)</f>
        <v>0</v>
      </c>
      <c r="P88" s="202">
        <f>IF(CO_PO_PSO_MAPPING!$AH18=5,CO_PO_PSO_MAPPING!$AD18,0)</f>
        <v>0</v>
      </c>
      <c r="Q88" s="202"/>
      <c r="R88" s="170">
        <f t="shared" si="10"/>
        <v>0</v>
      </c>
    </row>
    <row r="89" spans="2:18" ht="15" customHeight="1" x14ac:dyDescent="0.3">
      <c r="B89" s="673"/>
      <c r="C89" s="86" t="s">
        <v>32</v>
      </c>
      <c r="D89" s="199">
        <f>IF(OR(CO_PO_PSO_MAPPING!$Z19=1,CO_PO_PSO_MAPPING!$Z19=2),CO_PO_PSO_MAPPING!$V19,0)</f>
        <v>0</v>
      </c>
      <c r="E89" s="199">
        <f>IF(CO_PO_PSO_MAPPING!$Z19=3,CO_PO_PSO_MAPPING!$V19,0)</f>
        <v>0</v>
      </c>
      <c r="F89" s="199">
        <f>IF(CO_PO_PSO_MAPPING!$Z19=4,CO_PO_PSO_MAPPING!$V19,0)</f>
        <v>0</v>
      </c>
      <c r="G89" s="199">
        <f>IF(CO_PO_PSO_MAPPING!$Z19=5,CO_PO_PSO_MAPPING!$V19,0)</f>
        <v>0</v>
      </c>
      <c r="H89" s="199"/>
      <c r="I89" s="170">
        <f t="shared" si="12"/>
        <v>0</v>
      </c>
      <c r="K89" s="671"/>
      <c r="L89" s="203" t="s">
        <v>32</v>
      </c>
      <c r="M89" s="202">
        <f>IF(OR(CO_PO_PSO_MAPPING!$AH19=1,CO_PO_PSO_MAPPING!$AH19=2),CO_PO_PSO_MAPPING!$AD19,0)</f>
        <v>0</v>
      </c>
      <c r="N89" s="202">
        <f>IF(CO_PO_PSO_MAPPING!$AH19=3,CO_PO_PSO_MAPPING!$AD19,0)</f>
        <v>0</v>
      </c>
      <c r="O89" s="202">
        <f>IF(CO_PO_PSO_MAPPING!$AH19=4,CO_PO_PSO_MAPPING!$AD19,0)</f>
        <v>0</v>
      </c>
      <c r="P89" s="202">
        <f>IF(CO_PO_PSO_MAPPING!$AH19=5,CO_PO_PSO_MAPPING!$AD19,0)</f>
        <v>0</v>
      </c>
      <c r="Q89" s="202"/>
      <c r="R89" s="170">
        <f t="shared" si="10"/>
        <v>0</v>
      </c>
    </row>
    <row r="90" spans="2:18" ht="15" customHeight="1" x14ac:dyDescent="0.3">
      <c r="B90" s="673"/>
      <c r="C90" s="86" t="s">
        <v>33</v>
      </c>
      <c r="D90" s="199">
        <f>IF(OR(CO_PO_PSO_MAPPING!$Z20=1,CO_PO_PSO_MAPPING!$Z20=2),CO_PO_PSO_MAPPING!$V20,0)</f>
        <v>0</v>
      </c>
      <c r="E90" s="199">
        <f>IF(CO_PO_PSO_MAPPING!$Z20=3,CO_PO_PSO_MAPPING!$V20,0)</f>
        <v>10</v>
      </c>
      <c r="F90" s="199">
        <f>IF(CO_PO_PSO_MAPPING!$Z20=4,CO_PO_PSO_MAPPING!$V20,0)</f>
        <v>0</v>
      </c>
      <c r="G90" s="199">
        <f>IF(CO_PO_PSO_MAPPING!$Z20=5,CO_PO_PSO_MAPPING!$V20,0)</f>
        <v>0</v>
      </c>
      <c r="H90" s="199"/>
      <c r="I90" s="170">
        <f t="shared" si="12"/>
        <v>10</v>
      </c>
      <c r="K90" s="671"/>
      <c r="L90" s="204" t="s">
        <v>33</v>
      </c>
      <c r="M90" s="205">
        <f>IF(OR(CO_PO_PSO_MAPPING!$AH20=1,CO_PO_PSO_MAPPING!$AH20=2),CO_PO_PSO_MAPPING!$AD20,0)</f>
        <v>0</v>
      </c>
      <c r="N90" s="205">
        <f>IF(CO_PO_PSO_MAPPING!$AH20=3,CO_PO_PSO_MAPPING!$AD20,0)</f>
        <v>6</v>
      </c>
      <c r="O90" s="205">
        <f>IF(CO_PO_PSO_MAPPING!$AH20=4,CO_PO_PSO_MAPPING!$AD20,0)</f>
        <v>0</v>
      </c>
      <c r="P90" s="205">
        <f>IF(CO_PO_PSO_MAPPING!$AH20=5,CO_PO_PSO_MAPPING!$AD20,0)</f>
        <v>0</v>
      </c>
      <c r="Q90" s="205"/>
      <c r="R90" s="170">
        <f t="shared" si="10"/>
        <v>6</v>
      </c>
    </row>
    <row r="91" spans="2:18" ht="15" customHeight="1" x14ac:dyDescent="0.3">
      <c r="B91" s="673"/>
      <c r="C91" s="86" t="s">
        <v>34</v>
      </c>
      <c r="D91" s="199">
        <f>IF(OR(CO_PO_PSO_MAPPING!$Z21=1,CO_PO_PSO_MAPPING!$Z21=2),CO_PO_PSO_MAPPING!$V21,0)</f>
        <v>0</v>
      </c>
      <c r="E91" s="199">
        <f>IF(CO_PO_PSO_MAPPING!$Z21=3,CO_PO_PSO_MAPPING!$V21,0)</f>
        <v>0</v>
      </c>
      <c r="F91" s="199">
        <f>IF(CO_PO_PSO_MAPPING!$Z21=4,CO_PO_PSO_MAPPING!$V21,0)</f>
        <v>0</v>
      </c>
      <c r="G91" s="199">
        <f>IF(CO_PO_PSO_MAPPING!$Z21=5,CO_PO_PSO_MAPPING!$V21,0)</f>
        <v>0</v>
      </c>
      <c r="H91" s="199"/>
      <c r="I91" s="170">
        <f t="shared" si="12"/>
        <v>0</v>
      </c>
      <c r="K91" s="671"/>
      <c r="L91" s="204" t="s">
        <v>34</v>
      </c>
      <c r="M91" s="205">
        <f>IF(OR(CO_PO_PSO_MAPPING!$AH21=1,CO_PO_PSO_MAPPING!$AH21=2),CO_PO_PSO_MAPPING!$AD21,0)</f>
        <v>0</v>
      </c>
      <c r="N91" s="205">
        <f>IF(CO_PO_PSO_MAPPING!$AH21=3,CO_PO_PSO_MAPPING!$AD21,0)</f>
        <v>6</v>
      </c>
      <c r="O91" s="205">
        <f>IF(CO_PO_PSO_MAPPING!$AH21=4,CO_PO_PSO_MAPPING!$AD21,0)</f>
        <v>0</v>
      </c>
      <c r="P91" s="205">
        <f>IF(CO_PO_PSO_MAPPING!$AH21=5,CO_PO_PSO_MAPPING!$AD21,0)</f>
        <v>0</v>
      </c>
      <c r="Q91" s="205"/>
      <c r="R91" s="170">
        <f t="shared" si="10"/>
        <v>6</v>
      </c>
    </row>
    <row r="92" spans="2:18" ht="15" customHeight="1" x14ac:dyDescent="0.3">
      <c r="B92" s="673"/>
      <c r="C92" s="86" t="s">
        <v>35</v>
      </c>
      <c r="D92" s="199">
        <f>IF(OR(CO_PO_PSO_MAPPING!$Z22=1,CO_PO_PSO_MAPPING!$Z22=2),CO_PO_PSO_MAPPING!$V22,0)</f>
        <v>0</v>
      </c>
      <c r="E92" s="199">
        <f>IF(CO_PO_PSO_MAPPING!$Z22=3,CO_PO_PSO_MAPPING!$V22,0)</f>
        <v>0</v>
      </c>
      <c r="F92" s="199">
        <f>IF(CO_PO_PSO_MAPPING!$Z22=4,CO_PO_PSO_MAPPING!$V22,0)</f>
        <v>0</v>
      </c>
      <c r="G92" s="199">
        <f>IF(CO_PO_PSO_MAPPING!$Z22=5,CO_PO_PSO_MAPPING!$V22,0)</f>
        <v>0</v>
      </c>
      <c r="H92" s="199"/>
      <c r="I92" s="170">
        <f t="shared" si="12"/>
        <v>0</v>
      </c>
      <c r="K92" s="671"/>
      <c r="L92" s="204" t="s">
        <v>35</v>
      </c>
      <c r="M92" s="205">
        <f>IF(OR(CO_PO_PSO_MAPPING!$AH22=1,CO_PO_PSO_MAPPING!$AH22=2),CO_PO_PSO_MAPPING!$AD22,0)</f>
        <v>0</v>
      </c>
      <c r="N92" s="205">
        <f>IF(CO_PO_PSO_MAPPING!$AH22=3,CO_PO_PSO_MAPPING!$AD22,0)</f>
        <v>8</v>
      </c>
      <c r="O92" s="205">
        <f>IF(CO_PO_PSO_MAPPING!$AH22=4,CO_PO_PSO_MAPPING!$AD22,0)</f>
        <v>0</v>
      </c>
      <c r="P92" s="205">
        <f>IF(CO_PO_PSO_MAPPING!$AH22=5,CO_PO_PSO_MAPPING!$AD22,0)</f>
        <v>0</v>
      </c>
      <c r="Q92" s="205"/>
      <c r="R92" s="170">
        <f t="shared" si="10"/>
        <v>8</v>
      </c>
    </row>
    <row r="93" spans="2:18" ht="15" customHeight="1" x14ac:dyDescent="0.3">
      <c r="B93" s="673"/>
      <c r="C93" s="86" t="s">
        <v>36</v>
      </c>
      <c r="D93" s="199">
        <f>IF(OR(CO_PO_PSO_MAPPING!$Z23=1,CO_PO_PSO_MAPPING!$Z23=2),CO_PO_PSO_MAPPING!$V23,0)</f>
        <v>0</v>
      </c>
      <c r="E93" s="199">
        <f>IF(CO_PO_PSO_MAPPING!$Z23=3,CO_PO_PSO_MAPPING!$V23,0)</f>
        <v>0</v>
      </c>
      <c r="F93" s="199">
        <f>IF(CO_PO_PSO_MAPPING!$Z23=4,CO_PO_PSO_MAPPING!$V23,0)</f>
        <v>0</v>
      </c>
      <c r="G93" s="199">
        <f>IF(CO_PO_PSO_MAPPING!$Z23=5,CO_PO_PSO_MAPPING!$V23,0)</f>
        <v>0</v>
      </c>
      <c r="H93" s="199"/>
      <c r="I93" s="170">
        <f t="shared" si="12"/>
        <v>0</v>
      </c>
      <c r="K93" s="671"/>
      <c r="L93" s="204" t="s">
        <v>36</v>
      </c>
      <c r="M93" s="205">
        <f>IF(OR(CO_PO_PSO_MAPPING!$AH23=1,CO_PO_PSO_MAPPING!$AH23=2),CO_PO_PSO_MAPPING!$AD23,0)</f>
        <v>0</v>
      </c>
      <c r="N93" s="205">
        <f>IF(CO_PO_PSO_MAPPING!$AH23=3,CO_PO_PSO_MAPPING!$AD23,0)</f>
        <v>0</v>
      </c>
      <c r="O93" s="205">
        <f>IF(CO_PO_PSO_MAPPING!$AH23=4,CO_PO_PSO_MAPPING!$AD23,0)</f>
        <v>0</v>
      </c>
      <c r="P93" s="205">
        <f>IF(CO_PO_PSO_MAPPING!$AH23=5,CO_PO_PSO_MAPPING!$AD23,0)</f>
        <v>0</v>
      </c>
      <c r="Q93" s="205"/>
      <c r="R93" s="170">
        <f t="shared" si="10"/>
        <v>0</v>
      </c>
    </row>
    <row r="94" spans="2:18" ht="15" customHeight="1" x14ac:dyDescent="0.3">
      <c r="B94" s="673"/>
      <c r="C94" s="86" t="s">
        <v>37</v>
      </c>
      <c r="D94" s="199">
        <f>IF(OR(CO_PO_PSO_MAPPING!$Z24=1,CO_PO_PSO_MAPPING!$Z24=2),CO_PO_PSO_MAPPING!$V24,0)</f>
        <v>0</v>
      </c>
      <c r="E94" s="199">
        <f>IF(CO_PO_PSO_MAPPING!$Z24=3,CO_PO_PSO_MAPPING!$V24,0)</f>
        <v>10</v>
      </c>
      <c r="F94" s="199">
        <f>IF(CO_PO_PSO_MAPPING!$Z24=4,CO_PO_PSO_MAPPING!$V24,0)</f>
        <v>0</v>
      </c>
      <c r="G94" s="199">
        <f>IF(CO_PO_PSO_MAPPING!$Z24=5,CO_PO_PSO_MAPPING!$V24,0)</f>
        <v>0</v>
      </c>
      <c r="H94" s="199"/>
      <c r="I94" s="170">
        <f t="shared" si="12"/>
        <v>10</v>
      </c>
      <c r="K94" s="671"/>
      <c r="L94" s="203" t="s">
        <v>37</v>
      </c>
      <c r="M94" s="202">
        <f>IF(OR(CO_PO_PSO_MAPPING!$AH24=1,CO_PO_PSO_MAPPING!$AH24=2),CO_PO_PSO_MAPPING!$AD24,0)</f>
        <v>0</v>
      </c>
      <c r="N94" s="202">
        <f>IF(CO_PO_PSO_MAPPING!$AH24=3,CO_PO_PSO_MAPPING!$AD24,0)</f>
        <v>6</v>
      </c>
      <c r="O94" s="202">
        <f>IF(CO_PO_PSO_MAPPING!$AH24=4,CO_PO_PSO_MAPPING!$AD24,0)</f>
        <v>0</v>
      </c>
      <c r="P94" s="202">
        <f>IF(CO_PO_PSO_MAPPING!$AH24=5,CO_PO_PSO_MAPPING!$AD24,0)</f>
        <v>0</v>
      </c>
      <c r="Q94" s="202"/>
      <c r="R94" s="170">
        <f t="shared" si="10"/>
        <v>6</v>
      </c>
    </row>
    <row r="95" spans="2:18" ht="15" customHeight="1" x14ac:dyDescent="0.3">
      <c r="B95" s="673"/>
      <c r="C95" s="86" t="s">
        <v>38</v>
      </c>
      <c r="D95" s="199">
        <f>IF(OR(CO_PO_PSO_MAPPING!$Z25=1,CO_PO_PSO_MAPPING!$Z25=2),CO_PO_PSO_MAPPING!$V25,0)</f>
        <v>0</v>
      </c>
      <c r="E95" s="199">
        <f>IF(CO_PO_PSO_MAPPING!$Z25=3,CO_PO_PSO_MAPPING!$V25,0)</f>
        <v>0</v>
      </c>
      <c r="F95" s="199">
        <f>IF(CO_PO_PSO_MAPPING!$Z25=4,CO_PO_PSO_MAPPING!$V25,0)</f>
        <v>0</v>
      </c>
      <c r="G95" s="199">
        <f>IF(CO_PO_PSO_MAPPING!$Z25=5,CO_PO_PSO_MAPPING!$V25,0)</f>
        <v>0</v>
      </c>
      <c r="H95" s="199"/>
      <c r="I95" s="170">
        <f t="shared" si="12"/>
        <v>0</v>
      </c>
      <c r="K95" s="671"/>
      <c r="L95" s="203" t="s">
        <v>38</v>
      </c>
      <c r="M95" s="202">
        <f>IF(OR(CO_PO_PSO_MAPPING!$AH25=1,CO_PO_PSO_MAPPING!$AH25=2),CO_PO_PSO_MAPPING!$AD25,0)</f>
        <v>0</v>
      </c>
      <c r="N95" s="202">
        <f>IF(CO_PO_PSO_MAPPING!$AH25=3,CO_PO_PSO_MAPPING!$AD25,0)</f>
        <v>6</v>
      </c>
      <c r="O95" s="202">
        <f>IF(CO_PO_PSO_MAPPING!$AH25=4,CO_PO_PSO_MAPPING!$AD25,0)</f>
        <v>0</v>
      </c>
      <c r="P95" s="202">
        <f>IF(CO_PO_PSO_MAPPING!$AH25=5,CO_PO_PSO_MAPPING!$AD25,0)</f>
        <v>0</v>
      </c>
      <c r="Q95" s="202"/>
      <c r="R95" s="170">
        <f t="shared" si="10"/>
        <v>6</v>
      </c>
    </row>
    <row r="96" spans="2:18" ht="15" customHeight="1" x14ac:dyDescent="0.3">
      <c r="B96" s="673"/>
      <c r="C96" s="86" t="s">
        <v>39</v>
      </c>
      <c r="D96" s="199">
        <f>IF(OR(CO_PO_PSO_MAPPING!$Z26=1,CO_PO_PSO_MAPPING!$Z26=2),CO_PO_PSO_MAPPING!$V26,0)</f>
        <v>0</v>
      </c>
      <c r="E96" s="199">
        <f>IF(CO_PO_PSO_MAPPING!$Z26=3,CO_PO_PSO_MAPPING!$V26,0)</f>
        <v>0</v>
      </c>
      <c r="F96" s="199">
        <f>IF(CO_PO_PSO_MAPPING!$Z26=4,CO_PO_PSO_MAPPING!$V26,0)</f>
        <v>0</v>
      </c>
      <c r="G96" s="199">
        <f>IF(CO_PO_PSO_MAPPING!$Z26=5,CO_PO_PSO_MAPPING!$V26,0)</f>
        <v>0</v>
      </c>
      <c r="H96" s="199"/>
      <c r="I96" s="170">
        <f t="shared" si="12"/>
        <v>0</v>
      </c>
      <c r="K96" s="671"/>
      <c r="L96" s="203" t="s">
        <v>39</v>
      </c>
      <c r="M96" s="202">
        <f>IF(OR(CO_PO_PSO_MAPPING!$AH26=1,CO_PO_PSO_MAPPING!$AH26=2),CO_PO_PSO_MAPPING!$AD26,0)</f>
        <v>0</v>
      </c>
      <c r="N96" s="202">
        <f>IF(CO_PO_PSO_MAPPING!$AH26=3,CO_PO_PSO_MAPPING!$AD26,0)</f>
        <v>8</v>
      </c>
      <c r="O96" s="202">
        <f>IF(CO_PO_PSO_MAPPING!$AH26=4,CO_PO_PSO_MAPPING!$AD26,0)</f>
        <v>0</v>
      </c>
      <c r="P96" s="202">
        <f>IF(CO_PO_PSO_MAPPING!$AH26=5,CO_PO_PSO_MAPPING!$AD26,0)</f>
        <v>0</v>
      </c>
      <c r="Q96" s="202"/>
      <c r="R96" s="170">
        <f t="shared" si="10"/>
        <v>8</v>
      </c>
    </row>
    <row r="97" spans="2:18" ht="15" customHeight="1" x14ac:dyDescent="0.3">
      <c r="B97" s="673"/>
      <c r="C97" s="86" t="s">
        <v>40</v>
      </c>
      <c r="D97" s="199">
        <f>IF(OR(CO_PO_PSO_MAPPING!$Z27=1,CO_PO_PSO_MAPPING!$Z27=2),CO_PO_PSO_MAPPING!$V27,0)</f>
        <v>0</v>
      </c>
      <c r="E97" s="199">
        <f>IF(CO_PO_PSO_MAPPING!$Z27=3,CO_PO_PSO_MAPPING!$V27,0)</f>
        <v>0</v>
      </c>
      <c r="F97" s="199">
        <f>IF(CO_PO_PSO_MAPPING!$Z27=4,CO_PO_PSO_MAPPING!$V27,0)</f>
        <v>0</v>
      </c>
      <c r="G97" s="199">
        <f>IF(CO_PO_PSO_MAPPING!$Z27=5,CO_PO_PSO_MAPPING!$V27,0)</f>
        <v>0</v>
      </c>
      <c r="H97" s="199"/>
      <c r="I97" s="170">
        <f t="shared" si="12"/>
        <v>0</v>
      </c>
      <c r="K97" s="671"/>
      <c r="L97" s="203" t="s">
        <v>40</v>
      </c>
      <c r="M97" s="202">
        <f>IF(OR(CO_PO_PSO_MAPPING!$AH27=1,CO_PO_PSO_MAPPING!$AH27=2),CO_PO_PSO_MAPPING!$AD27,0)</f>
        <v>0</v>
      </c>
      <c r="N97" s="202">
        <f>IF(CO_PO_PSO_MAPPING!$AH27=3,CO_PO_PSO_MAPPING!$AD27,0)</f>
        <v>0</v>
      </c>
      <c r="O97" s="202">
        <f>IF(CO_PO_PSO_MAPPING!$AH27=4,CO_PO_PSO_MAPPING!$AD27,0)</f>
        <v>0</v>
      </c>
      <c r="P97" s="202">
        <f>IF(CO_PO_PSO_MAPPING!$AH27=5,CO_PO_PSO_MAPPING!$AD27,0)</f>
        <v>0</v>
      </c>
      <c r="Q97" s="202"/>
      <c r="R97" s="170">
        <f t="shared" si="10"/>
        <v>0</v>
      </c>
    </row>
    <row r="98" spans="2:18" ht="15" customHeight="1" x14ac:dyDescent="0.3">
      <c r="B98" s="673"/>
      <c r="C98" s="86" t="s">
        <v>41</v>
      </c>
      <c r="D98" s="199">
        <f>IF(OR(CO_PO_PSO_MAPPING!$Z28=1,CO_PO_PSO_MAPPING!$Z28=2),CO_PO_PSO_MAPPING!$V28,0)</f>
        <v>0</v>
      </c>
      <c r="E98" s="199">
        <f>IF(CO_PO_PSO_MAPPING!$Z28=3,CO_PO_PSO_MAPPING!$V28,0)</f>
        <v>0</v>
      </c>
      <c r="F98" s="199">
        <f>IF(CO_PO_PSO_MAPPING!$Z28=4,CO_PO_PSO_MAPPING!$V28,0)</f>
        <v>10</v>
      </c>
      <c r="G98" s="199">
        <f>IF(CO_PO_PSO_MAPPING!$Z28=5,CO_PO_PSO_MAPPING!$V28,0)</f>
        <v>0</v>
      </c>
      <c r="H98" s="199"/>
      <c r="I98" s="170">
        <f t="shared" si="12"/>
        <v>10</v>
      </c>
      <c r="K98" s="671"/>
      <c r="L98" s="206" t="s">
        <v>41</v>
      </c>
      <c r="M98" s="207">
        <f>IF(OR(CO_PO_PSO_MAPPING!$AH28=1,CO_PO_PSO_MAPPING!$AH28=2),CO_PO_PSO_MAPPING!$AD28,0)</f>
        <v>0</v>
      </c>
      <c r="N98" s="207">
        <f>IF(CO_PO_PSO_MAPPING!$AH28=3,CO_PO_PSO_MAPPING!$AD28,0)</f>
        <v>10</v>
      </c>
      <c r="O98" s="207">
        <f>IF(CO_PO_PSO_MAPPING!$AH28=4,CO_PO_PSO_MAPPING!$AD28,0)</f>
        <v>0</v>
      </c>
      <c r="P98" s="207">
        <f>IF(CO_PO_PSO_MAPPING!$AH28=5,CO_PO_PSO_MAPPING!$AD28,0)</f>
        <v>0</v>
      </c>
      <c r="Q98" s="207"/>
      <c r="R98" s="170">
        <f t="shared" si="10"/>
        <v>10</v>
      </c>
    </row>
    <row r="99" spans="2:18" ht="15" customHeight="1" x14ac:dyDescent="0.3">
      <c r="B99" s="673"/>
      <c r="C99" s="86" t="s">
        <v>42</v>
      </c>
      <c r="D99" s="199">
        <f>IF(OR(CO_PO_PSO_MAPPING!$Z29=1,CO_PO_PSO_MAPPING!$Z29=2),CO_PO_PSO_MAPPING!$V29,0)</f>
        <v>0</v>
      </c>
      <c r="E99" s="199">
        <f>IF(CO_PO_PSO_MAPPING!$Z29=3,CO_PO_PSO_MAPPING!$V29,0)</f>
        <v>0</v>
      </c>
      <c r="F99" s="199">
        <f>IF(CO_PO_PSO_MAPPING!$Z29=4,CO_PO_PSO_MAPPING!$V29,0)</f>
        <v>0</v>
      </c>
      <c r="G99" s="199">
        <f>IF(CO_PO_PSO_MAPPING!$Z29=5,CO_PO_PSO_MAPPING!$V29,0)</f>
        <v>0</v>
      </c>
      <c r="H99" s="199"/>
      <c r="I99" s="170">
        <f t="shared" si="12"/>
        <v>0</v>
      </c>
      <c r="K99" s="671"/>
      <c r="L99" s="206" t="s">
        <v>42</v>
      </c>
      <c r="M99" s="207">
        <f>IF(OR(CO_PO_PSO_MAPPING!$AH29=1,CO_PO_PSO_MAPPING!$AH29=2),CO_PO_PSO_MAPPING!$AD29,0)</f>
        <v>0</v>
      </c>
      <c r="N99" s="207">
        <f>IF(CO_PO_PSO_MAPPING!$AH29=3,CO_PO_PSO_MAPPING!$AD29,0)</f>
        <v>0</v>
      </c>
      <c r="O99" s="207">
        <f>IF(CO_PO_PSO_MAPPING!$AH29=4,CO_PO_PSO_MAPPING!$AD29,0)</f>
        <v>10</v>
      </c>
      <c r="P99" s="207">
        <f>IF(CO_PO_PSO_MAPPING!$AH29=5,CO_PO_PSO_MAPPING!$AD29,0)</f>
        <v>0</v>
      </c>
      <c r="Q99" s="207"/>
      <c r="R99" s="170">
        <f t="shared" si="10"/>
        <v>10</v>
      </c>
    </row>
    <row r="100" spans="2:18" ht="15" customHeight="1" x14ac:dyDescent="0.3">
      <c r="B100" s="673"/>
      <c r="C100" s="86" t="s">
        <v>43</v>
      </c>
      <c r="D100" s="199">
        <f>IF(OR(CO_PO_PSO_MAPPING!$Z30=1,CO_PO_PSO_MAPPING!$Z30=2),CO_PO_PSO_MAPPING!$V30,0)</f>
        <v>0</v>
      </c>
      <c r="E100" s="199">
        <f>IF(CO_PO_PSO_MAPPING!$Z30=3,CO_PO_PSO_MAPPING!$V30,0)</f>
        <v>0</v>
      </c>
      <c r="F100" s="199">
        <f>IF(CO_PO_PSO_MAPPING!$Z30=4,CO_PO_PSO_MAPPING!$V30,0)</f>
        <v>0</v>
      </c>
      <c r="G100" s="199">
        <f>IF(CO_PO_PSO_MAPPING!$Z30=5,CO_PO_PSO_MAPPING!$V30,0)</f>
        <v>0</v>
      </c>
      <c r="H100" s="199"/>
      <c r="I100" s="170">
        <f t="shared" si="12"/>
        <v>0</v>
      </c>
      <c r="K100" s="671"/>
      <c r="L100" s="206" t="s">
        <v>43</v>
      </c>
      <c r="M100" s="207">
        <f>IF(OR(CO_PO_PSO_MAPPING!$AH30=1,CO_PO_PSO_MAPPING!$AH30=2),CO_PO_PSO_MAPPING!$AD30,0)</f>
        <v>0</v>
      </c>
      <c r="N100" s="207">
        <f>IF(CO_PO_PSO_MAPPING!$AH30=3,CO_PO_PSO_MAPPING!$AD30,0)</f>
        <v>0</v>
      </c>
      <c r="O100" s="207">
        <f>IF(CO_PO_PSO_MAPPING!$AH30=4,CO_PO_PSO_MAPPING!$AD30,0)</f>
        <v>0</v>
      </c>
      <c r="P100" s="207">
        <f>IF(CO_PO_PSO_MAPPING!$AH30=5,CO_PO_PSO_MAPPING!$AD30,0)</f>
        <v>0</v>
      </c>
      <c r="Q100" s="207"/>
      <c r="R100" s="170">
        <f t="shared" si="10"/>
        <v>0</v>
      </c>
    </row>
    <row r="101" spans="2:18" ht="15" customHeight="1" x14ac:dyDescent="0.3">
      <c r="B101" s="673"/>
      <c r="C101" s="86" t="s">
        <v>44</v>
      </c>
      <c r="D101" s="199">
        <f>IF(OR(CO_PO_PSO_MAPPING!$Z31=1,CO_PO_PSO_MAPPING!$Z31=2),CO_PO_PSO_MAPPING!$V31,0)</f>
        <v>0</v>
      </c>
      <c r="E101" s="199">
        <f>IF(CO_PO_PSO_MAPPING!$Z31=3,CO_PO_PSO_MAPPING!$V31,0)</f>
        <v>0</v>
      </c>
      <c r="F101" s="199">
        <f>IF(CO_PO_PSO_MAPPING!$Z31=4,CO_PO_PSO_MAPPING!$V31,0)</f>
        <v>0</v>
      </c>
      <c r="G101" s="199">
        <f>IF(CO_PO_PSO_MAPPING!$Z31=5,CO_PO_PSO_MAPPING!$V31,0)</f>
        <v>0</v>
      </c>
      <c r="H101" s="199"/>
      <c r="I101" s="170">
        <f t="shared" si="12"/>
        <v>0</v>
      </c>
      <c r="K101" s="671"/>
      <c r="L101" s="206" t="s">
        <v>44</v>
      </c>
      <c r="M101" s="207">
        <f>IF(OR(CO_PO_PSO_MAPPING!$AH31=1,CO_PO_PSO_MAPPING!$AH31=2),CO_PO_PSO_MAPPING!$AD31,0)</f>
        <v>0</v>
      </c>
      <c r="N101" s="207">
        <f>IF(CO_PO_PSO_MAPPING!$AH31=3,CO_PO_PSO_MAPPING!$AD31,0)</f>
        <v>0</v>
      </c>
      <c r="O101" s="207">
        <f>IF(CO_PO_PSO_MAPPING!$AH31=4,CO_PO_PSO_MAPPING!$AD31,0)</f>
        <v>0</v>
      </c>
      <c r="P101" s="207">
        <f>IF(CO_PO_PSO_MAPPING!$AH31=5,CO_PO_PSO_MAPPING!$AD31,0)</f>
        <v>0</v>
      </c>
      <c r="Q101" s="207"/>
      <c r="R101" s="170">
        <f t="shared" si="10"/>
        <v>0</v>
      </c>
    </row>
    <row r="102" spans="2:18" ht="15" customHeight="1" x14ac:dyDescent="0.3">
      <c r="B102" s="673"/>
      <c r="C102" s="86" t="s">
        <v>45</v>
      </c>
      <c r="D102" s="199">
        <f>IF(OR(CO_PO_PSO_MAPPING!$Z32=1,CO_PO_PSO_MAPPING!$Z32=2),CO_PO_PSO_MAPPING!$V32,0)</f>
        <v>0</v>
      </c>
      <c r="E102" s="199">
        <f>IF(CO_PO_PSO_MAPPING!$Z32=3,CO_PO_PSO_MAPPING!$V32,0)</f>
        <v>0</v>
      </c>
      <c r="F102" s="199">
        <f>IF(CO_PO_PSO_MAPPING!$Z32=4,CO_PO_PSO_MAPPING!$V32,0)</f>
        <v>10</v>
      </c>
      <c r="G102" s="199">
        <f>IF(CO_PO_PSO_MAPPING!$Z32=5,CO_PO_PSO_MAPPING!$V32,0)</f>
        <v>0</v>
      </c>
      <c r="H102" s="199"/>
      <c r="I102" s="170">
        <f t="shared" si="12"/>
        <v>10</v>
      </c>
      <c r="K102" s="671"/>
      <c r="L102" s="211" t="s">
        <v>45</v>
      </c>
      <c r="M102" s="207">
        <f>IF(OR(CO_PO_PSO_MAPPING!$AH32=1,CO_PO_PSO_MAPPING!$AH32=2),CO_PO_PSO_MAPPING!$AD32,0)</f>
        <v>0</v>
      </c>
      <c r="N102" s="207">
        <f>IF(CO_PO_PSO_MAPPING!$AH32=3,CO_PO_PSO_MAPPING!$AD32,0)</f>
        <v>10</v>
      </c>
      <c r="O102" s="207">
        <f>IF(CO_PO_PSO_MAPPING!$AH32=4,CO_PO_PSO_MAPPING!$AD32,0)</f>
        <v>0</v>
      </c>
      <c r="P102" s="207">
        <f>IF(CO_PO_PSO_MAPPING!$AH32=5,CO_PO_PSO_MAPPING!$AD32,0)</f>
        <v>0</v>
      </c>
      <c r="Q102" s="207"/>
      <c r="R102" s="170">
        <f t="shared" ref="R102:R105" si="13">SUM(M102:Q102)</f>
        <v>10</v>
      </c>
    </row>
    <row r="103" spans="2:18" ht="15" customHeight="1" x14ac:dyDescent="0.3">
      <c r="B103" s="673"/>
      <c r="C103" s="86" t="s">
        <v>46</v>
      </c>
      <c r="D103" s="199">
        <f>IF(OR(CO_PO_PSO_MAPPING!$Z33=1,CO_PO_PSO_MAPPING!$Z33=2),CO_PO_PSO_MAPPING!$V33,0)</f>
        <v>0</v>
      </c>
      <c r="E103" s="199">
        <f>IF(CO_PO_PSO_MAPPING!$Z33=3,CO_PO_PSO_MAPPING!$V33,0)</f>
        <v>0</v>
      </c>
      <c r="F103" s="199">
        <f>IF(CO_PO_PSO_MAPPING!$Z33=4,CO_PO_PSO_MAPPING!$V33,0)</f>
        <v>0</v>
      </c>
      <c r="G103" s="199">
        <f>IF(CO_PO_PSO_MAPPING!$Z33=5,CO_PO_PSO_MAPPING!$V33,0)</f>
        <v>0</v>
      </c>
      <c r="H103" s="199"/>
      <c r="I103" s="170">
        <f t="shared" si="12"/>
        <v>0</v>
      </c>
      <c r="K103" s="671"/>
      <c r="L103" s="211" t="s">
        <v>46</v>
      </c>
      <c r="M103" s="207">
        <f>IF(OR(CO_PO_PSO_MAPPING!$AH33=1,CO_PO_PSO_MAPPING!$AH33=2),CO_PO_PSO_MAPPING!$AD33,0)</f>
        <v>0</v>
      </c>
      <c r="N103" s="207">
        <f>IF(CO_PO_PSO_MAPPING!$AH33=3,CO_PO_PSO_MAPPING!$AD33,0)</f>
        <v>0</v>
      </c>
      <c r="O103" s="207">
        <f>IF(CO_PO_PSO_MAPPING!$AH33=4,CO_PO_PSO_MAPPING!$AD33,0)</f>
        <v>10</v>
      </c>
      <c r="P103" s="207">
        <f>IF(CO_PO_PSO_MAPPING!$AH33=5,CO_PO_PSO_MAPPING!$AD33,0)</f>
        <v>0</v>
      </c>
      <c r="Q103" s="207"/>
      <c r="R103" s="170">
        <f t="shared" si="13"/>
        <v>10</v>
      </c>
    </row>
    <row r="104" spans="2:18" ht="15" customHeight="1" x14ac:dyDescent="0.3">
      <c r="B104" s="673"/>
      <c r="C104" s="86" t="s">
        <v>47</v>
      </c>
      <c r="D104" s="199">
        <f>IF(OR(CO_PO_PSO_MAPPING!$Z34=1,CO_PO_PSO_MAPPING!$Z34=2),CO_PO_PSO_MAPPING!$V34,0)</f>
        <v>0</v>
      </c>
      <c r="E104" s="199">
        <f>IF(CO_PO_PSO_MAPPING!$Z34=3,CO_PO_PSO_MAPPING!$V34,0)</f>
        <v>0</v>
      </c>
      <c r="F104" s="199">
        <f>IF(CO_PO_PSO_MAPPING!$Z34=4,CO_PO_PSO_MAPPING!$V34,0)</f>
        <v>0</v>
      </c>
      <c r="G104" s="199">
        <f>IF(CO_PO_PSO_MAPPING!$Z34=5,CO_PO_PSO_MAPPING!$V34,0)</f>
        <v>0</v>
      </c>
      <c r="H104" s="199"/>
      <c r="I104" s="170">
        <f t="shared" si="12"/>
        <v>0</v>
      </c>
      <c r="K104" s="671"/>
      <c r="L104" s="211" t="s">
        <v>47</v>
      </c>
      <c r="M104" s="207">
        <f>IF(OR(CO_PO_PSO_MAPPING!$AH34=1,CO_PO_PSO_MAPPING!$AH34=2),CO_PO_PSO_MAPPING!$AD34,0)</f>
        <v>0</v>
      </c>
      <c r="N104" s="207">
        <f>IF(CO_PO_PSO_MAPPING!$AH34=3,CO_PO_PSO_MAPPING!$AD34,0)</f>
        <v>0</v>
      </c>
      <c r="O104" s="207">
        <f>IF(CO_PO_PSO_MAPPING!$AH34=4,CO_PO_PSO_MAPPING!$AD34,0)</f>
        <v>0</v>
      </c>
      <c r="P104" s="207">
        <f>IF(CO_PO_PSO_MAPPING!$AH34=5,CO_PO_PSO_MAPPING!$AD34,0)</f>
        <v>0</v>
      </c>
      <c r="Q104" s="207"/>
      <c r="R104" s="170">
        <f t="shared" si="13"/>
        <v>0</v>
      </c>
    </row>
    <row r="105" spans="2:18" ht="15" customHeight="1" x14ac:dyDescent="0.3">
      <c r="B105" s="673"/>
      <c r="C105" s="86" t="s">
        <v>48</v>
      </c>
      <c r="D105" s="199">
        <f>IF(OR(CO_PO_PSO_MAPPING!$Z35=1,CO_PO_PSO_MAPPING!$Z35=2),CO_PO_PSO_MAPPING!$V35,0)</f>
        <v>0</v>
      </c>
      <c r="E105" s="199">
        <f>IF(CO_PO_PSO_MAPPING!$Z35=3,CO_PO_PSO_MAPPING!$V35,0)</f>
        <v>0</v>
      </c>
      <c r="F105" s="199">
        <f>IF(CO_PO_PSO_MAPPING!$Z35=4,CO_PO_PSO_MAPPING!$V35,0)</f>
        <v>0</v>
      </c>
      <c r="G105" s="199">
        <f>IF(CO_PO_PSO_MAPPING!$Z35=5,CO_PO_PSO_MAPPING!$V35,0)</f>
        <v>0</v>
      </c>
      <c r="H105" s="199"/>
      <c r="I105" s="170">
        <f t="shared" si="12"/>
        <v>0</v>
      </c>
      <c r="K105" s="671"/>
      <c r="L105" s="211" t="s">
        <v>48</v>
      </c>
      <c r="M105" s="207">
        <f>IF(OR(CO_PO_PSO_MAPPING!$AH35=1,CO_PO_PSO_MAPPING!$AH35=2),CO_PO_PSO_MAPPING!$AD35,0)</f>
        <v>0</v>
      </c>
      <c r="N105" s="207">
        <f>IF(CO_PO_PSO_MAPPING!$AH35=3,CO_PO_PSO_MAPPING!$AD35,0)</f>
        <v>0</v>
      </c>
      <c r="O105" s="207">
        <f>IF(CO_PO_PSO_MAPPING!$AH35=4,CO_PO_PSO_MAPPING!$AD35,0)</f>
        <v>0</v>
      </c>
      <c r="P105" s="207">
        <f>IF(CO_PO_PSO_MAPPING!$AH35=5,CO_PO_PSO_MAPPING!$AD35,0)</f>
        <v>0</v>
      </c>
      <c r="Q105" s="207"/>
      <c r="R105" s="170">
        <f t="shared" si="13"/>
        <v>0</v>
      </c>
    </row>
    <row r="106" spans="2:18" ht="28.5" customHeight="1" x14ac:dyDescent="0.3">
      <c r="B106" s="672" t="s">
        <v>133</v>
      </c>
      <c r="C106" s="127" t="s">
        <v>17</v>
      </c>
      <c r="D106" s="199">
        <f>IF(OR(CO_PO_PSO_MAPPING!$Z36=1,CO_PO_PSO_MAPPING!$Z36=2),CO_PO_PSO_MAPPING!$V36,0)</f>
        <v>10</v>
      </c>
      <c r="E106" s="199">
        <f>IF(CO_PO_PSO_MAPPING!$Z36=3,CO_PO_PSO_MAPPING!$V36,0)</f>
        <v>0</v>
      </c>
      <c r="F106" s="199">
        <f>IF(CO_PO_PSO_MAPPING!$Z36=4,CO_PO_PSO_MAPPING!$V36,0)</f>
        <v>0</v>
      </c>
      <c r="G106" s="199">
        <f>IF(CO_PO_PSO_MAPPING!$Z36=5,CO_PO_PSO_MAPPING!$V36,0)</f>
        <v>0</v>
      </c>
      <c r="H106" s="199"/>
      <c r="I106" s="170">
        <f t="shared" si="12"/>
        <v>10</v>
      </c>
      <c r="K106" s="671"/>
      <c r="L106" s="208" t="s">
        <v>179</v>
      </c>
      <c r="M106" s="285">
        <f>SUM(M74:M105)</f>
        <v>12</v>
      </c>
      <c r="N106" s="285">
        <f t="shared" ref="N106:R106" si="14">SUM(N74:N105)</f>
        <v>128</v>
      </c>
      <c r="O106" s="285">
        <f t="shared" si="14"/>
        <v>20</v>
      </c>
      <c r="P106" s="285">
        <f t="shared" si="14"/>
        <v>0</v>
      </c>
      <c r="Q106" s="285">
        <f t="shared" si="14"/>
        <v>0</v>
      </c>
      <c r="R106" s="285">
        <f t="shared" si="14"/>
        <v>160</v>
      </c>
    </row>
    <row r="107" spans="2:18" ht="15" customHeight="1" x14ac:dyDescent="0.3">
      <c r="B107" s="673"/>
      <c r="C107" s="127" t="s">
        <v>18</v>
      </c>
      <c r="D107" s="199">
        <f>IF(OR(CO_PO_PSO_MAPPING!$Z37=1,CO_PO_PSO_MAPPING!$Z37=2),CO_PO_PSO_MAPPING!$V37,0)</f>
        <v>0</v>
      </c>
      <c r="E107" s="199">
        <f>IF(CO_PO_PSO_MAPPING!$Z37=3,CO_PO_PSO_MAPPING!$V37,0)</f>
        <v>0</v>
      </c>
      <c r="F107" s="199">
        <f>IF(CO_PO_PSO_MAPPING!$Z37=4,CO_PO_PSO_MAPPING!$V37,0)</f>
        <v>0</v>
      </c>
      <c r="G107" s="199">
        <f>IF(CO_PO_PSO_MAPPING!$Z37=5,CO_PO_PSO_MAPPING!$V37,0)</f>
        <v>0</v>
      </c>
      <c r="H107" s="199"/>
      <c r="I107" s="170">
        <f t="shared" si="12"/>
        <v>0</v>
      </c>
    </row>
    <row r="108" spans="2:18" ht="15" customHeight="1" x14ac:dyDescent="0.3">
      <c r="B108" s="673"/>
      <c r="C108" s="127" t="s">
        <v>19</v>
      </c>
      <c r="D108" s="199">
        <f>IF(OR(CO_PO_PSO_MAPPING!$Z38=1,CO_PO_PSO_MAPPING!$Z38=2),CO_PO_PSO_MAPPING!$V38,0)</f>
        <v>0</v>
      </c>
      <c r="E108" s="199">
        <f>IF(CO_PO_PSO_MAPPING!$Z38=3,CO_PO_PSO_MAPPING!$V38,0)</f>
        <v>0</v>
      </c>
      <c r="F108" s="199">
        <f>IF(CO_PO_PSO_MAPPING!$Z38=4,CO_PO_PSO_MAPPING!$V38,0)</f>
        <v>0</v>
      </c>
      <c r="G108" s="199">
        <f>IF(CO_PO_PSO_MAPPING!$Z38=5,CO_PO_PSO_MAPPING!$V38,0)</f>
        <v>0</v>
      </c>
      <c r="H108" s="199"/>
      <c r="I108" s="170">
        <f t="shared" si="12"/>
        <v>0</v>
      </c>
    </row>
    <row r="109" spans="2:18" ht="15" customHeight="1" x14ac:dyDescent="0.3">
      <c r="B109" s="673"/>
      <c r="C109" s="127" t="s">
        <v>20</v>
      </c>
      <c r="D109" s="199">
        <f>IF(OR(CO_PO_PSO_MAPPING!$Z39=1,CO_PO_PSO_MAPPING!$Z39=2),CO_PO_PSO_MAPPING!$V39,0)</f>
        <v>0</v>
      </c>
      <c r="E109" s="199">
        <f>IF(CO_PO_PSO_MAPPING!$Z39=3,CO_PO_PSO_MAPPING!$V39,0)</f>
        <v>0</v>
      </c>
      <c r="F109" s="199">
        <f>IF(CO_PO_PSO_MAPPING!$Z39=4,CO_PO_PSO_MAPPING!$V39,0)</f>
        <v>0</v>
      </c>
      <c r="G109" s="199">
        <f>IF(CO_PO_PSO_MAPPING!$Z39=5,CO_PO_PSO_MAPPING!$V39,0)</f>
        <v>0</v>
      </c>
      <c r="H109" s="199"/>
      <c r="I109" s="170">
        <f t="shared" si="12"/>
        <v>0</v>
      </c>
    </row>
    <row r="110" spans="2:18" ht="15" customHeight="1" x14ac:dyDescent="0.3">
      <c r="B110" s="673"/>
      <c r="C110" s="127" t="s">
        <v>21</v>
      </c>
      <c r="D110" s="199">
        <f>IF(OR(CO_PO_PSO_MAPPING!$Z40=1,CO_PO_PSO_MAPPING!$Z40=2),CO_PO_PSO_MAPPING!$V40,0)</f>
        <v>0</v>
      </c>
      <c r="E110" s="199">
        <f>IF(CO_PO_PSO_MAPPING!$Z40=3,CO_PO_PSO_MAPPING!$V40,0)</f>
        <v>5</v>
      </c>
      <c r="F110" s="199">
        <f>IF(CO_PO_PSO_MAPPING!$Z40=4,CO_PO_PSO_MAPPING!$V40,0)</f>
        <v>0</v>
      </c>
      <c r="G110" s="199">
        <f>IF(CO_PO_PSO_MAPPING!$Z40=5,CO_PO_PSO_MAPPING!$V40,0)</f>
        <v>0</v>
      </c>
      <c r="H110" s="199"/>
      <c r="I110" s="170">
        <f t="shared" si="12"/>
        <v>5</v>
      </c>
    </row>
    <row r="111" spans="2:18" ht="15" customHeight="1" x14ac:dyDescent="0.3">
      <c r="B111" s="673"/>
      <c r="C111" s="127" t="s">
        <v>22</v>
      </c>
      <c r="D111" s="199">
        <f>IF(OR(CO_PO_PSO_MAPPING!$Z41=1,CO_PO_PSO_MAPPING!$Z41=2),CO_PO_PSO_MAPPING!$V41,0)</f>
        <v>0</v>
      </c>
      <c r="E111" s="199">
        <f>IF(CO_PO_PSO_MAPPING!$Z41=3,CO_PO_PSO_MAPPING!$V41,0)</f>
        <v>5</v>
      </c>
      <c r="F111" s="199">
        <f>IF(CO_PO_PSO_MAPPING!$Z41=4,CO_PO_PSO_MAPPING!$V41,0)</f>
        <v>0</v>
      </c>
      <c r="G111" s="199">
        <f>IF(CO_PO_PSO_MAPPING!$Z41=5,CO_PO_PSO_MAPPING!$V41,0)</f>
        <v>0</v>
      </c>
      <c r="H111" s="199"/>
      <c r="I111" s="170">
        <f t="shared" si="12"/>
        <v>5</v>
      </c>
    </row>
    <row r="112" spans="2:18" ht="15" customHeight="1" x14ac:dyDescent="0.3">
      <c r="B112" s="673"/>
      <c r="C112" s="127" t="s">
        <v>23</v>
      </c>
      <c r="D112" s="199">
        <f>IF(OR(CO_PO_PSO_MAPPING!$Z42=1,CO_PO_PSO_MAPPING!$Z42=2),CO_PO_PSO_MAPPING!$V42,0)</f>
        <v>0</v>
      </c>
      <c r="E112" s="199">
        <f>IF(CO_PO_PSO_MAPPING!$Z42=3,CO_PO_PSO_MAPPING!$V42,0)</f>
        <v>0</v>
      </c>
      <c r="F112" s="199">
        <f>IF(CO_PO_PSO_MAPPING!$Z42=4,CO_PO_PSO_MAPPING!$V42,0)</f>
        <v>0</v>
      </c>
      <c r="G112" s="199">
        <f>IF(CO_PO_PSO_MAPPING!$Z42=5,CO_PO_PSO_MAPPING!$V42,0)</f>
        <v>0</v>
      </c>
      <c r="H112" s="199"/>
      <c r="I112" s="170">
        <f t="shared" si="12"/>
        <v>0</v>
      </c>
    </row>
    <row r="113" spans="2:9" ht="15" customHeight="1" x14ac:dyDescent="0.3">
      <c r="B113" s="673"/>
      <c r="C113" s="127" t="s">
        <v>24</v>
      </c>
      <c r="D113" s="199">
        <f>IF(OR(CO_PO_PSO_MAPPING!$Z43=1,CO_PO_PSO_MAPPING!$Z43=2),CO_PO_PSO_MAPPING!$V43,0)</f>
        <v>0</v>
      </c>
      <c r="E113" s="199">
        <f>IF(CO_PO_PSO_MAPPING!$Z43=3,CO_PO_PSO_MAPPING!$V43,0)</f>
        <v>0</v>
      </c>
      <c r="F113" s="199">
        <f>IF(CO_PO_PSO_MAPPING!$Z43=4,CO_PO_PSO_MAPPING!$V43,0)</f>
        <v>0</v>
      </c>
      <c r="G113" s="199">
        <f>IF(CO_PO_PSO_MAPPING!$Z43=5,CO_PO_PSO_MAPPING!$V43,0)</f>
        <v>0</v>
      </c>
      <c r="H113" s="199"/>
      <c r="I113" s="170">
        <f t="shared" si="12"/>
        <v>0</v>
      </c>
    </row>
    <row r="114" spans="2:9" ht="15" customHeight="1" x14ac:dyDescent="0.3">
      <c r="B114" s="673"/>
      <c r="C114" s="127" t="s">
        <v>25</v>
      </c>
      <c r="D114" s="199">
        <f>IF(OR(CO_PO_PSO_MAPPING!$Z44=1,CO_PO_PSO_MAPPING!$Z44=2),CO_PO_PSO_MAPPING!$V44,0)</f>
        <v>0</v>
      </c>
      <c r="E114" s="199">
        <f>IF(CO_PO_PSO_MAPPING!$Z44=3,CO_PO_PSO_MAPPING!$V44,0)</f>
        <v>10</v>
      </c>
      <c r="F114" s="199">
        <f>IF(CO_PO_PSO_MAPPING!$Z44=4,CO_PO_PSO_MAPPING!$V44,0)</f>
        <v>0</v>
      </c>
      <c r="G114" s="199">
        <f>IF(CO_PO_PSO_MAPPING!$Z44=5,CO_PO_PSO_MAPPING!$V44,0)</f>
        <v>0</v>
      </c>
      <c r="H114" s="199"/>
      <c r="I114" s="170">
        <f t="shared" si="12"/>
        <v>10</v>
      </c>
    </row>
    <row r="115" spans="2:9" ht="15" customHeight="1" x14ac:dyDescent="0.3">
      <c r="B115" s="673"/>
      <c r="C115" s="127" t="s">
        <v>26</v>
      </c>
      <c r="D115" s="199">
        <f>IF(OR(CO_PO_PSO_MAPPING!$Z45=1,CO_PO_PSO_MAPPING!$Z45=2),CO_PO_PSO_MAPPING!$V45,0)</f>
        <v>0</v>
      </c>
      <c r="E115" s="199">
        <f>IF(CO_PO_PSO_MAPPING!$Z45=3,CO_PO_PSO_MAPPING!$V45,0)</f>
        <v>0</v>
      </c>
      <c r="F115" s="199">
        <f>IF(CO_PO_PSO_MAPPING!$Z45=4,CO_PO_PSO_MAPPING!$V45,0)</f>
        <v>0</v>
      </c>
      <c r="G115" s="199">
        <f>IF(CO_PO_PSO_MAPPING!$Z45=5,CO_PO_PSO_MAPPING!$V45,0)</f>
        <v>0</v>
      </c>
      <c r="H115" s="199"/>
      <c r="I115" s="170">
        <f t="shared" si="12"/>
        <v>0</v>
      </c>
    </row>
    <row r="116" spans="2:9" ht="15" customHeight="1" x14ac:dyDescent="0.3">
      <c r="B116" s="673"/>
      <c r="C116" s="127" t="s">
        <v>27</v>
      </c>
      <c r="D116" s="199">
        <f>IF(OR(CO_PO_PSO_MAPPING!$Z46=1,CO_PO_PSO_MAPPING!$Z46=2),CO_PO_PSO_MAPPING!$V46,0)</f>
        <v>0</v>
      </c>
      <c r="E116" s="199">
        <f>IF(CO_PO_PSO_MAPPING!$Z46=3,CO_PO_PSO_MAPPING!$V46,0)</f>
        <v>0</v>
      </c>
      <c r="F116" s="199">
        <f>IF(CO_PO_PSO_MAPPING!$Z46=4,CO_PO_PSO_MAPPING!$V46,0)</f>
        <v>0</v>
      </c>
      <c r="G116" s="199">
        <f>IF(CO_PO_PSO_MAPPING!$Z46=5,CO_PO_PSO_MAPPING!$V46,0)</f>
        <v>0</v>
      </c>
      <c r="H116" s="199"/>
      <c r="I116" s="170">
        <f t="shared" si="12"/>
        <v>0</v>
      </c>
    </row>
    <row r="117" spans="2:9" ht="15" customHeight="1" x14ac:dyDescent="0.3">
      <c r="B117" s="673"/>
      <c r="C117" s="127" t="s">
        <v>28</v>
      </c>
      <c r="D117" s="199">
        <f>IF(OR(CO_PO_PSO_MAPPING!$Z47=1,CO_PO_PSO_MAPPING!$Z47=2),CO_PO_PSO_MAPPING!$V47,0)</f>
        <v>0</v>
      </c>
      <c r="E117" s="199">
        <f>IF(CO_PO_PSO_MAPPING!$Z47=3,CO_PO_PSO_MAPPING!$V47,0)</f>
        <v>0</v>
      </c>
      <c r="F117" s="199">
        <f>IF(CO_PO_PSO_MAPPING!$Z47=4,CO_PO_PSO_MAPPING!$V47,0)</f>
        <v>0</v>
      </c>
      <c r="G117" s="199">
        <f>IF(CO_PO_PSO_MAPPING!$Z47=5,CO_PO_PSO_MAPPING!$V47,0)</f>
        <v>0</v>
      </c>
      <c r="H117" s="199"/>
      <c r="I117" s="170">
        <f t="shared" si="12"/>
        <v>0</v>
      </c>
    </row>
    <row r="118" spans="2:9" ht="15" customHeight="1" x14ac:dyDescent="0.3">
      <c r="B118" s="673"/>
      <c r="C118" s="127" t="s">
        <v>29</v>
      </c>
      <c r="D118" s="199">
        <f>IF(OR(CO_PO_PSO_MAPPING!$Z48=1,CO_PO_PSO_MAPPING!$Z48=2),CO_PO_PSO_MAPPING!$V48,0)</f>
        <v>0</v>
      </c>
      <c r="E118" s="199">
        <f>IF(CO_PO_PSO_MAPPING!$Z48=3,CO_PO_PSO_MAPPING!$V48,0)</f>
        <v>10</v>
      </c>
      <c r="F118" s="199">
        <f>IF(CO_PO_PSO_MAPPING!$Z48=4,CO_PO_PSO_MAPPING!$V48,0)</f>
        <v>0</v>
      </c>
      <c r="G118" s="199">
        <f>IF(CO_PO_PSO_MAPPING!$Z48=5,CO_PO_PSO_MAPPING!$V48,0)</f>
        <v>0</v>
      </c>
      <c r="H118" s="199"/>
      <c r="I118" s="170">
        <f t="shared" si="12"/>
        <v>10</v>
      </c>
    </row>
    <row r="119" spans="2:9" ht="15" customHeight="1" x14ac:dyDescent="0.3">
      <c r="B119" s="673"/>
      <c r="C119" s="127" t="s">
        <v>30</v>
      </c>
      <c r="D119" s="199">
        <f>IF(OR(CO_PO_PSO_MAPPING!$Z49=1,CO_PO_PSO_MAPPING!$Z49=2),CO_PO_PSO_MAPPING!$V49,0)</f>
        <v>0</v>
      </c>
      <c r="E119" s="199">
        <f>IF(CO_PO_PSO_MAPPING!$Z49=3,CO_PO_PSO_MAPPING!$V49,0)</f>
        <v>0</v>
      </c>
      <c r="F119" s="199">
        <f>IF(CO_PO_PSO_MAPPING!$Z49=4,CO_PO_PSO_MAPPING!$V49,0)</f>
        <v>0</v>
      </c>
      <c r="G119" s="199">
        <f>IF(CO_PO_PSO_MAPPING!$Z49=5,CO_PO_PSO_MAPPING!$V49,0)</f>
        <v>0</v>
      </c>
      <c r="H119" s="199"/>
      <c r="I119" s="170">
        <f t="shared" si="12"/>
        <v>0</v>
      </c>
    </row>
    <row r="120" spans="2:9" ht="15" customHeight="1" x14ac:dyDescent="0.3">
      <c r="B120" s="673"/>
      <c r="C120" s="127" t="s">
        <v>31</v>
      </c>
      <c r="D120" s="199">
        <f>IF(OR(CO_PO_PSO_MAPPING!$Z50=1,CO_PO_PSO_MAPPING!$Z50=2),CO_PO_PSO_MAPPING!$V50,0)</f>
        <v>0</v>
      </c>
      <c r="E120" s="199">
        <f>IF(CO_PO_PSO_MAPPING!$Z50=3,CO_PO_PSO_MAPPING!$V50,0)</f>
        <v>0</v>
      </c>
      <c r="F120" s="199">
        <f>IF(CO_PO_PSO_MAPPING!$Z50=4,CO_PO_PSO_MAPPING!$V50,0)</f>
        <v>0</v>
      </c>
      <c r="G120" s="199">
        <f>IF(CO_PO_PSO_MAPPING!$Z50=5,CO_PO_PSO_MAPPING!$V50,0)</f>
        <v>0</v>
      </c>
      <c r="H120" s="199"/>
      <c r="I120" s="170">
        <f t="shared" si="12"/>
        <v>0</v>
      </c>
    </row>
    <row r="121" spans="2:9" ht="15" customHeight="1" x14ac:dyDescent="0.3">
      <c r="B121" s="673"/>
      <c r="C121" s="127" t="s">
        <v>32</v>
      </c>
      <c r="D121" s="199">
        <f>IF(OR(CO_PO_PSO_MAPPING!$Z51=1,CO_PO_PSO_MAPPING!$Z51=2),CO_PO_PSO_MAPPING!$V51,0)</f>
        <v>0</v>
      </c>
      <c r="E121" s="199">
        <f>IF(CO_PO_PSO_MAPPING!$Z51=3,CO_PO_PSO_MAPPING!$V51,0)</f>
        <v>0</v>
      </c>
      <c r="F121" s="199">
        <f>IF(CO_PO_PSO_MAPPING!$Z51=4,CO_PO_PSO_MAPPING!$V51,0)</f>
        <v>0</v>
      </c>
      <c r="G121" s="199">
        <f>IF(CO_PO_PSO_MAPPING!$Z51=5,CO_PO_PSO_MAPPING!$V51,0)</f>
        <v>0</v>
      </c>
      <c r="H121" s="199"/>
      <c r="I121" s="170">
        <f t="shared" si="12"/>
        <v>0</v>
      </c>
    </row>
    <row r="122" spans="2:9" ht="15" customHeight="1" x14ac:dyDescent="0.3">
      <c r="B122" s="673"/>
      <c r="C122" s="127" t="s">
        <v>33</v>
      </c>
      <c r="D122" s="199">
        <f>IF(OR(CO_PO_PSO_MAPPING!$Z52=1,CO_PO_PSO_MAPPING!$Z52=2),CO_PO_PSO_MAPPING!$V52,0)</f>
        <v>0</v>
      </c>
      <c r="E122" s="199">
        <f>IF(CO_PO_PSO_MAPPING!$Z52=3,CO_PO_PSO_MAPPING!$V52,0)</f>
        <v>10</v>
      </c>
      <c r="F122" s="199">
        <f>IF(CO_PO_PSO_MAPPING!$Z52=4,CO_PO_PSO_MAPPING!$V52,0)</f>
        <v>0</v>
      </c>
      <c r="G122" s="199">
        <f>IF(CO_PO_PSO_MAPPING!$Z52=5,CO_PO_PSO_MAPPING!$V52,0)</f>
        <v>0</v>
      </c>
      <c r="H122" s="199"/>
      <c r="I122" s="170">
        <f t="shared" si="12"/>
        <v>10</v>
      </c>
    </row>
    <row r="123" spans="2:9" ht="15" customHeight="1" x14ac:dyDescent="0.3">
      <c r="B123" s="673"/>
      <c r="C123" s="127" t="s">
        <v>34</v>
      </c>
      <c r="D123" s="199">
        <f>IF(OR(CO_PO_PSO_MAPPING!$Z53=1,CO_PO_PSO_MAPPING!$Z53=2),CO_PO_PSO_MAPPING!$V53,0)</f>
        <v>0</v>
      </c>
      <c r="E123" s="199">
        <f>IF(CO_PO_PSO_MAPPING!$Z53=3,CO_PO_PSO_MAPPING!$V53,0)</f>
        <v>0</v>
      </c>
      <c r="F123" s="199">
        <f>IF(CO_PO_PSO_MAPPING!$Z53=4,CO_PO_PSO_MAPPING!$V53,0)</f>
        <v>0</v>
      </c>
      <c r="G123" s="199">
        <f>IF(CO_PO_PSO_MAPPING!$Z53=5,CO_PO_PSO_MAPPING!$V53,0)</f>
        <v>0</v>
      </c>
      <c r="H123" s="199"/>
      <c r="I123" s="170">
        <f t="shared" si="12"/>
        <v>0</v>
      </c>
    </row>
    <row r="124" spans="2:9" ht="15" customHeight="1" x14ac:dyDescent="0.3">
      <c r="B124" s="673"/>
      <c r="C124" s="127" t="s">
        <v>35</v>
      </c>
      <c r="D124" s="199">
        <f>IF(OR(CO_PO_PSO_MAPPING!$Z54=1,CO_PO_PSO_MAPPING!$Z54=2),CO_PO_PSO_MAPPING!$V54,0)</f>
        <v>0</v>
      </c>
      <c r="E124" s="199">
        <f>IF(CO_PO_PSO_MAPPING!$Z54=3,CO_PO_PSO_MAPPING!$V54,0)</f>
        <v>0</v>
      </c>
      <c r="F124" s="199">
        <f>IF(CO_PO_PSO_MAPPING!$Z54=4,CO_PO_PSO_MAPPING!$V54,0)</f>
        <v>0</v>
      </c>
      <c r="G124" s="199">
        <f>IF(CO_PO_PSO_MAPPING!$Z54=5,CO_PO_PSO_MAPPING!$V54,0)</f>
        <v>0</v>
      </c>
      <c r="H124" s="199"/>
      <c r="I124" s="170">
        <f t="shared" si="12"/>
        <v>0</v>
      </c>
    </row>
    <row r="125" spans="2:9" ht="15" customHeight="1" x14ac:dyDescent="0.3">
      <c r="B125" s="673"/>
      <c r="C125" s="127" t="s">
        <v>36</v>
      </c>
      <c r="D125" s="199">
        <f>IF(OR(CO_PO_PSO_MAPPING!$Z55=1,CO_PO_PSO_MAPPING!$Z55=2),CO_PO_PSO_MAPPING!$V55,0)</f>
        <v>0</v>
      </c>
      <c r="E125" s="199">
        <f>IF(CO_PO_PSO_MAPPING!$Z55=3,CO_PO_PSO_MAPPING!$V55,0)</f>
        <v>0</v>
      </c>
      <c r="F125" s="199">
        <f>IF(CO_PO_PSO_MAPPING!$Z55=4,CO_PO_PSO_MAPPING!$V55,0)</f>
        <v>0</v>
      </c>
      <c r="G125" s="199">
        <f>IF(CO_PO_PSO_MAPPING!$Z55=5,CO_PO_PSO_MAPPING!$V55,0)</f>
        <v>0</v>
      </c>
      <c r="H125" s="199"/>
      <c r="I125" s="170">
        <f t="shared" si="12"/>
        <v>0</v>
      </c>
    </row>
    <row r="126" spans="2:9" ht="15" customHeight="1" x14ac:dyDescent="0.3">
      <c r="B126" s="673"/>
      <c r="C126" s="127" t="s">
        <v>37</v>
      </c>
      <c r="D126" s="199">
        <f>IF(OR(CO_PO_PSO_MAPPING!$Z56=1,CO_PO_PSO_MAPPING!$Z56=2),CO_PO_PSO_MAPPING!$V56,0)</f>
        <v>0</v>
      </c>
      <c r="E126" s="199">
        <f>IF(CO_PO_PSO_MAPPING!$Z56=3,CO_PO_PSO_MAPPING!$V56,0)</f>
        <v>10</v>
      </c>
      <c r="F126" s="199">
        <f>IF(CO_PO_PSO_MAPPING!$Z56=4,CO_PO_PSO_MAPPING!$V56,0)</f>
        <v>0</v>
      </c>
      <c r="G126" s="199">
        <f>IF(CO_PO_PSO_MAPPING!$Z56=5,CO_PO_PSO_MAPPING!$V56,0)</f>
        <v>0</v>
      </c>
      <c r="H126" s="199"/>
      <c r="I126" s="170">
        <f t="shared" si="12"/>
        <v>10</v>
      </c>
    </row>
    <row r="127" spans="2:9" ht="15" customHeight="1" x14ac:dyDescent="0.3">
      <c r="B127" s="673"/>
      <c r="C127" s="127" t="s">
        <v>38</v>
      </c>
      <c r="D127" s="199">
        <f>IF(OR(CO_PO_PSO_MAPPING!$Z57=1,CO_PO_PSO_MAPPING!$Z57=2),CO_PO_PSO_MAPPING!$V57,0)</f>
        <v>0</v>
      </c>
      <c r="E127" s="199">
        <f>IF(CO_PO_PSO_MAPPING!$Z57=3,CO_PO_PSO_MAPPING!$V57,0)</f>
        <v>0</v>
      </c>
      <c r="F127" s="199">
        <f>IF(CO_PO_PSO_MAPPING!$Z57=4,CO_PO_PSO_MAPPING!$V57,0)</f>
        <v>0</v>
      </c>
      <c r="G127" s="199">
        <f>IF(CO_PO_PSO_MAPPING!$Z57=5,CO_PO_PSO_MAPPING!$V57,0)</f>
        <v>0</v>
      </c>
      <c r="H127" s="199"/>
      <c r="I127" s="170">
        <f t="shared" si="12"/>
        <v>0</v>
      </c>
    </row>
    <row r="128" spans="2:9" ht="15" customHeight="1" x14ac:dyDescent="0.3">
      <c r="B128" s="673"/>
      <c r="C128" s="127" t="s">
        <v>39</v>
      </c>
      <c r="D128" s="199">
        <f>IF(OR(CO_PO_PSO_MAPPING!$Z58=1,CO_PO_PSO_MAPPING!$Z58=2),CO_PO_PSO_MAPPING!$V58,0)</f>
        <v>0</v>
      </c>
      <c r="E128" s="199">
        <f>IF(CO_PO_PSO_MAPPING!$Z58=3,CO_PO_PSO_MAPPING!$V58,0)</f>
        <v>0</v>
      </c>
      <c r="F128" s="199">
        <f>IF(CO_PO_PSO_MAPPING!$Z58=4,CO_PO_PSO_MAPPING!$V58,0)</f>
        <v>0</v>
      </c>
      <c r="G128" s="199">
        <f>IF(CO_PO_PSO_MAPPING!$Z58=5,CO_PO_PSO_MAPPING!$V58,0)</f>
        <v>0</v>
      </c>
      <c r="H128" s="199"/>
      <c r="I128" s="170">
        <f t="shared" si="12"/>
        <v>0</v>
      </c>
    </row>
    <row r="129" spans="2:9" ht="15" customHeight="1" x14ac:dyDescent="0.3">
      <c r="B129" s="673"/>
      <c r="C129" s="127" t="s">
        <v>40</v>
      </c>
      <c r="D129" s="199">
        <f>IF(OR(CO_PO_PSO_MAPPING!$Z59=1,CO_PO_PSO_MAPPING!$Z59=2),CO_PO_PSO_MAPPING!$V59,0)</f>
        <v>0</v>
      </c>
      <c r="E129" s="199">
        <f>IF(CO_PO_PSO_MAPPING!$Z59=3,CO_PO_PSO_MAPPING!$V59,0)</f>
        <v>0</v>
      </c>
      <c r="F129" s="199">
        <f>IF(CO_PO_PSO_MAPPING!$Z59=4,CO_PO_PSO_MAPPING!$V59,0)</f>
        <v>0</v>
      </c>
      <c r="G129" s="199">
        <f>IF(CO_PO_PSO_MAPPING!$Z59=5,CO_PO_PSO_MAPPING!$V59,0)</f>
        <v>0</v>
      </c>
      <c r="H129" s="199"/>
      <c r="I129" s="170">
        <f t="shared" si="12"/>
        <v>0</v>
      </c>
    </row>
    <row r="130" spans="2:9" ht="15" customHeight="1" x14ac:dyDescent="0.3">
      <c r="B130" s="673"/>
      <c r="C130" s="127" t="s">
        <v>41</v>
      </c>
      <c r="D130" s="199">
        <f>IF(OR(CO_PO_PSO_MAPPING!$Z60=1,CO_PO_PSO_MAPPING!$Z60=2),CO_PO_PSO_MAPPING!$V60,0)</f>
        <v>0</v>
      </c>
      <c r="E130" s="199">
        <f>IF(CO_PO_PSO_MAPPING!$Z60=3,CO_PO_PSO_MAPPING!$V60,0)</f>
        <v>10</v>
      </c>
      <c r="F130" s="199">
        <f>IF(CO_PO_PSO_MAPPING!$Z60=4,CO_PO_PSO_MAPPING!$V60,0)</f>
        <v>0</v>
      </c>
      <c r="G130" s="199">
        <f>IF(CO_PO_PSO_MAPPING!$Z60=5,CO_PO_PSO_MAPPING!$V60,0)</f>
        <v>0</v>
      </c>
      <c r="H130" s="199"/>
      <c r="I130" s="170">
        <f t="shared" si="12"/>
        <v>10</v>
      </c>
    </row>
    <row r="131" spans="2:9" ht="15" customHeight="1" x14ac:dyDescent="0.3">
      <c r="B131" s="673"/>
      <c r="C131" s="127" t="s">
        <v>42</v>
      </c>
      <c r="D131" s="199">
        <f>IF(OR(CO_PO_PSO_MAPPING!$Z61=1,CO_PO_PSO_MAPPING!$Z61=2),CO_PO_PSO_MAPPING!$V61,0)</f>
        <v>0</v>
      </c>
      <c r="E131" s="199">
        <f>IF(CO_PO_PSO_MAPPING!$Z61=3,CO_PO_PSO_MAPPING!$V61,0)</f>
        <v>0</v>
      </c>
      <c r="F131" s="199">
        <f>IF(CO_PO_PSO_MAPPING!$Z61=4,CO_PO_PSO_MAPPING!$V61,0)</f>
        <v>0</v>
      </c>
      <c r="G131" s="199">
        <f>IF(CO_PO_PSO_MAPPING!$Z61=5,CO_PO_PSO_MAPPING!$V61,0)</f>
        <v>0</v>
      </c>
      <c r="H131" s="199"/>
      <c r="I131" s="170">
        <f t="shared" si="12"/>
        <v>0</v>
      </c>
    </row>
    <row r="132" spans="2:9" ht="15" customHeight="1" x14ac:dyDescent="0.3">
      <c r="B132" s="673"/>
      <c r="C132" s="127" t="s">
        <v>43</v>
      </c>
      <c r="D132" s="199">
        <f>IF(OR(CO_PO_PSO_MAPPING!$Z62=1,CO_PO_PSO_MAPPING!$Z62=2),CO_PO_PSO_MAPPING!$V62,0)</f>
        <v>0</v>
      </c>
      <c r="E132" s="199">
        <f>IF(CO_PO_PSO_MAPPING!$Z62=3,CO_PO_PSO_MAPPING!$V62,0)</f>
        <v>0</v>
      </c>
      <c r="F132" s="199">
        <f>IF(CO_PO_PSO_MAPPING!$Z62=4,CO_PO_PSO_MAPPING!$V62,0)</f>
        <v>0</v>
      </c>
      <c r="G132" s="199">
        <f>IF(CO_PO_PSO_MAPPING!$Z62=5,CO_PO_PSO_MAPPING!$V62,0)</f>
        <v>0</v>
      </c>
      <c r="H132" s="199"/>
      <c r="I132" s="170">
        <f t="shared" si="12"/>
        <v>0</v>
      </c>
    </row>
    <row r="133" spans="2:9" ht="15" customHeight="1" x14ac:dyDescent="0.3">
      <c r="B133" s="673"/>
      <c r="C133" s="127" t="s">
        <v>44</v>
      </c>
      <c r="D133" s="199">
        <f>IF(OR(CO_PO_PSO_MAPPING!$Z63=1,CO_PO_PSO_MAPPING!$Z63=2),CO_PO_PSO_MAPPING!$V63,0)</f>
        <v>0</v>
      </c>
      <c r="E133" s="199">
        <f>IF(CO_PO_PSO_MAPPING!$Z63=3,CO_PO_PSO_MAPPING!$V63,0)</f>
        <v>0</v>
      </c>
      <c r="F133" s="199">
        <f>IF(CO_PO_PSO_MAPPING!$Z63=4,CO_PO_PSO_MAPPING!$V63,0)</f>
        <v>0</v>
      </c>
      <c r="G133" s="199">
        <f>IF(CO_PO_PSO_MAPPING!$Z63=5,CO_PO_PSO_MAPPING!$V63,0)</f>
        <v>0</v>
      </c>
      <c r="H133" s="199"/>
      <c r="I133" s="170">
        <f t="shared" si="12"/>
        <v>0</v>
      </c>
    </row>
    <row r="134" spans="2:9" ht="15" customHeight="1" x14ac:dyDescent="0.3">
      <c r="B134" s="673"/>
      <c r="C134" s="127" t="s">
        <v>45</v>
      </c>
      <c r="D134" s="199">
        <f>IF(OR(CO_PO_PSO_MAPPING!$Z64=1,CO_PO_PSO_MAPPING!$Z64=2),CO_PO_PSO_MAPPING!$V64,0)</f>
        <v>0</v>
      </c>
      <c r="E134" s="199">
        <f>IF(CO_PO_PSO_MAPPING!$Z64=3,CO_PO_PSO_MAPPING!$V64,0)</f>
        <v>10</v>
      </c>
      <c r="F134" s="199">
        <f>IF(CO_PO_PSO_MAPPING!$Z64=4,CO_PO_PSO_MAPPING!$V64,0)</f>
        <v>0</v>
      </c>
      <c r="G134" s="199">
        <f>IF(CO_PO_PSO_MAPPING!$Z64=5,CO_PO_PSO_MAPPING!$V64,0)</f>
        <v>0</v>
      </c>
      <c r="H134" s="199"/>
      <c r="I134" s="170">
        <f t="shared" si="12"/>
        <v>10</v>
      </c>
    </row>
    <row r="135" spans="2:9" ht="15" customHeight="1" x14ac:dyDescent="0.3">
      <c r="B135" s="673"/>
      <c r="C135" s="127" t="s">
        <v>46</v>
      </c>
      <c r="D135" s="199">
        <f>IF(OR(CO_PO_PSO_MAPPING!$Z65=1,CO_PO_PSO_MAPPING!$Z65=2),CO_PO_PSO_MAPPING!$V65,0)</f>
        <v>0</v>
      </c>
      <c r="E135" s="199">
        <f>IF(CO_PO_PSO_MAPPING!$Z65=3,CO_PO_PSO_MAPPING!$V65,0)</f>
        <v>0</v>
      </c>
      <c r="F135" s="199">
        <f>IF(CO_PO_PSO_MAPPING!$Z65=4,CO_PO_PSO_MAPPING!$V65,0)</f>
        <v>0</v>
      </c>
      <c r="G135" s="199">
        <f>IF(CO_PO_PSO_MAPPING!$Z65=5,CO_PO_PSO_MAPPING!$V65,0)</f>
        <v>0</v>
      </c>
      <c r="H135" s="199"/>
      <c r="I135" s="170">
        <f t="shared" si="12"/>
        <v>0</v>
      </c>
    </row>
    <row r="136" spans="2:9" ht="15" customHeight="1" x14ac:dyDescent="0.3">
      <c r="B136" s="673"/>
      <c r="C136" s="127" t="s">
        <v>47</v>
      </c>
      <c r="D136" s="199">
        <f>IF(OR(CO_PO_PSO_MAPPING!$Z66=1,CO_PO_PSO_MAPPING!$Z66=2),CO_PO_PSO_MAPPING!$V66,0)</f>
        <v>0</v>
      </c>
      <c r="E136" s="199">
        <f>IF(CO_PO_PSO_MAPPING!$Z66=3,CO_PO_PSO_MAPPING!$V66,0)</f>
        <v>0</v>
      </c>
      <c r="F136" s="199">
        <f>IF(CO_PO_PSO_MAPPING!$Z66=4,CO_PO_PSO_MAPPING!$V66,0)</f>
        <v>0</v>
      </c>
      <c r="G136" s="199">
        <f>IF(CO_PO_PSO_MAPPING!$Z66=5,CO_PO_PSO_MAPPING!$V66,0)</f>
        <v>0</v>
      </c>
      <c r="H136" s="199"/>
      <c r="I136" s="170">
        <f t="shared" si="12"/>
        <v>0</v>
      </c>
    </row>
    <row r="137" spans="2:9" ht="15" customHeight="1" x14ac:dyDescent="0.3">
      <c r="B137" s="673"/>
      <c r="C137" s="127" t="s">
        <v>48</v>
      </c>
      <c r="D137" s="199">
        <f>IF(OR(CO_PO_PSO_MAPPING!$Z67=1,CO_PO_PSO_MAPPING!$Z67=2),CO_PO_PSO_MAPPING!$V67,0)</f>
        <v>0</v>
      </c>
      <c r="E137" s="199">
        <f>IF(CO_PO_PSO_MAPPING!$Z67=3,CO_PO_PSO_MAPPING!$V67,0)</f>
        <v>0</v>
      </c>
      <c r="F137" s="199">
        <f>IF(CO_PO_PSO_MAPPING!$Z67=4,CO_PO_PSO_MAPPING!$V67,0)</f>
        <v>0</v>
      </c>
      <c r="G137" s="199">
        <f>IF(CO_PO_PSO_MAPPING!$Z67=5,CO_PO_PSO_MAPPING!$V67,0)</f>
        <v>0</v>
      </c>
      <c r="H137" s="199"/>
      <c r="I137" s="170">
        <f t="shared" si="12"/>
        <v>0</v>
      </c>
    </row>
    <row r="138" spans="2:9" ht="15" customHeight="1" x14ac:dyDescent="0.3">
      <c r="B138" s="663" t="s">
        <v>135</v>
      </c>
      <c r="C138" s="128" t="s">
        <v>17</v>
      </c>
      <c r="D138" s="199">
        <f>IF(OR(CO_PO_PSO_MAPPING!$Z68=1,CO_PO_PSO_MAPPING!$Z68=2),CO_PO_PSO_MAPPING!$V68,0)</f>
        <v>10</v>
      </c>
      <c r="E138" s="199">
        <f>IF(CO_PO_PSO_MAPPING!$Z68=3,CO_PO_PSO_MAPPING!$V68,0)</f>
        <v>0</v>
      </c>
      <c r="F138" s="199">
        <f>IF(CO_PO_PSO_MAPPING!$Z68=4,CO_PO_PSO_MAPPING!$V68,0)</f>
        <v>0</v>
      </c>
      <c r="G138" s="199">
        <f>IF(CO_PO_PSO_MAPPING!$Z68=5,CO_PO_PSO_MAPPING!$V68,0)</f>
        <v>0</v>
      </c>
      <c r="H138" s="199"/>
      <c r="I138" s="170">
        <f t="shared" si="12"/>
        <v>10</v>
      </c>
    </row>
    <row r="139" spans="2:9" ht="15" customHeight="1" x14ac:dyDescent="0.3">
      <c r="B139" s="663"/>
      <c r="C139" s="128" t="s">
        <v>18</v>
      </c>
      <c r="D139" s="199">
        <f>IF(OR(CO_PO_PSO_MAPPING!$Z69=1,CO_PO_PSO_MAPPING!$Z69=2),CO_PO_PSO_MAPPING!$V69,0)</f>
        <v>0</v>
      </c>
      <c r="E139" s="199">
        <f>IF(CO_PO_PSO_MAPPING!$Z69=3,CO_PO_PSO_MAPPING!$V69,0)</f>
        <v>0</v>
      </c>
      <c r="F139" s="199">
        <f>IF(CO_PO_PSO_MAPPING!$Z69=4,CO_PO_PSO_MAPPING!$V69,0)</f>
        <v>0</v>
      </c>
      <c r="G139" s="199">
        <f>IF(CO_PO_PSO_MAPPING!$Z69=5,CO_PO_PSO_MAPPING!$V69,0)</f>
        <v>0</v>
      </c>
      <c r="H139" s="199"/>
      <c r="I139" s="170">
        <f t="shared" si="12"/>
        <v>0</v>
      </c>
    </row>
    <row r="140" spans="2:9" ht="15" customHeight="1" x14ac:dyDescent="0.3">
      <c r="B140" s="663"/>
      <c r="C140" s="128" t="s">
        <v>19</v>
      </c>
      <c r="D140" s="199">
        <f>IF(OR(CO_PO_PSO_MAPPING!$Z70=1,CO_PO_PSO_MAPPING!$Z70=2),CO_PO_PSO_MAPPING!$V70,0)</f>
        <v>0</v>
      </c>
      <c r="E140" s="199">
        <f>IF(CO_PO_PSO_MAPPING!$Z70=3,CO_PO_PSO_MAPPING!$V70,0)</f>
        <v>0</v>
      </c>
      <c r="F140" s="199">
        <f>IF(CO_PO_PSO_MAPPING!$Z70=4,CO_PO_PSO_MAPPING!$V70,0)</f>
        <v>0</v>
      </c>
      <c r="G140" s="199">
        <f>IF(CO_PO_PSO_MAPPING!$Z70=5,CO_PO_PSO_MAPPING!$V70,0)</f>
        <v>0</v>
      </c>
      <c r="H140" s="199"/>
      <c r="I140" s="170">
        <f t="shared" si="12"/>
        <v>0</v>
      </c>
    </row>
    <row r="141" spans="2:9" ht="15" customHeight="1" x14ac:dyDescent="0.3">
      <c r="B141" s="663"/>
      <c r="C141" s="128" t="s">
        <v>20</v>
      </c>
      <c r="D141" s="199">
        <f>IF(OR(CO_PO_PSO_MAPPING!$Z71=1,CO_PO_PSO_MAPPING!$Z71=2),CO_PO_PSO_MAPPING!$V71,0)</f>
        <v>0</v>
      </c>
      <c r="E141" s="199">
        <f>IF(CO_PO_PSO_MAPPING!$Z71=3,CO_PO_PSO_MAPPING!$V71,0)</f>
        <v>0</v>
      </c>
      <c r="F141" s="199">
        <f>IF(CO_PO_PSO_MAPPING!$Z71=4,CO_PO_PSO_MAPPING!$V71,0)</f>
        <v>0</v>
      </c>
      <c r="G141" s="199">
        <f>IF(CO_PO_PSO_MAPPING!$Z71=5,CO_PO_PSO_MAPPING!$V71,0)</f>
        <v>0</v>
      </c>
      <c r="H141" s="199"/>
      <c r="I141" s="170">
        <f t="shared" si="12"/>
        <v>0</v>
      </c>
    </row>
    <row r="142" spans="2:9" ht="15" customHeight="1" x14ac:dyDescent="0.3">
      <c r="B142" s="663"/>
      <c r="C142" s="128" t="s">
        <v>21</v>
      </c>
      <c r="D142" s="199">
        <f>IF(OR(CO_PO_PSO_MAPPING!$Z72=1,CO_PO_PSO_MAPPING!$Z72=2),CO_PO_PSO_MAPPING!$V72,0)</f>
        <v>0</v>
      </c>
      <c r="E142" s="199">
        <f>IF(CO_PO_PSO_MAPPING!$Z72=3,CO_PO_PSO_MAPPING!$V72,0)</f>
        <v>10</v>
      </c>
      <c r="F142" s="199">
        <f>IF(CO_PO_PSO_MAPPING!$Z72=4,CO_PO_PSO_MAPPING!$V72,0)</f>
        <v>0</v>
      </c>
      <c r="G142" s="199">
        <f>IF(CO_PO_PSO_MAPPING!$Z72=5,CO_PO_PSO_MAPPING!$V72,0)</f>
        <v>0</v>
      </c>
      <c r="H142" s="199"/>
      <c r="I142" s="170">
        <f t="shared" si="12"/>
        <v>10</v>
      </c>
    </row>
    <row r="143" spans="2:9" ht="15" customHeight="1" x14ac:dyDescent="0.3">
      <c r="B143" s="663"/>
      <c r="C143" s="128" t="s">
        <v>22</v>
      </c>
      <c r="D143" s="199">
        <f>IF(OR(CO_PO_PSO_MAPPING!$Z73=1,CO_PO_PSO_MAPPING!$Z73=2),CO_PO_PSO_MAPPING!$V73,0)</f>
        <v>0</v>
      </c>
      <c r="E143" s="199">
        <f>IF(CO_PO_PSO_MAPPING!$Z73=3,CO_PO_PSO_MAPPING!$V73,0)</f>
        <v>0</v>
      </c>
      <c r="F143" s="199">
        <f>IF(CO_PO_PSO_MAPPING!$Z73=4,CO_PO_PSO_MAPPING!$V73,0)</f>
        <v>0</v>
      </c>
      <c r="G143" s="199">
        <f>IF(CO_PO_PSO_MAPPING!$Z73=5,CO_PO_PSO_MAPPING!$V73,0)</f>
        <v>0</v>
      </c>
      <c r="H143" s="199"/>
      <c r="I143" s="170">
        <f t="shared" si="12"/>
        <v>0</v>
      </c>
    </row>
    <row r="144" spans="2:9" ht="15" customHeight="1" x14ac:dyDescent="0.3">
      <c r="B144" s="663"/>
      <c r="C144" s="128" t="s">
        <v>23</v>
      </c>
      <c r="D144" s="199">
        <f>IF(OR(CO_PO_PSO_MAPPING!$Z74=1,CO_PO_PSO_MAPPING!$Z74=2),CO_PO_PSO_MAPPING!$V74,0)</f>
        <v>0</v>
      </c>
      <c r="E144" s="199">
        <f>IF(CO_PO_PSO_MAPPING!$Z74=3,CO_PO_PSO_MAPPING!$V74,0)</f>
        <v>0</v>
      </c>
      <c r="F144" s="199">
        <f>IF(CO_PO_PSO_MAPPING!$Z74=4,CO_PO_PSO_MAPPING!$V74,0)</f>
        <v>0</v>
      </c>
      <c r="G144" s="199">
        <f>IF(CO_PO_PSO_MAPPING!$Z74=5,CO_PO_PSO_MAPPING!$V74,0)</f>
        <v>0</v>
      </c>
      <c r="H144" s="199"/>
      <c r="I144" s="170">
        <f t="shared" si="12"/>
        <v>0</v>
      </c>
    </row>
    <row r="145" spans="2:9" ht="15" customHeight="1" x14ac:dyDescent="0.3">
      <c r="B145" s="663"/>
      <c r="C145" s="128" t="s">
        <v>24</v>
      </c>
      <c r="D145" s="199">
        <f>IF(OR(CO_PO_PSO_MAPPING!$Z75=1,CO_PO_PSO_MAPPING!$Z75=2),CO_PO_PSO_MAPPING!$V75,0)</f>
        <v>0</v>
      </c>
      <c r="E145" s="199">
        <f>IF(CO_PO_PSO_MAPPING!$Z75=3,CO_PO_PSO_MAPPING!$V75,0)</f>
        <v>0</v>
      </c>
      <c r="F145" s="199">
        <f>IF(CO_PO_PSO_MAPPING!$Z75=4,CO_PO_PSO_MAPPING!$V75,0)</f>
        <v>0</v>
      </c>
      <c r="G145" s="199">
        <f>IF(CO_PO_PSO_MAPPING!$Z75=5,CO_PO_PSO_MAPPING!$V75,0)</f>
        <v>0</v>
      </c>
      <c r="H145" s="199"/>
      <c r="I145" s="170">
        <f t="shared" si="12"/>
        <v>0</v>
      </c>
    </row>
    <row r="146" spans="2:9" ht="15" customHeight="1" x14ac:dyDescent="0.3">
      <c r="B146" s="663"/>
      <c r="C146" s="128" t="s">
        <v>25</v>
      </c>
      <c r="D146" s="199">
        <f>IF(OR(CO_PO_PSO_MAPPING!$Z76=1,CO_PO_PSO_MAPPING!$Z76=2),CO_PO_PSO_MAPPING!$V76,0)</f>
        <v>0</v>
      </c>
      <c r="E146" s="199">
        <f>IF(CO_PO_PSO_MAPPING!$Z76=3,CO_PO_PSO_MAPPING!$V76,0)</f>
        <v>0</v>
      </c>
      <c r="F146" s="199">
        <f>IF(CO_PO_PSO_MAPPING!$Z76=4,CO_PO_PSO_MAPPING!$V76,0)</f>
        <v>10</v>
      </c>
      <c r="G146" s="199">
        <f>IF(CO_PO_PSO_MAPPING!$Z76=5,CO_PO_PSO_MAPPING!$V76,0)</f>
        <v>0</v>
      </c>
      <c r="H146" s="199"/>
      <c r="I146" s="170">
        <f t="shared" si="12"/>
        <v>10</v>
      </c>
    </row>
    <row r="147" spans="2:9" ht="15" customHeight="1" x14ac:dyDescent="0.3">
      <c r="B147" s="663"/>
      <c r="C147" s="128" t="s">
        <v>26</v>
      </c>
      <c r="D147" s="199">
        <f>IF(OR(CO_PO_PSO_MAPPING!$Z77=1,CO_PO_PSO_MAPPING!$Z77=2),CO_PO_PSO_MAPPING!$V77,0)</f>
        <v>0</v>
      </c>
      <c r="E147" s="199">
        <f>IF(CO_PO_PSO_MAPPING!$Z77=3,CO_PO_PSO_MAPPING!$V77,0)</f>
        <v>0</v>
      </c>
      <c r="F147" s="199">
        <f>IF(CO_PO_PSO_MAPPING!$Z77=4,CO_PO_PSO_MAPPING!$V77,0)</f>
        <v>0</v>
      </c>
      <c r="G147" s="199">
        <f>IF(CO_PO_PSO_MAPPING!$Z77=5,CO_PO_PSO_MAPPING!$V77,0)</f>
        <v>0</v>
      </c>
      <c r="H147" s="199"/>
      <c r="I147" s="170">
        <f t="shared" si="12"/>
        <v>0</v>
      </c>
    </row>
    <row r="148" spans="2:9" ht="15" customHeight="1" x14ac:dyDescent="0.3">
      <c r="B148" s="663"/>
      <c r="C148" s="128" t="s">
        <v>27</v>
      </c>
      <c r="D148" s="199">
        <f>IF(OR(CO_PO_PSO_MAPPING!$Z78=1,CO_PO_PSO_MAPPING!$Z78=2),CO_PO_PSO_MAPPING!$V78,0)</f>
        <v>0</v>
      </c>
      <c r="E148" s="199">
        <f>IF(CO_PO_PSO_MAPPING!$Z78=3,CO_PO_PSO_MAPPING!$V78,0)</f>
        <v>0</v>
      </c>
      <c r="F148" s="199">
        <f>IF(CO_PO_PSO_MAPPING!$Z78=4,CO_PO_PSO_MAPPING!$V78,0)</f>
        <v>0</v>
      </c>
      <c r="G148" s="199">
        <f>IF(CO_PO_PSO_MAPPING!$Z78=5,CO_PO_PSO_MAPPING!$V78,0)</f>
        <v>0</v>
      </c>
      <c r="H148" s="199"/>
      <c r="I148" s="170">
        <f t="shared" ref="I148:I169" si="15">SUM(D148:H148)</f>
        <v>0</v>
      </c>
    </row>
    <row r="149" spans="2:9" ht="15" customHeight="1" x14ac:dyDescent="0.3">
      <c r="B149" s="663"/>
      <c r="C149" s="128" t="s">
        <v>28</v>
      </c>
      <c r="D149" s="199">
        <f>IF(OR(CO_PO_PSO_MAPPING!$Z79=1,CO_PO_PSO_MAPPING!$Z79=2),CO_PO_PSO_MAPPING!$V79,0)</f>
        <v>0</v>
      </c>
      <c r="E149" s="199">
        <f>IF(CO_PO_PSO_MAPPING!$Z79=3,CO_PO_PSO_MAPPING!$V79,0)</f>
        <v>0</v>
      </c>
      <c r="F149" s="199">
        <f>IF(CO_PO_PSO_MAPPING!$Z79=4,CO_PO_PSO_MAPPING!$V79,0)</f>
        <v>0</v>
      </c>
      <c r="G149" s="199">
        <f>IF(CO_PO_PSO_MAPPING!$Z79=5,CO_PO_PSO_MAPPING!$V79,0)</f>
        <v>0</v>
      </c>
      <c r="H149" s="199"/>
      <c r="I149" s="170">
        <f t="shared" si="15"/>
        <v>0</v>
      </c>
    </row>
    <row r="150" spans="2:9" ht="15" customHeight="1" x14ac:dyDescent="0.3">
      <c r="B150" s="663"/>
      <c r="C150" s="128" t="s">
        <v>29</v>
      </c>
      <c r="D150" s="199">
        <f>IF(OR(CO_PO_PSO_MAPPING!$Z80=1,CO_PO_PSO_MAPPING!$Z80=2),CO_PO_PSO_MAPPING!$V80,0)</f>
        <v>0</v>
      </c>
      <c r="E150" s="199">
        <f>IF(CO_PO_PSO_MAPPING!$Z80=3,CO_PO_PSO_MAPPING!$V80,0)</f>
        <v>0</v>
      </c>
      <c r="F150" s="199">
        <f>IF(CO_PO_PSO_MAPPING!$Z80=4,CO_PO_PSO_MAPPING!$V80,0)</f>
        <v>10</v>
      </c>
      <c r="G150" s="199">
        <f>IF(CO_PO_PSO_MAPPING!$Z80=5,CO_PO_PSO_MAPPING!$V80,0)</f>
        <v>0</v>
      </c>
      <c r="H150" s="199"/>
      <c r="I150" s="170">
        <f t="shared" si="15"/>
        <v>10</v>
      </c>
    </row>
    <row r="151" spans="2:9" ht="15" customHeight="1" x14ac:dyDescent="0.3">
      <c r="B151" s="663"/>
      <c r="C151" s="128" t="s">
        <v>30</v>
      </c>
      <c r="D151" s="199">
        <f>IF(OR(CO_PO_PSO_MAPPING!$Z81=1,CO_PO_PSO_MAPPING!$Z81=2),CO_PO_PSO_MAPPING!$V81,0)</f>
        <v>0</v>
      </c>
      <c r="E151" s="199">
        <f>IF(CO_PO_PSO_MAPPING!$Z81=3,CO_PO_PSO_MAPPING!$V81,0)</f>
        <v>0</v>
      </c>
      <c r="F151" s="199">
        <f>IF(CO_PO_PSO_MAPPING!$Z81=4,CO_PO_PSO_MAPPING!$V81,0)</f>
        <v>0</v>
      </c>
      <c r="G151" s="199">
        <f>IF(CO_PO_PSO_MAPPING!$Z81=5,CO_PO_PSO_MAPPING!$V81,0)</f>
        <v>0</v>
      </c>
      <c r="H151" s="199"/>
      <c r="I151" s="170">
        <f t="shared" si="15"/>
        <v>0</v>
      </c>
    </row>
    <row r="152" spans="2:9" ht="15" customHeight="1" x14ac:dyDescent="0.3">
      <c r="B152" s="663"/>
      <c r="C152" s="128" t="s">
        <v>31</v>
      </c>
      <c r="D152" s="199">
        <f>IF(OR(CO_PO_PSO_MAPPING!$Z82=1,CO_PO_PSO_MAPPING!$Z82=2),CO_PO_PSO_MAPPING!$V82,0)</f>
        <v>0</v>
      </c>
      <c r="E152" s="199">
        <f>IF(CO_PO_PSO_MAPPING!$Z82=3,CO_PO_PSO_MAPPING!$V82,0)</f>
        <v>0</v>
      </c>
      <c r="F152" s="199">
        <f>IF(CO_PO_PSO_MAPPING!$Z82=4,CO_PO_PSO_MAPPING!$V82,0)</f>
        <v>0</v>
      </c>
      <c r="G152" s="199">
        <f>IF(CO_PO_PSO_MAPPING!$Z82=5,CO_PO_PSO_MAPPING!$V82,0)</f>
        <v>0</v>
      </c>
      <c r="H152" s="199"/>
      <c r="I152" s="170">
        <f t="shared" si="15"/>
        <v>0</v>
      </c>
    </row>
    <row r="153" spans="2:9" ht="15" customHeight="1" x14ac:dyDescent="0.3">
      <c r="B153" s="663"/>
      <c r="C153" s="128" t="s">
        <v>32</v>
      </c>
      <c r="D153" s="199">
        <f>IF(OR(CO_PO_PSO_MAPPING!$Z83=1,CO_PO_PSO_MAPPING!$Z83=2),CO_PO_PSO_MAPPING!$V83,0)</f>
        <v>0</v>
      </c>
      <c r="E153" s="199">
        <f>IF(CO_PO_PSO_MAPPING!$Z83=3,CO_PO_PSO_MAPPING!$V83,0)</f>
        <v>0</v>
      </c>
      <c r="F153" s="199">
        <f>IF(CO_PO_PSO_MAPPING!$Z83=4,CO_PO_PSO_MAPPING!$V83,0)</f>
        <v>0</v>
      </c>
      <c r="G153" s="199">
        <f>IF(CO_PO_PSO_MAPPING!$Z83=5,CO_PO_PSO_MAPPING!$V83,0)</f>
        <v>0</v>
      </c>
      <c r="H153" s="199"/>
      <c r="I153" s="170">
        <f t="shared" si="15"/>
        <v>0</v>
      </c>
    </row>
    <row r="154" spans="2:9" ht="15" customHeight="1" x14ac:dyDescent="0.3">
      <c r="B154" s="663"/>
      <c r="C154" s="128" t="s">
        <v>33</v>
      </c>
      <c r="D154" s="199">
        <f>IF(OR(CO_PO_PSO_MAPPING!$Z84=1,CO_PO_PSO_MAPPING!$Z84=2),CO_PO_PSO_MAPPING!$V84,0)</f>
        <v>0</v>
      </c>
      <c r="E154" s="199">
        <f>IF(CO_PO_PSO_MAPPING!$Z84=3,CO_PO_PSO_MAPPING!$V84,0)</f>
        <v>0</v>
      </c>
      <c r="F154" s="199">
        <f>IF(CO_PO_PSO_MAPPING!$Z84=4,CO_PO_PSO_MAPPING!$V84,0)</f>
        <v>10</v>
      </c>
      <c r="G154" s="199">
        <f>IF(CO_PO_PSO_MAPPING!$Z84=5,CO_PO_PSO_MAPPING!$V84,0)</f>
        <v>0</v>
      </c>
      <c r="H154" s="199"/>
      <c r="I154" s="170">
        <f t="shared" si="15"/>
        <v>10</v>
      </c>
    </row>
    <row r="155" spans="2:9" ht="15" customHeight="1" x14ac:dyDescent="0.3">
      <c r="B155" s="663"/>
      <c r="C155" s="128" t="s">
        <v>34</v>
      </c>
      <c r="D155" s="199">
        <f>IF(OR(CO_PO_PSO_MAPPING!$Z85=1,CO_PO_PSO_MAPPING!$Z85=2),CO_PO_PSO_MAPPING!$V85,0)</f>
        <v>0</v>
      </c>
      <c r="E155" s="199">
        <f>IF(CO_PO_PSO_MAPPING!$Z85=3,CO_PO_PSO_MAPPING!$V85,0)</f>
        <v>0</v>
      </c>
      <c r="F155" s="199">
        <f>IF(CO_PO_PSO_MAPPING!$Z85=4,CO_PO_PSO_MAPPING!$V85,0)</f>
        <v>0</v>
      </c>
      <c r="G155" s="199">
        <f>IF(CO_PO_PSO_MAPPING!$Z85=5,CO_PO_PSO_MAPPING!$V85,0)</f>
        <v>0</v>
      </c>
      <c r="H155" s="199"/>
      <c r="I155" s="170">
        <f t="shared" si="15"/>
        <v>0</v>
      </c>
    </row>
    <row r="156" spans="2:9" ht="15" customHeight="1" x14ac:dyDescent="0.3">
      <c r="B156" s="663"/>
      <c r="C156" s="128" t="s">
        <v>35</v>
      </c>
      <c r="D156" s="199">
        <f>IF(OR(CO_PO_PSO_MAPPING!$Z86=1,CO_PO_PSO_MAPPING!$Z86=2),CO_PO_PSO_MAPPING!$V86,0)</f>
        <v>0</v>
      </c>
      <c r="E156" s="199">
        <f>IF(CO_PO_PSO_MAPPING!$Z86=3,CO_PO_PSO_MAPPING!$V86,0)</f>
        <v>0</v>
      </c>
      <c r="F156" s="199">
        <f>IF(CO_PO_PSO_MAPPING!$Z86=4,CO_PO_PSO_MAPPING!$V86,0)</f>
        <v>0</v>
      </c>
      <c r="G156" s="199">
        <f>IF(CO_PO_PSO_MAPPING!$Z86=5,CO_PO_PSO_MAPPING!$V86,0)</f>
        <v>0</v>
      </c>
      <c r="H156" s="199"/>
      <c r="I156" s="170">
        <f t="shared" si="15"/>
        <v>0</v>
      </c>
    </row>
    <row r="157" spans="2:9" ht="15" customHeight="1" x14ac:dyDescent="0.3">
      <c r="B157" s="663"/>
      <c r="C157" s="128" t="s">
        <v>36</v>
      </c>
      <c r="D157" s="199">
        <f>IF(OR(CO_PO_PSO_MAPPING!$Z87=1,CO_PO_PSO_MAPPING!$Z87=2),CO_PO_PSO_MAPPING!$V87,0)</f>
        <v>0</v>
      </c>
      <c r="E157" s="199">
        <f>IF(CO_PO_PSO_MAPPING!$Z87=3,CO_PO_PSO_MAPPING!$V87,0)</f>
        <v>0</v>
      </c>
      <c r="F157" s="199">
        <f>IF(CO_PO_PSO_MAPPING!$Z87=4,CO_PO_PSO_MAPPING!$V87,0)</f>
        <v>0</v>
      </c>
      <c r="G157" s="199">
        <f>IF(CO_PO_PSO_MAPPING!$Z87=5,CO_PO_PSO_MAPPING!$V87,0)</f>
        <v>0</v>
      </c>
      <c r="H157" s="199"/>
      <c r="I157" s="170">
        <f t="shared" si="15"/>
        <v>0</v>
      </c>
    </row>
    <row r="158" spans="2:9" ht="15" customHeight="1" x14ac:dyDescent="0.3">
      <c r="B158" s="663"/>
      <c r="C158" s="128" t="s">
        <v>37</v>
      </c>
      <c r="D158" s="199">
        <f>IF(OR(CO_PO_PSO_MAPPING!$Z88=1,CO_PO_PSO_MAPPING!$Z88=2),CO_PO_PSO_MAPPING!$V88,0)</f>
        <v>0</v>
      </c>
      <c r="E158" s="199">
        <f>IF(CO_PO_PSO_MAPPING!$Z88=3,CO_PO_PSO_MAPPING!$V88,0)</f>
        <v>0</v>
      </c>
      <c r="F158" s="199">
        <f>IF(CO_PO_PSO_MAPPING!$Z88=4,CO_PO_PSO_MAPPING!$V88,0)</f>
        <v>10</v>
      </c>
      <c r="G158" s="199">
        <f>IF(CO_PO_PSO_MAPPING!$Z88=5,CO_PO_PSO_MAPPING!$V88,0)</f>
        <v>0</v>
      </c>
      <c r="H158" s="199"/>
      <c r="I158" s="170">
        <f t="shared" si="15"/>
        <v>10</v>
      </c>
    </row>
    <row r="159" spans="2:9" ht="15" customHeight="1" x14ac:dyDescent="0.3">
      <c r="B159" s="663"/>
      <c r="C159" s="128" t="s">
        <v>38</v>
      </c>
      <c r="D159" s="199">
        <f>IF(OR(CO_PO_PSO_MAPPING!$Z89=1,CO_PO_PSO_MAPPING!$Z89=2),CO_PO_PSO_MAPPING!$V89,0)</f>
        <v>0</v>
      </c>
      <c r="E159" s="199">
        <f>IF(CO_PO_PSO_MAPPING!$Z89=3,CO_PO_PSO_MAPPING!$V89,0)</f>
        <v>0</v>
      </c>
      <c r="F159" s="199">
        <f>IF(CO_PO_PSO_MAPPING!$Z89=4,CO_PO_PSO_MAPPING!$V89,0)</f>
        <v>0</v>
      </c>
      <c r="G159" s="199">
        <f>IF(CO_PO_PSO_MAPPING!$Z89=5,CO_PO_PSO_MAPPING!$V89,0)</f>
        <v>0</v>
      </c>
      <c r="H159" s="199"/>
      <c r="I159" s="170">
        <f t="shared" si="15"/>
        <v>0</v>
      </c>
    </row>
    <row r="160" spans="2:9" ht="15" customHeight="1" x14ac:dyDescent="0.3">
      <c r="B160" s="663"/>
      <c r="C160" s="128" t="s">
        <v>39</v>
      </c>
      <c r="D160" s="199">
        <f>IF(OR(CO_PO_PSO_MAPPING!$Z90=1,CO_PO_PSO_MAPPING!$Z90=2),CO_PO_PSO_MAPPING!$V90,0)</f>
        <v>0</v>
      </c>
      <c r="E160" s="199">
        <f>IF(CO_PO_PSO_MAPPING!$Z90=3,CO_PO_PSO_MAPPING!$V90,0)</f>
        <v>0</v>
      </c>
      <c r="F160" s="199">
        <f>IF(CO_PO_PSO_MAPPING!$Z90=4,CO_PO_PSO_MAPPING!$V90,0)</f>
        <v>0</v>
      </c>
      <c r="G160" s="199">
        <f>IF(CO_PO_PSO_MAPPING!$Z90=5,CO_PO_PSO_MAPPING!$V90,0)</f>
        <v>0</v>
      </c>
      <c r="H160" s="199"/>
      <c r="I160" s="170">
        <f t="shared" si="15"/>
        <v>0</v>
      </c>
    </row>
    <row r="161" spans="2:17" ht="15" customHeight="1" x14ac:dyDescent="0.3">
      <c r="B161" s="663"/>
      <c r="C161" s="128" t="s">
        <v>40</v>
      </c>
      <c r="D161" s="199">
        <f>IF(OR(CO_PO_PSO_MAPPING!$Z91=1,CO_PO_PSO_MAPPING!$Z91=2),CO_PO_PSO_MAPPING!$V91,0)</f>
        <v>0</v>
      </c>
      <c r="E161" s="199">
        <f>IF(CO_PO_PSO_MAPPING!$Z91=3,CO_PO_PSO_MAPPING!$V91,0)</f>
        <v>0</v>
      </c>
      <c r="F161" s="199">
        <f>IF(CO_PO_PSO_MAPPING!$Z91=4,CO_PO_PSO_MAPPING!$V91,0)</f>
        <v>0</v>
      </c>
      <c r="G161" s="199">
        <f>IF(CO_PO_PSO_MAPPING!$Z91=5,CO_PO_PSO_MAPPING!$V91,0)</f>
        <v>0</v>
      </c>
      <c r="H161" s="199"/>
      <c r="I161" s="170">
        <f t="shared" si="15"/>
        <v>0</v>
      </c>
    </row>
    <row r="162" spans="2:17" ht="15" customHeight="1" x14ac:dyDescent="0.3">
      <c r="B162" s="663"/>
      <c r="C162" s="128" t="s">
        <v>41</v>
      </c>
      <c r="D162" s="199">
        <f>IF(OR(CO_PO_PSO_MAPPING!$Z92=1,CO_PO_PSO_MAPPING!$Z92=2),CO_PO_PSO_MAPPING!$V92,0)</f>
        <v>0</v>
      </c>
      <c r="E162" s="199">
        <f>IF(CO_PO_PSO_MAPPING!$Z92=3,CO_PO_PSO_MAPPING!$V92,0)</f>
        <v>0</v>
      </c>
      <c r="F162" s="199">
        <f>IF(CO_PO_PSO_MAPPING!$Z92=4,CO_PO_PSO_MAPPING!$V92,0)</f>
        <v>10</v>
      </c>
      <c r="G162" s="199">
        <f>IF(CO_PO_PSO_MAPPING!$Z92=5,CO_PO_PSO_MAPPING!$V92,0)</f>
        <v>0</v>
      </c>
      <c r="H162" s="199"/>
      <c r="I162" s="170">
        <f t="shared" si="15"/>
        <v>10</v>
      </c>
    </row>
    <row r="163" spans="2:17" ht="15" customHeight="1" x14ac:dyDescent="0.3">
      <c r="B163" s="663"/>
      <c r="C163" s="128" t="s">
        <v>42</v>
      </c>
      <c r="D163" s="199">
        <f>IF(OR(CO_PO_PSO_MAPPING!$Z93=1,CO_PO_PSO_MAPPING!$Z93=2),CO_PO_PSO_MAPPING!$V93,0)</f>
        <v>0</v>
      </c>
      <c r="E163" s="199">
        <f>IF(CO_PO_PSO_MAPPING!$Z93=3,CO_PO_PSO_MAPPING!$V93,0)</f>
        <v>0</v>
      </c>
      <c r="F163" s="199">
        <f>IF(CO_PO_PSO_MAPPING!$Z93=4,CO_PO_PSO_MAPPING!$V93,0)</f>
        <v>0</v>
      </c>
      <c r="G163" s="199">
        <f>IF(CO_PO_PSO_MAPPING!$Z93=5,CO_PO_PSO_MAPPING!$V93,0)</f>
        <v>0</v>
      </c>
      <c r="H163" s="199"/>
      <c r="I163" s="170">
        <f t="shared" si="15"/>
        <v>0</v>
      </c>
    </row>
    <row r="164" spans="2:17" ht="15" customHeight="1" x14ac:dyDescent="0.3">
      <c r="B164" s="663"/>
      <c r="C164" s="128" t="s">
        <v>43</v>
      </c>
      <c r="D164" s="199">
        <f>IF(OR(CO_PO_PSO_MAPPING!$Z94=1,CO_PO_PSO_MAPPING!$Z94=2),CO_PO_PSO_MAPPING!$V94,0)</f>
        <v>0</v>
      </c>
      <c r="E164" s="199">
        <f>IF(CO_PO_PSO_MAPPING!$Z94=3,CO_PO_PSO_MAPPING!$V94,0)</f>
        <v>0</v>
      </c>
      <c r="F164" s="199">
        <f>IF(CO_PO_PSO_MAPPING!$Z94=4,CO_PO_PSO_MAPPING!$V94,0)</f>
        <v>0</v>
      </c>
      <c r="G164" s="199">
        <f>IF(CO_PO_PSO_MAPPING!$Z94=5,CO_PO_PSO_MAPPING!$V94,0)</f>
        <v>0</v>
      </c>
      <c r="H164" s="199"/>
      <c r="I164" s="170">
        <f t="shared" si="15"/>
        <v>0</v>
      </c>
    </row>
    <row r="165" spans="2:17" ht="15" customHeight="1" x14ac:dyDescent="0.3">
      <c r="B165" s="663"/>
      <c r="C165" s="128" t="s">
        <v>44</v>
      </c>
      <c r="D165" s="199">
        <f>IF(OR(CO_PO_PSO_MAPPING!$Z95=1,CO_PO_PSO_MAPPING!$Z95=2),CO_PO_PSO_MAPPING!$V95,0)</f>
        <v>0</v>
      </c>
      <c r="E165" s="199">
        <f>IF(CO_PO_PSO_MAPPING!$Z95=3,CO_PO_PSO_MAPPING!$V95,0)</f>
        <v>0</v>
      </c>
      <c r="F165" s="199">
        <f>IF(CO_PO_PSO_MAPPING!$Z95=4,CO_PO_PSO_MAPPING!$V95,0)</f>
        <v>0</v>
      </c>
      <c r="G165" s="199">
        <f>IF(CO_PO_PSO_MAPPING!$Z95=5,CO_PO_PSO_MAPPING!$V95,0)</f>
        <v>0</v>
      </c>
      <c r="H165" s="199"/>
      <c r="I165" s="170">
        <f t="shared" si="15"/>
        <v>0</v>
      </c>
    </row>
    <row r="166" spans="2:17" ht="15" customHeight="1" x14ac:dyDescent="0.3">
      <c r="B166" s="663"/>
      <c r="C166" s="128" t="s">
        <v>45</v>
      </c>
      <c r="D166" s="199">
        <f>IF(OR(CO_PO_PSO_MAPPING!$Z96=1,CO_PO_PSO_MAPPING!$Z96=2),CO_PO_PSO_MAPPING!$V96,0)</f>
        <v>0</v>
      </c>
      <c r="E166" s="199">
        <f>IF(CO_PO_PSO_MAPPING!$Z96=3,CO_PO_PSO_MAPPING!$V96,0)</f>
        <v>0</v>
      </c>
      <c r="F166" s="199">
        <f>IF(CO_PO_PSO_MAPPING!$Z96=4,CO_PO_PSO_MAPPING!$V96,0)</f>
        <v>10</v>
      </c>
      <c r="G166" s="199">
        <f>IF(CO_PO_PSO_MAPPING!$Z96=5,CO_PO_PSO_MAPPING!$V96,0)</f>
        <v>0</v>
      </c>
      <c r="H166" s="199"/>
      <c r="I166" s="170">
        <f t="shared" si="15"/>
        <v>10</v>
      </c>
    </row>
    <row r="167" spans="2:17" ht="15" customHeight="1" x14ac:dyDescent="0.3">
      <c r="B167" s="663"/>
      <c r="C167" s="128" t="s">
        <v>46</v>
      </c>
      <c r="D167" s="199">
        <f>IF(OR(CO_PO_PSO_MAPPING!$Z97=1,CO_PO_PSO_MAPPING!$Z97=2),CO_PO_PSO_MAPPING!$V97,0)</f>
        <v>0</v>
      </c>
      <c r="E167" s="199">
        <f>IF(CO_PO_PSO_MAPPING!$Z97=3,CO_PO_PSO_MAPPING!$V97,0)</f>
        <v>0</v>
      </c>
      <c r="F167" s="199">
        <f>IF(CO_PO_PSO_MAPPING!$Z97=4,CO_PO_PSO_MAPPING!$V97,0)</f>
        <v>0</v>
      </c>
      <c r="G167" s="199">
        <f>IF(CO_PO_PSO_MAPPING!$Z97=5,CO_PO_PSO_MAPPING!$V97,0)</f>
        <v>0</v>
      </c>
      <c r="H167" s="199"/>
      <c r="I167" s="170">
        <f t="shared" si="15"/>
        <v>0</v>
      </c>
    </row>
    <row r="168" spans="2:17" ht="15" customHeight="1" x14ac:dyDescent="0.3">
      <c r="B168" s="663"/>
      <c r="C168" s="128" t="s">
        <v>47</v>
      </c>
      <c r="D168" s="199">
        <f>IF(OR(CO_PO_PSO_MAPPING!$Z98=1,CO_PO_PSO_MAPPING!$Z98=2),CO_PO_PSO_MAPPING!$V98,0)</f>
        <v>0</v>
      </c>
      <c r="E168" s="199">
        <f>IF(CO_PO_PSO_MAPPING!$Z98=3,CO_PO_PSO_MAPPING!$V98,0)</f>
        <v>0</v>
      </c>
      <c r="F168" s="199">
        <f>IF(CO_PO_PSO_MAPPING!$Z98=4,CO_PO_PSO_MAPPING!$V98,0)</f>
        <v>0</v>
      </c>
      <c r="G168" s="199">
        <f>IF(CO_PO_PSO_MAPPING!$Z98=5,CO_PO_PSO_MAPPING!$V98,0)</f>
        <v>0</v>
      </c>
      <c r="H168" s="199"/>
      <c r="I168" s="170">
        <f t="shared" si="15"/>
        <v>0</v>
      </c>
    </row>
    <row r="169" spans="2:17" ht="15" customHeight="1" x14ac:dyDescent="0.3">
      <c r="B169" s="663"/>
      <c r="C169" s="128" t="s">
        <v>48</v>
      </c>
      <c r="D169" s="199">
        <f>IF(OR(CO_PO_PSO_MAPPING!$Z99=1,CO_PO_PSO_MAPPING!$Z99=2),CO_PO_PSO_MAPPING!$V99,0)</f>
        <v>0</v>
      </c>
      <c r="E169" s="199">
        <f>IF(CO_PO_PSO_MAPPING!$Z99=3,CO_PO_PSO_MAPPING!$V99,0)</f>
        <v>0</v>
      </c>
      <c r="F169" s="199">
        <f>IF(CO_PO_PSO_MAPPING!$Z99=4,CO_PO_PSO_MAPPING!$V99,0)</f>
        <v>0</v>
      </c>
      <c r="G169" s="199">
        <f>IF(CO_PO_PSO_MAPPING!$Z99=5,CO_PO_PSO_MAPPING!$V99,0)</f>
        <v>0</v>
      </c>
      <c r="H169" s="199"/>
      <c r="I169" s="170">
        <f t="shared" si="15"/>
        <v>0</v>
      </c>
    </row>
    <row r="170" spans="2:17" ht="15" customHeight="1" x14ac:dyDescent="0.3">
      <c r="B170" s="284" t="s">
        <v>10</v>
      </c>
      <c r="C170" s="129"/>
      <c r="D170" s="199">
        <f>IF(OR(CO_PO_PSO_MAPPING!$Z100=1,CO_PO_PSO_MAPPING!$Z100=2),CO_PO_PSO_MAPPING!$V100,0)</f>
        <v>0</v>
      </c>
      <c r="E170" s="199">
        <f>IF(CO_PO_PSO_MAPPING!$Z100=3,CO_PO_PSO_MAPPING!$V100,0)</f>
        <v>10</v>
      </c>
      <c r="F170" s="199">
        <f>IF(CO_PO_PSO_MAPPING!$Z100=4,CO_PO_PSO_MAPPING!$V100,0)</f>
        <v>0</v>
      </c>
      <c r="G170" s="199">
        <f>IF(CO_PO_PSO_MAPPING!$Z100=5,CO_PO_PSO_MAPPING!$V100,0)</f>
        <v>0</v>
      </c>
      <c r="H170" s="199"/>
      <c r="I170" s="170">
        <f t="shared" ref="I170:I173" si="16">SUM(D170:H170)</f>
        <v>10</v>
      </c>
    </row>
    <row r="171" spans="2:17" ht="15" customHeight="1" x14ac:dyDescent="0.3">
      <c r="B171" s="284" t="s">
        <v>11</v>
      </c>
      <c r="C171" s="129"/>
      <c r="D171" s="199">
        <f>IF(OR(CO_PO_PSO_MAPPING!$Z101=1,CO_PO_PSO_MAPPING!$Z101=2),CO_PO_PSO_MAPPING!$V101,0)</f>
        <v>0</v>
      </c>
      <c r="E171" s="199">
        <f>IF(CO_PO_PSO_MAPPING!$Z101=3,CO_PO_PSO_MAPPING!$V101,0)</f>
        <v>10</v>
      </c>
      <c r="F171" s="199">
        <f>IF(CO_PO_PSO_MAPPING!$Z101=4,CO_PO_PSO_MAPPING!$V101,0)</f>
        <v>0</v>
      </c>
      <c r="G171" s="199">
        <f>IF(CO_PO_PSO_MAPPING!$Z101=5,CO_PO_PSO_MAPPING!$V101,0)</f>
        <v>0</v>
      </c>
      <c r="H171" s="199"/>
      <c r="I171" s="170">
        <f t="shared" si="16"/>
        <v>10</v>
      </c>
    </row>
    <row r="172" spans="2:17" ht="15" customHeight="1" x14ac:dyDescent="0.3">
      <c r="B172" s="284" t="s">
        <v>138</v>
      </c>
      <c r="C172" s="129"/>
      <c r="D172" s="199">
        <f>IF(OR(CO_PO_PSO_MAPPING!$Z102=1,CO_PO_PSO_MAPPING!$Z102=2),CO_PO_PSO_MAPPING!$V102,0)</f>
        <v>0</v>
      </c>
      <c r="E172" s="199">
        <f>IF(CO_PO_PSO_MAPPING!$Z102=3,CO_PO_PSO_MAPPING!$V102,0)</f>
        <v>0</v>
      </c>
      <c r="F172" s="199">
        <f>IF(CO_PO_PSO_MAPPING!$Z102=4,CO_PO_PSO_MAPPING!$V102,0)</f>
        <v>0</v>
      </c>
      <c r="G172" s="199">
        <f>IF(CO_PO_PSO_MAPPING!$Z102=5,CO_PO_PSO_MAPPING!$V102,0)</f>
        <v>0</v>
      </c>
      <c r="H172" s="199"/>
      <c r="I172" s="170">
        <f t="shared" si="16"/>
        <v>0</v>
      </c>
    </row>
    <row r="173" spans="2:17" ht="15" customHeight="1" x14ac:dyDescent="0.3">
      <c r="B173" s="284" t="s">
        <v>139</v>
      </c>
      <c r="C173" s="129"/>
      <c r="D173" s="199">
        <f>IF(OR(CO_PO_PSO_MAPPING!$Z103=1,CO_PO_PSO_MAPPING!$Z103=2),CO_PO_PSO_MAPPING!$V103,0)</f>
        <v>0</v>
      </c>
      <c r="E173" s="199">
        <f>IF(CO_PO_PSO_MAPPING!$Z103=3,CO_PO_PSO_MAPPING!$V103,0)</f>
        <v>0</v>
      </c>
      <c r="F173" s="199">
        <f>IF(CO_PO_PSO_MAPPING!$Z103=4,CO_PO_PSO_MAPPING!$V103,0)</f>
        <v>0</v>
      </c>
      <c r="G173" s="199">
        <f>IF(CO_PO_PSO_MAPPING!$Z103=5,CO_PO_PSO_MAPPING!$V103,0)</f>
        <v>0</v>
      </c>
      <c r="H173" s="199"/>
      <c r="I173" s="170">
        <f t="shared" si="16"/>
        <v>0</v>
      </c>
    </row>
    <row r="174" spans="2:17" ht="15" customHeight="1" x14ac:dyDescent="0.3">
      <c r="B174" s="286" t="s">
        <v>168</v>
      </c>
      <c r="C174" s="287"/>
      <c r="D174" s="288">
        <f>SUM(D74:D173)</f>
        <v>30</v>
      </c>
      <c r="E174" s="288">
        <f t="shared" ref="E174:I174" si="17">SUM(E74:E173)</f>
        <v>150</v>
      </c>
      <c r="F174" s="288">
        <f t="shared" si="17"/>
        <v>80</v>
      </c>
      <c r="G174" s="288">
        <f t="shared" si="17"/>
        <v>0</v>
      </c>
      <c r="H174" s="288">
        <f t="shared" si="17"/>
        <v>0</v>
      </c>
      <c r="I174" s="288">
        <f t="shared" si="17"/>
        <v>260</v>
      </c>
    </row>
    <row r="175" spans="2:17" ht="44.25" customHeight="1" x14ac:dyDescent="0.3"/>
    <row r="176" spans="2:17" s="246" customFormat="1" ht="21" x14ac:dyDescent="0.4">
      <c r="B176" s="291"/>
      <c r="C176" s="408">
        <v>1</v>
      </c>
      <c r="D176" s="408">
        <v>2</v>
      </c>
      <c r="E176" s="408">
        <v>3</v>
      </c>
      <c r="F176" s="408">
        <v>4</v>
      </c>
      <c r="G176" s="408">
        <v>5</v>
      </c>
      <c r="H176" s="408">
        <v>6</v>
      </c>
      <c r="I176" s="408">
        <v>7</v>
      </c>
      <c r="J176" s="408">
        <v>8</v>
      </c>
      <c r="K176" s="408">
        <v>9</v>
      </c>
      <c r="L176" s="408">
        <v>10</v>
      </c>
      <c r="M176" s="408">
        <v>11</v>
      </c>
      <c r="N176" s="408">
        <v>12</v>
      </c>
      <c r="O176" s="408">
        <v>1</v>
      </c>
      <c r="P176" s="408">
        <v>2</v>
      </c>
      <c r="Q176" s="409">
        <v>3</v>
      </c>
    </row>
    <row r="177" spans="2:17" ht="21" x14ac:dyDescent="0.4">
      <c r="B177" s="293" t="s">
        <v>181</v>
      </c>
      <c r="C177" s="404">
        <f t="shared" ref="C177:Q177" ca="1" si="18">IFERROR(IF(C$17&gt;0,ROUND(C$17,2),""),"")</f>
        <v>71.33</v>
      </c>
      <c r="D177" s="404">
        <f t="shared" ca="1" si="18"/>
        <v>82.02</v>
      </c>
      <c r="E177" s="404">
        <f t="shared" ca="1" si="18"/>
        <v>83.92</v>
      </c>
      <c r="F177" s="404">
        <f t="shared" ca="1" si="18"/>
        <v>71.77</v>
      </c>
      <c r="G177" s="404" t="str">
        <f t="shared" si="18"/>
        <v/>
      </c>
      <c r="H177" s="404" t="str">
        <f t="shared" si="18"/>
        <v/>
      </c>
      <c r="I177" s="404" t="str">
        <f t="shared" ca="1" si="18"/>
        <v/>
      </c>
      <c r="J177" s="404" t="str">
        <f t="shared" ca="1" si="18"/>
        <v/>
      </c>
      <c r="K177" s="404" t="str">
        <f t="shared" ca="1" si="18"/>
        <v/>
      </c>
      <c r="L177" s="404" t="str">
        <f t="shared" ca="1" si="18"/>
        <v/>
      </c>
      <c r="M177" s="404" t="str">
        <f t="shared" si="18"/>
        <v/>
      </c>
      <c r="N177" s="404" t="str">
        <f t="shared" si="18"/>
        <v/>
      </c>
      <c r="O177" s="404" t="str">
        <f t="shared" si="18"/>
        <v/>
      </c>
      <c r="P177" s="404" t="str">
        <f t="shared" si="18"/>
        <v/>
      </c>
      <c r="Q177" s="404" t="str">
        <f t="shared" si="18"/>
        <v/>
      </c>
    </row>
    <row r="178" spans="2:17" ht="42" x14ac:dyDescent="0.4">
      <c r="B178" s="294" t="s">
        <v>182</v>
      </c>
      <c r="C178" s="405">
        <f ca="1">IFERROR(IF(C$69&gt;0,ROUND(C$69,2),""),"")</f>
        <v>75.61</v>
      </c>
      <c r="D178" s="405">
        <f t="shared" ref="D178:Q178" ca="1" si="19">IFERROR(IF(D$69&gt;0,ROUND(D$69,2),""),"")</f>
        <v>77.849999999999994</v>
      </c>
      <c r="E178" s="405">
        <f t="shared" ca="1" si="19"/>
        <v>75.61</v>
      </c>
      <c r="F178" s="405">
        <f t="shared" ca="1" si="19"/>
        <v>83.92</v>
      </c>
      <c r="G178" s="405">
        <f t="shared" ca="1" si="19"/>
        <v>77.849999999999994</v>
      </c>
      <c r="H178" s="405" t="str">
        <f t="shared" ca="1" si="19"/>
        <v/>
      </c>
      <c r="I178" s="405">
        <f t="shared" ca="1" si="19"/>
        <v>71.77</v>
      </c>
      <c r="J178" s="405">
        <f t="shared" ca="1" si="19"/>
        <v>83.92</v>
      </c>
      <c r="K178" s="405">
        <f t="shared" ca="1" si="19"/>
        <v>77.849999999999994</v>
      </c>
      <c r="L178" s="405" t="str">
        <f t="shared" ca="1" si="19"/>
        <v/>
      </c>
      <c r="M178" s="405" t="str">
        <f t="shared" ca="1" si="19"/>
        <v/>
      </c>
      <c r="N178" s="405">
        <f t="shared" ca="1" si="19"/>
        <v>76.63</v>
      </c>
      <c r="O178" s="405">
        <f t="shared" ca="1" si="19"/>
        <v>75.25</v>
      </c>
      <c r="P178" s="406">
        <f ca="1">IFERROR(IF(P$69&gt;0,ROUND(P$69,2),""),"")</f>
        <v>76.83</v>
      </c>
      <c r="Q178" s="406">
        <f t="shared" ca="1" si="19"/>
        <v>77.849999999999994</v>
      </c>
    </row>
    <row r="179" spans="2:17" ht="42" x14ac:dyDescent="0.4">
      <c r="B179" s="295" t="s">
        <v>183</v>
      </c>
      <c r="C179" s="407">
        <f ca="1">IFERROR(C178*0.03,"")</f>
        <v>2.2683</v>
      </c>
      <c r="D179" s="407">
        <f t="shared" ref="D179:Q179" ca="1" si="20">IFERROR(D178*0.03,"")</f>
        <v>2.3354999999999997</v>
      </c>
      <c r="E179" s="407">
        <f t="shared" ca="1" si="20"/>
        <v>2.2683</v>
      </c>
      <c r="F179" s="407">
        <f t="shared" ca="1" si="20"/>
        <v>2.5175999999999998</v>
      </c>
      <c r="G179" s="407">
        <f t="shared" ca="1" si="20"/>
        <v>2.3354999999999997</v>
      </c>
      <c r="H179" s="407" t="str">
        <f t="shared" ca="1" si="20"/>
        <v/>
      </c>
      <c r="I179" s="407">
        <f t="shared" ca="1" si="20"/>
        <v>2.1530999999999998</v>
      </c>
      <c r="J179" s="407">
        <f t="shared" ca="1" si="20"/>
        <v>2.5175999999999998</v>
      </c>
      <c r="K179" s="675">
        <f t="shared" ca="1" si="20"/>
        <v>2.3354999999999997</v>
      </c>
      <c r="L179" s="675" t="str">
        <f t="shared" ca="1" si="20"/>
        <v/>
      </c>
      <c r="M179" s="675" t="str">
        <f t="shared" ca="1" si="20"/>
        <v/>
      </c>
      <c r="N179" s="675">
        <f t="shared" ca="1" si="20"/>
        <v>2.2988999999999997</v>
      </c>
      <c r="O179" s="675">
        <f t="shared" ca="1" si="20"/>
        <v>2.2574999999999998</v>
      </c>
      <c r="P179" s="675">
        <f t="shared" ca="1" si="20"/>
        <v>2.3048999999999999</v>
      </c>
      <c r="Q179" s="675">
        <f t="shared" ca="1" si="20"/>
        <v>2.3354999999999997</v>
      </c>
    </row>
  </sheetData>
  <mergeCells count="11">
    <mergeCell ref="B10:L10"/>
    <mergeCell ref="J23:L23"/>
    <mergeCell ref="B138:B169"/>
    <mergeCell ref="I40:J40"/>
    <mergeCell ref="B68:Q68"/>
    <mergeCell ref="B73:C73"/>
    <mergeCell ref="K73:L73"/>
    <mergeCell ref="K74:K106"/>
    <mergeCell ref="B74:B105"/>
    <mergeCell ref="B106:B137"/>
    <mergeCell ref="O42:Q42"/>
  </mergeCells>
  <conditionalFormatting sqref="C7:L7 C11:L11 C16:L16">
    <cfRule type="notContainsBlanks" dxfId="2" priority="3" stopIfTrue="1">
      <formula>LEN(TRIM(C7))&gt;0</formula>
    </cfRule>
  </conditionalFormatting>
  <conditionalFormatting sqref="C12:L12 C14:L14">
    <cfRule type="notContainsBlanks" dxfId="1" priority="4" stopIfTrue="1">
      <formula>LEN(TRIM(C12))&gt;0</formula>
    </cfRule>
  </conditionalFormatting>
  <conditionalFormatting sqref="C17:L17">
    <cfRule type="notContainsBlanks" dxfId="0" priority="1" stopIfTrue="1">
      <formula>LEN(TRIM(C17))&gt;0</formula>
    </cfRule>
  </conditionalFormatting>
  <pageMargins left="0.7" right="0.7" top="0.75" bottom="0.75" header="0.3" footer="0.3"/>
  <pageSetup scale="56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Theory</vt:lpstr>
      <vt:lpstr>Lab</vt:lpstr>
      <vt:lpstr>CIA MARKS</vt:lpstr>
      <vt:lpstr>CSV</vt:lpstr>
      <vt:lpstr>CES</vt:lpstr>
      <vt:lpstr>Quiz1</vt:lpstr>
      <vt:lpstr>Quiz2</vt:lpstr>
      <vt:lpstr>CO_PO_PSO_MAPPING</vt:lpstr>
      <vt:lpstr>CO_PO_ASSESSMENT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</dc:creator>
  <cp:lastModifiedBy>reshma s</cp:lastModifiedBy>
  <cp:lastPrinted>2026-02-05T18:45:33Z</cp:lastPrinted>
  <dcterms:created xsi:type="dcterms:W3CDTF">2015-06-05T18:17:20Z</dcterms:created>
  <dcterms:modified xsi:type="dcterms:W3CDTF">2026-02-05T18:45:53Z</dcterms:modified>
</cp:coreProperties>
</file>